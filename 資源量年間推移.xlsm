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filterPrivacy="1" codeName="ThisWorkbook" defaultThemeVersion="124226"/>
  <xr:revisionPtr revIDLastSave="0" documentId="13_ncr:1_{4E95AF30-79A1-451A-B887-EE767B6FE5B1}" xr6:coauthVersionLast="47" xr6:coauthVersionMax="47" xr10:uidLastSave="{00000000-0000-0000-0000-000000000000}"/>
  <bookViews>
    <workbookView xWindow="10020" yWindow="-21600" windowWidth="19380" windowHeight="20970" activeTab="4" xr2:uid="{00000000-000D-0000-FFFF-FFFF00000000}"/>
  </bookViews>
  <sheets>
    <sheet name="input" sheetId="6" r:id="rId1"/>
    <sheet name="マアナゴ" sheetId="2" r:id="rId2"/>
    <sheet name="シャコ" sheetId="4" r:id="rId3"/>
    <sheet name="マアナゴGraph" sheetId="7" r:id="rId4"/>
    <sheet name="シャコGraph" sheetId="8" r:id="rId5"/>
    <sheet name="マアナゴ (本宮計算)" sheetId="5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4" i="4" l="1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A106" i="4"/>
  <c r="AA107" i="4"/>
  <c r="AA108" i="4"/>
  <c r="AA109" i="4"/>
  <c r="AA110" i="4"/>
  <c r="AA111" i="4"/>
  <c r="AA112" i="4"/>
  <c r="AA113" i="4"/>
  <c r="AA114" i="4"/>
  <c r="AA115" i="4"/>
  <c r="AA116" i="4"/>
  <c r="AA117" i="4"/>
  <c r="AA118" i="4"/>
  <c r="AA119" i="4"/>
  <c r="AA120" i="4"/>
  <c r="AA121" i="4"/>
  <c r="AA122" i="4"/>
  <c r="AA123" i="4"/>
  <c r="AA124" i="4"/>
  <c r="AA125" i="4"/>
  <c r="AA126" i="4"/>
  <c r="AA127" i="4"/>
  <c r="AA128" i="4"/>
  <c r="AA129" i="4"/>
  <c r="AA130" i="4"/>
  <c r="AA131" i="4"/>
  <c r="AA132" i="4"/>
  <c r="AA133" i="4"/>
  <c r="AA134" i="4"/>
  <c r="AA135" i="4"/>
  <c r="AA136" i="4"/>
  <c r="AA137" i="4"/>
  <c r="AA138" i="4"/>
  <c r="AA139" i="4"/>
  <c r="AA140" i="4"/>
  <c r="AA141" i="4"/>
  <c r="AA142" i="4"/>
  <c r="AA143" i="4"/>
  <c r="AA144" i="4"/>
  <c r="AA145" i="4"/>
  <c r="AA146" i="4"/>
  <c r="AA147" i="4"/>
  <c r="AA148" i="4"/>
  <c r="AA149" i="4"/>
  <c r="AA150" i="4"/>
  <c r="AA151" i="4"/>
  <c r="AA152" i="4"/>
  <c r="AA153" i="4"/>
  <c r="AA154" i="4"/>
  <c r="AA155" i="4"/>
  <c r="AA156" i="4"/>
  <c r="AA157" i="4"/>
  <c r="AA158" i="4"/>
  <c r="AA159" i="4"/>
  <c r="AA160" i="4"/>
  <c r="AA161" i="4"/>
  <c r="AA162" i="4"/>
  <c r="AA163" i="4"/>
  <c r="AA164" i="4"/>
  <c r="AA165" i="4"/>
  <c r="AA166" i="4"/>
  <c r="AA167" i="4"/>
  <c r="AA168" i="4"/>
  <c r="AA169" i="4"/>
  <c r="AA170" i="4"/>
  <c r="AA171" i="4"/>
  <c r="AA172" i="4"/>
  <c r="AA173" i="4"/>
  <c r="AA174" i="4"/>
  <c r="AA175" i="4"/>
  <c r="AA176" i="4"/>
  <c r="AA177" i="4"/>
  <c r="AA178" i="4"/>
  <c r="AA179" i="4"/>
  <c r="AA180" i="4"/>
  <c r="AA181" i="4"/>
  <c r="AA182" i="4"/>
  <c r="AA183" i="4"/>
  <c r="AA184" i="4"/>
  <c r="AA185" i="4"/>
  <c r="AA186" i="4"/>
  <c r="AA187" i="4"/>
  <c r="AA188" i="4"/>
  <c r="AA189" i="4"/>
  <c r="AA190" i="4"/>
  <c r="AA191" i="4"/>
  <c r="AA192" i="4"/>
  <c r="AA193" i="4"/>
  <c r="AA194" i="4"/>
  <c r="AA195" i="4"/>
  <c r="AA196" i="4"/>
  <c r="AA197" i="4"/>
  <c r="AA198" i="4"/>
  <c r="AA199" i="4"/>
  <c r="AA200" i="4"/>
  <c r="AA201" i="4"/>
  <c r="AA202" i="4"/>
  <c r="AA203" i="4"/>
  <c r="AA204" i="4"/>
  <c r="AA205" i="4"/>
  <c r="AA206" i="4"/>
  <c r="AA207" i="4"/>
  <c r="AA208" i="4"/>
  <c r="AA209" i="4"/>
  <c r="AA210" i="4"/>
  <c r="AA211" i="4"/>
  <c r="AA212" i="4"/>
  <c r="AA213" i="4"/>
  <c r="AA214" i="4"/>
  <c r="AA215" i="4"/>
  <c r="AA216" i="4"/>
  <c r="AA217" i="4"/>
  <c r="AA218" i="4"/>
  <c r="AA219" i="4"/>
  <c r="AA220" i="4"/>
  <c r="AA221" i="4"/>
  <c r="AA222" i="4"/>
  <c r="AA223" i="4"/>
  <c r="AA224" i="4"/>
  <c r="AA225" i="4"/>
  <c r="AA226" i="4"/>
  <c r="AA227" i="4"/>
  <c r="AA228" i="4"/>
  <c r="AA229" i="4"/>
  <c r="AA230" i="4"/>
  <c r="AA231" i="4"/>
  <c r="AA232" i="4"/>
  <c r="AA233" i="4"/>
  <c r="AA234" i="4"/>
  <c r="AA235" i="4"/>
  <c r="AA236" i="4"/>
  <c r="AA237" i="4"/>
  <c r="AA238" i="4"/>
  <c r="AA239" i="4"/>
  <c r="AA240" i="4"/>
  <c r="AA241" i="4"/>
  <c r="AA242" i="4"/>
  <c r="AA243" i="4"/>
  <c r="AA244" i="4"/>
  <c r="AA245" i="4"/>
  <c r="AA246" i="4"/>
  <c r="AA247" i="4"/>
  <c r="AA248" i="4"/>
  <c r="AA249" i="4"/>
  <c r="AA250" i="4"/>
  <c r="AA251" i="4"/>
  <c r="AA252" i="4"/>
  <c r="AA253" i="4"/>
  <c r="AA254" i="4"/>
  <c r="AA255" i="4"/>
  <c r="AA256" i="4"/>
  <c r="AA257" i="4"/>
  <c r="AA258" i="4"/>
  <c r="AA259" i="4"/>
  <c r="AA260" i="4"/>
  <c r="AA261" i="4"/>
  <c r="AA262" i="4"/>
  <c r="AA263" i="4"/>
  <c r="AA264" i="4"/>
  <c r="AA265" i="4"/>
  <c r="AA266" i="4"/>
  <c r="AA267" i="4"/>
  <c r="AA268" i="4"/>
  <c r="AA269" i="4"/>
  <c r="AA270" i="4"/>
  <c r="AA271" i="4"/>
  <c r="AA272" i="4"/>
  <c r="AA273" i="4"/>
  <c r="AA274" i="4"/>
  <c r="AA275" i="4"/>
  <c r="AA276" i="4"/>
  <c r="AA277" i="4"/>
  <c r="AA278" i="4"/>
  <c r="AA279" i="4"/>
  <c r="AA280" i="4"/>
  <c r="AA281" i="4"/>
  <c r="AA282" i="4"/>
  <c r="AA283" i="4"/>
  <c r="AA284" i="4"/>
  <c r="AA285" i="4"/>
  <c r="AA286" i="4"/>
  <c r="AA287" i="4"/>
  <c r="AA288" i="4"/>
  <c r="AA289" i="4"/>
  <c r="AA290" i="4"/>
  <c r="AA291" i="4"/>
  <c r="AA292" i="4"/>
  <c r="AA293" i="4"/>
  <c r="AA294" i="4"/>
  <c r="AA295" i="4"/>
  <c r="AA296" i="4"/>
  <c r="AA297" i="4"/>
  <c r="AA298" i="4"/>
  <c r="AA299" i="4"/>
  <c r="AA300" i="4"/>
  <c r="AA301" i="4"/>
  <c r="AA302" i="4"/>
  <c r="AA303" i="4"/>
  <c r="AA304" i="4"/>
  <c r="AA305" i="4"/>
  <c r="AA306" i="4"/>
  <c r="AA307" i="4"/>
  <c r="AA308" i="4"/>
  <c r="AA309" i="4"/>
  <c r="AA310" i="4"/>
  <c r="AA311" i="4"/>
  <c r="AA312" i="4"/>
  <c r="AA313" i="4"/>
  <c r="AA314" i="4"/>
  <c r="AA315" i="4"/>
  <c r="AA316" i="4"/>
  <c r="AA317" i="4"/>
  <c r="AA318" i="4"/>
  <c r="AA319" i="4"/>
  <c r="AA320" i="4"/>
  <c r="AA321" i="4"/>
  <c r="AA322" i="4"/>
  <c r="AA323" i="4"/>
  <c r="AA324" i="4"/>
  <c r="AA325" i="4"/>
  <c r="AA326" i="4"/>
  <c r="AA327" i="4"/>
  <c r="AA328" i="4"/>
  <c r="AA329" i="4"/>
  <c r="AA330" i="4"/>
  <c r="AA331" i="4"/>
  <c r="AA332" i="4"/>
  <c r="AA333" i="4"/>
  <c r="AA334" i="4"/>
  <c r="AA335" i="4"/>
  <c r="AA336" i="4"/>
  <c r="AA337" i="4"/>
  <c r="AA338" i="4"/>
  <c r="AA339" i="4"/>
  <c r="AA340" i="4"/>
  <c r="AA341" i="4"/>
  <c r="AA342" i="4"/>
  <c r="AA343" i="4"/>
  <c r="AA344" i="4"/>
  <c r="AA345" i="4"/>
  <c r="AA346" i="4"/>
  <c r="AA347" i="4"/>
  <c r="AA348" i="4"/>
  <c r="AA349" i="4"/>
  <c r="AA350" i="4"/>
  <c r="AA351" i="4"/>
  <c r="AA352" i="4"/>
  <c r="AA353" i="4"/>
  <c r="AA354" i="4"/>
  <c r="AA355" i="4"/>
  <c r="AA356" i="4"/>
  <c r="AA357" i="4"/>
  <c r="AA358" i="4"/>
  <c r="AA359" i="4"/>
  <c r="AA360" i="4"/>
  <c r="AA361" i="4"/>
  <c r="AA362" i="4"/>
  <c r="AA363" i="4"/>
  <c r="AA364" i="4"/>
  <c r="AA365" i="4"/>
  <c r="AA366" i="4"/>
  <c r="AA367" i="4"/>
  <c r="AA3" i="4"/>
  <c r="X367" i="4"/>
  <c r="X366" i="4"/>
  <c r="X365" i="4"/>
  <c r="X364" i="4"/>
  <c r="X363" i="4"/>
  <c r="X362" i="4"/>
  <c r="X361" i="4"/>
  <c r="X360" i="4"/>
  <c r="X359" i="4"/>
  <c r="X358" i="4"/>
  <c r="X357" i="4"/>
  <c r="X356" i="4"/>
  <c r="X355" i="4"/>
  <c r="X354" i="4"/>
  <c r="X353" i="4"/>
  <c r="X352" i="4"/>
  <c r="X351" i="4"/>
  <c r="X350" i="4"/>
  <c r="X349" i="4"/>
  <c r="X348" i="4"/>
  <c r="X347" i="4"/>
  <c r="X346" i="4"/>
  <c r="X345" i="4"/>
  <c r="X344" i="4"/>
  <c r="X343" i="4"/>
  <c r="X342" i="4"/>
  <c r="X341" i="4"/>
  <c r="X340" i="4"/>
  <c r="X339" i="4"/>
  <c r="X338" i="4"/>
  <c r="X337" i="4"/>
  <c r="X336" i="4"/>
  <c r="X335" i="4"/>
  <c r="X334" i="4"/>
  <c r="X333" i="4"/>
  <c r="X332" i="4"/>
  <c r="X331" i="4"/>
  <c r="X330" i="4"/>
  <c r="X329" i="4"/>
  <c r="X328" i="4"/>
  <c r="X327" i="4"/>
  <c r="X326" i="4"/>
  <c r="X325" i="4"/>
  <c r="X324" i="4"/>
  <c r="X323" i="4"/>
  <c r="X322" i="4"/>
  <c r="X321" i="4"/>
  <c r="X320" i="4"/>
  <c r="X319" i="4"/>
  <c r="X318" i="4"/>
  <c r="X317" i="4"/>
  <c r="X316" i="4"/>
  <c r="X315" i="4"/>
  <c r="X314" i="4"/>
  <c r="X313" i="4"/>
  <c r="X312" i="4"/>
  <c r="X311" i="4"/>
  <c r="X310" i="4"/>
  <c r="X309" i="4"/>
  <c r="X308" i="4"/>
  <c r="X307" i="4"/>
  <c r="X306" i="4"/>
  <c r="X305" i="4"/>
  <c r="X304" i="4"/>
  <c r="X303" i="4"/>
  <c r="X302" i="4"/>
  <c r="X301" i="4"/>
  <c r="X300" i="4"/>
  <c r="X299" i="4"/>
  <c r="X298" i="4"/>
  <c r="X297" i="4"/>
  <c r="X296" i="4"/>
  <c r="X295" i="4"/>
  <c r="X294" i="4"/>
  <c r="X293" i="4"/>
  <c r="X292" i="4"/>
  <c r="X291" i="4"/>
  <c r="X290" i="4"/>
  <c r="X289" i="4"/>
  <c r="X288" i="4"/>
  <c r="X287" i="4"/>
  <c r="X286" i="4"/>
  <c r="X285" i="4"/>
  <c r="X284" i="4"/>
  <c r="X283" i="4"/>
  <c r="X282" i="4"/>
  <c r="X281" i="4"/>
  <c r="X280" i="4"/>
  <c r="X279" i="4"/>
  <c r="X278" i="4"/>
  <c r="X277" i="4"/>
  <c r="X276" i="4"/>
  <c r="X275" i="4"/>
  <c r="X274" i="4"/>
  <c r="X273" i="4"/>
  <c r="X272" i="4"/>
  <c r="X271" i="4"/>
  <c r="X270" i="4"/>
  <c r="X269" i="4"/>
  <c r="X268" i="4"/>
  <c r="X267" i="4"/>
  <c r="X266" i="4"/>
  <c r="X265" i="4"/>
  <c r="X264" i="4"/>
  <c r="X263" i="4"/>
  <c r="X262" i="4"/>
  <c r="X261" i="4"/>
  <c r="X260" i="4"/>
  <c r="X259" i="4"/>
  <c r="X258" i="4"/>
  <c r="X257" i="4"/>
  <c r="X256" i="4"/>
  <c r="X255" i="4"/>
  <c r="X254" i="4"/>
  <c r="X253" i="4"/>
  <c r="X252" i="4"/>
  <c r="X251" i="4"/>
  <c r="X250" i="4"/>
  <c r="X249" i="4"/>
  <c r="X248" i="4"/>
  <c r="X247" i="4"/>
  <c r="X246" i="4"/>
  <c r="X245" i="4"/>
  <c r="X244" i="4"/>
  <c r="X243" i="4"/>
  <c r="X242" i="4"/>
  <c r="X241" i="4"/>
  <c r="X240" i="4"/>
  <c r="X239" i="4"/>
  <c r="X238" i="4"/>
  <c r="X237" i="4"/>
  <c r="X236" i="4"/>
  <c r="X235" i="4"/>
  <c r="X234" i="4"/>
  <c r="X233" i="4"/>
  <c r="X232" i="4"/>
  <c r="X231" i="4"/>
  <c r="X230" i="4"/>
  <c r="X229" i="4"/>
  <c r="X228" i="4"/>
  <c r="X227" i="4"/>
  <c r="X226" i="4"/>
  <c r="X225" i="4"/>
  <c r="X224" i="4"/>
  <c r="X223" i="4"/>
  <c r="X222" i="4"/>
  <c r="X221" i="4"/>
  <c r="X220" i="4"/>
  <c r="X219" i="4"/>
  <c r="X218" i="4"/>
  <c r="X217" i="4"/>
  <c r="X216" i="4"/>
  <c r="X215" i="4"/>
  <c r="X214" i="4"/>
  <c r="X213" i="4"/>
  <c r="X212" i="4"/>
  <c r="X211" i="4"/>
  <c r="X210" i="4"/>
  <c r="X209" i="4"/>
  <c r="X208" i="4"/>
  <c r="X207" i="4"/>
  <c r="X206" i="4"/>
  <c r="X205" i="4"/>
  <c r="X204" i="4"/>
  <c r="X203" i="4"/>
  <c r="X202" i="4"/>
  <c r="X201" i="4"/>
  <c r="X200" i="4"/>
  <c r="X199" i="4"/>
  <c r="X198" i="4"/>
  <c r="X197" i="4"/>
  <c r="X196" i="4"/>
  <c r="X195" i="4"/>
  <c r="X194" i="4"/>
  <c r="X193" i="4"/>
  <c r="X192" i="4"/>
  <c r="X191" i="4"/>
  <c r="X190" i="4"/>
  <c r="X189" i="4"/>
  <c r="X188" i="4"/>
  <c r="X187" i="4"/>
  <c r="X186" i="4"/>
  <c r="X185" i="4"/>
  <c r="X184" i="4"/>
  <c r="X183" i="4"/>
  <c r="X182" i="4"/>
  <c r="X181" i="4"/>
  <c r="X180" i="4"/>
  <c r="X179" i="4"/>
  <c r="X178" i="4"/>
  <c r="X177" i="4"/>
  <c r="X176" i="4"/>
  <c r="X175" i="4"/>
  <c r="X174" i="4"/>
  <c r="X173" i="4"/>
  <c r="X172" i="4"/>
  <c r="X171" i="4"/>
  <c r="X170" i="4"/>
  <c r="X169" i="4"/>
  <c r="X168" i="4"/>
  <c r="X167" i="4"/>
  <c r="X166" i="4"/>
  <c r="X165" i="4"/>
  <c r="X164" i="4"/>
  <c r="X163" i="4"/>
  <c r="X162" i="4"/>
  <c r="X161" i="4"/>
  <c r="X160" i="4"/>
  <c r="X159" i="4"/>
  <c r="X158" i="4"/>
  <c r="X157" i="4"/>
  <c r="X156" i="4"/>
  <c r="X155" i="4"/>
  <c r="X154" i="4"/>
  <c r="X153" i="4"/>
  <c r="X152" i="4"/>
  <c r="X151" i="4"/>
  <c r="X150" i="4"/>
  <c r="X149" i="4"/>
  <c r="X148" i="4"/>
  <c r="X147" i="4"/>
  <c r="X146" i="4"/>
  <c r="X145" i="4"/>
  <c r="X144" i="4"/>
  <c r="X143" i="4"/>
  <c r="X142" i="4"/>
  <c r="X141" i="4"/>
  <c r="X140" i="4"/>
  <c r="X139" i="4"/>
  <c r="X138" i="4"/>
  <c r="X137" i="4"/>
  <c r="X136" i="4"/>
  <c r="X135" i="4"/>
  <c r="X134" i="4"/>
  <c r="X133" i="4"/>
  <c r="X132" i="4"/>
  <c r="X131" i="4"/>
  <c r="X130" i="4"/>
  <c r="X129" i="4"/>
  <c r="X128" i="4"/>
  <c r="X127" i="4"/>
  <c r="X126" i="4"/>
  <c r="X125" i="4"/>
  <c r="X124" i="4"/>
  <c r="X123" i="4"/>
  <c r="X122" i="4"/>
  <c r="X121" i="4"/>
  <c r="X120" i="4"/>
  <c r="X119" i="4"/>
  <c r="X118" i="4"/>
  <c r="X117" i="4"/>
  <c r="X116" i="4"/>
  <c r="X115" i="4"/>
  <c r="X114" i="4"/>
  <c r="X113" i="4"/>
  <c r="X112" i="4"/>
  <c r="X111" i="4"/>
  <c r="X110" i="4"/>
  <c r="X109" i="4"/>
  <c r="X108" i="4"/>
  <c r="X107" i="4"/>
  <c r="X106" i="4"/>
  <c r="X105" i="4"/>
  <c r="X104" i="4"/>
  <c r="X103" i="4"/>
  <c r="X102" i="4"/>
  <c r="X101" i="4"/>
  <c r="X100" i="4"/>
  <c r="X99" i="4"/>
  <c r="X98" i="4"/>
  <c r="X97" i="4"/>
  <c r="X96" i="4"/>
  <c r="X95" i="4"/>
  <c r="X94" i="4"/>
  <c r="X93" i="4"/>
  <c r="X92" i="4"/>
  <c r="X91" i="4"/>
  <c r="X90" i="4"/>
  <c r="X89" i="4"/>
  <c r="X88" i="4"/>
  <c r="X87" i="4"/>
  <c r="X86" i="4"/>
  <c r="X85" i="4"/>
  <c r="X84" i="4"/>
  <c r="X83" i="4"/>
  <c r="X82" i="4"/>
  <c r="X81" i="4"/>
  <c r="X80" i="4"/>
  <c r="X79" i="4"/>
  <c r="X78" i="4"/>
  <c r="X77" i="4"/>
  <c r="X76" i="4"/>
  <c r="X75" i="4"/>
  <c r="X74" i="4"/>
  <c r="X73" i="4"/>
  <c r="X72" i="4"/>
  <c r="X71" i="4"/>
  <c r="X70" i="4"/>
  <c r="X69" i="4"/>
  <c r="X68" i="4"/>
  <c r="X67" i="4"/>
  <c r="X66" i="4"/>
  <c r="X65" i="4"/>
  <c r="X64" i="4"/>
  <c r="X63" i="4"/>
  <c r="X62" i="4"/>
  <c r="X61" i="4"/>
  <c r="X60" i="4"/>
  <c r="X59" i="4"/>
  <c r="X58" i="4"/>
  <c r="X57" i="4"/>
  <c r="X56" i="4"/>
  <c r="X55" i="4"/>
  <c r="X54" i="4"/>
  <c r="X53" i="4"/>
  <c r="X52" i="4"/>
  <c r="X51" i="4"/>
  <c r="X50" i="4"/>
  <c r="X49" i="4"/>
  <c r="X48" i="4"/>
  <c r="X47" i="4"/>
  <c r="X46" i="4"/>
  <c r="X45" i="4"/>
  <c r="X44" i="4"/>
  <c r="X43" i="4"/>
  <c r="X42" i="4"/>
  <c r="X41" i="4"/>
  <c r="X40" i="4"/>
  <c r="X39" i="4"/>
  <c r="X38" i="4"/>
  <c r="X37" i="4"/>
  <c r="X36" i="4"/>
  <c r="X35" i="4"/>
  <c r="X34" i="4"/>
  <c r="X33" i="4"/>
  <c r="X32" i="4"/>
  <c r="X31" i="4"/>
  <c r="X30" i="4"/>
  <c r="X29" i="4"/>
  <c r="X28" i="4"/>
  <c r="X27" i="4"/>
  <c r="X26" i="4"/>
  <c r="X25" i="4"/>
  <c r="X24" i="4"/>
  <c r="X23" i="4"/>
  <c r="X22" i="4"/>
  <c r="X21" i="4"/>
  <c r="X20" i="4"/>
  <c r="X19" i="4"/>
  <c r="X18" i="4"/>
  <c r="X17" i="4"/>
  <c r="X16" i="4"/>
  <c r="X15" i="4"/>
  <c r="X14" i="4"/>
  <c r="X13" i="4"/>
  <c r="X12" i="4"/>
  <c r="X11" i="4"/>
  <c r="X10" i="4"/>
  <c r="X9" i="4"/>
  <c r="X8" i="4"/>
  <c r="X7" i="4"/>
  <c r="X6" i="4"/>
  <c r="X5" i="4"/>
  <c r="X4" i="4"/>
  <c r="X3" i="4"/>
  <c r="Y4" i="4" s="1"/>
  <c r="Q367" i="4"/>
  <c r="Q366" i="4"/>
  <c r="Q365" i="4"/>
  <c r="Q364" i="4"/>
  <c r="Q363" i="4"/>
  <c r="Q362" i="4"/>
  <c r="Q361" i="4"/>
  <c r="Q360" i="4"/>
  <c r="Q359" i="4"/>
  <c r="Q358" i="4"/>
  <c r="Q357" i="4"/>
  <c r="Q356" i="4"/>
  <c r="Q355" i="4"/>
  <c r="Q354" i="4"/>
  <c r="Q353" i="4"/>
  <c r="Q352" i="4"/>
  <c r="Q351" i="4"/>
  <c r="Q350" i="4"/>
  <c r="Q349" i="4"/>
  <c r="Q348" i="4"/>
  <c r="Q347" i="4"/>
  <c r="Q346" i="4"/>
  <c r="Q345" i="4"/>
  <c r="Q344" i="4"/>
  <c r="Q343" i="4"/>
  <c r="Q342" i="4"/>
  <c r="Q341" i="4"/>
  <c r="Q340" i="4"/>
  <c r="Q339" i="4"/>
  <c r="Q338" i="4"/>
  <c r="Q337" i="4"/>
  <c r="Q336" i="4"/>
  <c r="Q335" i="4"/>
  <c r="Q334" i="4"/>
  <c r="Q333" i="4"/>
  <c r="Q332" i="4"/>
  <c r="Q331" i="4"/>
  <c r="Q330" i="4"/>
  <c r="Q329" i="4"/>
  <c r="Q328" i="4"/>
  <c r="Q327" i="4"/>
  <c r="Q326" i="4"/>
  <c r="Q325" i="4"/>
  <c r="Q324" i="4"/>
  <c r="Q323" i="4"/>
  <c r="Q322" i="4"/>
  <c r="Q321" i="4"/>
  <c r="Q320" i="4"/>
  <c r="Q319" i="4"/>
  <c r="Q318" i="4"/>
  <c r="Q317" i="4"/>
  <c r="Q316" i="4"/>
  <c r="Q315" i="4"/>
  <c r="Q314" i="4"/>
  <c r="Q313" i="4"/>
  <c r="Q312" i="4"/>
  <c r="Q311" i="4"/>
  <c r="Q310" i="4"/>
  <c r="Q309" i="4"/>
  <c r="Q308" i="4"/>
  <c r="Q307" i="4"/>
  <c r="Q306" i="4"/>
  <c r="Q305" i="4"/>
  <c r="Q304" i="4"/>
  <c r="Q303" i="4"/>
  <c r="Q302" i="4"/>
  <c r="Q301" i="4"/>
  <c r="Q300" i="4"/>
  <c r="Q299" i="4"/>
  <c r="Q298" i="4"/>
  <c r="Q297" i="4"/>
  <c r="Q296" i="4"/>
  <c r="Q295" i="4"/>
  <c r="Q294" i="4"/>
  <c r="Q293" i="4"/>
  <c r="Q292" i="4"/>
  <c r="Q291" i="4"/>
  <c r="Q290" i="4"/>
  <c r="Q289" i="4"/>
  <c r="Q288" i="4"/>
  <c r="Q287" i="4"/>
  <c r="Q286" i="4"/>
  <c r="Q285" i="4"/>
  <c r="Q284" i="4"/>
  <c r="Q283" i="4"/>
  <c r="Q282" i="4"/>
  <c r="Q281" i="4"/>
  <c r="Q280" i="4"/>
  <c r="Q279" i="4"/>
  <c r="Q278" i="4"/>
  <c r="Q277" i="4"/>
  <c r="Q276" i="4"/>
  <c r="Q275" i="4"/>
  <c r="Q274" i="4"/>
  <c r="Q273" i="4"/>
  <c r="Q272" i="4"/>
  <c r="Q271" i="4"/>
  <c r="Q270" i="4"/>
  <c r="Q269" i="4"/>
  <c r="Q268" i="4"/>
  <c r="Q267" i="4"/>
  <c r="Q266" i="4"/>
  <c r="Q265" i="4"/>
  <c r="Q264" i="4"/>
  <c r="Q263" i="4"/>
  <c r="Q262" i="4"/>
  <c r="Q261" i="4"/>
  <c r="Q260" i="4"/>
  <c r="Q259" i="4"/>
  <c r="Q258" i="4"/>
  <c r="Q257" i="4"/>
  <c r="Q256" i="4"/>
  <c r="Q255" i="4"/>
  <c r="Q254" i="4"/>
  <c r="Q253" i="4"/>
  <c r="Q252" i="4"/>
  <c r="Q251" i="4"/>
  <c r="Q250" i="4"/>
  <c r="Q249" i="4"/>
  <c r="Q248" i="4"/>
  <c r="Q247" i="4"/>
  <c r="Q246" i="4"/>
  <c r="Q245" i="4"/>
  <c r="Q244" i="4"/>
  <c r="Q243" i="4"/>
  <c r="Q242" i="4"/>
  <c r="Q241" i="4"/>
  <c r="Q240" i="4"/>
  <c r="Q239" i="4"/>
  <c r="Q238" i="4"/>
  <c r="Q237" i="4"/>
  <c r="Q236" i="4"/>
  <c r="Q235" i="4"/>
  <c r="Q234" i="4"/>
  <c r="Q233" i="4"/>
  <c r="Q232" i="4"/>
  <c r="Q231" i="4"/>
  <c r="Q230" i="4"/>
  <c r="Q229" i="4"/>
  <c r="Q228" i="4"/>
  <c r="Q227" i="4"/>
  <c r="Q226" i="4"/>
  <c r="Q225" i="4"/>
  <c r="Q224" i="4"/>
  <c r="Q223" i="4"/>
  <c r="Q222" i="4"/>
  <c r="Q221" i="4"/>
  <c r="Q220" i="4"/>
  <c r="Q219" i="4"/>
  <c r="Q218" i="4"/>
  <c r="Q217" i="4"/>
  <c r="Q216" i="4"/>
  <c r="Q215" i="4"/>
  <c r="Q214" i="4"/>
  <c r="Q213" i="4"/>
  <c r="Q212" i="4"/>
  <c r="Q211" i="4"/>
  <c r="Q210" i="4"/>
  <c r="Q209" i="4"/>
  <c r="Q208" i="4"/>
  <c r="Q207" i="4"/>
  <c r="Q206" i="4"/>
  <c r="Q205" i="4"/>
  <c r="Q204" i="4"/>
  <c r="Q203" i="4"/>
  <c r="Q202" i="4"/>
  <c r="Q201" i="4"/>
  <c r="Q200" i="4"/>
  <c r="Q199" i="4"/>
  <c r="Q198" i="4"/>
  <c r="Q197" i="4"/>
  <c r="Q196" i="4"/>
  <c r="Q195" i="4"/>
  <c r="Q194" i="4"/>
  <c r="Q193" i="4"/>
  <c r="Q192" i="4"/>
  <c r="Q191" i="4"/>
  <c r="Q190" i="4"/>
  <c r="Q189" i="4"/>
  <c r="Q188" i="4"/>
  <c r="Q187" i="4"/>
  <c r="Q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" i="4"/>
  <c r="Y140" i="2"/>
  <c r="Y284" i="2"/>
  <c r="AA360" i="2"/>
  <c r="AA361" i="2"/>
  <c r="AA362" i="2"/>
  <c r="AA363" i="2"/>
  <c r="AA364" i="2"/>
  <c r="AA365" i="2"/>
  <c r="AA366" i="2"/>
  <c r="AA367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3" i="2"/>
  <c r="Y9" i="2" s="1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Q367" i="2"/>
  <c r="R367" i="2" s="1"/>
  <c r="Q366" i="2"/>
  <c r="R366" i="2" s="1"/>
  <c r="Q365" i="2"/>
  <c r="R365" i="2" s="1"/>
  <c r="Q364" i="2"/>
  <c r="R364" i="2" s="1"/>
  <c r="Q363" i="2"/>
  <c r="R363" i="2" s="1"/>
  <c r="Q362" i="2"/>
  <c r="R362" i="2" s="1"/>
  <c r="Q361" i="2"/>
  <c r="R361" i="2" s="1"/>
  <c r="Q360" i="2"/>
  <c r="R360" i="2" s="1"/>
  <c r="Q359" i="2"/>
  <c r="R359" i="2" s="1"/>
  <c r="Q358" i="2"/>
  <c r="R358" i="2" s="1"/>
  <c r="Q357" i="2"/>
  <c r="R357" i="2" s="1"/>
  <c r="Q356" i="2"/>
  <c r="R356" i="2" s="1"/>
  <c r="Q355" i="2"/>
  <c r="R355" i="2" s="1"/>
  <c r="Q354" i="2"/>
  <c r="R354" i="2" s="1"/>
  <c r="Q353" i="2"/>
  <c r="R353" i="2" s="1"/>
  <c r="Q352" i="2"/>
  <c r="R352" i="2" s="1"/>
  <c r="Q351" i="2"/>
  <c r="R351" i="2" s="1"/>
  <c r="Q350" i="2"/>
  <c r="R350" i="2" s="1"/>
  <c r="Q349" i="2"/>
  <c r="R349" i="2" s="1"/>
  <c r="Q348" i="2"/>
  <c r="R348" i="2" s="1"/>
  <c r="Q347" i="2"/>
  <c r="R347" i="2" s="1"/>
  <c r="Q346" i="2"/>
  <c r="R346" i="2" s="1"/>
  <c r="Q345" i="2"/>
  <c r="R345" i="2" s="1"/>
  <c r="Q344" i="2"/>
  <c r="R344" i="2" s="1"/>
  <c r="Q343" i="2"/>
  <c r="R343" i="2" s="1"/>
  <c r="Q342" i="2"/>
  <c r="R342" i="2" s="1"/>
  <c r="Q341" i="2"/>
  <c r="R341" i="2" s="1"/>
  <c r="Q340" i="2"/>
  <c r="R340" i="2" s="1"/>
  <c r="Q339" i="2"/>
  <c r="R339" i="2" s="1"/>
  <c r="Q338" i="2"/>
  <c r="R338" i="2" s="1"/>
  <c r="Q337" i="2"/>
  <c r="R337" i="2" s="1"/>
  <c r="Q336" i="2"/>
  <c r="R336" i="2" s="1"/>
  <c r="Q335" i="2"/>
  <c r="R335" i="2" s="1"/>
  <c r="Q334" i="2"/>
  <c r="R334" i="2" s="1"/>
  <c r="Q333" i="2"/>
  <c r="R333" i="2" s="1"/>
  <c r="Q332" i="2"/>
  <c r="R332" i="2" s="1"/>
  <c r="Q331" i="2"/>
  <c r="R331" i="2" s="1"/>
  <c r="Q330" i="2"/>
  <c r="R330" i="2" s="1"/>
  <c r="Q329" i="2"/>
  <c r="R329" i="2" s="1"/>
  <c r="Q328" i="2"/>
  <c r="R328" i="2" s="1"/>
  <c r="Q327" i="2"/>
  <c r="R327" i="2" s="1"/>
  <c r="Q326" i="2"/>
  <c r="R326" i="2" s="1"/>
  <c r="Q325" i="2"/>
  <c r="R325" i="2" s="1"/>
  <c r="Q324" i="2"/>
  <c r="R324" i="2" s="1"/>
  <c r="Q323" i="2"/>
  <c r="R323" i="2" s="1"/>
  <c r="Q322" i="2"/>
  <c r="R322" i="2" s="1"/>
  <c r="Q321" i="2"/>
  <c r="R321" i="2" s="1"/>
  <c r="Q320" i="2"/>
  <c r="R320" i="2" s="1"/>
  <c r="Q319" i="2"/>
  <c r="R319" i="2" s="1"/>
  <c r="Q318" i="2"/>
  <c r="R318" i="2" s="1"/>
  <c r="Q317" i="2"/>
  <c r="R317" i="2" s="1"/>
  <c r="Q316" i="2"/>
  <c r="R316" i="2" s="1"/>
  <c r="Q315" i="2"/>
  <c r="R315" i="2" s="1"/>
  <c r="Q314" i="2"/>
  <c r="R314" i="2" s="1"/>
  <c r="Q313" i="2"/>
  <c r="R313" i="2" s="1"/>
  <c r="Q312" i="2"/>
  <c r="R312" i="2" s="1"/>
  <c r="Q311" i="2"/>
  <c r="R311" i="2" s="1"/>
  <c r="Q310" i="2"/>
  <c r="R310" i="2" s="1"/>
  <c r="Q309" i="2"/>
  <c r="R309" i="2" s="1"/>
  <c r="Q308" i="2"/>
  <c r="R308" i="2" s="1"/>
  <c r="Q307" i="2"/>
  <c r="R307" i="2" s="1"/>
  <c r="Q306" i="2"/>
  <c r="R306" i="2" s="1"/>
  <c r="Q305" i="2"/>
  <c r="R305" i="2" s="1"/>
  <c r="Q304" i="2"/>
  <c r="R304" i="2" s="1"/>
  <c r="Q303" i="2"/>
  <c r="R303" i="2" s="1"/>
  <c r="Q302" i="2"/>
  <c r="R302" i="2" s="1"/>
  <c r="Q301" i="2"/>
  <c r="R301" i="2" s="1"/>
  <c r="Q300" i="2"/>
  <c r="R300" i="2" s="1"/>
  <c r="Q299" i="2"/>
  <c r="R299" i="2" s="1"/>
  <c r="Q298" i="2"/>
  <c r="R298" i="2" s="1"/>
  <c r="Q297" i="2"/>
  <c r="R297" i="2" s="1"/>
  <c r="Q296" i="2"/>
  <c r="R296" i="2" s="1"/>
  <c r="Q295" i="2"/>
  <c r="R295" i="2" s="1"/>
  <c r="Q294" i="2"/>
  <c r="R294" i="2" s="1"/>
  <c r="Q293" i="2"/>
  <c r="R293" i="2" s="1"/>
  <c r="Q292" i="2"/>
  <c r="R292" i="2" s="1"/>
  <c r="Q291" i="2"/>
  <c r="R291" i="2" s="1"/>
  <c r="Q290" i="2"/>
  <c r="R290" i="2" s="1"/>
  <c r="Q289" i="2"/>
  <c r="R289" i="2" s="1"/>
  <c r="Q288" i="2"/>
  <c r="R288" i="2" s="1"/>
  <c r="Q287" i="2"/>
  <c r="R287" i="2" s="1"/>
  <c r="Q286" i="2"/>
  <c r="R286" i="2" s="1"/>
  <c r="Q285" i="2"/>
  <c r="R285" i="2" s="1"/>
  <c r="Q284" i="2"/>
  <c r="R284" i="2" s="1"/>
  <c r="Q283" i="2"/>
  <c r="R283" i="2" s="1"/>
  <c r="Q282" i="2"/>
  <c r="R282" i="2" s="1"/>
  <c r="Q281" i="2"/>
  <c r="R281" i="2" s="1"/>
  <c r="Q280" i="2"/>
  <c r="R280" i="2" s="1"/>
  <c r="Q279" i="2"/>
  <c r="R279" i="2" s="1"/>
  <c r="Q278" i="2"/>
  <c r="R278" i="2" s="1"/>
  <c r="Q277" i="2"/>
  <c r="R277" i="2" s="1"/>
  <c r="Q276" i="2"/>
  <c r="R276" i="2" s="1"/>
  <c r="Q275" i="2"/>
  <c r="R275" i="2" s="1"/>
  <c r="Q274" i="2"/>
  <c r="R274" i="2" s="1"/>
  <c r="Q273" i="2"/>
  <c r="R273" i="2" s="1"/>
  <c r="Q272" i="2"/>
  <c r="R272" i="2" s="1"/>
  <c r="Q271" i="2"/>
  <c r="R271" i="2" s="1"/>
  <c r="Q270" i="2"/>
  <c r="R270" i="2" s="1"/>
  <c r="Q269" i="2"/>
  <c r="R269" i="2" s="1"/>
  <c r="Q268" i="2"/>
  <c r="R268" i="2" s="1"/>
  <c r="Q267" i="2"/>
  <c r="R267" i="2" s="1"/>
  <c r="Q266" i="2"/>
  <c r="R266" i="2" s="1"/>
  <c r="Q265" i="2"/>
  <c r="R265" i="2" s="1"/>
  <c r="Q264" i="2"/>
  <c r="R264" i="2" s="1"/>
  <c r="Q263" i="2"/>
  <c r="R263" i="2" s="1"/>
  <c r="Q262" i="2"/>
  <c r="R262" i="2" s="1"/>
  <c r="Q261" i="2"/>
  <c r="R261" i="2" s="1"/>
  <c r="Q260" i="2"/>
  <c r="R260" i="2" s="1"/>
  <c r="Q259" i="2"/>
  <c r="R259" i="2" s="1"/>
  <c r="Q258" i="2"/>
  <c r="R258" i="2" s="1"/>
  <c r="Q257" i="2"/>
  <c r="R257" i="2" s="1"/>
  <c r="Q256" i="2"/>
  <c r="R256" i="2" s="1"/>
  <c r="Q255" i="2"/>
  <c r="R255" i="2" s="1"/>
  <c r="Q254" i="2"/>
  <c r="R254" i="2" s="1"/>
  <c r="Q253" i="2"/>
  <c r="R253" i="2" s="1"/>
  <c r="Q252" i="2"/>
  <c r="R252" i="2" s="1"/>
  <c r="Q251" i="2"/>
  <c r="R251" i="2" s="1"/>
  <c r="Q250" i="2"/>
  <c r="R250" i="2" s="1"/>
  <c r="Q249" i="2"/>
  <c r="R249" i="2" s="1"/>
  <c r="Q248" i="2"/>
  <c r="R248" i="2" s="1"/>
  <c r="Q247" i="2"/>
  <c r="R247" i="2" s="1"/>
  <c r="Q246" i="2"/>
  <c r="R246" i="2" s="1"/>
  <c r="Q245" i="2"/>
  <c r="R245" i="2" s="1"/>
  <c r="Q244" i="2"/>
  <c r="R244" i="2" s="1"/>
  <c r="Q243" i="2"/>
  <c r="R243" i="2" s="1"/>
  <c r="Q242" i="2"/>
  <c r="R242" i="2" s="1"/>
  <c r="Q241" i="2"/>
  <c r="R241" i="2" s="1"/>
  <c r="Q240" i="2"/>
  <c r="R240" i="2" s="1"/>
  <c r="Q239" i="2"/>
  <c r="R239" i="2" s="1"/>
  <c r="Q238" i="2"/>
  <c r="R238" i="2" s="1"/>
  <c r="Q237" i="2"/>
  <c r="R237" i="2" s="1"/>
  <c r="Q236" i="2"/>
  <c r="R236" i="2" s="1"/>
  <c r="Q235" i="2"/>
  <c r="R235" i="2" s="1"/>
  <c r="Q234" i="2"/>
  <c r="R234" i="2" s="1"/>
  <c r="Q233" i="2"/>
  <c r="R233" i="2" s="1"/>
  <c r="Q232" i="2"/>
  <c r="R232" i="2" s="1"/>
  <c r="Q231" i="2"/>
  <c r="R231" i="2" s="1"/>
  <c r="Q230" i="2"/>
  <c r="R230" i="2" s="1"/>
  <c r="Q229" i="2"/>
  <c r="R229" i="2" s="1"/>
  <c r="Q228" i="2"/>
  <c r="R228" i="2" s="1"/>
  <c r="Q227" i="2"/>
  <c r="R227" i="2" s="1"/>
  <c r="Q226" i="2"/>
  <c r="R226" i="2" s="1"/>
  <c r="Q225" i="2"/>
  <c r="R225" i="2" s="1"/>
  <c r="Q224" i="2"/>
  <c r="R224" i="2" s="1"/>
  <c r="Q223" i="2"/>
  <c r="R223" i="2" s="1"/>
  <c r="Q222" i="2"/>
  <c r="R222" i="2" s="1"/>
  <c r="Q221" i="2"/>
  <c r="R221" i="2" s="1"/>
  <c r="Q220" i="2"/>
  <c r="R220" i="2" s="1"/>
  <c r="Q219" i="2"/>
  <c r="R219" i="2" s="1"/>
  <c r="Q218" i="2"/>
  <c r="R218" i="2" s="1"/>
  <c r="Q217" i="2"/>
  <c r="R217" i="2" s="1"/>
  <c r="Q216" i="2"/>
  <c r="R216" i="2" s="1"/>
  <c r="Q215" i="2"/>
  <c r="R215" i="2" s="1"/>
  <c r="Q214" i="2"/>
  <c r="R214" i="2" s="1"/>
  <c r="Q213" i="2"/>
  <c r="R213" i="2" s="1"/>
  <c r="Q212" i="2"/>
  <c r="R212" i="2" s="1"/>
  <c r="Q211" i="2"/>
  <c r="R211" i="2" s="1"/>
  <c r="Q210" i="2"/>
  <c r="R210" i="2" s="1"/>
  <c r="Q209" i="2"/>
  <c r="R209" i="2" s="1"/>
  <c r="Q208" i="2"/>
  <c r="R208" i="2" s="1"/>
  <c r="Q207" i="2"/>
  <c r="R207" i="2" s="1"/>
  <c r="Q206" i="2"/>
  <c r="R206" i="2" s="1"/>
  <c r="Q205" i="2"/>
  <c r="R205" i="2" s="1"/>
  <c r="Q204" i="2"/>
  <c r="R204" i="2" s="1"/>
  <c r="Q203" i="2"/>
  <c r="R203" i="2" s="1"/>
  <c r="Q202" i="2"/>
  <c r="R202" i="2" s="1"/>
  <c r="Q201" i="2"/>
  <c r="R201" i="2" s="1"/>
  <c r="Q200" i="2"/>
  <c r="R200" i="2" s="1"/>
  <c r="Q199" i="2"/>
  <c r="R199" i="2" s="1"/>
  <c r="Q198" i="2"/>
  <c r="R198" i="2" s="1"/>
  <c r="Q197" i="2"/>
  <c r="R197" i="2" s="1"/>
  <c r="Q196" i="2"/>
  <c r="R196" i="2" s="1"/>
  <c r="Q195" i="2"/>
  <c r="R195" i="2" s="1"/>
  <c r="Q194" i="2"/>
  <c r="R194" i="2" s="1"/>
  <c r="Q193" i="2"/>
  <c r="R193" i="2" s="1"/>
  <c r="Q192" i="2"/>
  <c r="R192" i="2" s="1"/>
  <c r="Q191" i="2"/>
  <c r="R191" i="2" s="1"/>
  <c r="Q190" i="2"/>
  <c r="R190" i="2" s="1"/>
  <c r="Q189" i="2"/>
  <c r="R189" i="2" s="1"/>
  <c r="Q188" i="2"/>
  <c r="R188" i="2" s="1"/>
  <c r="Q187" i="2"/>
  <c r="R187" i="2" s="1"/>
  <c r="Q186" i="2"/>
  <c r="R186" i="2" s="1"/>
  <c r="Q185" i="2"/>
  <c r="R185" i="2" s="1"/>
  <c r="Q184" i="2"/>
  <c r="R184" i="2" s="1"/>
  <c r="Q183" i="2"/>
  <c r="R183" i="2" s="1"/>
  <c r="Q182" i="2"/>
  <c r="R182" i="2" s="1"/>
  <c r="Q181" i="2"/>
  <c r="R181" i="2" s="1"/>
  <c r="Q180" i="2"/>
  <c r="R180" i="2" s="1"/>
  <c r="Q179" i="2"/>
  <c r="R179" i="2" s="1"/>
  <c r="Q178" i="2"/>
  <c r="R178" i="2" s="1"/>
  <c r="Q177" i="2"/>
  <c r="R177" i="2" s="1"/>
  <c r="Q176" i="2"/>
  <c r="R176" i="2" s="1"/>
  <c r="Q175" i="2"/>
  <c r="R175" i="2" s="1"/>
  <c r="Q174" i="2"/>
  <c r="R174" i="2" s="1"/>
  <c r="Q173" i="2"/>
  <c r="R173" i="2" s="1"/>
  <c r="Q172" i="2"/>
  <c r="R172" i="2" s="1"/>
  <c r="Q171" i="2"/>
  <c r="R171" i="2" s="1"/>
  <c r="Q170" i="2"/>
  <c r="R170" i="2" s="1"/>
  <c r="Q169" i="2"/>
  <c r="R169" i="2" s="1"/>
  <c r="Q168" i="2"/>
  <c r="R168" i="2" s="1"/>
  <c r="Q167" i="2"/>
  <c r="R167" i="2" s="1"/>
  <c r="Q166" i="2"/>
  <c r="R166" i="2" s="1"/>
  <c r="Q165" i="2"/>
  <c r="R165" i="2" s="1"/>
  <c r="Q164" i="2"/>
  <c r="R164" i="2" s="1"/>
  <c r="Q163" i="2"/>
  <c r="R163" i="2" s="1"/>
  <c r="Q162" i="2"/>
  <c r="R162" i="2" s="1"/>
  <c r="Q161" i="2"/>
  <c r="R161" i="2" s="1"/>
  <c r="Q160" i="2"/>
  <c r="R160" i="2" s="1"/>
  <c r="Q159" i="2"/>
  <c r="R159" i="2" s="1"/>
  <c r="Q158" i="2"/>
  <c r="R158" i="2" s="1"/>
  <c r="Q157" i="2"/>
  <c r="R157" i="2" s="1"/>
  <c r="Q156" i="2"/>
  <c r="R156" i="2" s="1"/>
  <c r="Q155" i="2"/>
  <c r="R155" i="2" s="1"/>
  <c r="Q154" i="2"/>
  <c r="R154" i="2" s="1"/>
  <c r="Q153" i="2"/>
  <c r="R153" i="2" s="1"/>
  <c r="Q152" i="2"/>
  <c r="R152" i="2" s="1"/>
  <c r="Q151" i="2"/>
  <c r="R151" i="2" s="1"/>
  <c r="Q150" i="2"/>
  <c r="R150" i="2" s="1"/>
  <c r="Q149" i="2"/>
  <c r="R149" i="2" s="1"/>
  <c r="Q148" i="2"/>
  <c r="R148" i="2" s="1"/>
  <c r="Q147" i="2"/>
  <c r="R147" i="2" s="1"/>
  <c r="Q146" i="2"/>
  <c r="R146" i="2" s="1"/>
  <c r="Q145" i="2"/>
  <c r="R145" i="2" s="1"/>
  <c r="Q144" i="2"/>
  <c r="R144" i="2" s="1"/>
  <c r="Q143" i="2"/>
  <c r="R143" i="2" s="1"/>
  <c r="Q142" i="2"/>
  <c r="R142" i="2" s="1"/>
  <c r="Q141" i="2"/>
  <c r="R141" i="2" s="1"/>
  <c r="Q140" i="2"/>
  <c r="R140" i="2" s="1"/>
  <c r="Q139" i="2"/>
  <c r="R139" i="2" s="1"/>
  <c r="Q138" i="2"/>
  <c r="R138" i="2" s="1"/>
  <c r="Q137" i="2"/>
  <c r="R137" i="2" s="1"/>
  <c r="Q136" i="2"/>
  <c r="R136" i="2" s="1"/>
  <c r="Q135" i="2"/>
  <c r="R135" i="2" s="1"/>
  <c r="Q134" i="2"/>
  <c r="R134" i="2" s="1"/>
  <c r="Q133" i="2"/>
  <c r="R133" i="2" s="1"/>
  <c r="Q132" i="2"/>
  <c r="R132" i="2" s="1"/>
  <c r="Q131" i="2"/>
  <c r="R131" i="2" s="1"/>
  <c r="Q130" i="2"/>
  <c r="R130" i="2" s="1"/>
  <c r="Q129" i="2"/>
  <c r="R129" i="2" s="1"/>
  <c r="Q128" i="2"/>
  <c r="R128" i="2" s="1"/>
  <c r="Q127" i="2"/>
  <c r="R127" i="2" s="1"/>
  <c r="Q126" i="2"/>
  <c r="R126" i="2" s="1"/>
  <c r="Q125" i="2"/>
  <c r="R125" i="2" s="1"/>
  <c r="Q124" i="2"/>
  <c r="R124" i="2" s="1"/>
  <c r="Q123" i="2"/>
  <c r="R123" i="2" s="1"/>
  <c r="Q122" i="2"/>
  <c r="R122" i="2" s="1"/>
  <c r="Q121" i="2"/>
  <c r="R121" i="2" s="1"/>
  <c r="Q120" i="2"/>
  <c r="R120" i="2" s="1"/>
  <c r="Q119" i="2"/>
  <c r="R119" i="2" s="1"/>
  <c r="Q118" i="2"/>
  <c r="R118" i="2" s="1"/>
  <c r="Q117" i="2"/>
  <c r="R117" i="2" s="1"/>
  <c r="Q116" i="2"/>
  <c r="R116" i="2" s="1"/>
  <c r="Q115" i="2"/>
  <c r="R115" i="2" s="1"/>
  <c r="Q114" i="2"/>
  <c r="R114" i="2" s="1"/>
  <c r="Q113" i="2"/>
  <c r="R113" i="2" s="1"/>
  <c r="Q112" i="2"/>
  <c r="R112" i="2" s="1"/>
  <c r="Q111" i="2"/>
  <c r="R111" i="2" s="1"/>
  <c r="Q110" i="2"/>
  <c r="R110" i="2" s="1"/>
  <c r="Q109" i="2"/>
  <c r="R109" i="2" s="1"/>
  <c r="Q108" i="2"/>
  <c r="R108" i="2" s="1"/>
  <c r="Q107" i="2"/>
  <c r="R107" i="2" s="1"/>
  <c r="Q106" i="2"/>
  <c r="R106" i="2" s="1"/>
  <c r="Q105" i="2"/>
  <c r="R105" i="2" s="1"/>
  <c r="Q104" i="2"/>
  <c r="R104" i="2" s="1"/>
  <c r="Q103" i="2"/>
  <c r="R103" i="2" s="1"/>
  <c r="Q102" i="2"/>
  <c r="R102" i="2" s="1"/>
  <c r="Q101" i="2"/>
  <c r="R101" i="2" s="1"/>
  <c r="Q100" i="2"/>
  <c r="R100" i="2" s="1"/>
  <c r="Q99" i="2"/>
  <c r="R99" i="2" s="1"/>
  <c r="Q98" i="2"/>
  <c r="R98" i="2" s="1"/>
  <c r="Q97" i="2"/>
  <c r="R97" i="2" s="1"/>
  <c r="Q96" i="2"/>
  <c r="R96" i="2" s="1"/>
  <c r="Q95" i="2"/>
  <c r="R95" i="2" s="1"/>
  <c r="Q94" i="2"/>
  <c r="R94" i="2" s="1"/>
  <c r="Q93" i="2"/>
  <c r="R93" i="2" s="1"/>
  <c r="Q92" i="2"/>
  <c r="R92" i="2" s="1"/>
  <c r="Q91" i="2"/>
  <c r="R91" i="2" s="1"/>
  <c r="Q90" i="2"/>
  <c r="R90" i="2" s="1"/>
  <c r="Q89" i="2"/>
  <c r="R89" i="2" s="1"/>
  <c r="Q88" i="2"/>
  <c r="R88" i="2" s="1"/>
  <c r="Q87" i="2"/>
  <c r="R87" i="2" s="1"/>
  <c r="Q86" i="2"/>
  <c r="R86" i="2" s="1"/>
  <c r="Q85" i="2"/>
  <c r="R85" i="2" s="1"/>
  <c r="Q84" i="2"/>
  <c r="R84" i="2" s="1"/>
  <c r="Q83" i="2"/>
  <c r="R83" i="2" s="1"/>
  <c r="Q82" i="2"/>
  <c r="R82" i="2" s="1"/>
  <c r="Q81" i="2"/>
  <c r="R81" i="2" s="1"/>
  <c r="Q80" i="2"/>
  <c r="R80" i="2" s="1"/>
  <c r="Q79" i="2"/>
  <c r="R79" i="2" s="1"/>
  <c r="Q78" i="2"/>
  <c r="R78" i="2" s="1"/>
  <c r="Q77" i="2"/>
  <c r="R77" i="2" s="1"/>
  <c r="Q76" i="2"/>
  <c r="R76" i="2" s="1"/>
  <c r="Q75" i="2"/>
  <c r="R75" i="2" s="1"/>
  <c r="Q74" i="2"/>
  <c r="R74" i="2" s="1"/>
  <c r="Q73" i="2"/>
  <c r="R73" i="2" s="1"/>
  <c r="Q72" i="2"/>
  <c r="R72" i="2" s="1"/>
  <c r="Q71" i="2"/>
  <c r="R71" i="2" s="1"/>
  <c r="Q70" i="2"/>
  <c r="R70" i="2" s="1"/>
  <c r="Q69" i="2"/>
  <c r="R69" i="2" s="1"/>
  <c r="Q68" i="2"/>
  <c r="R68" i="2" s="1"/>
  <c r="Q67" i="2"/>
  <c r="R67" i="2" s="1"/>
  <c r="Q66" i="2"/>
  <c r="R66" i="2" s="1"/>
  <c r="Q65" i="2"/>
  <c r="R65" i="2" s="1"/>
  <c r="Q64" i="2"/>
  <c r="R64" i="2" s="1"/>
  <c r="Q63" i="2"/>
  <c r="R63" i="2" s="1"/>
  <c r="Q62" i="2"/>
  <c r="R62" i="2" s="1"/>
  <c r="Q61" i="2"/>
  <c r="R61" i="2" s="1"/>
  <c r="Q60" i="2"/>
  <c r="R60" i="2" s="1"/>
  <c r="Q59" i="2"/>
  <c r="R59" i="2" s="1"/>
  <c r="Q58" i="2"/>
  <c r="R58" i="2" s="1"/>
  <c r="Q57" i="2"/>
  <c r="R57" i="2" s="1"/>
  <c r="Q56" i="2"/>
  <c r="R56" i="2" s="1"/>
  <c r="Q55" i="2"/>
  <c r="R55" i="2" s="1"/>
  <c r="Q54" i="2"/>
  <c r="R54" i="2" s="1"/>
  <c r="Q53" i="2"/>
  <c r="R53" i="2" s="1"/>
  <c r="Q52" i="2"/>
  <c r="R52" i="2" s="1"/>
  <c r="Q51" i="2"/>
  <c r="R51" i="2" s="1"/>
  <c r="Q50" i="2"/>
  <c r="R50" i="2" s="1"/>
  <c r="Q49" i="2"/>
  <c r="R49" i="2" s="1"/>
  <c r="Q48" i="2"/>
  <c r="R48" i="2" s="1"/>
  <c r="Q47" i="2"/>
  <c r="R47" i="2" s="1"/>
  <c r="Q46" i="2"/>
  <c r="R46" i="2" s="1"/>
  <c r="Q45" i="2"/>
  <c r="R45" i="2" s="1"/>
  <c r="Q44" i="2"/>
  <c r="R44" i="2" s="1"/>
  <c r="Q43" i="2"/>
  <c r="R43" i="2" s="1"/>
  <c r="Q42" i="2"/>
  <c r="R42" i="2" s="1"/>
  <c r="Q41" i="2"/>
  <c r="R41" i="2" s="1"/>
  <c r="Q40" i="2"/>
  <c r="R40" i="2" s="1"/>
  <c r="Q39" i="2"/>
  <c r="R39" i="2" s="1"/>
  <c r="Q38" i="2"/>
  <c r="R38" i="2" s="1"/>
  <c r="Q37" i="2"/>
  <c r="R37" i="2" s="1"/>
  <c r="Q36" i="2"/>
  <c r="R36" i="2" s="1"/>
  <c r="Q35" i="2"/>
  <c r="R35" i="2" s="1"/>
  <c r="Q34" i="2"/>
  <c r="R34" i="2" s="1"/>
  <c r="Q33" i="2"/>
  <c r="R33" i="2" s="1"/>
  <c r="Q32" i="2"/>
  <c r="R32" i="2" s="1"/>
  <c r="Q31" i="2"/>
  <c r="R31" i="2" s="1"/>
  <c r="Q30" i="2"/>
  <c r="R30" i="2" s="1"/>
  <c r="Q29" i="2"/>
  <c r="R29" i="2" s="1"/>
  <c r="Q28" i="2"/>
  <c r="R28" i="2" s="1"/>
  <c r="Q27" i="2"/>
  <c r="R27" i="2" s="1"/>
  <c r="Q26" i="2"/>
  <c r="R26" i="2" s="1"/>
  <c r="Q25" i="2"/>
  <c r="R25" i="2" s="1"/>
  <c r="Q24" i="2"/>
  <c r="R24" i="2" s="1"/>
  <c r="Q23" i="2"/>
  <c r="R23" i="2" s="1"/>
  <c r="Q22" i="2"/>
  <c r="R22" i="2" s="1"/>
  <c r="Q21" i="2"/>
  <c r="R21" i="2" s="1"/>
  <c r="Q20" i="2"/>
  <c r="R20" i="2" s="1"/>
  <c r="Q19" i="2"/>
  <c r="R19" i="2" s="1"/>
  <c r="Q18" i="2"/>
  <c r="R18" i="2" s="1"/>
  <c r="Q17" i="2"/>
  <c r="R17" i="2" s="1"/>
  <c r="Q16" i="2"/>
  <c r="R16" i="2" s="1"/>
  <c r="Q15" i="2"/>
  <c r="R15" i="2" s="1"/>
  <c r="Q14" i="2"/>
  <c r="R14" i="2" s="1"/>
  <c r="Q13" i="2"/>
  <c r="R13" i="2" s="1"/>
  <c r="Q12" i="2"/>
  <c r="R12" i="2" s="1"/>
  <c r="Q11" i="2"/>
  <c r="R11" i="2" s="1"/>
  <c r="Q10" i="2"/>
  <c r="R10" i="2" s="1"/>
  <c r="Q9" i="2"/>
  <c r="R9" i="2" s="1"/>
  <c r="Q8" i="2"/>
  <c r="R8" i="2" s="1"/>
  <c r="Q7" i="2"/>
  <c r="R7" i="2" s="1"/>
  <c r="Q6" i="2"/>
  <c r="R6" i="2" s="1"/>
  <c r="Q5" i="2"/>
  <c r="R5" i="2" s="1"/>
  <c r="Q4" i="2"/>
  <c r="R4" i="2" s="1"/>
  <c r="Q3" i="2"/>
  <c r="R3" i="2" s="1"/>
  <c r="J367" i="2"/>
  <c r="J366" i="2"/>
  <c r="J365" i="2"/>
  <c r="J364" i="2"/>
  <c r="J363" i="2"/>
  <c r="J362" i="2"/>
  <c r="J361" i="2"/>
  <c r="J360" i="2"/>
  <c r="J359" i="2"/>
  <c r="J358" i="2"/>
  <c r="J357" i="2"/>
  <c r="J356" i="2"/>
  <c r="J355" i="2"/>
  <c r="J354" i="2"/>
  <c r="J353" i="2"/>
  <c r="J352" i="2"/>
  <c r="J351" i="2"/>
  <c r="J350" i="2"/>
  <c r="J349" i="2"/>
  <c r="J348" i="2"/>
  <c r="J347" i="2"/>
  <c r="J346" i="2"/>
  <c r="J345" i="2"/>
  <c r="J344" i="2"/>
  <c r="J343" i="2"/>
  <c r="J342" i="2"/>
  <c r="J341" i="2"/>
  <c r="J340" i="2"/>
  <c r="J339" i="2"/>
  <c r="J338" i="2"/>
  <c r="J337" i="2"/>
  <c r="J336" i="2"/>
  <c r="J335" i="2"/>
  <c r="J334" i="2"/>
  <c r="J333" i="2"/>
  <c r="J332" i="2"/>
  <c r="J331" i="2"/>
  <c r="J330" i="2"/>
  <c r="J329" i="2"/>
  <c r="J328" i="2"/>
  <c r="J327" i="2"/>
  <c r="J326" i="2"/>
  <c r="J325" i="2"/>
  <c r="J324" i="2"/>
  <c r="J323" i="2"/>
  <c r="J322" i="2"/>
  <c r="J321" i="2"/>
  <c r="J320" i="2"/>
  <c r="J319" i="2"/>
  <c r="J318" i="2"/>
  <c r="J317" i="2"/>
  <c r="J316" i="2"/>
  <c r="J315" i="2"/>
  <c r="J314" i="2"/>
  <c r="J313" i="2"/>
  <c r="J312" i="2"/>
  <c r="J311" i="2"/>
  <c r="J310" i="2"/>
  <c r="J309" i="2"/>
  <c r="J308" i="2"/>
  <c r="J307" i="2"/>
  <c r="J306" i="2"/>
  <c r="J305" i="2"/>
  <c r="J304" i="2"/>
  <c r="J303" i="2"/>
  <c r="J302" i="2"/>
  <c r="J301" i="2"/>
  <c r="J300" i="2"/>
  <c r="J299" i="2"/>
  <c r="J298" i="2"/>
  <c r="J297" i="2"/>
  <c r="J296" i="2"/>
  <c r="J295" i="2"/>
  <c r="J294" i="2"/>
  <c r="J293" i="2"/>
  <c r="J292" i="2"/>
  <c r="J291" i="2"/>
  <c r="J290" i="2"/>
  <c r="J289" i="2"/>
  <c r="J288" i="2"/>
  <c r="J287" i="2"/>
  <c r="J286" i="2"/>
  <c r="J285" i="2"/>
  <c r="J284" i="2"/>
  <c r="J283" i="2"/>
  <c r="J282" i="2"/>
  <c r="J281" i="2"/>
  <c r="J280" i="2"/>
  <c r="J279" i="2"/>
  <c r="J278" i="2"/>
  <c r="J277" i="2"/>
  <c r="J276" i="2"/>
  <c r="J275" i="2"/>
  <c r="J274" i="2"/>
  <c r="J273" i="2"/>
  <c r="J272" i="2"/>
  <c r="J271" i="2"/>
  <c r="J270" i="2"/>
  <c r="J269" i="2"/>
  <c r="J268" i="2"/>
  <c r="J267" i="2"/>
  <c r="J266" i="2"/>
  <c r="J265" i="2"/>
  <c r="J264" i="2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  <c r="J3" i="2"/>
  <c r="K3" i="2" s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" i="2"/>
  <c r="Y272" i="2" l="1"/>
  <c r="Y128" i="2"/>
  <c r="Y260" i="2"/>
  <c r="Y116" i="2"/>
  <c r="Y248" i="2"/>
  <c r="Y104" i="2"/>
  <c r="Y236" i="2"/>
  <c r="Y92" i="2"/>
  <c r="Y4" i="2"/>
  <c r="Y224" i="2"/>
  <c r="Y80" i="2"/>
  <c r="Y356" i="2"/>
  <c r="Y212" i="2"/>
  <c r="Y68" i="2"/>
  <c r="Y344" i="2"/>
  <c r="Y200" i="2"/>
  <c r="Y56" i="2"/>
  <c r="Y332" i="2"/>
  <c r="Y188" i="2"/>
  <c r="Y44" i="2"/>
  <c r="Y320" i="2"/>
  <c r="Y176" i="2"/>
  <c r="Y32" i="2"/>
  <c r="Y308" i="2"/>
  <c r="Y164" i="2"/>
  <c r="Y20" i="2"/>
  <c r="Y296" i="2"/>
  <c r="Y152" i="2"/>
  <c r="Y367" i="2"/>
  <c r="Y355" i="2"/>
  <c r="Y343" i="2"/>
  <c r="Y331" i="2"/>
  <c r="Y319" i="2"/>
  <c r="Y307" i="2"/>
  <c r="Y295" i="2"/>
  <c r="Y283" i="2"/>
  <c r="Y271" i="2"/>
  <c r="Y259" i="2"/>
  <c r="Y247" i="2"/>
  <c r="Y235" i="2"/>
  <c r="Y223" i="2"/>
  <c r="Y211" i="2"/>
  <c r="Y199" i="2"/>
  <c r="Y187" i="2"/>
  <c r="Y175" i="2"/>
  <c r="Y163" i="2"/>
  <c r="Y151" i="2"/>
  <c r="Y139" i="2"/>
  <c r="Y127" i="2"/>
  <c r="Y115" i="2"/>
  <c r="Y103" i="2"/>
  <c r="Y91" i="2"/>
  <c r="Y79" i="2"/>
  <c r="Y67" i="2"/>
  <c r="Y55" i="2"/>
  <c r="Y43" i="2"/>
  <c r="Y31" i="2"/>
  <c r="Y19" i="2"/>
  <c r="Y366" i="2"/>
  <c r="Y354" i="2"/>
  <c r="Y342" i="2"/>
  <c r="Y330" i="2"/>
  <c r="Y318" i="2"/>
  <c r="Y306" i="2"/>
  <c r="Y294" i="2"/>
  <c r="Y282" i="2"/>
  <c r="Y270" i="2"/>
  <c r="Y258" i="2"/>
  <c r="Y246" i="2"/>
  <c r="Y234" i="2"/>
  <c r="Y222" i="2"/>
  <c r="Y210" i="2"/>
  <c r="Y198" i="2"/>
  <c r="Y186" i="2"/>
  <c r="Y174" i="2"/>
  <c r="Y162" i="2"/>
  <c r="Y150" i="2"/>
  <c r="Y138" i="2"/>
  <c r="Y126" i="2"/>
  <c r="Y114" i="2"/>
  <c r="Y102" i="2"/>
  <c r="Y90" i="2"/>
  <c r="Y78" i="2"/>
  <c r="Y66" i="2"/>
  <c r="Y54" i="2"/>
  <c r="Y42" i="2"/>
  <c r="Y30" i="2"/>
  <c r="Y18" i="2"/>
  <c r="Y365" i="2"/>
  <c r="Y353" i="2"/>
  <c r="Y341" i="2"/>
  <c r="Y329" i="2"/>
  <c r="Y317" i="2"/>
  <c r="Y305" i="2"/>
  <c r="Y293" i="2"/>
  <c r="Y281" i="2"/>
  <c r="Y269" i="2"/>
  <c r="Y257" i="2"/>
  <c r="Y245" i="2"/>
  <c r="Y233" i="2"/>
  <c r="Y221" i="2"/>
  <c r="Y209" i="2"/>
  <c r="Y197" i="2"/>
  <c r="Y185" i="2"/>
  <c r="Y173" i="2"/>
  <c r="Y161" i="2"/>
  <c r="Y149" i="2"/>
  <c r="Y137" i="2"/>
  <c r="Y125" i="2"/>
  <c r="Y113" i="2"/>
  <c r="Y101" i="2"/>
  <c r="Y89" i="2"/>
  <c r="Y77" i="2"/>
  <c r="Y65" i="2"/>
  <c r="Y53" i="2"/>
  <c r="Y41" i="2"/>
  <c r="Y29" i="2"/>
  <c r="Y17" i="2"/>
  <c r="Y364" i="2"/>
  <c r="Y352" i="2"/>
  <c r="Y340" i="2"/>
  <c r="Y328" i="2"/>
  <c r="Y316" i="2"/>
  <c r="Y304" i="2"/>
  <c r="Y292" i="2"/>
  <c r="Y280" i="2"/>
  <c r="Y268" i="2"/>
  <c r="Y256" i="2"/>
  <c r="Y244" i="2"/>
  <c r="Y232" i="2"/>
  <c r="Y220" i="2"/>
  <c r="Y208" i="2"/>
  <c r="Y196" i="2"/>
  <c r="Y184" i="2"/>
  <c r="Y172" i="2"/>
  <c r="Y160" i="2"/>
  <c r="Y148" i="2"/>
  <c r="Y136" i="2"/>
  <c r="Y124" i="2"/>
  <c r="Y112" i="2"/>
  <c r="Y100" i="2"/>
  <c r="Y88" i="2"/>
  <c r="Y76" i="2"/>
  <c r="Y64" i="2"/>
  <c r="Y52" i="2"/>
  <c r="Y40" i="2"/>
  <c r="Y28" i="2"/>
  <c r="Y16" i="2"/>
  <c r="Y363" i="2"/>
  <c r="Y351" i="2"/>
  <c r="Y339" i="2"/>
  <c r="Y327" i="2"/>
  <c r="Y315" i="2"/>
  <c r="Y303" i="2"/>
  <c r="Y291" i="2"/>
  <c r="Y279" i="2"/>
  <c r="Y267" i="2"/>
  <c r="Y255" i="2"/>
  <c r="Y243" i="2"/>
  <c r="Y231" i="2"/>
  <c r="Y219" i="2"/>
  <c r="Y207" i="2"/>
  <c r="Y195" i="2"/>
  <c r="Y183" i="2"/>
  <c r="Y171" i="2"/>
  <c r="Y159" i="2"/>
  <c r="Y147" i="2"/>
  <c r="Y135" i="2"/>
  <c r="Y123" i="2"/>
  <c r="Y111" i="2"/>
  <c r="Y99" i="2"/>
  <c r="Y87" i="2"/>
  <c r="Y75" i="2"/>
  <c r="Y63" i="2"/>
  <c r="Y51" i="2"/>
  <c r="Y39" i="2"/>
  <c r="Y27" i="2"/>
  <c r="Y15" i="2"/>
  <c r="Y362" i="2"/>
  <c r="Y350" i="2"/>
  <c r="Y338" i="2"/>
  <c r="Y326" i="2"/>
  <c r="Y314" i="2"/>
  <c r="Y302" i="2"/>
  <c r="Y290" i="2"/>
  <c r="Y278" i="2"/>
  <c r="Y266" i="2"/>
  <c r="Y254" i="2"/>
  <c r="Y242" i="2"/>
  <c r="Y230" i="2"/>
  <c r="Y218" i="2"/>
  <c r="Y206" i="2"/>
  <c r="Y194" i="2"/>
  <c r="Y182" i="2"/>
  <c r="Y170" i="2"/>
  <c r="Y158" i="2"/>
  <c r="Y146" i="2"/>
  <c r="Y134" i="2"/>
  <c r="Y122" i="2"/>
  <c r="Y110" i="2"/>
  <c r="Y98" i="2"/>
  <c r="Y86" i="2"/>
  <c r="Y74" i="2"/>
  <c r="Y62" i="2"/>
  <c r="Y50" i="2"/>
  <c r="Y38" i="2"/>
  <c r="Y26" i="2"/>
  <c r="Y14" i="2"/>
  <c r="Y3" i="2"/>
  <c r="Y361" i="2"/>
  <c r="Y349" i="2"/>
  <c r="Y337" i="2"/>
  <c r="Y325" i="2"/>
  <c r="Y313" i="2"/>
  <c r="Y301" i="2"/>
  <c r="Y289" i="2"/>
  <c r="Y277" i="2"/>
  <c r="Y265" i="2"/>
  <c r="Y253" i="2"/>
  <c r="Y241" i="2"/>
  <c r="Y229" i="2"/>
  <c r="Y217" i="2"/>
  <c r="Y205" i="2"/>
  <c r="Y193" i="2"/>
  <c r="Y181" i="2"/>
  <c r="Y169" i="2"/>
  <c r="Y157" i="2"/>
  <c r="Y145" i="2"/>
  <c r="Y133" i="2"/>
  <c r="Y121" i="2"/>
  <c r="Y109" i="2"/>
  <c r="Y97" i="2"/>
  <c r="Y85" i="2"/>
  <c r="Y73" i="2"/>
  <c r="Y61" i="2"/>
  <c r="Y49" i="2"/>
  <c r="Y37" i="2"/>
  <c r="Y25" i="2"/>
  <c r="Y13" i="2"/>
  <c r="Y8" i="2"/>
  <c r="Y360" i="2"/>
  <c r="Y348" i="2"/>
  <c r="Y336" i="2"/>
  <c r="Y324" i="2"/>
  <c r="Y312" i="2"/>
  <c r="Y300" i="2"/>
  <c r="Y288" i="2"/>
  <c r="Y276" i="2"/>
  <c r="Y264" i="2"/>
  <c r="Y252" i="2"/>
  <c r="Y240" i="2"/>
  <c r="Y228" i="2"/>
  <c r="Y216" i="2"/>
  <c r="Y204" i="2"/>
  <c r="Y192" i="2"/>
  <c r="Y180" i="2"/>
  <c r="Y168" i="2"/>
  <c r="Y156" i="2"/>
  <c r="Y144" i="2"/>
  <c r="Y132" i="2"/>
  <c r="Y120" i="2"/>
  <c r="Y108" i="2"/>
  <c r="Y96" i="2"/>
  <c r="Y84" i="2"/>
  <c r="Y72" i="2"/>
  <c r="Y60" i="2"/>
  <c r="Y48" i="2"/>
  <c r="Y36" i="2"/>
  <c r="Y24" i="2"/>
  <c r="Y12" i="2"/>
  <c r="Y7" i="2"/>
  <c r="Y359" i="2"/>
  <c r="Y347" i="2"/>
  <c r="Y335" i="2"/>
  <c r="Y323" i="2"/>
  <c r="Y311" i="2"/>
  <c r="Y299" i="2"/>
  <c r="Y287" i="2"/>
  <c r="Y275" i="2"/>
  <c r="Y263" i="2"/>
  <c r="Y251" i="2"/>
  <c r="Y239" i="2"/>
  <c r="Y227" i="2"/>
  <c r="Y215" i="2"/>
  <c r="Y203" i="2"/>
  <c r="Y191" i="2"/>
  <c r="Y179" i="2"/>
  <c r="Y167" i="2"/>
  <c r="Y155" i="2"/>
  <c r="Y143" i="2"/>
  <c r="Y131" i="2"/>
  <c r="Y119" i="2"/>
  <c r="Y107" i="2"/>
  <c r="Y95" i="2"/>
  <c r="Y83" i="2"/>
  <c r="Y71" i="2"/>
  <c r="Y59" i="2"/>
  <c r="Y47" i="2"/>
  <c r="Y35" i="2"/>
  <c r="Y23" i="2"/>
  <c r="Y11" i="2"/>
  <c r="Y6" i="2"/>
  <c r="Y358" i="2"/>
  <c r="Y346" i="2"/>
  <c r="Y334" i="2"/>
  <c r="Y322" i="2"/>
  <c r="Y310" i="2"/>
  <c r="Y298" i="2"/>
  <c r="Y286" i="2"/>
  <c r="Y274" i="2"/>
  <c r="Y262" i="2"/>
  <c r="Y250" i="2"/>
  <c r="Y238" i="2"/>
  <c r="Y226" i="2"/>
  <c r="Y214" i="2"/>
  <c r="Y202" i="2"/>
  <c r="Y190" i="2"/>
  <c r="Y178" i="2"/>
  <c r="Y166" i="2"/>
  <c r="Y154" i="2"/>
  <c r="Y142" i="2"/>
  <c r="Y130" i="2"/>
  <c r="Y118" i="2"/>
  <c r="Y106" i="2"/>
  <c r="Y94" i="2"/>
  <c r="Y82" i="2"/>
  <c r="Y70" i="2"/>
  <c r="Y58" i="2"/>
  <c r="Y46" i="2"/>
  <c r="Y34" i="2"/>
  <c r="Y22" i="2"/>
  <c r="Y10" i="2"/>
  <c r="Y5" i="2"/>
  <c r="Y357" i="2"/>
  <c r="Y345" i="2"/>
  <c r="Y333" i="2"/>
  <c r="Y321" i="2"/>
  <c r="Y309" i="2"/>
  <c r="Y297" i="2"/>
  <c r="Y285" i="2"/>
  <c r="Y273" i="2"/>
  <c r="Y261" i="2"/>
  <c r="Y249" i="2"/>
  <c r="Y237" i="2"/>
  <c r="Y225" i="2"/>
  <c r="Y213" i="2"/>
  <c r="Y201" i="2"/>
  <c r="Y189" i="2"/>
  <c r="Y177" i="2"/>
  <c r="Y165" i="2"/>
  <c r="Y153" i="2"/>
  <c r="Y141" i="2"/>
  <c r="Y129" i="2"/>
  <c r="Y117" i="2"/>
  <c r="Y105" i="2"/>
  <c r="Y93" i="2"/>
  <c r="Y81" i="2"/>
  <c r="Y69" i="2"/>
  <c r="Y57" i="2"/>
  <c r="Y45" i="2"/>
  <c r="Y33" i="2"/>
  <c r="Y21" i="2"/>
  <c r="Y141" i="4"/>
  <c r="Y345" i="4"/>
  <c r="Y273" i="4"/>
  <c r="Y129" i="4"/>
  <c r="Y279" i="4"/>
  <c r="Y339" i="4"/>
  <c r="Y261" i="4"/>
  <c r="Y117" i="4"/>
  <c r="Y351" i="4"/>
  <c r="Y333" i="4"/>
  <c r="Y249" i="4"/>
  <c r="Y105" i="4"/>
  <c r="Y327" i="4"/>
  <c r="Y237" i="4"/>
  <c r="Y93" i="4"/>
  <c r="Y321" i="4"/>
  <c r="Y225" i="4"/>
  <c r="Y81" i="4"/>
  <c r="Y315" i="4"/>
  <c r="Y213" i="4"/>
  <c r="Y69" i="4"/>
  <c r="Y309" i="4"/>
  <c r="Y201" i="4"/>
  <c r="Y57" i="4"/>
  <c r="Y303" i="4"/>
  <c r="Y189" i="4"/>
  <c r="Y45" i="4"/>
  <c r="Y297" i="4"/>
  <c r="Y177" i="4"/>
  <c r="Y33" i="4"/>
  <c r="Y363" i="4"/>
  <c r="Y291" i="4"/>
  <c r="Y165" i="4"/>
  <c r="Y21" i="4"/>
  <c r="Y357" i="4"/>
  <c r="Y285" i="4"/>
  <c r="Y153" i="4"/>
  <c r="Y9" i="4"/>
  <c r="Y267" i="4"/>
  <c r="Y255" i="4"/>
  <c r="Y243" i="4"/>
  <c r="Y231" i="4"/>
  <c r="Y219" i="4"/>
  <c r="Y207" i="4"/>
  <c r="Y195" i="4"/>
  <c r="Y183" i="4"/>
  <c r="Y171" i="4"/>
  <c r="Y159" i="4"/>
  <c r="Y147" i="4"/>
  <c r="Y135" i="4"/>
  <c r="Y123" i="4"/>
  <c r="Y111" i="4"/>
  <c r="Y99" i="4"/>
  <c r="Y87" i="4"/>
  <c r="Y75" i="4"/>
  <c r="Y63" i="4"/>
  <c r="Y51" i="4"/>
  <c r="Y39" i="4"/>
  <c r="Y27" i="4"/>
  <c r="Y15" i="4"/>
  <c r="Y362" i="4"/>
  <c r="Y350" i="4"/>
  <c r="Y338" i="4"/>
  <c r="Y326" i="4"/>
  <c r="Y314" i="4"/>
  <c r="Y302" i="4"/>
  <c r="Y290" i="4"/>
  <c r="Y278" i="4"/>
  <c r="Y266" i="4"/>
  <c r="Y254" i="4"/>
  <c r="Y242" i="4"/>
  <c r="Y230" i="4"/>
  <c r="Y218" i="4"/>
  <c r="Y206" i="4"/>
  <c r="Y194" i="4"/>
  <c r="Y182" i="4"/>
  <c r="Y170" i="4"/>
  <c r="Y158" i="4"/>
  <c r="Y146" i="4"/>
  <c r="Y134" i="4"/>
  <c r="Y122" i="4"/>
  <c r="Y110" i="4"/>
  <c r="Y98" i="4"/>
  <c r="Y86" i="4"/>
  <c r="Y74" i="4"/>
  <c r="Y62" i="4"/>
  <c r="Y50" i="4"/>
  <c r="Y38" i="4"/>
  <c r="Y26" i="4"/>
  <c r="Y14" i="4"/>
  <c r="Y361" i="4"/>
  <c r="Y349" i="4"/>
  <c r="Y337" i="4"/>
  <c r="Y325" i="4"/>
  <c r="Y313" i="4"/>
  <c r="Y301" i="4"/>
  <c r="Y289" i="4"/>
  <c r="Y277" i="4"/>
  <c r="Y265" i="4"/>
  <c r="Y253" i="4"/>
  <c r="Y241" i="4"/>
  <c r="Y229" i="4"/>
  <c r="Y217" i="4"/>
  <c r="Y205" i="4"/>
  <c r="Y193" i="4"/>
  <c r="Y181" i="4"/>
  <c r="Y169" i="4"/>
  <c r="Y157" i="4"/>
  <c r="Y145" i="4"/>
  <c r="Y133" i="4"/>
  <c r="Y121" i="4"/>
  <c r="Y109" i="4"/>
  <c r="Y97" i="4"/>
  <c r="Y85" i="4"/>
  <c r="Y73" i="4"/>
  <c r="Y61" i="4"/>
  <c r="Y49" i="4"/>
  <c r="Y37" i="4"/>
  <c r="Y25" i="4"/>
  <c r="Y13" i="4"/>
  <c r="Y360" i="4"/>
  <c r="Y348" i="4"/>
  <c r="Y336" i="4"/>
  <c r="Y324" i="4"/>
  <c r="Y312" i="4"/>
  <c r="Y300" i="4"/>
  <c r="Y288" i="4"/>
  <c r="Y276" i="4"/>
  <c r="Y264" i="4"/>
  <c r="Y252" i="4"/>
  <c r="Y240" i="4"/>
  <c r="Y228" i="4"/>
  <c r="Y216" i="4"/>
  <c r="Y204" i="4"/>
  <c r="Y192" i="4"/>
  <c r="Y180" i="4"/>
  <c r="Y168" i="4"/>
  <c r="Y156" i="4"/>
  <c r="Y144" i="4"/>
  <c r="Y132" i="4"/>
  <c r="Y120" i="4"/>
  <c r="Y108" i="4"/>
  <c r="Y96" i="4"/>
  <c r="Y84" i="4"/>
  <c r="Y72" i="4"/>
  <c r="Y60" i="4"/>
  <c r="Y48" i="4"/>
  <c r="Y36" i="4"/>
  <c r="Y24" i="4"/>
  <c r="Y12" i="4"/>
  <c r="Y359" i="4"/>
  <c r="Y347" i="4"/>
  <c r="Y335" i="4"/>
  <c r="Y323" i="4"/>
  <c r="Y311" i="4"/>
  <c r="Y299" i="4"/>
  <c r="Y287" i="4"/>
  <c r="Y275" i="4"/>
  <c r="Y263" i="4"/>
  <c r="Y251" i="4"/>
  <c r="Y239" i="4"/>
  <c r="Y227" i="4"/>
  <c r="Y215" i="4"/>
  <c r="Y203" i="4"/>
  <c r="Y191" i="4"/>
  <c r="Y179" i="4"/>
  <c r="Y167" i="4"/>
  <c r="Y155" i="4"/>
  <c r="Y143" i="4"/>
  <c r="Y131" i="4"/>
  <c r="Y119" i="4"/>
  <c r="Y107" i="4"/>
  <c r="Y95" i="4"/>
  <c r="Y83" i="4"/>
  <c r="Y71" i="4"/>
  <c r="Y59" i="4"/>
  <c r="Y47" i="4"/>
  <c r="Y35" i="4"/>
  <c r="Y23" i="4"/>
  <c r="Y11" i="4"/>
  <c r="Y358" i="4"/>
  <c r="Y346" i="4"/>
  <c r="Y334" i="4"/>
  <c r="Y322" i="4"/>
  <c r="Y310" i="4"/>
  <c r="Y298" i="4"/>
  <c r="Y286" i="4"/>
  <c r="Y274" i="4"/>
  <c r="Y262" i="4"/>
  <c r="Y250" i="4"/>
  <c r="Y238" i="4"/>
  <c r="Y226" i="4"/>
  <c r="Y214" i="4"/>
  <c r="Y202" i="4"/>
  <c r="Y190" i="4"/>
  <c r="Y178" i="4"/>
  <c r="Y166" i="4"/>
  <c r="Y154" i="4"/>
  <c r="Y142" i="4"/>
  <c r="Y130" i="4"/>
  <c r="Y118" i="4"/>
  <c r="Y106" i="4"/>
  <c r="Y94" i="4"/>
  <c r="Y82" i="4"/>
  <c r="Y70" i="4"/>
  <c r="Y58" i="4"/>
  <c r="Y46" i="4"/>
  <c r="Y34" i="4"/>
  <c r="Y22" i="4"/>
  <c r="Y10" i="4"/>
  <c r="Y3" i="4"/>
  <c r="Y356" i="4"/>
  <c r="Y344" i="4"/>
  <c r="Y332" i="4"/>
  <c r="Y320" i="4"/>
  <c r="Y308" i="4"/>
  <c r="Y296" i="4"/>
  <c r="Y284" i="4"/>
  <c r="Y272" i="4"/>
  <c r="Y260" i="4"/>
  <c r="Y248" i="4"/>
  <c r="Y236" i="4"/>
  <c r="Y224" i="4"/>
  <c r="Y212" i="4"/>
  <c r="Y200" i="4"/>
  <c r="Y188" i="4"/>
  <c r="Y176" i="4"/>
  <c r="Y164" i="4"/>
  <c r="Y152" i="4"/>
  <c r="Y140" i="4"/>
  <c r="Y128" i="4"/>
  <c r="Y116" i="4"/>
  <c r="Y104" i="4"/>
  <c r="Y92" i="4"/>
  <c r="Y80" i="4"/>
  <c r="Y68" i="4"/>
  <c r="Y56" i="4"/>
  <c r="Y44" i="4"/>
  <c r="Y32" i="4"/>
  <c r="Y20" i="4"/>
  <c r="Y8" i="4"/>
  <c r="Y367" i="4"/>
  <c r="Y355" i="4"/>
  <c r="Y343" i="4"/>
  <c r="Y331" i="4"/>
  <c r="Y319" i="4"/>
  <c r="Y307" i="4"/>
  <c r="Y295" i="4"/>
  <c r="Y283" i="4"/>
  <c r="Y271" i="4"/>
  <c r="Y259" i="4"/>
  <c r="Y247" i="4"/>
  <c r="Y235" i="4"/>
  <c r="Y223" i="4"/>
  <c r="Y211" i="4"/>
  <c r="Y199" i="4"/>
  <c r="Y187" i="4"/>
  <c r="Y175" i="4"/>
  <c r="Y163" i="4"/>
  <c r="Y151" i="4"/>
  <c r="Y139" i="4"/>
  <c r="Y127" i="4"/>
  <c r="Y115" i="4"/>
  <c r="Y103" i="4"/>
  <c r="Y91" i="4"/>
  <c r="Y79" i="4"/>
  <c r="Y67" i="4"/>
  <c r="Y55" i="4"/>
  <c r="Y43" i="4"/>
  <c r="Y31" i="4"/>
  <c r="Y19" i="4"/>
  <c r="Y7" i="4"/>
  <c r="Y366" i="4"/>
  <c r="Y354" i="4"/>
  <c r="Y342" i="4"/>
  <c r="Y330" i="4"/>
  <c r="Y318" i="4"/>
  <c r="Y306" i="4"/>
  <c r="Y294" i="4"/>
  <c r="Y282" i="4"/>
  <c r="Y270" i="4"/>
  <c r="Y258" i="4"/>
  <c r="Y246" i="4"/>
  <c r="Y234" i="4"/>
  <c r="Y222" i="4"/>
  <c r="Y210" i="4"/>
  <c r="Y198" i="4"/>
  <c r="Y186" i="4"/>
  <c r="Y174" i="4"/>
  <c r="Y162" i="4"/>
  <c r="Y150" i="4"/>
  <c r="Y138" i="4"/>
  <c r="Y126" i="4"/>
  <c r="Y114" i="4"/>
  <c r="Y102" i="4"/>
  <c r="Y90" i="4"/>
  <c r="Y78" i="4"/>
  <c r="Y66" i="4"/>
  <c r="Y54" i="4"/>
  <c r="Y42" i="4"/>
  <c r="Y30" i="4"/>
  <c r="Y18" i="4"/>
  <c r="Y6" i="4"/>
  <c r="Y365" i="4"/>
  <c r="Y353" i="4"/>
  <c r="Y341" i="4"/>
  <c r="Y329" i="4"/>
  <c r="Y317" i="4"/>
  <c r="Y305" i="4"/>
  <c r="Y293" i="4"/>
  <c r="Y281" i="4"/>
  <c r="Y269" i="4"/>
  <c r="Y257" i="4"/>
  <c r="Y245" i="4"/>
  <c r="Y233" i="4"/>
  <c r="Y221" i="4"/>
  <c r="Y209" i="4"/>
  <c r="Y197" i="4"/>
  <c r="Y185" i="4"/>
  <c r="Y173" i="4"/>
  <c r="Y161" i="4"/>
  <c r="Y149" i="4"/>
  <c r="Y137" i="4"/>
  <c r="Y125" i="4"/>
  <c r="Y113" i="4"/>
  <c r="Y101" i="4"/>
  <c r="Y89" i="4"/>
  <c r="Y77" i="4"/>
  <c r="Y65" i="4"/>
  <c r="Y53" i="4"/>
  <c r="Y41" i="4"/>
  <c r="Y29" i="4"/>
  <c r="Y17" i="4"/>
  <c r="Y5" i="4"/>
  <c r="Y364" i="4"/>
  <c r="Y352" i="4"/>
  <c r="Y340" i="4"/>
  <c r="Y328" i="4"/>
  <c r="Y316" i="4"/>
  <c r="Y304" i="4"/>
  <c r="Y292" i="4"/>
  <c r="Y280" i="4"/>
  <c r="Y268" i="4"/>
  <c r="Y256" i="4"/>
  <c r="Y244" i="4"/>
  <c r="Y232" i="4"/>
  <c r="Y220" i="4"/>
  <c r="Y208" i="4"/>
  <c r="Y196" i="4"/>
  <c r="Y184" i="4"/>
  <c r="Y172" i="4"/>
  <c r="Y160" i="4"/>
  <c r="Y148" i="4"/>
  <c r="Y136" i="4"/>
  <c r="Y124" i="4"/>
  <c r="Y112" i="4"/>
  <c r="Y100" i="4"/>
  <c r="Y88" i="4"/>
  <c r="Y76" i="4"/>
  <c r="Y64" i="4"/>
  <c r="Y52" i="4"/>
  <c r="Y40" i="4"/>
  <c r="Y28" i="4"/>
  <c r="Y16" i="4"/>
  <c r="AC245" i="4" l="1"/>
  <c r="AC314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43" i="4"/>
  <c r="AC44" i="4"/>
  <c r="AC45" i="4"/>
  <c r="AC46" i="4"/>
  <c r="AC47" i="4"/>
  <c r="AC48" i="4"/>
  <c r="AC49" i="4"/>
  <c r="AC50" i="4"/>
  <c r="AC51" i="4"/>
  <c r="AC52" i="4"/>
  <c r="AC53" i="4"/>
  <c r="AC54" i="4"/>
  <c r="AC55" i="4"/>
  <c r="AC56" i="4"/>
  <c r="AC57" i="4"/>
  <c r="AC58" i="4"/>
  <c r="AC59" i="4"/>
  <c r="AC60" i="4"/>
  <c r="AC61" i="4"/>
  <c r="AC62" i="4"/>
  <c r="AC63" i="4"/>
  <c r="AC64" i="4"/>
  <c r="AC65" i="4"/>
  <c r="AC66" i="4"/>
  <c r="AC67" i="4"/>
  <c r="AC68" i="4"/>
  <c r="AC69" i="4"/>
  <c r="AC70" i="4"/>
  <c r="AC71" i="4"/>
  <c r="AC72" i="4"/>
  <c r="AC73" i="4"/>
  <c r="AC74" i="4"/>
  <c r="AC75" i="4"/>
  <c r="AC76" i="4"/>
  <c r="AC77" i="4"/>
  <c r="AC78" i="4"/>
  <c r="AC79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AC92" i="4"/>
  <c r="AC93" i="4"/>
  <c r="AC94" i="4"/>
  <c r="AC95" i="4"/>
  <c r="AC96" i="4"/>
  <c r="AC97" i="4"/>
  <c r="AC98" i="4"/>
  <c r="AC99" i="4"/>
  <c r="AC100" i="4"/>
  <c r="AC101" i="4"/>
  <c r="AC102" i="4"/>
  <c r="AC103" i="4"/>
  <c r="AC104" i="4"/>
  <c r="AC105" i="4"/>
  <c r="AC106" i="4"/>
  <c r="AC107" i="4"/>
  <c r="AC108" i="4"/>
  <c r="AC109" i="4"/>
  <c r="AC110" i="4"/>
  <c r="AC111" i="4"/>
  <c r="AC112" i="4"/>
  <c r="AC113" i="4"/>
  <c r="AC114" i="4"/>
  <c r="AC115" i="4"/>
  <c r="AC116" i="4"/>
  <c r="AC117" i="4"/>
  <c r="AC118" i="4"/>
  <c r="AC119" i="4"/>
  <c r="AC120" i="4"/>
  <c r="AC121" i="4"/>
  <c r="AC122" i="4"/>
  <c r="AC123" i="4"/>
  <c r="AC124" i="4"/>
  <c r="AC125" i="4"/>
  <c r="AC126" i="4"/>
  <c r="AC127" i="4"/>
  <c r="AC128" i="4"/>
  <c r="AC129" i="4"/>
  <c r="AC130" i="4"/>
  <c r="AC131" i="4"/>
  <c r="AC132" i="4"/>
  <c r="AC133" i="4"/>
  <c r="AC134" i="4"/>
  <c r="AC135" i="4"/>
  <c r="AC136" i="4"/>
  <c r="AC137" i="4"/>
  <c r="AC138" i="4"/>
  <c r="AC139" i="4"/>
  <c r="AC140" i="4"/>
  <c r="AC141" i="4"/>
  <c r="AC142" i="4"/>
  <c r="AC143" i="4"/>
  <c r="AC144" i="4"/>
  <c r="AC145" i="4"/>
  <c r="AC146" i="4"/>
  <c r="AC147" i="4"/>
  <c r="AC148" i="4"/>
  <c r="AC149" i="4"/>
  <c r="AC150" i="4"/>
  <c r="AC151" i="4"/>
  <c r="AC152" i="4"/>
  <c r="AC153" i="4"/>
  <c r="AC154" i="4"/>
  <c r="AC155" i="4"/>
  <c r="AC156" i="4"/>
  <c r="AC157" i="4"/>
  <c r="AC158" i="4"/>
  <c r="AC159" i="4"/>
  <c r="AC160" i="4"/>
  <c r="AC161" i="4"/>
  <c r="AC162" i="4"/>
  <c r="AC163" i="4"/>
  <c r="AC164" i="4"/>
  <c r="AC165" i="4"/>
  <c r="AC166" i="4"/>
  <c r="AC167" i="4"/>
  <c r="AC168" i="4"/>
  <c r="AC169" i="4"/>
  <c r="AC170" i="4"/>
  <c r="AC171" i="4"/>
  <c r="AC172" i="4"/>
  <c r="AC173" i="4"/>
  <c r="AC174" i="4"/>
  <c r="AC175" i="4"/>
  <c r="AC176" i="4"/>
  <c r="AC177" i="4"/>
  <c r="AC178" i="4"/>
  <c r="AC179" i="4"/>
  <c r="AC180" i="4"/>
  <c r="AC181" i="4"/>
  <c r="AC182" i="4"/>
  <c r="AC183" i="4"/>
  <c r="AC184" i="4"/>
  <c r="AC185" i="4"/>
  <c r="AC186" i="4"/>
  <c r="AC187" i="4"/>
  <c r="AC188" i="4"/>
  <c r="AC189" i="4"/>
  <c r="AC190" i="4"/>
  <c r="AC191" i="4"/>
  <c r="AC192" i="4"/>
  <c r="AC193" i="4"/>
  <c r="AC194" i="4"/>
  <c r="AC195" i="4"/>
  <c r="AC196" i="4"/>
  <c r="AC197" i="4"/>
  <c r="AC198" i="4"/>
  <c r="AC199" i="4"/>
  <c r="AC200" i="4"/>
  <c r="AC201" i="4"/>
  <c r="AC202" i="4"/>
  <c r="AC203" i="4"/>
  <c r="AC204" i="4"/>
  <c r="AC205" i="4"/>
  <c r="AC206" i="4"/>
  <c r="AC207" i="4"/>
  <c r="AC208" i="4"/>
  <c r="AC209" i="4"/>
  <c r="AC210" i="4"/>
  <c r="AC211" i="4"/>
  <c r="AC212" i="4"/>
  <c r="AC213" i="4"/>
  <c r="AC214" i="4"/>
  <c r="AC215" i="4"/>
  <c r="AC216" i="4"/>
  <c r="AC217" i="4"/>
  <c r="AC218" i="4"/>
  <c r="AC219" i="4"/>
  <c r="AC220" i="4"/>
  <c r="AC221" i="4"/>
  <c r="AC222" i="4"/>
  <c r="AC223" i="4"/>
  <c r="AC224" i="4"/>
  <c r="AC225" i="4"/>
  <c r="AC226" i="4"/>
  <c r="AC227" i="4"/>
  <c r="AC228" i="4"/>
  <c r="AC229" i="4"/>
  <c r="AC230" i="4"/>
  <c r="AC231" i="4"/>
  <c r="AC232" i="4"/>
  <c r="AC233" i="4"/>
  <c r="AC234" i="4"/>
  <c r="AC235" i="4"/>
  <c r="AC236" i="4"/>
  <c r="AC237" i="4"/>
  <c r="AC238" i="4"/>
  <c r="AC239" i="4"/>
  <c r="AC240" i="4"/>
  <c r="AC241" i="4"/>
  <c r="AC242" i="4"/>
  <c r="AC243" i="4"/>
  <c r="AC244" i="4"/>
  <c r="AC246" i="4"/>
  <c r="AC247" i="4"/>
  <c r="AC248" i="4"/>
  <c r="AC249" i="4"/>
  <c r="AC250" i="4"/>
  <c r="AC251" i="4"/>
  <c r="AC252" i="4"/>
  <c r="AC253" i="4"/>
  <c r="AC254" i="4"/>
  <c r="AC255" i="4"/>
  <c r="AC256" i="4"/>
  <c r="AC257" i="4"/>
  <c r="AC258" i="4"/>
  <c r="AC259" i="4"/>
  <c r="AC260" i="4"/>
  <c r="AC261" i="4"/>
  <c r="AC262" i="4"/>
  <c r="AC263" i="4"/>
  <c r="AC264" i="4"/>
  <c r="AC265" i="4"/>
  <c r="AC266" i="4"/>
  <c r="AC267" i="4"/>
  <c r="AC268" i="4"/>
  <c r="AC269" i="4"/>
  <c r="AC270" i="4"/>
  <c r="AC271" i="4"/>
  <c r="AC272" i="4"/>
  <c r="AC273" i="4"/>
  <c r="AC274" i="4"/>
  <c r="AC275" i="4"/>
  <c r="AC276" i="4"/>
  <c r="AC277" i="4"/>
  <c r="AC278" i="4"/>
  <c r="AC279" i="4"/>
  <c r="AC280" i="4"/>
  <c r="AC281" i="4"/>
  <c r="AC282" i="4"/>
  <c r="AC283" i="4"/>
  <c r="AC284" i="4"/>
  <c r="AC285" i="4"/>
  <c r="AC286" i="4"/>
  <c r="AC287" i="4"/>
  <c r="AC288" i="4"/>
  <c r="AC289" i="4"/>
  <c r="AC290" i="4"/>
  <c r="AC291" i="4"/>
  <c r="AC292" i="4"/>
  <c r="AC293" i="4"/>
  <c r="AC294" i="4"/>
  <c r="AC295" i="4"/>
  <c r="AC296" i="4"/>
  <c r="AC297" i="4"/>
  <c r="AC298" i="4"/>
  <c r="AC299" i="4"/>
  <c r="AC300" i="4"/>
  <c r="AC301" i="4"/>
  <c r="AC302" i="4"/>
  <c r="AC303" i="4"/>
  <c r="AC304" i="4"/>
  <c r="AC305" i="4"/>
  <c r="AC306" i="4"/>
  <c r="AC307" i="4"/>
  <c r="AC308" i="4"/>
  <c r="AC309" i="4"/>
  <c r="AC310" i="4"/>
  <c r="AC311" i="4"/>
  <c r="AC312" i="4"/>
  <c r="AC313" i="4"/>
  <c r="AC315" i="4"/>
  <c r="AC316" i="4"/>
  <c r="AC317" i="4"/>
  <c r="AC318" i="4"/>
  <c r="AC319" i="4"/>
  <c r="AC320" i="4"/>
  <c r="AC321" i="4"/>
  <c r="AC322" i="4"/>
  <c r="AC323" i="4"/>
  <c r="AC324" i="4"/>
  <c r="AC325" i="4"/>
  <c r="AC326" i="4"/>
  <c r="AC327" i="4"/>
  <c r="AC328" i="4"/>
  <c r="AC329" i="4"/>
  <c r="AC330" i="4"/>
  <c r="AC331" i="4"/>
  <c r="AC332" i="4"/>
  <c r="AC333" i="4"/>
  <c r="AC334" i="4"/>
  <c r="AC335" i="4"/>
  <c r="AC336" i="4"/>
  <c r="AC337" i="4"/>
  <c r="AC338" i="4"/>
  <c r="AC339" i="4"/>
  <c r="AC340" i="4"/>
  <c r="AC341" i="4"/>
  <c r="AC342" i="4"/>
  <c r="AC343" i="4"/>
  <c r="AC344" i="4"/>
  <c r="AC345" i="4"/>
  <c r="AC346" i="4"/>
  <c r="AC347" i="4"/>
  <c r="AC348" i="4"/>
  <c r="AC349" i="4"/>
  <c r="AC350" i="4"/>
  <c r="AC351" i="4"/>
  <c r="AC352" i="4"/>
  <c r="AC353" i="4"/>
  <c r="AC354" i="4"/>
  <c r="AC355" i="4"/>
  <c r="AC356" i="4"/>
  <c r="AC357" i="4"/>
  <c r="AC358" i="4"/>
  <c r="AC359" i="4"/>
  <c r="AC360" i="4"/>
  <c r="AC361" i="4"/>
  <c r="AC362" i="4"/>
  <c r="AC363" i="4"/>
  <c r="AC364" i="4"/>
  <c r="AC365" i="4"/>
  <c r="AC366" i="4"/>
  <c r="AC367" i="4"/>
  <c r="AC3" i="4"/>
  <c r="AC367" i="2"/>
  <c r="AB367" i="2"/>
  <c r="Z367" i="2"/>
  <c r="AG367" i="2" s="1"/>
  <c r="AC366" i="2"/>
  <c r="AB366" i="2"/>
  <c r="Z366" i="2"/>
  <c r="AG366" i="2" s="1"/>
  <c r="AC365" i="2"/>
  <c r="AB365" i="2"/>
  <c r="Z365" i="2"/>
  <c r="AG365" i="2" s="1"/>
  <c r="AC364" i="2"/>
  <c r="AB364" i="2"/>
  <c r="Z364" i="2"/>
  <c r="AG364" i="2" s="1"/>
  <c r="AC363" i="2"/>
  <c r="AB363" i="2"/>
  <c r="Z363" i="2"/>
  <c r="AG363" i="2" s="1"/>
  <c r="AC362" i="2"/>
  <c r="AB362" i="2"/>
  <c r="Z362" i="2"/>
  <c r="AG362" i="2" s="1"/>
  <c r="AC361" i="2"/>
  <c r="AB361" i="2"/>
  <c r="Z361" i="2"/>
  <c r="AG361" i="2" s="1"/>
  <c r="AC360" i="2"/>
  <c r="AB360" i="2"/>
  <c r="Z360" i="2"/>
  <c r="AG360" i="2" s="1"/>
  <c r="AC359" i="2"/>
  <c r="AB359" i="2"/>
  <c r="Z359" i="2"/>
  <c r="AK359" i="2" s="1"/>
  <c r="AC358" i="2"/>
  <c r="AB358" i="2"/>
  <c r="Z358" i="2"/>
  <c r="AK358" i="2" s="1"/>
  <c r="AC357" i="2"/>
  <c r="AB357" i="2"/>
  <c r="Z357" i="2"/>
  <c r="AG357" i="2" s="1"/>
  <c r="AC356" i="2"/>
  <c r="AB356" i="2"/>
  <c r="Z356" i="2"/>
  <c r="AG356" i="2" s="1"/>
  <c r="AC355" i="2"/>
  <c r="AB355" i="2"/>
  <c r="Z355" i="2"/>
  <c r="AG355" i="2" s="1"/>
  <c r="AC354" i="2"/>
  <c r="AB354" i="2"/>
  <c r="Z354" i="2"/>
  <c r="AG354" i="2" s="1"/>
  <c r="AC353" i="2"/>
  <c r="AB353" i="2"/>
  <c r="Z353" i="2"/>
  <c r="AG353" i="2" s="1"/>
  <c r="AC352" i="2"/>
  <c r="AB352" i="2"/>
  <c r="Z352" i="2"/>
  <c r="AG352" i="2" s="1"/>
  <c r="AC351" i="2"/>
  <c r="AB351" i="2"/>
  <c r="Z351" i="2"/>
  <c r="AG351" i="2" s="1"/>
  <c r="AC350" i="2"/>
  <c r="AB350" i="2"/>
  <c r="Z350" i="2"/>
  <c r="AG350" i="2" s="1"/>
  <c r="AC349" i="2"/>
  <c r="AB349" i="2"/>
  <c r="Z349" i="2"/>
  <c r="AG349" i="2" s="1"/>
  <c r="AC348" i="2"/>
  <c r="AB348" i="2"/>
  <c r="Z348" i="2"/>
  <c r="AG348" i="2" s="1"/>
  <c r="AC347" i="2"/>
  <c r="AB347" i="2"/>
  <c r="Z347" i="2"/>
  <c r="AK347" i="2" s="1"/>
  <c r="AC346" i="2"/>
  <c r="AB346" i="2"/>
  <c r="Z346" i="2"/>
  <c r="AK346" i="2" s="1"/>
  <c r="AC345" i="2"/>
  <c r="AB345" i="2"/>
  <c r="Z345" i="2"/>
  <c r="AG345" i="2" s="1"/>
  <c r="AC344" i="2"/>
  <c r="AB344" i="2"/>
  <c r="Z344" i="2"/>
  <c r="AG344" i="2" s="1"/>
  <c r="AC343" i="2"/>
  <c r="AB343" i="2"/>
  <c r="Z343" i="2"/>
  <c r="AG343" i="2" s="1"/>
  <c r="AC342" i="2"/>
  <c r="AB342" i="2"/>
  <c r="Z342" i="2"/>
  <c r="AG342" i="2" s="1"/>
  <c r="AC341" i="2"/>
  <c r="AB341" i="2"/>
  <c r="Z341" i="2"/>
  <c r="AG341" i="2" s="1"/>
  <c r="AC340" i="2"/>
  <c r="AB340" i="2"/>
  <c r="Z340" i="2"/>
  <c r="AG340" i="2" s="1"/>
  <c r="AC339" i="2"/>
  <c r="AB339" i="2"/>
  <c r="Z339" i="2"/>
  <c r="AG339" i="2" s="1"/>
  <c r="AC338" i="2"/>
  <c r="AB338" i="2"/>
  <c r="Z338" i="2"/>
  <c r="AG338" i="2" s="1"/>
  <c r="AC337" i="2"/>
  <c r="AB337" i="2"/>
  <c r="Z337" i="2"/>
  <c r="AG337" i="2" s="1"/>
  <c r="AC336" i="2"/>
  <c r="AB336" i="2"/>
  <c r="Z336" i="2"/>
  <c r="AG336" i="2" s="1"/>
  <c r="AC335" i="2"/>
  <c r="AB335" i="2"/>
  <c r="Z335" i="2"/>
  <c r="AK335" i="2" s="1"/>
  <c r="AC334" i="2"/>
  <c r="AB334" i="2"/>
  <c r="Z334" i="2"/>
  <c r="AK334" i="2" s="1"/>
  <c r="AC333" i="2"/>
  <c r="AB333" i="2"/>
  <c r="Z333" i="2"/>
  <c r="AG333" i="2" s="1"/>
  <c r="AC332" i="2"/>
  <c r="AB332" i="2"/>
  <c r="Z332" i="2"/>
  <c r="AG332" i="2" s="1"/>
  <c r="AC331" i="2"/>
  <c r="AB331" i="2"/>
  <c r="Z331" i="2"/>
  <c r="AG331" i="2" s="1"/>
  <c r="AC330" i="2"/>
  <c r="AB330" i="2"/>
  <c r="Z330" i="2"/>
  <c r="AG330" i="2" s="1"/>
  <c r="AC329" i="2"/>
  <c r="AB329" i="2"/>
  <c r="Z329" i="2"/>
  <c r="AG329" i="2" s="1"/>
  <c r="AC328" i="2"/>
  <c r="AB328" i="2"/>
  <c r="Z328" i="2"/>
  <c r="AG328" i="2" s="1"/>
  <c r="AC327" i="2"/>
  <c r="AB327" i="2"/>
  <c r="Z327" i="2"/>
  <c r="AG327" i="2" s="1"/>
  <c r="AC326" i="2"/>
  <c r="AB326" i="2"/>
  <c r="Z326" i="2"/>
  <c r="AG326" i="2" s="1"/>
  <c r="AC325" i="2"/>
  <c r="AB325" i="2"/>
  <c r="Z325" i="2"/>
  <c r="AG325" i="2" s="1"/>
  <c r="AC324" i="2"/>
  <c r="AB324" i="2"/>
  <c r="Z324" i="2"/>
  <c r="AG324" i="2" s="1"/>
  <c r="AC323" i="2"/>
  <c r="AB323" i="2"/>
  <c r="Z323" i="2"/>
  <c r="AK323" i="2" s="1"/>
  <c r="AC322" i="2"/>
  <c r="AB322" i="2"/>
  <c r="Z322" i="2"/>
  <c r="AK322" i="2" s="1"/>
  <c r="AC321" i="2"/>
  <c r="AB321" i="2"/>
  <c r="Z321" i="2"/>
  <c r="AG321" i="2" s="1"/>
  <c r="AC320" i="2"/>
  <c r="AB320" i="2"/>
  <c r="Z320" i="2"/>
  <c r="AG320" i="2" s="1"/>
  <c r="AC319" i="2"/>
  <c r="AB319" i="2"/>
  <c r="Z319" i="2"/>
  <c r="AG319" i="2" s="1"/>
  <c r="AC318" i="2"/>
  <c r="AB318" i="2"/>
  <c r="Z318" i="2"/>
  <c r="AG318" i="2" s="1"/>
  <c r="AC317" i="2"/>
  <c r="AB317" i="2"/>
  <c r="Z317" i="2"/>
  <c r="AG317" i="2" s="1"/>
  <c r="AC316" i="2"/>
  <c r="AB316" i="2"/>
  <c r="Z316" i="2"/>
  <c r="AG316" i="2" s="1"/>
  <c r="AC315" i="2"/>
  <c r="AB315" i="2"/>
  <c r="Z315" i="2"/>
  <c r="AG315" i="2" s="1"/>
  <c r="AC314" i="2"/>
  <c r="AB314" i="2"/>
  <c r="Z314" i="2"/>
  <c r="AG314" i="2" s="1"/>
  <c r="AC313" i="2"/>
  <c r="AB313" i="2"/>
  <c r="Z313" i="2"/>
  <c r="AG313" i="2" s="1"/>
  <c r="AC312" i="2"/>
  <c r="AB312" i="2"/>
  <c r="Z312" i="2"/>
  <c r="AG312" i="2" s="1"/>
  <c r="AC311" i="2"/>
  <c r="AB311" i="2"/>
  <c r="Z311" i="2"/>
  <c r="AK311" i="2" s="1"/>
  <c r="AC310" i="2"/>
  <c r="AB310" i="2"/>
  <c r="Z310" i="2"/>
  <c r="AK310" i="2" s="1"/>
  <c r="AC309" i="2"/>
  <c r="AB309" i="2"/>
  <c r="Z309" i="2"/>
  <c r="AG309" i="2" s="1"/>
  <c r="AC308" i="2"/>
  <c r="AB308" i="2"/>
  <c r="Z308" i="2"/>
  <c r="AG308" i="2" s="1"/>
  <c r="AC307" i="2"/>
  <c r="AB307" i="2"/>
  <c r="Z307" i="2"/>
  <c r="AG307" i="2" s="1"/>
  <c r="AC306" i="2"/>
  <c r="AB306" i="2"/>
  <c r="Z306" i="2"/>
  <c r="AG306" i="2" s="1"/>
  <c r="AC305" i="2"/>
  <c r="AB305" i="2"/>
  <c r="Z305" i="2"/>
  <c r="AG305" i="2" s="1"/>
  <c r="AC304" i="2"/>
  <c r="AB304" i="2"/>
  <c r="Z304" i="2"/>
  <c r="AG304" i="2" s="1"/>
  <c r="AC303" i="2"/>
  <c r="AB303" i="2"/>
  <c r="Z303" i="2"/>
  <c r="AG303" i="2" s="1"/>
  <c r="AC302" i="2"/>
  <c r="AB302" i="2"/>
  <c r="Z302" i="2"/>
  <c r="AG302" i="2" s="1"/>
  <c r="AC301" i="2"/>
  <c r="AB301" i="2"/>
  <c r="Z301" i="2"/>
  <c r="AG301" i="2" s="1"/>
  <c r="AC300" i="2"/>
  <c r="AB300" i="2"/>
  <c r="Z300" i="2"/>
  <c r="AG300" i="2" s="1"/>
  <c r="AC299" i="2"/>
  <c r="AB299" i="2"/>
  <c r="Z299" i="2"/>
  <c r="AK299" i="2" s="1"/>
  <c r="AC298" i="2"/>
  <c r="AB298" i="2"/>
  <c r="Z298" i="2"/>
  <c r="AK298" i="2" s="1"/>
  <c r="AC297" i="2"/>
  <c r="AB297" i="2"/>
  <c r="Z297" i="2"/>
  <c r="AG297" i="2" s="1"/>
  <c r="AC296" i="2"/>
  <c r="AB296" i="2"/>
  <c r="Z296" i="2"/>
  <c r="AG296" i="2" s="1"/>
  <c r="AC295" i="2"/>
  <c r="AB295" i="2"/>
  <c r="Z295" i="2"/>
  <c r="AG295" i="2" s="1"/>
  <c r="AC294" i="2"/>
  <c r="AB294" i="2"/>
  <c r="Z294" i="2"/>
  <c r="AG294" i="2" s="1"/>
  <c r="AC293" i="2"/>
  <c r="AB293" i="2"/>
  <c r="Z293" i="2"/>
  <c r="AG293" i="2" s="1"/>
  <c r="AC292" i="2"/>
  <c r="AB292" i="2"/>
  <c r="Z292" i="2"/>
  <c r="AG292" i="2" s="1"/>
  <c r="AC291" i="2"/>
  <c r="AB291" i="2"/>
  <c r="Z291" i="2"/>
  <c r="AG291" i="2" s="1"/>
  <c r="AC290" i="2"/>
  <c r="AB290" i="2"/>
  <c r="Z290" i="2"/>
  <c r="AG290" i="2" s="1"/>
  <c r="AC289" i="2"/>
  <c r="AB289" i="2"/>
  <c r="Z289" i="2"/>
  <c r="AG289" i="2" s="1"/>
  <c r="AC288" i="2"/>
  <c r="AB288" i="2"/>
  <c r="Z288" i="2"/>
  <c r="AG288" i="2" s="1"/>
  <c r="AC287" i="2"/>
  <c r="AB287" i="2"/>
  <c r="Z287" i="2"/>
  <c r="AK287" i="2" s="1"/>
  <c r="AC286" i="2"/>
  <c r="AB286" i="2"/>
  <c r="Z286" i="2"/>
  <c r="AK286" i="2" s="1"/>
  <c r="AC285" i="2"/>
  <c r="AB285" i="2"/>
  <c r="Z285" i="2"/>
  <c r="AG285" i="2" s="1"/>
  <c r="AC284" i="2"/>
  <c r="AB284" i="2"/>
  <c r="Z284" i="2"/>
  <c r="AG284" i="2" s="1"/>
  <c r="AC283" i="2"/>
  <c r="AB283" i="2"/>
  <c r="Z283" i="2"/>
  <c r="AG283" i="2" s="1"/>
  <c r="AC282" i="2"/>
  <c r="AB282" i="2"/>
  <c r="Z282" i="2"/>
  <c r="AG282" i="2" s="1"/>
  <c r="AC281" i="2"/>
  <c r="AB281" i="2"/>
  <c r="Z281" i="2"/>
  <c r="AG281" i="2" s="1"/>
  <c r="AC280" i="2"/>
  <c r="AB280" i="2"/>
  <c r="Z280" i="2"/>
  <c r="AG280" i="2" s="1"/>
  <c r="AC279" i="2"/>
  <c r="AB279" i="2"/>
  <c r="Z279" i="2"/>
  <c r="AG279" i="2" s="1"/>
  <c r="AC278" i="2"/>
  <c r="AB278" i="2"/>
  <c r="Z278" i="2"/>
  <c r="AG278" i="2" s="1"/>
  <c r="AC277" i="2"/>
  <c r="AB277" i="2"/>
  <c r="Z277" i="2"/>
  <c r="AG277" i="2" s="1"/>
  <c r="AC276" i="2"/>
  <c r="AB276" i="2"/>
  <c r="Z276" i="2"/>
  <c r="AG276" i="2" s="1"/>
  <c r="AC275" i="2"/>
  <c r="AB275" i="2"/>
  <c r="Z275" i="2"/>
  <c r="AK275" i="2" s="1"/>
  <c r="AC274" i="2"/>
  <c r="AB274" i="2"/>
  <c r="Z274" i="2"/>
  <c r="AK274" i="2" s="1"/>
  <c r="AC273" i="2"/>
  <c r="AB273" i="2"/>
  <c r="Z273" i="2"/>
  <c r="AG273" i="2" s="1"/>
  <c r="AC272" i="2"/>
  <c r="AB272" i="2"/>
  <c r="Z272" i="2"/>
  <c r="AG272" i="2" s="1"/>
  <c r="AC271" i="2"/>
  <c r="AB271" i="2"/>
  <c r="Z271" i="2"/>
  <c r="AG271" i="2" s="1"/>
  <c r="AC270" i="2"/>
  <c r="AB270" i="2"/>
  <c r="Z270" i="2"/>
  <c r="AG270" i="2" s="1"/>
  <c r="AC269" i="2"/>
  <c r="AB269" i="2"/>
  <c r="Z269" i="2"/>
  <c r="AG269" i="2" s="1"/>
  <c r="AC268" i="2"/>
  <c r="AB268" i="2"/>
  <c r="Z268" i="2"/>
  <c r="AG268" i="2" s="1"/>
  <c r="AC267" i="2"/>
  <c r="AB267" i="2"/>
  <c r="Z267" i="2"/>
  <c r="AG267" i="2" s="1"/>
  <c r="AC266" i="2"/>
  <c r="AB266" i="2"/>
  <c r="Z266" i="2"/>
  <c r="AG266" i="2" s="1"/>
  <c r="AC265" i="2"/>
  <c r="AB265" i="2"/>
  <c r="Z265" i="2"/>
  <c r="AG265" i="2" s="1"/>
  <c r="AC264" i="2"/>
  <c r="AB264" i="2"/>
  <c r="Z264" i="2"/>
  <c r="AG264" i="2" s="1"/>
  <c r="AC263" i="2"/>
  <c r="AB263" i="2"/>
  <c r="Z263" i="2"/>
  <c r="AK263" i="2" s="1"/>
  <c r="AC262" i="2"/>
  <c r="AB262" i="2"/>
  <c r="Z262" i="2"/>
  <c r="AK262" i="2" s="1"/>
  <c r="AC261" i="2"/>
  <c r="AB261" i="2"/>
  <c r="Z261" i="2"/>
  <c r="AG261" i="2" s="1"/>
  <c r="AC260" i="2"/>
  <c r="AB260" i="2"/>
  <c r="Z260" i="2"/>
  <c r="AG260" i="2" s="1"/>
  <c r="AC259" i="2"/>
  <c r="AB259" i="2"/>
  <c r="Z259" i="2"/>
  <c r="AG259" i="2" s="1"/>
  <c r="AC258" i="2"/>
  <c r="AB258" i="2"/>
  <c r="Z258" i="2"/>
  <c r="AG258" i="2" s="1"/>
  <c r="AC257" i="2"/>
  <c r="AB257" i="2"/>
  <c r="Z257" i="2"/>
  <c r="AG257" i="2" s="1"/>
  <c r="AC256" i="2"/>
  <c r="AB256" i="2"/>
  <c r="Z256" i="2"/>
  <c r="AG256" i="2" s="1"/>
  <c r="AC255" i="2"/>
  <c r="AB255" i="2"/>
  <c r="Z255" i="2"/>
  <c r="AG255" i="2" s="1"/>
  <c r="AC254" i="2"/>
  <c r="AB254" i="2"/>
  <c r="Z254" i="2"/>
  <c r="AG254" i="2" s="1"/>
  <c r="AC253" i="2"/>
  <c r="AB253" i="2"/>
  <c r="Z253" i="2"/>
  <c r="AG253" i="2" s="1"/>
  <c r="AC252" i="2"/>
  <c r="AB252" i="2"/>
  <c r="Z252" i="2"/>
  <c r="AG252" i="2" s="1"/>
  <c r="AC251" i="2"/>
  <c r="AB251" i="2"/>
  <c r="Z251" i="2"/>
  <c r="AK251" i="2" s="1"/>
  <c r="AC250" i="2"/>
  <c r="AB250" i="2"/>
  <c r="Z250" i="2"/>
  <c r="AK250" i="2" s="1"/>
  <c r="AC249" i="2"/>
  <c r="AB249" i="2"/>
  <c r="Z249" i="2"/>
  <c r="AG249" i="2" s="1"/>
  <c r="AC248" i="2"/>
  <c r="AB248" i="2"/>
  <c r="Z248" i="2"/>
  <c r="AG248" i="2" s="1"/>
  <c r="AC247" i="2"/>
  <c r="AB247" i="2"/>
  <c r="Z247" i="2"/>
  <c r="AG247" i="2" s="1"/>
  <c r="AC246" i="2"/>
  <c r="AB246" i="2"/>
  <c r="Z246" i="2"/>
  <c r="AG246" i="2" s="1"/>
  <c r="AC245" i="2"/>
  <c r="AB245" i="2"/>
  <c r="Z245" i="2"/>
  <c r="AG245" i="2" s="1"/>
  <c r="AC244" i="2"/>
  <c r="AB244" i="2"/>
  <c r="Z244" i="2"/>
  <c r="AG244" i="2" s="1"/>
  <c r="AC243" i="2"/>
  <c r="AB243" i="2"/>
  <c r="Z243" i="2"/>
  <c r="AG243" i="2" s="1"/>
  <c r="AC242" i="2"/>
  <c r="AB242" i="2"/>
  <c r="Z242" i="2"/>
  <c r="AG242" i="2" s="1"/>
  <c r="AC241" i="2"/>
  <c r="AB241" i="2"/>
  <c r="Z241" i="2"/>
  <c r="AG241" i="2" s="1"/>
  <c r="AC240" i="2"/>
  <c r="AB240" i="2"/>
  <c r="Z240" i="2"/>
  <c r="AG240" i="2" s="1"/>
  <c r="AC239" i="2"/>
  <c r="AB239" i="2"/>
  <c r="Z239" i="2"/>
  <c r="AK239" i="2" s="1"/>
  <c r="AC238" i="2"/>
  <c r="AB238" i="2"/>
  <c r="Z238" i="2"/>
  <c r="AK238" i="2" s="1"/>
  <c r="AC237" i="2"/>
  <c r="AB237" i="2"/>
  <c r="Z237" i="2"/>
  <c r="AG237" i="2" s="1"/>
  <c r="AC236" i="2"/>
  <c r="AB236" i="2"/>
  <c r="Z236" i="2"/>
  <c r="AG236" i="2" s="1"/>
  <c r="AC235" i="2"/>
  <c r="AB235" i="2"/>
  <c r="Z235" i="2"/>
  <c r="AG235" i="2" s="1"/>
  <c r="AC234" i="2"/>
  <c r="AB234" i="2"/>
  <c r="Z234" i="2"/>
  <c r="AG234" i="2" s="1"/>
  <c r="AC233" i="2"/>
  <c r="AB233" i="2"/>
  <c r="Z233" i="2"/>
  <c r="AG233" i="2" s="1"/>
  <c r="AC232" i="2"/>
  <c r="AB232" i="2"/>
  <c r="Z232" i="2"/>
  <c r="AG232" i="2" s="1"/>
  <c r="AC231" i="2"/>
  <c r="AB231" i="2"/>
  <c r="Z231" i="2"/>
  <c r="AG231" i="2" s="1"/>
  <c r="AC230" i="2"/>
  <c r="AB230" i="2"/>
  <c r="Z230" i="2"/>
  <c r="AG230" i="2" s="1"/>
  <c r="AC229" i="2"/>
  <c r="AB229" i="2"/>
  <c r="Z229" i="2"/>
  <c r="AG229" i="2" s="1"/>
  <c r="AC228" i="2"/>
  <c r="AB228" i="2"/>
  <c r="Z228" i="2"/>
  <c r="AG228" i="2" s="1"/>
  <c r="AC227" i="2"/>
  <c r="AB227" i="2"/>
  <c r="Z227" i="2"/>
  <c r="AK227" i="2" s="1"/>
  <c r="AC226" i="2"/>
  <c r="AB226" i="2"/>
  <c r="Z226" i="2"/>
  <c r="AK226" i="2" s="1"/>
  <c r="AC225" i="2"/>
  <c r="AB225" i="2"/>
  <c r="Z225" i="2"/>
  <c r="AG225" i="2" s="1"/>
  <c r="AC224" i="2"/>
  <c r="AB224" i="2"/>
  <c r="Z224" i="2"/>
  <c r="AG224" i="2" s="1"/>
  <c r="AC223" i="2"/>
  <c r="AB223" i="2"/>
  <c r="Z223" i="2"/>
  <c r="AG223" i="2" s="1"/>
  <c r="AC222" i="2"/>
  <c r="AB222" i="2"/>
  <c r="Z222" i="2"/>
  <c r="AG222" i="2" s="1"/>
  <c r="AC221" i="2"/>
  <c r="AB221" i="2"/>
  <c r="Z221" i="2"/>
  <c r="AG221" i="2" s="1"/>
  <c r="AC220" i="2"/>
  <c r="AB220" i="2"/>
  <c r="Z220" i="2"/>
  <c r="AG220" i="2" s="1"/>
  <c r="AC219" i="2"/>
  <c r="AB219" i="2"/>
  <c r="Z219" i="2"/>
  <c r="AG219" i="2" s="1"/>
  <c r="AC218" i="2"/>
  <c r="AB218" i="2"/>
  <c r="Z218" i="2"/>
  <c r="AG218" i="2" s="1"/>
  <c r="AC217" i="2"/>
  <c r="AB217" i="2"/>
  <c r="Z217" i="2"/>
  <c r="AG217" i="2" s="1"/>
  <c r="AC216" i="2"/>
  <c r="AB216" i="2"/>
  <c r="Z216" i="2"/>
  <c r="AG216" i="2" s="1"/>
  <c r="AC215" i="2"/>
  <c r="AB215" i="2"/>
  <c r="Z215" i="2"/>
  <c r="AK215" i="2" s="1"/>
  <c r="AC214" i="2"/>
  <c r="AB214" i="2"/>
  <c r="Z214" i="2"/>
  <c r="AK214" i="2" s="1"/>
  <c r="AC213" i="2"/>
  <c r="AB213" i="2"/>
  <c r="Z213" i="2"/>
  <c r="AG213" i="2" s="1"/>
  <c r="AC212" i="2"/>
  <c r="AB212" i="2"/>
  <c r="Z212" i="2"/>
  <c r="AG212" i="2" s="1"/>
  <c r="AC211" i="2"/>
  <c r="AB211" i="2"/>
  <c r="Z211" i="2"/>
  <c r="AG211" i="2" s="1"/>
  <c r="AC210" i="2"/>
  <c r="AB210" i="2"/>
  <c r="Z210" i="2"/>
  <c r="AG210" i="2" s="1"/>
  <c r="AC209" i="2"/>
  <c r="AB209" i="2"/>
  <c r="Z209" i="2"/>
  <c r="AG209" i="2" s="1"/>
  <c r="AC208" i="2"/>
  <c r="AB208" i="2"/>
  <c r="Z208" i="2"/>
  <c r="AG208" i="2" s="1"/>
  <c r="AC207" i="2"/>
  <c r="AB207" i="2"/>
  <c r="Z207" i="2"/>
  <c r="AG207" i="2" s="1"/>
  <c r="AC206" i="2"/>
  <c r="AB206" i="2"/>
  <c r="Z206" i="2"/>
  <c r="AG206" i="2" s="1"/>
  <c r="AC205" i="2"/>
  <c r="AB205" i="2"/>
  <c r="Z205" i="2"/>
  <c r="AG205" i="2" s="1"/>
  <c r="AC204" i="2"/>
  <c r="AB204" i="2"/>
  <c r="Z204" i="2"/>
  <c r="AG204" i="2" s="1"/>
  <c r="AC203" i="2"/>
  <c r="AB203" i="2"/>
  <c r="Z203" i="2"/>
  <c r="AK203" i="2" s="1"/>
  <c r="AC202" i="2"/>
  <c r="AB202" i="2"/>
  <c r="Z202" i="2"/>
  <c r="AK202" i="2" s="1"/>
  <c r="AC201" i="2"/>
  <c r="AB201" i="2"/>
  <c r="Z201" i="2"/>
  <c r="AG201" i="2" s="1"/>
  <c r="AC200" i="2"/>
  <c r="AB200" i="2"/>
  <c r="Z200" i="2"/>
  <c r="AG200" i="2" s="1"/>
  <c r="AC199" i="2"/>
  <c r="AB199" i="2"/>
  <c r="Z199" i="2"/>
  <c r="AG199" i="2" s="1"/>
  <c r="AC198" i="2"/>
  <c r="AB198" i="2"/>
  <c r="Z198" i="2"/>
  <c r="AG198" i="2" s="1"/>
  <c r="AC197" i="2"/>
  <c r="AB197" i="2"/>
  <c r="Z197" i="2"/>
  <c r="AG197" i="2" s="1"/>
  <c r="AC196" i="2"/>
  <c r="AB196" i="2"/>
  <c r="Z196" i="2"/>
  <c r="AG196" i="2" s="1"/>
  <c r="AC195" i="2"/>
  <c r="AB195" i="2"/>
  <c r="Z195" i="2"/>
  <c r="AG195" i="2" s="1"/>
  <c r="AC194" i="2"/>
  <c r="AB194" i="2"/>
  <c r="Z194" i="2"/>
  <c r="AG194" i="2" s="1"/>
  <c r="AC193" i="2"/>
  <c r="AB193" i="2"/>
  <c r="Z193" i="2"/>
  <c r="AG193" i="2" s="1"/>
  <c r="AC192" i="2"/>
  <c r="AB192" i="2"/>
  <c r="Z192" i="2"/>
  <c r="AG192" i="2" s="1"/>
  <c r="AC191" i="2"/>
  <c r="AB191" i="2"/>
  <c r="Z191" i="2"/>
  <c r="AK191" i="2" s="1"/>
  <c r="AC190" i="2"/>
  <c r="AB190" i="2"/>
  <c r="Z190" i="2"/>
  <c r="AK190" i="2" s="1"/>
  <c r="AC189" i="2"/>
  <c r="AB189" i="2"/>
  <c r="Z189" i="2"/>
  <c r="AG189" i="2" s="1"/>
  <c r="AC188" i="2"/>
  <c r="AB188" i="2"/>
  <c r="Z188" i="2"/>
  <c r="AG188" i="2" s="1"/>
  <c r="AC187" i="2"/>
  <c r="AB187" i="2"/>
  <c r="Z187" i="2"/>
  <c r="AG187" i="2" s="1"/>
  <c r="AC186" i="2"/>
  <c r="AB186" i="2"/>
  <c r="Z186" i="2"/>
  <c r="AG186" i="2" s="1"/>
  <c r="AC185" i="2"/>
  <c r="AB185" i="2"/>
  <c r="Z185" i="2"/>
  <c r="AG185" i="2" s="1"/>
  <c r="AC184" i="2"/>
  <c r="AB184" i="2"/>
  <c r="Z184" i="2"/>
  <c r="AG184" i="2" s="1"/>
  <c r="AC183" i="2"/>
  <c r="AB183" i="2"/>
  <c r="Z183" i="2"/>
  <c r="AG183" i="2" s="1"/>
  <c r="AC182" i="2"/>
  <c r="AB182" i="2"/>
  <c r="Z182" i="2"/>
  <c r="AG182" i="2" s="1"/>
  <c r="AC181" i="2"/>
  <c r="AB181" i="2"/>
  <c r="Z181" i="2"/>
  <c r="AG181" i="2" s="1"/>
  <c r="AC180" i="2"/>
  <c r="AB180" i="2"/>
  <c r="Z180" i="2"/>
  <c r="AG180" i="2" s="1"/>
  <c r="AC179" i="2"/>
  <c r="AB179" i="2"/>
  <c r="Z179" i="2"/>
  <c r="AK179" i="2" s="1"/>
  <c r="AC178" i="2"/>
  <c r="AB178" i="2"/>
  <c r="Z178" i="2"/>
  <c r="AK178" i="2" s="1"/>
  <c r="AC177" i="2"/>
  <c r="AB177" i="2"/>
  <c r="Z177" i="2"/>
  <c r="AG177" i="2" s="1"/>
  <c r="AC176" i="2"/>
  <c r="AB176" i="2"/>
  <c r="Z176" i="2"/>
  <c r="AG176" i="2" s="1"/>
  <c r="AC175" i="2"/>
  <c r="AB175" i="2"/>
  <c r="Z175" i="2"/>
  <c r="AG175" i="2" s="1"/>
  <c r="AC174" i="2"/>
  <c r="AB174" i="2"/>
  <c r="Z174" i="2"/>
  <c r="AG174" i="2" s="1"/>
  <c r="AC173" i="2"/>
  <c r="AB173" i="2"/>
  <c r="Z173" i="2"/>
  <c r="AG173" i="2" s="1"/>
  <c r="AC172" i="2"/>
  <c r="AB172" i="2"/>
  <c r="Z172" i="2"/>
  <c r="AG172" i="2" s="1"/>
  <c r="AC171" i="2"/>
  <c r="AB171" i="2"/>
  <c r="Z171" i="2"/>
  <c r="AG171" i="2" s="1"/>
  <c r="AC170" i="2"/>
  <c r="AB170" i="2"/>
  <c r="Z170" i="2"/>
  <c r="AG170" i="2" s="1"/>
  <c r="AC169" i="2"/>
  <c r="AB169" i="2"/>
  <c r="Z169" i="2"/>
  <c r="AG169" i="2" s="1"/>
  <c r="AC168" i="2"/>
  <c r="AB168" i="2"/>
  <c r="Z168" i="2"/>
  <c r="AG168" i="2" s="1"/>
  <c r="AC167" i="2"/>
  <c r="AB167" i="2"/>
  <c r="Z167" i="2"/>
  <c r="AK167" i="2" s="1"/>
  <c r="AC166" i="2"/>
  <c r="AB166" i="2"/>
  <c r="Z166" i="2"/>
  <c r="AK166" i="2" s="1"/>
  <c r="AC165" i="2"/>
  <c r="AB165" i="2"/>
  <c r="Z165" i="2"/>
  <c r="AG165" i="2" s="1"/>
  <c r="AC164" i="2"/>
  <c r="AB164" i="2"/>
  <c r="Z164" i="2"/>
  <c r="AG164" i="2" s="1"/>
  <c r="AC163" i="2"/>
  <c r="AB163" i="2"/>
  <c r="Z163" i="2"/>
  <c r="AG163" i="2" s="1"/>
  <c r="AC162" i="2"/>
  <c r="AB162" i="2"/>
  <c r="Z162" i="2"/>
  <c r="AG162" i="2" s="1"/>
  <c r="AC161" i="2"/>
  <c r="AB161" i="2"/>
  <c r="Z161" i="2"/>
  <c r="AG161" i="2" s="1"/>
  <c r="AC160" i="2"/>
  <c r="AB160" i="2"/>
  <c r="Z160" i="2"/>
  <c r="AG160" i="2" s="1"/>
  <c r="AC159" i="2"/>
  <c r="AB159" i="2"/>
  <c r="Z159" i="2"/>
  <c r="AG159" i="2" s="1"/>
  <c r="AC158" i="2"/>
  <c r="AB158" i="2"/>
  <c r="Z158" i="2"/>
  <c r="AG158" i="2" s="1"/>
  <c r="AC157" i="2"/>
  <c r="AB157" i="2"/>
  <c r="Z157" i="2"/>
  <c r="AG157" i="2" s="1"/>
  <c r="AC156" i="2"/>
  <c r="AB156" i="2"/>
  <c r="Z156" i="2"/>
  <c r="AG156" i="2" s="1"/>
  <c r="AC155" i="2"/>
  <c r="AB155" i="2"/>
  <c r="Z155" i="2"/>
  <c r="AK155" i="2" s="1"/>
  <c r="AC154" i="2"/>
  <c r="AB154" i="2"/>
  <c r="Z154" i="2"/>
  <c r="AK154" i="2" s="1"/>
  <c r="AC153" i="2"/>
  <c r="AB153" i="2"/>
  <c r="Z153" i="2"/>
  <c r="AG153" i="2" s="1"/>
  <c r="AC152" i="2"/>
  <c r="AB152" i="2"/>
  <c r="Z152" i="2"/>
  <c r="AG152" i="2" s="1"/>
  <c r="AC151" i="2"/>
  <c r="AB151" i="2"/>
  <c r="Z151" i="2"/>
  <c r="AG151" i="2" s="1"/>
  <c r="AC150" i="2"/>
  <c r="AB150" i="2"/>
  <c r="Z150" i="2"/>
  <c r="AG150" i="2" s="1"/>
  <c r="AC149" i="2"/>
  <c r="AB149" i="2"/>
  <c r="Z149" i="2"/>
  <c r="AG149" i="2" s="1"/>
  <c r="AC148" i="2"/>
  <c r="AB148" i="2"/>
  <c r="Z148" i="2"/>
  <c r="AG148" i="2" s="1"/>
  <c r="AC147" i="2"/>
  <c r="AB147" i="2"/>
  <c r="Z147" i="2"/>
  <c r="AG147" i="2" s="1"/>
  <c r="AC146" i="2"/>
  <c r="AB146" i="2"/>
  <c r="Z146" i="2"/>
  <c r="AG146" i="2" s="1"/>
  <c r="AC145" i="2"/>
  <c r="AB145" i="2"/>
  <c r="Z145" i="2"/>
  <c r="AG145" i="2" s="1"/>
  <c r="AC144" i="2"/>
  <c r="AB144" i="2"/>
  <c r="Z144" i="2"/>
  <c r="AG144" i="2" s="1"/>
  <c r="AC143" i="2"/>
  <c r="AB143" i="2"/>
  <c r="Z143" i="2"/>
  <c r="AK143" i="2" s="1"/>
  <c r="AC142" i="2"/>
  <c r="AB142" i="2"/>
  <c r="Z142" i="2"/>
  <c r="AK142" i="2" s="1"/>
  <c r="AC141" i="2"/>
  <c r="AB141" i="2"/>
  <c r="Z141" i="2"/>
  <c r="AG141" i="2" s="1"/>
  <c r="AC140" i="2"/>
  <c r="AB140" i="2"/>
  <c r="Z140" i="2"/>
  <c r="AG140" i="2" s="1"/>
  <c r="AC139" i="2"/>
  <c r="AB139" i="2"/>
  <c r="Z139" i="2"/>
  <c r="AG139" i="2" s="1"/>
  <c r="AC138" i="2"/>
  <c r="AB138" i="2"/>
  <c r="Z138" i="2"/>
  <c r="AG138" i="2" s="1"/>
  <c r="AC137" i="2"/>
  <c r="AB137" i="2"/>
  <c r="Z137" i="2"/>
  <c r="AG137" i="2" s="1"/>
  <c r="AC136" i="2"/>
  <c r="AB136" i="2"/>
  <c r="Z136" i="2"/>
  <c r="AG136" i="2" s="1"/>
  <c r="AC135" i="2"/>
  <c r="AB135" i="2"/>
  <c r="Z135" i="2"/>
  <c r="AG135" i="2" s="1"/>
  <c r="AC134" i="2"/>
  <c r="AB134" i="2"/>
  <c r="Z134" i="2"/>
  <c r="AG134" i="2" s="1"/>
  <c r="AC133" i="2"/>
  <c r="AB133" i="2"/>
  <c r="Z133" i="2"/>
  <c r="AG133" i="2" s="1"/>
  <c r="AC132" i="2"/>
  <c r="AB132" i="2"/>
  <c r="Z132" i="2"/>
  <c r="AG132" i="2" s="1"/>
  <c r="AC131" i="2"/>
  <c r="AB131" i="2"/>
  <c r="Z131" i="2"/>
  <c r="AK131" i="2" s="1"/>
  <c r="AC130" i="2"/>
  <c r="AB130" i="2"/>
  <c r="Z130" i="2"/>
  <c r="AK130" i="2" s="1"/>
  <c r="AC129" i="2"/>
  <c r="AB129" i="2"/>
  <c r="Z129" i="2"/>
  <c r="AG129" i="2" s="1"/>
  <c r="AC128" i="2"/>
  <c r="AB128" i="2"/>
  <c r="Z128" i="2"/>
  <c r="AG128" i="2" s="1"/>
  <c r="AC127" i="2"/>
  <c r="AB127" i="2"/>
  <c r="Z127" i="2"/>
  <c r="AG127" i="2" s="1"/>
  <c r="AC126" i="2"/>
  <c r="AB126" i="2"/>
  <c r="Z126" i="2"/>
  <c r="AG126" i="2" s="1"/>
  <c r="AC125" i="2"/>
  <c r="AB125" i="2"/>
  <c r="Z125" i="2"/>
  <c r="AG125" i="2" s="1"/>
  <c r="AC124" i="2"/>
  <c r="AB124" i="2"/>
  <c r="Z124" i="2"/>
  <c r="AG124" i="2" s="1"/>
  <c r="AC123" i="2"/>
  <c r="AB123" i="2"/>
  <c r="Z123" i="2"/>
  <c r="AG123" i="2" s="1"/>
  <c r="AC122" i="2"/>
  <c r="AB122" i="2"/>
  <c r="Z122" i="2"/>
  <c r="AG122" i="2" s="1"/>
  <c r="AC121" i="2"/>
  <c r="AB121" i="2"/>
  <c r="Z121" i="2"/>
  <c r="AG121" i="2" s="1"/>
  <c r="AC120" i="2"/>
  <c r="AB120" i="2"/>
  <c r="Z120" i="2"/>
  <c r="AG120" i="2" s="1"/>
  <c r="AC119" i="2"/>
  <c r="AB119" i="2"/>
  <c r="Z119" i="2"/>
  <c r="AK119" i="2" s="1"/>
  <c r="AC118" i="2"/>
  <c r="AB118" i="2"/>
  <c r="Z118" i="2"/>
  <c r="AK118" i="2" s="1"/>
  <c r="AC117" i="2"/>
  <c r="AB117" i="2"/>
  <c r="Z117" i="2"/>
  <c r="AG117" i="2" s="1"/>
  <c r="AC116" i="2"/>
  <c r="AB116" i="2"/>
  <c r="Z116" i="2"/>
  <c r="AG116" i="2" s="1"/>
  <c r="AC115" i="2"/>
  <c r="AB115" i="2"/>
  <c r="Z115" i="2"/>
  <c r="AG115" i="2" s="1"/>
  <c r="AC114" i="2"/>
  <c r="AB114" i="2"/>
  <c r="Z114" i="2"/>
  <c r="AG114" i="2" s="1"/>
  <c r="AC113" i="2"/>
  <c r="AB113" i="2"/>
  <c r="Z113" i="2"/>
  <c r="AG113" i="2" s="1"/>
  <c r="AC112" i="2"/>
  <c r="AB112" i="2"/>
  <c r="Z112" i="2"/>
  <c r="AG112" i="2" s="1"/>
  <c r="AC111" i="2"/>
  <c r="AB111" i="2"/>
  <c r="Z111" i="2"/>
  <c r="AG111" i="2" s="1"/>
  <c r="AC110" i="2"/>
  <c r="AB110" i="2"/>
  <c r="Z110" i="2"/>
  <c r="AG110" i="2" s="1"/>
  <c r="AC109" i="2"/>
  <c r="AB109" i="2"/>
  <c r="Z109" i="2"/>
  <c r="AG109" i="2" s="1"/>
  <c r="AC108" i="2"/>
  <c r="AB108" i="2"/>
  <c r="Z108" i="2"/>
  <c r="AG108" i="2" s="1"/>
  <c r="AC107" i="2"/>
  <c r="AB107" i="2"/>
  <c r="Z107" i="2"/>
  <c r="AK107" i="2" s="1"/>
  <c r="AC106" i="2"/>
  <c r="AB106" i="2"/>
  <c r="Z106" i="2"/>
  <c r="AK106" i="2" s="1"/>
  <c r="AC105" i="2"/>
  <c r="AB105" i="2"/>
  <c r="Z105" i="2"/>
  <c r="AG105" i="2" s="1"/>
  <c r="AC104" i="2"/>
  <c r="AB104" i="2"/>
  <c r="Z104" i="2"/>
  <c r="AG104" i="2" s="1"/>
  <c r="AC103" i="2"/>
  <c r="AB103" i="2"/>
  <c r="Z103" i="2"/>
  <c r="AG103" i="2" s="1"/>
  <c r="AC102" i="2"/>
  <c r="AB102" i="2"/>
  <c r="Z102" i="2"/>
  <c r="AG102" i="2" s="1"/>
  <c r="AC101" i="2"/>
  <c r="AB101" i="2"/>
  <c r="Z101" i="2"/>
  <c r="AG101" i="2" s="1"/>
  <c r="AC100" i="2"/>
  <c r="AB100" i="2"/>
  <c r="Z100" i="2"/>
  <c r="AG100" i="2" s="1"/>
  <c r="AC99" i="2"/>
  <c r="AB99" i="2"/>
  <c r="Z99" i="2"/>
  <c r="AG99" i="2" s="1"/>
  <c r="AC98" i="2"/>
  <c r="AB98" i="2"/>
  <c r="Z98" i="2"/>
  <c r="AG98" i="2" s="1"/>
  <c r="AC97" i="2"/>
  <c r="AB97" i="2"/>
  <c r="Z97" i="2"/>
  <c r="AG97" i="2" s="1"/>
  <c r="AC96" i="2"/>
  <c r="AB96" i="2"/>
  <c r="Z96" i="2"/>
  <c r="AG96" i="2" s="1"/>
  <c r="AC95" i="2"/>
  <c r="AB95" i="2"/>
  <c r="Z95" i="2"/>
  <c r="AK95" i="2" s="1"/>
  <c r="AC94" i="2"/>
  <c r="AB94" i="2"/>
  <c r="Z94" i="2"/>
  <c r="AK94" i="2" s="1"/>
  <c r="AC93" i="2"/>
  <c r="AB93" i="2"/>
  <c r="Z93" i="2"/>
  <c r="AG93" i="2" s="1"/>
  <c r="AC92" i="2"/>
  <c r="AB92" i="2"/>
  <c r="Z92" i="2"/>
  <c r="AG92" i="2" s="1"/>
  <c r="AC91" i="2"/>
  <c r="AB91" i="2"/>
  <c r="Z91" i="2"/>
  <c r="AG91" i="2" s="1"/>
  <c r="AC90" i="2"/>
  <c r="AB90" i="2"/>
  <c r="Z90" i="2"/>
  <c r="AG90" i="2" s="1"/>
  <c r="AC89" i="2"/>
  <c r="AB89" i="2"/>
  <c r="Z89" i="2"/>
  <c r="AG89" i="2" s="1"/>
  <c r="AC88" i="2"/>
  <c r="AB88" i="2"/>
  <c r="Z88" i="2"/>
  <c r="AG88" i="2" s="1"/>
  <c r="AC87" i="2"/>
  <c r="AB87" i="2"/>
  <c r="Z87" i="2"/>
  <c r="AG87" i="2" s="1"/>
  <c r="AC86" i="2"/>
  <c r="AB86" i="2"/>
  <c r="Z86" i="2"/>
  <c r="AG86" i="2" s="1"/>
  <c r="AC85" i="2"/>
  <c r="AB85" i="2"/>
  <c r="Z85" i="2"/>
  <c r="AG85" i="2" s="1"/>
  <c r="AC84" i="2"/>
  <c r="AB84" i="2"/>
  <c r="Z84" i="2"/>
  <c r="AG84" i="2" s="1"/>
  <c r="AC83" i="2"/>
  <c r="AB83" i="2"/>
  <c r="Z83" i="2"/>
  <c r="AK83" i="2" s="1"/>
  <c r="AC82" i="2"/>
  <c r="AB82" i="2"/>
  <c r="Z82" i="2"/>
  <c r="AK82" i="2" s="1"/>
  <c r="AC81" i="2"/>
  <c r="AB81" i="2"/>
  <c r="Z81" i="2"/>
  <c r="AG81" i="2" s="1"/>
  <c r="AC80" i="2"/>
  <c r="AB80" i="2"/>
  <c r="Z80" i="2"/>
  <c r="AG80" i="2" s="1"/>
  <c r="AC79" i="2"/>
  <c r="AB79" i="2"/>
  <c r="Z79" i="2"/>
  <c r="AG79" i="2" s="1"/>
  <c r="AC78" i="2"/>
  <c r="AB78" i="2"/>
  <c r="Z78" i="2"/>
  <c r="AG78" i="2" s="1"/>
  <c r="AC77" i="2"/>
  <c r="AB77" i="2"/>
  <c r="Z77" i="2"/>
  <c r="AG77" i="2" s="1"/>
  <c r="AC76" i="2"/>
  <c r="AB76" i="2"/>
  <c r="Z76" i="2"/>
  <c r="AG76" i="2" s="1"/>
  <c r="AC75" i="2"/>
  <c r="AB75" i="2"/>
  <c r="Z75" i="2"/>
  <c r="AG75" i="2" s="1"/>
  <c r="AC74" i="2"/>
  <c r="AB74" i="2"/>
  <c r="Z74" i="2"/>
  <c r="AG74" i="2" s="1"/>
  <c r="AC73" i="2"/>
  <c r="AB73" i="2"/>
  <c r="Z73" i="2"/>
  <c r="AG73" i="2" s="1"/>
  <c r="AC72" i="2"/>
  <c r="AB72" i="2"/>
  <c r="Z72" i="2"/>
  <c r="AG72" i="2" s="1"/>
  <c r="AC71" i="2"/>
  <c r="AB71" i="2"/>
  <c r="Z71" i="2"/>
  <c r="AK71" i="2" s="1"/>
  <c r="AC70" i="2"/>
  <c r="AB70" i="2"/>
  <c r="Z70" i="2"/>
  <c r="AK70" i="2" s="1"/>
  <c r="AC69" i="2"/>
  <c r="AB69" i="2"/>
  <c r="Z69" i="2"/>
  <c r="AG69" i="2" s="1"/>
  <c r="AC68" i="2"/>
  <c r="AB68" i="2"/>
  <c r="Z68" i="2"/>
  <c r="AG68" i="2" s="1"/>
  <c r="AC67" i="2"/>
  <c r="AB67" i="2"/>
  <c r="Z67" i="2"/>
  <c r="AG67" i="2" s="1"/>
  <c r="AC66" i="2"/>
  <c r="AB66" i="2"/>
  <c r="Z66" i="2"/>
  <c r="AG66" i="2" s="1"/>
  <c r="AC65" i="2"/>
  <c r="AB65" i="2"/>
  <c r="Z65" i="2"/>
  <c r="AG65" i="2" s="1"/>
  <c r="AC64" i="2"/>
  <c r="AB64" i="2"/>
  <c r="Z64" i="2"/>
  <c r="AG64" i="2" s="1"/>
  <c r="AC63" i="2"/>
  <c r="AB63" i="2"/>
  <c r="Z63" i="2"/>
  <c r="AG63" i="2" s="1"/>
  <c r="AC62" i="2"/>
  <c r="AB62" i="2"/>
  <c r="Z62" i="2"/>
  <c r="AG62" i="2" s="1"/>
  <c r="AC61" i="2"/>
  <c r="AB61" i="2"/>
  <c r="Z61" i="2"/>
  <c r="AG61" i="2" s="1"/>
  <c r="AC60" i="2"/>
  <c r="AB60" i="2"/>
  <c r="Z60" i="2"/>
  <c r="AG60" i="2" s="1"/>
  <c r="AC59" i="2"/>
  <c r="AB59" i="2"/>
  <c r="Z59" i="2"/>
  <c r="AK59" i="2" s="1"/>
  <c r="AC58" i="2"/>
  <c r="AB58" i="2"/>
  <c r="Z58" i="2"/>
  <c r="AK58" i="2" s="1"/>
  <c r="AC57" i="2"/>
  <c r="AB57" i="2"/>
  <c r="Z57" i="2"/>
  <c r="AG57" i="2" s="1"/>
  <c r="AC56" i="2"/>
  <c r="AB56" i="2"/>
  <c r="Z56" i="2"/>
  <c r="AG56" i="2" s="1"/>
  <c r="AC55" i="2"/>
  <c r="AB55" i="2"/>
  <c r="Z55" i="2"/>
  <c r="AG55" i="2" s="1"/>
  <c r="AC54" i="2"/>
  <c r="AB54" i="2"/>
  <c r="Z54" i="2"/>
  <c r="AG54" i="2" s="1"/>
  <c r="AC53" i="2"/>
  <c r="AB53" i="2"/>
  <c r="Z53" i="2"/>
  <c r="AG53" i="2" s="1"/>
  <c r="AC52" i="2"/>
  <c r="AB52" i="2"/>
  <c r="Z52" i="2"/>
  <c r="AG52" i="2" s="1"/>
  <c r="AC51" i="2"/>
  <c r="AB51" i="2"/>
  <c r="Z51" i="2"/>
  <c r="AG51" i="2" s="1"/>
  <c r="AC50" i="2"/>
  <c r="AB50" i="2"/>
  <c r="Z50" i="2"/>
  <c r="AG50" i="2" s="1"/>
  <c r="AC49" i="2"/>
  <c r="AB49" i="2"/>
  <c r="Z49" i="2"/>
  <c r="AG49" i="2" s="1"/>
  <c r="AC48" i="2"/>
  <c r="AB48" i="2"/>
  <c r="Z48" i="2"/>
  <c r="AG48" i="2" s="1"/>
  <c r="AC47" i="2"/>
  <c r="AB47" i="2"/>
  <c r="Z47" i="2"/>
  <c r="AK47" i="2" s="1"/>
  <c r="AC46" i="2"/>
  <c r="AB46" i="2"/>
  <c r="Z46" i="2"/>
  <c r="AC45" i="2"/>
  <c r="AB45" i="2"/>
  <c r="Z45" i="2"/>
  <c r="AG45" i="2" s="1"/>
  <c r="AC44" i="2"/>
  <c r="AB44" i="2"/>
  <c r="Z44" i="2"/>
  <c r="AG44" i="2" s="1"/>
  <c r="AC43" i="2"/>
  <c r="AB43" i="2"/>
  <c r="Z43" i="2"/>
  <c r="AG43" i="2" s="1"/>
  <c r="AC42" i="2"/>
  <c r="AB42" i="2"/>
  <c r="Z42" i="2"/>
  <c r="AG42" i="2" s="1"/>
  <c r="AC41" i="2"/>
  <c r="AB41" i="2"/>
  <c r="Z41" i="2"/>
  <c r="AG41" i="2" s="1"/>
  <c r="AC40" i="2"/>
  <c r="AB40" i="2"/>
  <c r="Z40" i="2"/>
  <c r="AG40" i="2" s="1"/>
  <c r="AC39" i="2"/>
  <c r="AB39" i="2"/>
  <c r="Z39" i="2"/>
  <c r="AG39" i="2" s="1"/>
  <c r="AC38" i="2"/>
  <c r="AB38" i="2"/>
  <c r="Z38" i="2"/>
  <c r="AG38" i="2" s="1"/>
  <c r="AC37" i="2"/>
  <c r="AB37" i="2"/>
  <c r="Z37" i="2"/>
  <c r="AG37" i="2" s="1"/>
  <c r="AC36" i="2"/>
  <c r="AB36" i="2"/>
  <c r="Z36" i="2"/>
  <c r="AG36" i="2" s="1"/>
  <c r="AC35" i="2"/>
  <c r="AB35" i="2"/>
  <c r="Z35" i="2"/>
  <c r="AK35" i="2" s="1"/>
  <c r="AC34" i="2"/>
  <c r="AB34" i="2"/>
  <c r="Z34" i="2"/>
  <c r="AK34" i="2" s="1"/>
  <c r="AC33" i="2"/>
  <c r="AB33" i="2"/>
  <c r="Z33" i="2"/>
  <c r="AG33" i="2" s="1"/>
  <c r="AC32" i="2"/>
  <c r="AB32" i="2"/>
  <c r="Z32" i="2"/>
  <c r="AG32" i="2" s="1"/>
  <c r="AC31" i="2"/>
  <c r="AB31" i="2"/>
  <c r="Z31" i="2"/>
  <c r="AG31" i="2" s="1"/>
  <c r="AC30" i="2"/>
  <c r="AB30" i="2"/>
  <c r="Z30" i="2"/>
  <c r="AG30" i="2" s="1"/>
  <c r="AC29" i="2"/>
  <c r="AB29" i="2"/>
  <c r="Z29" i="2"/>
  <c r="AG29" i="2" s="1"/>
  <c r="AC28" i="2"/>
  <c r="AB28" i="2"/>
  <c r="Z28" i="2"/>
  <c r="AG28" i="2" s="1"/>
  <c r="AC27" i="2"/>
  <c r="AB27" i="2"/>
  <c r="Z27" i="2"/>
  <c r="AG27" i="2" s="1"/>
  <c r="AC26" i="2"/>
  <c r="AB26" i="2"/>
  <c r="Z26" i="2"/>
  <c r="AG26" i="2" s="1"/>
  <c r="AC25" i="2"/>
  <c r="AB25" i="2"/>
  <c r="Z25" i="2"/>
  <c r="AG25" i="2" s="1"/>
  <c r="AC24" i="2"/>
  <c r="AB24" i="2"/>
  <c r="Z24" i="2"/>
  <c r="AG24" i="2" s="1"/>
  <c r="AC23" i="2"/>
  <c r="AB23" i="2"/>
  <c r="Z23" i="2"/>
  <c r="AK23" i="2" s="1"/>
  <c r="AC22" i="2"/>
  <c r="AB22" i="2"/>
  <c r="Z22" i="2"/>
  <c r="AK22" i="2" s="1"/>
  <c r="AC21" i="2"/>
  <c r="AB21" i="2"/>
  <c r="Z21" i="2"/>
  <c r="AG21" i="2" s="1"/>
  <c r="AC20" i="2"/>
  <c r="AB20" i="2"/>
  <c r="Z20" i="2"/>
  <c r="AG20" i="2" s="1"/>
  <c r="AC19" i="2"/>
  <c r="AB19" i="2"/>
  <c r="Z19" i="2"/>
  <c r="AG19" i="2" s="1"/>
  <c r="AC18" i="2"/>
  <c r="AB18" i="2"/>
  <c r="Z18" i="2"/>
  <c r="AG18" i="2" s="1"/>
  <c r="AC17" i="2"/>
  <c r="AB17" i="2"/>
  <c r="Z17" i="2"/>
  <c r="AG17" i="2" s="1"/>
  <c r="AC16" i="2"/>
  <c r="AB16" i="2"/>
  <c r="Z16" i="2"/>
  <c r="AG16" i="2" s="1"/>
  <c r="AC15" i="2"/>
  <c r="AB15" i="2"/>
  <c r="Z15" i="2"/>
  <c r="AG15" i="2" s="1"/>
  <c r="AC14" i="2"/>
  <c r="AB14" i="2"/>
  <c r="Z14" i="2"/>
  <c r="AG14" i="2" s="1"/>
  <c r="AC13" i="2"/>
  <c r="AB13" i="2"/>
  <c r="Z13" i="2"/>
  <c r="AG13" i="2" s="1"/>
  <c r="AC12" i="2"/>
  <c r="AB12" i="2"/>
  <c r="Z12" i="2"/>
  <c r="AG12" i="2" s="1"/>
  <c r="AC11" i="2"/>
  <c r="AB11" i="2"/>
  <c r="Z11" i="2"/>
  <c r="AK11" i="2" s="1"/>
  <c r="AC10" i="2"/>
  <c r="AB10" i="2"/>
  <c r="Z10" i="2"/>
  <c r="AK10" i="2" s="1"/>
  <c r="AC9" i="2"/>
  <c r="AB9" i="2"/>
  <c r="Z9" i="2"/>
  <c r="AG9" i="2" s="1"/>
  <c r="AC8" i="2"/>
  <c r="AB8" i="2"/>
  <c r="Z8" i="2"/>
  <c r="AK8" i="2" s="1"/>
  <c r="AC7" i="2"/>
  <c r="AB7" i="2"/>
  <c r="Z7" i="2"/>
  <c r="AK7" i="2" s="1"/>
  <c r="AC6" i="2"/>
  <c r="AB6" i="2"/>
  <c r="Z6" i="2"/>
  <c r="AK6" i="2" s="1"/>
  <c r="AC5" i="2"/>
  <c r="AB5" i="2"/>
  <c r="Z5" i="2"/>
  <c r="AK5" i="2" s="1"/>
  <c r="AC4" i="2"/>
  <c r="AB4" i="2"/>
  <c r="Z4" i="2"/>
  <c r="AK4" i="2" s="1"/>
  <c r="AC3" i="2"/>
  <c r="AB3" i="2"/>
  <c r="Z3" i="2"/>
  <c r="AK3" i="2" s="1"/>
  <c r="AK46" i="2" l="1"/>
  <c r="AG35" i="2"/>
  <c r="AG179" i="2"/>
  <c r="AG323" i="2"/>
  <c r="AK108" i="2"/>
  <c r="AO108" i="2" s="1"/>
  <c r="AK252" i="2"/>
  <c r="AO252" i="2" s="1"/>
  <c r="AO6" i="2"/>
  <c r="AO22" i="2"/>
  <c r="AO58" i="2"/>
  <c r="AO82" i="2"/>
  <c r="AO94" i="2"/>
  <c r="AO106" i="2"/>
  <c r="AO118" i="2"/>
  <c r="AO130" i="2"/>
  <c r="AO142" i="2"/>
  <c r="AO154" i="2"/>
  <c r="AO166" i="2"/>
  <c r="AO178" i="2"/>
  <c r="AO190" i="2"/>
  <c r="AO202" i="2"/>
  <c r="AO214" i="2"/>
  <c r="AO226" i="2"/>
  <c r="AO238" i="2"/>
  <c r="AO250" i="2"/>
  <c r="AO262" i="2"/>
  <c r="AO274" i="2"/>
  <c r="AO286" i="2"/>
  <c r="AO298" i="2"/>
  <c r="AO310" i="2"/>
  <c r="AO322" i="2"/>
  <c r="AO334" i="2"/>
  <c r="AO346" i="2"/>
  <c r="AO358" i="2"/>
  <c r="AG47" i="2"/>
  <c r="AG191" i="2"/>
  <c r="AG335" i="2"/>
  <c r="AK120" i="2"/>
  <c r="AO120" i="2" s="1"/>
  <c r="AK264" i="2"/>
  <c r="AO264" i="2" s="1"/>
  <c r="AO10" i="2"/>
  <c r="AO34" i="2"/>
  <c r="AO46" i="2"/>
  <c r="AO70" i="2"/>
  <c r="AG59" i="2"/>
  <c r="AG203" i="2"/>
  <c r="AG347" i="2"/>
  <c r="AK132" i="2"/>
  <c r="AO132" i="2" s="1"/>
  <c r="AK276" i="2"/>
  <c r="AO276" i="2" s="1"/>
  <c r="AG71" i="2"/>
  <c r="AG215" i="2"/>
  <c r="AG359" i="2"/>
  <c r="AK144" i="2"/>
  <c r="AO144" i="2" s="1"/>
  <c r="AK288" i="2"/>
  <c r="AO288" i="2" s="1"/>
  <c r="AO11" i="2"/>
  <c r="AO35" i="2"/>
  <c r="AO59" i="2"/>
  <c r="AO107" i="2"/>
  <c r="AO119" i="2"/>
  <c r="AO131" i="2"/>
  <c r="AO143" i="2"/>
  <c r="AO155" i="2"/>
  <c r="AO167" i="2"/>
  <c r="AO179" i="2"/>
  <c r="AO191" i="2"/>
  <c r="AO203" i="2"/>
  <c r="AO215" i="2"/>
  <c r="AO227" i="2"/>
  <c r="AO239" i="2"/>
  <c r="AO251" i="2"/>
  <c r="AO263" i="2"/>
  <c r="AO275" i="2"/>
  <c r="AO287" i="2"/>
  <c r="AO299" i="2"/>
  <c r="AO311" i="2"/>
  <c r="AO323" i="2"/>
  <c r="AO335" i="2"/>
  <c r="AO347" i="2"/>
  <c r="AO359" i="2"/>
  <c r="AG83" i="2"/>
  <c r="AG227" i="2"/>
  <c r="AK12" i="2"/>
  <c r="AO12" i="2" s="1"/>
  <c r="AK156" i="2"/>
  <c r="AO156" i="2" s="1"/>
  <c r="AK300" i="2"/>
  <c r="AO300" i="2" s="1"/>
  <c r="AO7" i="2"/>
  <c r="AO23" i="2"/>
  <c r="AO47" i="2"/>
  <c r="AO71" i="2"/>
  <c r="AO83" i="2"/>
  <c r="AO95" i="2"/>
  <c r="AG95" i="2"/>
  <c r="AG239" i="2"/>
  <c r="AK24" i="2"/>
  <c r="AO24" i="2" s="1"/>
  <c r="AK168" i="2"/>
  <c r="AO168" i="2" s="1"/>
  <c r="AK312" i="2"/>
  <c r="AO312" i="2" s="1"/>
  <c r="AG107" i="2"/>
  <c r="AG251" i="2"/>
  <c r="AK36" i="2"/>
  <c r="AO36" i="2" s="1"/>
  <c r="AK180" i="2"/>
  <c r="AO180" i="2" s="1"/>
  <c r="AK324" i="2"/>
  <c r="AO324" i="2" s="1"/>
  <c r="AO4" i="2"/>
  <c r="AG119" i="2"/>
  <c r="AG263" i="2"/>
  <c r="AK48" i="2"/>
  <c r="AO48" i="2" s="1"/>
  <c r="AK192" i="2"/>
  <c r="AO192" i="2" s="1"/>
  <c r="AK336" i="2"/>
  <c r="AO336" i="2" s="1"/>
  <c r="AO8" i="2"/>
  <c r="AG131" i="2"/>
  <c r="AG275" i="2"/>
  <c r="AK60" i="2"/>
  <c r="AO60" i="2" s="1"/>
  <c r="AK204" i="2"/>
  <c r="AO204" i="2" s="1"/>
  <c r="AK348" i="2"/>
  <c r="AO348" i="2" s="1"/>
  <c r="AG143" i="2"/>
  <c r="AG287" i="2"/>
  <c r="AK72" i="2"/>
  <c r="AO72" i="2" s="1"/>
  <c r="AK216" i="2"/>
  <c r="AO216" i="2" s="1"/>
  <c r="AK360" i="2"/>
  <c r="AO360" i="2" s="1"/>
  <c r="AO5" i="2"/>
  <c r="AG11" i="2"/>
  <c r="AG155" i="2"/>
  <c r="AG299" i="2"/>
  <c r="AK84" i="2"/>
  <c r="AO84" i="2" s="1"/>
  <c r="AK228" i="2"/>
  <c r="AO228" i="2" s="1"/>
  <c r="AG23" i="2"/>
  <c r="AG167" i="2"/>
  <c r="AG311" i="2"/>
  <c r="AK96" i="2"/>
  <c r="AO96" i="2" s="1"/>
  <c r="AK240" i="2"/>
  <c r="AO240" i="2" s="1"/>
  <c r="AG10" i="2"/>
  <c r="AG22" i="2"/>
  <c r="AG34" i="2"/>
  <c r="AG46" i="2"/>
  <c r="AG58" i="2"/>
  <c r="AG70" i="2"/>
  <c r="AG82" i="2"/>
  <c r="AG94" i="2"/>
  <c r="AG106" i="2"/>
  <c r="AG118" i="2"/>
  <c r="AG130" i="2"/>
  <c r="AG142" i="2"/>
  <c r="AG154" i="2"/>
  <c r="AG166" i="2"/>
  <c r="AG178" i="2"/>
  <c r="AG190" i="2"/>
  <c r="AG202" i="2"/>
  <c r="AG214" i="2"/>
  <c r="AG226" i="2"/>
  <c r="AG238" i="2"/>
  <c r="AG250" i="2"/>
  <c r="AG262" i="2"/>
  <c r="AG274" i="2"/>
  <c r="AG286" i="2"/>
  <c r="AG298" i="2"/>
  <c r="AG310" i="2"/>
  <c r="AG322" i="2"/>
  <c r="AG334" i="2"/>
  <c r="AG346" i="2"/>
  <c r="AG358" i="2"/>
  <c r="AK13" i="2"/>
  <c r="AO13" i="2" s="1"/>
  <c r="AK25" i="2"/>
  <c r="AO25" i="2" s="1"/>
  <c r="AK37" i="2"/>
  <c r="AO37" i="2" s="1"/>
  <c r="AK49" i="2"/>
  <c r="AO49" i="2" s="1"/>
  <c r="AK61" i="2"/>
  <c r="AO61" i="2" s="1"/>
  <c r="AK73" i="2"/>
  <c r="AO73" i="2" s="1"/>
  <c r="AK85" i="2"/>
  <c r="AO85" i="2" s="1"/>
  <c r="AK97" i="2"/>
  <c r="AO97" i="2" s="1"/>
  <c r="AK109" i="2"/>
  <c r="AO109" i="2" s="1"/>
  <c r="AK121" i="2"/>
  <c r="AO121" i="2" s="1"/>
  <c r="AK133" i="2"/>
  <c r="AO133" i="2" s="1"/>
  <c r="AK145" i="2"/>
  <c r="AO145" i="2" s="1"/>
  <c r="AK157" i="2"/>
  <c r="AO157" i="2" s="1"/>
  <c r="AK169" i="2"/>
  <c r="AO169" i="2" s="1"/>
  <c r="AK181" i="2"/>
  <c r="AO181" i="2" s="1"/>
  <c r="AK193" i="2"/>
  <c r="AO193" i="2" s="1"/>
  <c r="AK205" i="2"/>
  <c r="AO205" i="2" s="1"/>
  <c r="AK217" i="2"/>
  <c r="AO217" i="2" s="1"/>
  <c r="AK229" i="2"/>
  <c r="AO229" i="2" s="1"/>
  <c r="AK241" i="2"/>
  <c r="AO241" i="2" s="1"/>
  <c r="AK253" i="2"/>
  <c r="AO253" i="2" s="1"/>
  <c r="AK265" i="2"/>
  <c r="AO265" i="2" s="1"/>
  <c r="AK277" i="2"/>
  <c r="AO277" i="2" s="1"/>
  <c r="AK289" i="2"/>
  <c r="AO289" i="2" s="1"/>
  <c r="AK301" i="2"/>
  <c r="AO301" i="2" s="1"/>
  <c r="AK313" i="2"/>
  <c r="AO313" i="2" s="1"/>
  <c r="AK325" i="2"/>
  <c r="AO325" i="2" s="1"/>
  <c r="AK337" i="2"/>
  <c r="AO337" i="2" s="1"/>
  <c r="AK349" i="2"/>
  <c r="AO349" i="2" s="1"/>
  <c r="AK361" i="2"/>
  <c r="AO361" i="2" s="1"/>
  <c r="AK14" i="2"/>
  <c r="AO14" i="2" s="1"/>
  <c r="AK26" i="2"/>
  <c r="AO26" i="2" s="1"/>
  <c r="AK38" i="2"/>
  <c r="AO38" i="2" s="1"/>
  <c r="AK50" i="2"/>
  <c r="AO50" i="2" s="1"/>
  <c r="AK62" i="2"/>
  <c r="AO62" i="2" s="1"/>
  <c r="AK74" i="2"/>
  <c r="AO74" i="2" s="1"/>
  <c r="AK86" i="2"/>
  <c r="AO86" i="2" s="1"/>
  <c r="AK98" i="2"/>
  <c r="AO98" i="2" s="1"/>
  <c r="AK110" i="2"/>
  <c r="AO110" i="2" s="1"/>
  <c r="AK122" i="2"/>
  <c r="AO122" i="2" s="1"/>
  <c r="AK134" i="2"/>
  <c r="AO134" i="2" s="1"/>
  <c r="AK146" i="2"/>
  <c r="AO146" i="2" s="1"/>
  <c r="AK158" i="2"/>
  <c r="AO158" i="2" s="1"/>
  <c r="AK170" i="2"/>
  <c r="AO170" i="2" s="1"/>
  <c r="AK182" i="2"/>
  <c r="AO182" i="2" s="1"/>
  <c r="AK194" i="2"/>
  <c r="AO194" i="2" s="1"/>
  <c r="AK206" i="2"/>
  <c r="AO206" i="2" s="1"/>
  <c r="AK218" i="2"/>
  <c r="AO218" i="2" s="1"/>
  <c r="AK230" i="2"/>
  <c r="AO230" i="2" s="1"/>
  <c r="AK242" i="2"/>
  <c r="AO242" i="2" s="1"/>
  <c r="AK254" i="2"/>
  <c r="AO254" i="2" s="1"/>
  <c r="AK266" i="2"/>
  <c r="AO266" i="2" s="1"/>
  <c r="AK278" i="2"/>
  <c r="AO278" i="2" s="1"/>
  <c r="AK290" i="2"/>
  <c r="AO290" i="2" s="1"/>
  <c r="AK302" i="2"/>
  <c r="AO302" i="2" s="1"/>
  <c r="AK314" i="2"/>
  <c r="AO314" i="2" s="1"/>
  <c r="AK326" i="2"/>
  <c r="AO326" i="2" s="1"/>
  <c r="AK338" i="2"/>
  <c r="AO338" i="2" s="1"/>
  <c r="AK350" i="2"/>
  <c r="AO350" i="2" s="1"/>
  <c r="AK362" i="2"/>
  <c r="AO362" i="2" s="1"/>
  <c r="AK15" i="2"/>
  <c r="AO15" i="2" s="1"/>
  <c r="AK27" i="2"/>
  <c r="AO27" i="2" s="1"/>
  <c r="AK39" i="2"/>
  <c r="AO39" i="2" s="1"/>
  <c r="AK51" i="2"/>
  <c r="AO51" i="2" s="1"/>
  <c r="AK63" i="2"/>
  <c r="AO63" i="2" s="1"/>
  <c r="AK75" i="2"/>
  <c r="AO75" i="2" s="1"/>
  <c r="AK87" i="2"/>
  <c r="AO87" i="2" s="1"/>
  <c r="AK99" i="2"/>
  <c r="AO99" i="2" s="1"/>
  <c r="AK111" i="2"/>
  <c r="AO111" i="2" s="1"/>
  <c r="AK123" i="2"/>
  <c r="AO123" i="2" s="1"/>
  <c r="AK135" i="2"/>
  <c r="AO135" i="2" s="1"/>
  <c r="AK147" i="2"/>
  <c r="AO147" i="2" s="1"/>
  <c r="AK159" i="2"/>
  <c r="AO159" i="2" s="1"/>
  <c r="AK171" i="2"/>
  <c r="AO171" i="2" s="1"/>
  <c r="AK183" i="2"/>
  <c r="AO183" i="2" s="1"/>
  <c r="AK195" i="2"/>
  <c r="AO195" i="2" s="1"/>
  <c r="AK207" i="2"/>
  <c r="AO207" i="2" s="1"/>
  <c r="AK219" i="2"/>
  <c r="AO219" i="2" s="1"/>
  <c r="AK231" i="2"/>
  <c r="AO231" i="2" s="1"/>
  <c r="AK243" i="2"/>
  <c r="AO243" i="2" s="1"/>
  <c r="AK255" i="2"/>
  <c r="AO255" i="2" s="1"/>
  <c r="AK267" i="2"/>
  <c r="AO267" i="2" s="1"/>
  <c r="AK279" i="2"/>
  <c r="AO279" i="2" s="1"/>
  <c r="AK291" i="2"/>
  <c r="AO291" i="2" s="1"/>
  <c r="AK303" i="2"/>
  <c r="AO303" i="2" s="1"/>
  <c r="AK315" i="2"/>
  <c r="AO315" i="2" s="1"/>
  <c r="AK327" i="2"/>
  <c r="AO327" i="2" s="1"/>
  <c r="AK339" i="2"/>
  <c r="AO339" i="2" s="1"/>
  <c r="AK351" i="2"/>
  <c r="AO351" i="2" s="1"/>
  <c r="AK363" i="2"/>
  <c r="AO363" i="2" s="1"/>
  <c r="AK16" i="2"/>
  <c r="AO16" i="2" s="1"/>
  <c r="AK28" i="2"/>
  <c r="AO28" i="2" s="1"/>
  <c r="AK40" i="2"/>
  <c r="AO40" i="2" s="1"/>
  <c r="AK52" i="2"/>
  <c r="AO52" i="2" s="1"/>
  <c r="AK64" i="2"/>
  <c r="AO64" i="2" s="1"/>
  <c r="AK76" i="2"/>
  <c r="AO76" i="2" s="1"/>
  <c r="AK88" i="2"/>
  <c r="AO88" i="2" s="1"/>
  <c r="AK100" i="2"/>
  <c r="AO100" i="2" s="1"/>
  <c r="AK112" i="2"/>
  <c r="AO112" i="2" s="1"/>
  <c r="AK124" i="2"/>
  <c r="AO124" i="2" s="1"/>
  <c r="AK136" i="2"/>
  <c r="AO136" i="2" s="1"/>
  <c r="AK148" i="2"/>
  <c r="AO148" i="2" s="1"/>
  <c r="AK160" i="2"/>
  <c r="AO160" i="2" s="1"/>
  <c r="AK172" i="2"/>
  <c r="AO172" i="2" s="1"/>
  <c r="AK184" i="2"/>
  <c r="AO184" i="2" s="1"/>
  <c r="AK196" i="2"/>
  <c r="AO196" i="2" s="1"/>
  <c r="AK208" i="2"/>
  <c r="AO208" i="2" s="1"/>
  <c r="AK220" i="2"/>
  <c r="AO220" i="2" s="1"/>
  <c r="AK232" i="2"/>
  <c r="AO232" i="2" s="1"/>
  <c r="AK244" i="2"/>
  <c r="AO244" i="2" s="1"/>
  <c r="AK256" i="2"/>
  <c r="AO256" i="2" s="1"/>
  <c r="AK268" i="2"/>
  <c r="AO268" i="2" s="1"/>
  <c r="AK280" i="2"/>
  <c r="AO280" i="2" s="1"/>
  <c r="AK292" i="2"/>
  <c r="AO292" i="2" s="1"/>
  <c r="AK304" i="2"/>
  <c r="AO304" i="2" s="1"/>
  <c r="AK316" i="2"/>
  <c r="AO316" i="2" s="1"/>
  <c r="AK328" i="2"/>
  <c r="AO328" i="2" s="1"/>
  <c r="AK340" i="2"/>
  <c r="AO340" i="2" s="1"/>
  <c r="AK352" i="2"/>
  <c r="AO352" i="2" s="1"/>
  <c r="AK364" i="2"/>
  <c r="AO364" i="2" s="1"/>
  <c r="AK17" i="2"/>
  <c r="AO17" i="2" s="1"/>
  <c r="AK29" i="2"/>
  <c r="AO29" i="2" s="1"/>
  <c r="AK41" i="2"/>
  <c r="AO41" i="2" s="1"/>
  <c r="AK53" i="2"/>
  <c r="AO53" i="2" s="1"/>
  <c r="AK65" i="2"/>
  <c r="AO65" i="2" s="1"/>
  <c r="AK77" i="2"/>
  <c r="AO77" i="2" s="1"/>
  <c r="AK89" i="2"/>
  <c r="AO89" i="2" s="1"/>
  <c r="AK101" i="2"/>
  <c r="AO101" i="2" s="1"/>
  <c r="AK113" i="2"/>
  <c r="AO113" i="2" s="1"/>
  <c r="AK125" i="2"/>
  <c r="AO125" i="2" s="1"/>
  <c r="AK137" i="2"/>
  <c r="AO137" i="2" s="1"/>
  <c r="AK149" i="2"/>
  <c r="AO149" i="2" s="1"/>
  <c r="AK161" i="2"/>
  <c r="AO161" i="2" s="1"/>
  <c r="AK173" i="2"/>
  <c r="AO173" i="2" s="1"/>
  <c r="AK185" i="2"/>
  <c r="AO185" i="2" s="1"/>
  <c r="AK197" i="2"/>
  <c r="AO197" i="2" s="1"/>
  <c r="AK209" i="2"/>
  <c r="AO209" i="2" s="1"/>
  <c r="AK221" i="2"/>
  <c r="AO221" i="2" s="1"/>
  <c r="AK233" i="2"/>
  <c r="AO233" i="2" s="1"/>
  <c r="AK245" i="2"/>
  <c r="AO245" i="2" s="1"/>
  <c r="AK257" i="2"/>
  <c r="AO257" i="2" s="1"/>
  <c r="AK269" i="2"/>
  <c r="AO269" i="2" s="1"/>
  <c r="AK281" i="2"/>
  <c r="AO281" i="2" s="1"/>
  <c r="AK293" i="2"/>
  <c r="AO293" i="2" s="1"/>
  <c r="AK305" i="2"/>
  <c r="AO305" i="2" s="1"/>
  <c r="AK317" i="2"/>
  <c r="AO317" i="2" s="1"/>
  <c r="AK329" i="2"/>
  <c r="AO329" i="2" s="1"/>
  <c r="AK341" i="2"/>
  <c r="AO341" i="2" s="1"/>
  <c r="AK353" i="2"/>
  <c r="AO353" i="2" s="1"/>
  <c r="AK365" i="2"/>
  <c r="AO365" i="2" s="1"/>
  <c r="AK18" i="2"/>
  <c r="AO18" i="2" s="1"/>
  <c r="AK30" i="2"/>
  <c r="AO30" i="2" s="1"/>
  <c r="AK42" i="2"/>
  <c r="AO42" i="2" s="1"/>
  <c r="AK54" i="2"/>
  <c r="AO54" i="2" s="1"/>
  <c r="AK66" i="2"/>
  <c r="AO66" i="2" s="1"/>
  <c r="AK78" i="2"/>
  <c r="AO78" i="2" s="1"/>
  <c r="AK90" i="2"/>
  <c r="AO90" i="2" s="1"/>
  <c r="AK102" i="2"/>
  <c r="AO102" i="2" s="1"/>
  <c r="AK114" i="2"/>
  <c r="AO114" i="2" s="1"/>
  <c r="AK126" i="2"/>
  <c r="AO126" i="2" s="1"/>
  <c r="AK138" i="2"/>
  <c r="AO138" i="2" s="1"/>
  <c r="AK150" i="2"/>
  <c r="AO150" i="2" s="1"/>
  <c r="AK162" i="2"/>
  <c r="AO162" i="2" s="1"/>
  <c r="AK174" i="2"/>
  <c r="AO174" i="2" s="1"/>
  <c r="AK186" i="2"/>
  <c r="AO186" i="2" s="1"/>
  <c r="AK198" i="2"/>
  <c r="AO198" i="2" s="1"/>
  <c r="AK210" i="2"/>
  <c r="AO210" i="2" s="1"/>
  <c r="AK222" i="2"/>
  <c r="AO222" i="2" s="1"/>
  <c r="AK234" i="2"/>
  <c r="AO234" i="2" s="1"/>
  <c r="AK246" i="2"/>
  <c r="AO246" i="2" s="1"/>
  <c r="AK258" i="2"/>
  <c r="AO258" i="2" s="1"/>
  <c r="AK270" i="2"/>
  <c r="AO270" i="2" s="1"/>
  <c r="AK282" i="2"/>
  <c r="AO282" i="2" s="1"/>
  <c r="AK294" i="2"/>
  <c r="AO294" i="2" s="1"/>
  <c r="AK306" i="2"/>
  <c r="AO306" i="2" s="1"/>
  <c r="AK318" i="2"/>
  <c r="AO318" i="2" s="1"/>
  <c r="AK330" i="2"/>
  <c r="AO330" i="2" s="1"/>
  <c r="AK342" i="2"/>
  <c r="AO342" i="2" s="1"/>
  <c r="AK354" i="2"/>
  <c r="AO354" i="2" s="1"/>
  <c r="AK366" i="2"/>
  <c r="AO366" i="2" s="1"/>
  <c r="AK19" i="2"/>
  <c r="AO19" i="2" s="1"/>
  <c r="AK31" i="2"/>
  <c r="AO31" i="2" s="1"/>
  <c r="AK43" i="2"/>
  <c r="AO43" i="2" s="1"/>
  <c r="AK55" i="2"/>
  <c r="AO55" i="2" s="1"/>
  <c r="AK67" i="2"/>
  <c r="AO67" i="2" s="1"/>
  <c r="AK79" i="2"/>
  <c r="AO79" i="2" s="1"/>
  <c r="AK91" i="2"/>
  <c r="AO91" i="2" s="1"/>
  <c r="AK103" i="2"/>
  <c r="AO103" i="2" s="1"/>
  <c r="AK115" i="2"/>
  <c r="AO115" i="2" s="1"/>
  <c r="AK127" i="2"/>
  <c r="AO127" i="2" s="1"/>
  <c r="AK139" i="2"/>
  <c r="AO139" i="2" s="1"/>
  <c r="AK151" i="2"/>
  <c r="AO151" i="2" s="1"/>
  <c r="AK163" i="2"/>
  <c r="AO163" i="2" s="1"/>
  <c r="AK175" i="2"/>
  <c r="AO175" i="2" s="1"/>
  <c r="AK187" i="2"/>
  <c r="AO187" i="2" s="1"/>
  <c r="AK199" i="2"/>
  <c r="AO199" i="2" s="1"/>
  <c r="AK211" i="2"/>
  <c r="AO211" i="2" s="1"/>
  <c r="AK223" i="2"/>
  <c r="AO223" i="2" s="1"/>
  <c r="AK235" i="2"/>
  <c r="AO235" i="2" s="1"/>
  <c r="AK247" i="2"/>
  <c r="AO247" i="2" s="1"/>
  <c r="AK259" i="2"/>
  <c r="AO259" i="2" s="1"/>
  <c r="AK271" i="2"/>
  <c r="AO271" i="2" s="1"/>
  <c r="AK283" i="2"/>
  <c r="AO283" i="2" s="1"/>
  <c r="AK295" i="2"/>
  <c r="AO295" i="2" s="1"/>
  <c r="AK307" i="2"/>
  <c r="AO307" i="2" s="1"/>
  <c r="AK319" i="2"/>
  <c r="AO319" i="2" s="1"/>
  <c r="AK331" i="2"/>
  <c r="AO331" i="2" s="1"/>
  <c r="AK343" i="2"/>
  <c r="AO343" i="2" s="1"/>
  <c r="AK355" i="2"/>
  <c r="AO355" i="2" s="1"/>
  <c r="AK367" i="2"/>
  <c r="AO367" i="2" s="1"/>
  <c r="AK20" i="2"/>
  <c r="AO20" i="2" s="1"/>
  <c r="AK32" i="2"/>
  <c r="AO32" i="2" s="1"/>
  <c r="AK44" i="2"/>
  <c r="AO44" i="2" s="1"/>
  <c r="AK56" i="2"/>
  <c r="AO56" i="2" s="1"/>
  <c r="AK68" i="2"/>
  <c r="AO68" i="2" s="1"/>
  <c r="AK80" i="2"/>
  <c r="AO80" i="2" s="1"/>
  <c r="AK92" i="2"/>
  <c r="AO92" i="2" s="1"/>
  <c r="AK104" i="2"/>
  <c r="AO104" i="2" s="1"/>
  <c r="AK116" i="2"/>
  <c r="AO116" i="2" s="1"/>
  <c r="AK128" i="2"/>
  <c r="AO128" i="2" s="1"/>
  <c r="AK140" i="2"/>
  <c r="AO140" i="2" s="1"/>
  <c r="AK152" i="2"/>
  <c r="AO152" i="2" s="1"/>
  <c r="AK164" i="2"/>
  <c r="AO164" i="2" s="1"/>
  <c r="AK176" i="2"/>
  <c r="AO176" i="2" s="1"/>
  <c r="AK188" i="2"/>
  <c r="AO188" i="2" s="1"/>
  <c r="AK200" i="2"/>
  <c r="AO200" i="2" s="1"/>
  <c r="AK212" i="2"/>
  <c r="AO212" i="2" s="1"/>
  <c r="AK224" i="2"/>
  <c r="AO224" i="2" s="1"/>
  <c r="AK236" i="2"/>
  <c r="AO236" i="2" s="1"/>
  <c r="AK248" i="2"/>
  <c r="AO248" i="2" s="1"/>
  <c r="AK260" i="2"/>
  <c r="AO260" i="2" s="1"/>
  <c r="AK272" i="2"/>
  <c r="AO272" i="2" s="1"/>
  <c r="AK284" i="2"/>
  <c r="AO284" i="2" s="1"/>
  <c r="AK296" i="2"/>
  <c r="AO296" i="2" s="1"/>
  <c r="AK308" i="2"/>
  <c r="AO308" i="2" s="1"/>
  <c r="AK320" i="2"/>
  <c r="AO320" i="2" s="1"/>
  <c r="AK332" i="2"/>
  <c r="AO332" i="2" s="1"/>
  <c r="AK344" i="2"/>
  <c r="AO344" i="2" s="1"/>
  <c r="AK356" i="2"/>
  <c r="AO356" i="2" s="1"/>
  <c r="AK9" i="2"/>
  <c r="AO9" i="2" s="1"/>
  <c r="AK21" i="2"/>
  <c r="AO21" i="2" s="1"/>
  <c r="AK33" i="2"/>
  <c r="AO33" i="2" s="1"/>
  <c r="AK45" i="2"/>
  <c r="AO45" i="2" s="1"/>
  <c r="AK57" i="2"/>
  <c r="AO57" i="2" s="1"/>
  <c r="AK69" i="2"/>
  <c r="AO69" i="2" s="1"/>
  <c r="AK81" i="2"/>
  <c r="AO81" i="2" s="1"/>
  <c r="AK93" i="2"/>
  <c r="AO93" i="2" s="1"/>
  <c r="AK105" i="2"/>
  <c r="AO105" i="2" s="1"/>
  <c r="AK117" i="2"/>
  <c r="AO117" i="2" s="1"/>
  <c r="AK129" i="2"/>
  <c r="AO129" i="2" s="1"/>
  <c r="AK141" i="2"/>
  <c r="AO141" i="2" s="1"/>
  <c r="AK153" i="2"/>
  <c r="AO153" i="2" s="1"/>
  <c r="AK165" i="2"/>
  <c r="AO165" i="2" s="1"/>
  <c r="AK177" i="2"/>
  <c r="AO177" i="2" s="1"/>
  <c r="AK189" i="2"/>
  <c r="AO189" i="2" s="1"/>
  <c r="AK201" i="2"/>
  <c r="AO201" i="2" s="1"/>
  <c r="AK213" i="2"/>
  <c r="AO213" i="2" s="1"/>
  <c r="AK225" i="2"/>
  <c r="AO225" i="2" s="1"/>
  <c r="AK237" i="2"/>
  <c r="AO237" i="2" s="1"/>
  <c r="AK249" i="2"/>
  <c r="AO249" i="2" s="1"/>
  <c r="AK261" i="2"/>
  <c r="AO261" i="2" s="1"/>
  <c r="AK273" i="2"/>
  <c r="AO273" i="2" s="1"/>
  <c r="AK285" i="2"/>
  <c r="AO285" i="2" s="1"/>
  <c r="AK297" i="2"/>
  <c r="AO297" i="2" s="1"/>
  <c r="AK309" i="2"/>
  <c r="AO309" i="2" s="1"/>
  <c r="AK321" i="2"/>
  <c r="AO321" i="2" s="1"/>
  <c r="AK333" i="2"/>
  <c r="AO333" i="2" s="1"/>
  <c r="AK345" i="2"/>
  <c r="AO345" i="2" s="1"/>
  <c r="AK357" i="2"/>
  <c r="AO357" i="2" s="1"/>
  <c r="AG4" i="2"/>
  <c r="AG5" i="2"/>
  <c r="AG6" i="2"/>
  <c r="AG7" i="2"/>
  <c r="AG8" i="2"/>
  <c r="AO3" i="2"/>
  <c r="AG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" i="2"/>
  <c r="O3" i="2"/>
  <c r="U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" i="2"/>
  <c r="U363" i="2"/>
  <c r="U362" i="2"/>
  <c r="S361" i="2"/>
  <c r="S359" i="2"/>
  <c r="U357" i="2"/>
  <c r="U352" i="2"/>
  <c r="S352" i="2"/>
  <c r="U350" i="2"/>
  <c r="S350" i="2"/>
  <c r="U349" i="2"/>
  <c r="S348" i="2"/>
  <c r="U348" i="2"/>
  <c r="S346" i="2"/>
  <c r="U339" i="2"/>
  <c r="U338" i="2"/>
  <c r="S338" i="2"/>
  <c r="U337" i="2"/>
  <c r="S337" i="2"/>
  <c r="S329" i="2"/>
  <c r="U328" i="2"/>
  <c r="S328" i="2"/>
  <c r="U326" i="2"/>
  <c r="S326" i="2"/>
  <c r="U325" i="2"/>
  <c r="S325" i="2"/>
  <c r="U324" i="2"/>
  <c r="S324" i="2"/>
  <c r="U322" i="2"/>
  <c r="S322" i="2"/>
  <c r="U315" i="2"/>
  <c r="S314" i="2"/>
  <c r="S313" i="2"/>
  <c r="U311" i="2"/>
  <c r="S311" i="2"/>
  <c r="S304" i="2"/>
  <c r="U303" i="2"/>
  <c r="U302" i="2"/>
  <c r="S302" i="2"/>
  <c r="U298" i="2"/>
  <c r="S297" i="2"/>
  <c r="U296" i="2"/>
  <c r="S296" i="2"/>
  <c r="U292" i="2"/>
  <c r="S292" i="2"/>
  <c r="U291" i="2"/>
  <c r="U289" i="2"/>
  <c r="S289" i="2"/>
  <c r="U287" i="2"/>
  <c r="S287" i="2"/>
  <c r="U283" i="2"/>
  <c r="S280" i="2"/>
  <c r="U279" i="2"/>
  <c r="S279" i="2"/>
  <c r="U278" i="2"/>
  <c r="S278" i="2"/>
  <c r="U274" i="2"/>
  <c r="S274" i="2"/>
  <c r="U273" i="2"/>
  <c r="U272" i="2"/>
  <c r="U268" i="2"/>
  <c r="U267" i="2"/>
  <c r="S266" i="2"/>
  <c r="S265" i="2"/>
  <c r="U263" i="2"/>
  <c r="S263" i="2"/>
  <c r="S262" i="2"/>
  <c r="U262" i="2"/>
  <c r="S261" i="2"/>
  <c r="U257" i="2"/>
  <c r="U256" i="2"/>
  <c r="S256" i="2"/>
  <c r="S254" i="2"/>
  <c r="S251" i="2"/>
  <c r="U246" i="2"/>
  <c r="U245" i="2"/>
  <c r="U240" i="2"/>
  <c r="U239" i="2"/>
  <c r="S239" i="2"/>
  <c r="U230" i="2"/>
  <c r="S230" i="2"/>
  <c r="U229" i="2"/>
  <c r="S222" i="2"/>
  <c r="S221" i="2"/>
  <c r="U217" i="2"/>
  <c r="U215" i="2"/>
  <c r="S215" i="2"/>
  <c r="U212" i="2"/>
  <c r="U207" i="2"/>
  <c r="U206" i="2"/>
  <c r="S206" i="2"/>
  <c r="S204" i="2"/>
  <c r="U202" i="2"/>
  <c r="S202" i="2"/>
  <c r="U200" i="2"/>
  <c r="S200" i="2"/>
  <c r="S198" i="2"/>
  <c r="U188" i="2"/>
  <c r="S188" i="2"/>
  <c r="S186" i="2"/>
  <c r="U178" i="2"/>
  <c r="S176" i="2"/>
  <c r="U174" i="2"/>
  <c r="S174" i="2"/>
  <c r="S172" i="2"/>
  <c r="U172" i="2"/>
  <c r="U166" i="2"/>
  <c r="U162" i="2"/>
  <c r="S162" i="2"/>
  <c r="S160" i="2"/>
  <c r="U160" i="2"/>
  <c r="U154" i="2"/>
  <c r="S152" i="2"/>
  <c r="S148" i="2"/>
  <c r="U148" i="2"/>
  <c r="U140" i="2"/>
  <c r="U138" i="2"/>
  <c r="S138" i="2"/>
  <c r="S136" i="2"/>
  <c r="U136" i="2"/>
  <c r="U130" i="2"/>
  <c r="S128" i="2"/>
  <c r="S127" i="2"/>
  <c r="S124" i="2"/>
  <c r="U124" i="2"/>
  <c r="U122" i="2"/>
  <c r="U120" i="2"/>
  <c r="U119" i="2"/>
  <c r="S118" i="2"/>
  <c r="U118" i="2"/>
  <c r="S117" i="2"/>
  <c r="U117" i="2"/>
  <c r="U116" i="2"/>
  <c r="U113" i="2"/>
  <c r="S112" i="2"/>
  <c r="S109" i="2"/>
  <c r="U108" i="2"/>
  <c r="S107" i="2"/>
  <c r="U107" i="2"/>
  <c r="U106" i="2"/>
  <c r="S106" i="2"/>
  <c r="U104" i="2"/>
  <c r="S103" i="2"/>
  <c r="S101" i="2"/>
  <c r="U100" i="2"/>
  <c r="S100" i="2"/>
  <c r="U95" i="2"/>
  <c r="S94" i="2"/>
  <c r="U94" i="2"/>
  <c r="S93" i="2"/>
  <c r="U93" i="2"/>
  <c r="S92" i="2"/>
  <c r="S91" i="2"/>
  <c r="S90" i="2"/>
  <c r="U85" i="2"/>
  <c r="U84" i="2"/>
  <c r="S84" i="2"/>
  <c r="U83" i="2"/>
  <c r="U82" i="2"/>
  <c r="S82" i="2"/>
  <c r="S81" i="2"/>
  <c r="U81" i="2"/>
  <c r="U80" i="2"/>
  <c r="S80" i="2"/>
  <c r="S79" i="2"/>
  <c r="S78" i="2"/>
  <c r="U78" i="2"/>
  <c r="S74" i="2"/>
  <c r="S72" i="2"/>
  <c r="U72" i="2"/>
  <c r="U71" i="2"/>
  <c r="U70" i="2"/>
  <c r="S70" i="2"/>
  <c r="U69" i="2"/>
  <c r="S66" i="2"/>
  <c r="U66" i="2"/>
  <c r="S65" i="2"/>
  <c r="U65" i="2"/>
  <c r="U61" i="2"/>
  <c r="U60" i="2"/>
  <c r="S60" i="2"/>
  <c r="S59" i="2"/>
  <c r="U59" i="2"/>
  <c r="U58" i="2"/>
  <c r="S58" i="2"/>
  <c r="U57" i="2"/>
  <c r="S56" i="2"/>
  <c r="S55" i="2"/>
  <c r="S54" i="2"/>
  <c r="U54" i="2"/>
  <c r="S50" i="2"/>
  <c r="S49" i="2"/>
  <c r="U49" i="2"/>
  <c r="U48" i="2"/>
  <c r="U46" i="2"/>
  <c r="S46" i="2"/>
  <c r="S45" i="2"/>
  <c r="U45" i="2"/>
  <c r="S43" i="2"/>
  <c r="S42" i="2"/>
  <c r="U42" i="2"/>
  <c r="S37" i="2"/>
  <c r="U37" i="2"/>
  <c r="S36" i="2"/>
  <c r="U34" i="2"/>
  <c r="S34" i="2"/>
  <c r="U33" i="2"/>
  <c r="S32" i="2"/>
  <c r="S31" i="2"/>
  <c r="U30" i="2"/>
  <c r="U25" i="2"/>
  <c r="U21" i="2"/>
  <c r="U19" i="2"/>
  <c r="U16" i="2"/>
  <c r="S15" i="2"/>
  <c r="U15" i="2"/>
  <c r="U12" i="2"/>
  <c r="S12" i="2"/>
  <c r="U11" i="2"/>
  <c r="S10" i="2"/>
  <c r="S9" i="2"/>
  <c r="U9" i="2"/>
  <c r="U6" i="2"/>
  <c r="S6" i="2"/>
  <c r="S5" i="2"/>
  <c r="U5" i="2"/>
  <c r="U4" i="2"/>
  <c r="S4" i="2"/>
  <c r="S3" i="2"/>
  <c r="T367" i="4"/>
  <c r="T4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T118" i="4"/>
  <c r="T119" i="4"/>
  <c r="T120" i="4"/>
  <c r="T121" i="4"/>
  <c r="T122" i="4"/>
  <c r="T123" i="4"/>
  <c r="T124" i="4"/>
  <c r="T125" i="4"/>
  <c r="T126" i="4"/>
  <c r="T127" i="4"/>
  <c r="T128" i="4"/>
  <c r="T129" i="4"/>
  <c r="T130" i="4"/>
  <c r="T131" i="4"/>
  <c r="T132" i="4"/>
  <c r="T133" i="4"/>
  <c r="T134" i="4"/>
  <c r="T135" i="4"/>
  <c r="T136" i="4"/>
  <c r="T137" i="4"/>
  <c r="T138" i="4"/>
  <c r="T139" i="4"/>
  <c r="T140" i="4"/>
  <c r="T141" i="4"/>
  <c r="T142" i="4"/>
  <c r="T143" i="4"/>
  <c r="T144" i="4"/>
  <c r="T145" i="4"/>
  <c r="T146" i="4"/>
  <c r="T147" i="4"/>
  <c r="T148" i="4"/>
  <c r="T149" i="4"/>
  <c r="T150" i="4"/>
  <c r="T151" i="4"/>
  <c r="T152" i="4"/>
  <c r="T153" i="4"/>
  <c r="T154" i="4"/>
  <c r="T155" i="4"/>
  <c r="T156" i="4"/>
  <c r="T157" i="4"/>
  <c r="T158" i="4"/>
  <c r="T159" i="4"/>
  <c r="T160" i="4"/>
  <c r="T161" i="4"/>
  <c r="T162" i="4"/>
  <c r="T163" i="4"/>
  <c r="T164" i="4"/>
  <c r="T165" i="4"/>
  <c r="T166" i="4"/>
  <c r="T167" i="4"/>
  <c r="T168" i="4"/>
  <c r="T169" i="4"/>
  <c r="T170" i="4"/>
  <c r="T171" i="4"/>
  <c r="T172" i="4"/>
  <c r="T173" i="4"/>
  <c r="T174" i="4"/>
  <c r="T175" i="4"/>
  <c r="T176" i="4"/>
  <c r="T177" i="4"/>
  <c r="T178" i="4"/>
  <c r="T179" i="4"/>
  <c r="T180" i="4"/>
  <c r="T181" i="4"/>
  <c r="T182" i="4"/>
  <c r="T183" i="4"/>
  <c r="T184" i="4"/>
  <c r="T185" i="4"/>
  <c r="T186" i="4"/>
  <c r="T187" i="4"/>
  <c r="T188" i="4"/>
  <c r="T189" i="4"/>
  <c r="T190" i="4"/>
  <c r="T191" i="4"/>
  <c r="T192" i="4"/>
  <c r="T193" i="4"/>
  <c r="T194" i="4"/>
  <c r="T195" i="4"/>
  <c r="T196" i="4"/>
  <c r="T197" i="4"/>
  <c r="T198" i="4"/>
  <c r="T199" i="4"/>
  <c r="T200" i="4"/>
  <c r="T201" i="4"/>
  <c r="T202" i="4"/>
  <c r="T203" i="4"/>
  <c r="T204" i="4"/>
  <c r="T205" i="4"/>
  <c r="T206" i="4"/>
  <c r="T207" i="4"/>
  <c r="T208" i="4"/>
  <c r="T209" i="4"/>
  <c r="T210" i="4"/>
  <c r="T211" i="4"/>
  <c r="T212" i="4"/>
  <c r="T213" i="4"/>
  <c r="T214" i="4"/>
  <c r="T215" i="4"/>
  <c r="T216" i="4"/>
  <c r="T217" i="4"/>
  <c r="T218" i="4"/>
  <c r="T219" i="4"/>
  <c r="T220" i="4"/>
  <c r="T221" i="4"/>
  <c r="T222" i="4"/>
  <c r="T223" i="4"/>
  <c r="T224" i="4"/>
  <c r="T225" i="4"/>
  <c r="T226" i="4"/>
  <c r="T227" i="4"/>
  <c r="T228" i="4"/>
  <c r="T229" i="4"/>
  <c r="T230" i="4"/>
  <c r="T231" i="4"/>
  <c r="T232" i="4"/>
  <c r="T233" i="4"/>
  <c r="T234" i="4"/>
  <c r="T235" i="4"/>
  <c r="T236" i="4"/>
  <c r="T237" i="4"/>
  <c r="T238" i="4"/>
  <c r="T239" i="4"/>
  <c r="T240" i="4"/>
  <c r="T241" i="4"/>
  <c r="T242" i="4"/>
  <c r="T243" i="4"/>
  <c r="T244" i="4"/>
  <c r="T245" i="4"/>
  <c r="T246" i="4"/>
  <c r="T247" i="4"/>
  <c r="T248" i="4"/>
  <c r="T249" i="4"/>
  <c r="T250" i="4"/>
  <c r="T251" i="4"/>
  <c r="T252" i="4"/>
  <c r="T253" i="4"/>
  <c r="T254" i="4"/>
  <c r="T255" i="4"/>
  <c r="T256" i="4"/>
  <c r="T257" i="4"/>
  <c r="T258" i="4"/>
  <c r="T259" i="4"/>
  <c r="T260" i="4"/>
  <c r="T261" i="4"/>
  <c r="T262" i="4"/>
  <c r="T263" i="4"/>
  <c r="T264" i="4"/>
  <c r="T265" i="4"/>
  <c r="T266" i="4"/>
  <c r="T267" i="4"/>
  <c r="T268" i="4"/>
  <c r="T269" i="4"/>
  <c r="T270" i="4"/>
  <c r="T271" i="4"/>
  <c r="T272" i="4"/>
  <c r="T273" i="4"/>
  <c r="T274" i="4"/>
  <c r="T275" i="4"/>
  <c r="T276" i="4"/>
  <c r="T277" i="4"/>
  <c r="T278" i="4"/>
  <c r="T279" i="4"/>
  <c r="T280" i="4"/>
  <c r="T281" i="4"/>
  <c r="T282" i="4"/>
  <c r="T283" i="4"/>
  <c r="T284" i="4"/>
  <c r="T285" i="4"/>
  <c r="T286" i="4"/>
  <c r="T287" i="4"/>
  <c r="T288" i="4"/>
  <c r="T289" i="4"/>
  <c r="T290" i="4"/>
  <c r="T291" i="4"/>
  <c r="T292" i="4"/>
  <c r="T293" i="4"/>
  <c r="T294" i="4"/>
  <c r="T295" i="4"/>
  <c r="T296" i="4"/>
  <c r="T297" i="4"/>
  <c r="T298" i="4"/>
  <c r="T299" i="4"/>
  <c r="T300" i="4"/>
  <c r="T301" i="4"/>
  <c r="T302" i="4"/>
  <c r="T303" i="4"/>
  <c r="T304" i="4"/>
  <c r="T305" i="4"/>
  <c r="T306" i="4"/>
  <c r="T307" i="4"/>
  <c r="T308" i="4"/>
  <c r="T309" i="4"/>
  <c r="T310" i="4"/>
  <c r="T311" i="4"/>
  <c r="T312" i="4"/>
  <c r="T313" i="4"/>
  <c r="T314" i="4"/>
  <c r="T315" i="4"/>
  <c r="T316" i="4"/>
  <c r="T317" i="4"/>
  <c r="T318" i="4"/>
  <c r="T319" i="4"/>
  <c r="T320" i="4"/>
  <c r="T321" i="4"/>
  <c r="T322" i="4"/>
  <c r="T323" i="4"/>
  <c r="T324" i="4"/>
  <c r="T325" i="4"/>
  <c r="T326" i="4"/>
  <c r="T327" i="4"/>
  <c r="T328" i="4"/>
  <c r="T329" i="4"/>
  <c r="T330" i="4"/>
  <c r="T331" i="4"/>
  <c r="T332" i="4"/>
  <c r="T333" i="4"/>
  <c r="T334" i="4"/>
  <c r="T335" i="4"/>
  <c r="T336" i="4"/>
  <c r="T337" i="4"/>
  <c r="T338" i="4"/>
  <c r="T339" i="4"/>
  <c r="T340" i="4"/>
  <c r="T341" i="4"/>
  <c r="T342" i="4"/>
  <c r="T343" i="4"/>
  <c r="T344" i="4"/>
  <c r="T345" i="4"/>
  <c r="T346" i="4"/>
  <c r="T347" i="4"/>
  <c r="T348" i="4"/>
  <c r="T349" i="4"/>
  <c r="T350" i="4"/>
  <c r="T351" i="4"/>
  <c r="T352" i="4"/>
  <c r="T353" i="4"/>
  <c r="T354" i="4"/>
  <c r="T355" i="4"/>
  <c r="T356" i="4"/>
  <c r="T357" i="4"/>
  <c r="T358" i="4"/>
  <c r="T359" i="4"/>
  <c r="T360" i="4"/>
  <c r="T361" i="4"/>
  <c r="T362" i="4"/>
  <c r="T363" i="4"/>
  <c r="T364" i="4"/>
  <c r="T365" i="4"/>
  <c r="T366" i="4"/>
  <c r="T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" i="4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M3" i="2"/>
  <c r="F3" i="2"/>
  <c r="AJ3" i="2" l="1"/>
  <c r="AN3" i="2" s="1"/>
  <c r="AF329" i="2"/>
  <c r="AJ352" i="2"/>
  <c r="AN352" i="2" s="1"/>
  <c r="AF328" i="2"/>
  <c r="AF304" i="2"/>
  <c r="AF292" i="2"/>
  <c r="AJ350" i="2"/>
  <c r="AN350" i="2" s="1"/>
  <c r="AF338" i="2"/>
  <c r="AF326" i="2"/>
  <c r="AF314" i="2"/>
  <c r="AF302" i="2"/>
  <c r="AF361" i="2"/>
  <c r="AF337" i="2"/>
  <c r="AF325" i="2"/>
  <c r="AF313" i="2"/>
  <c r="AJ348" i="2"/>
  <c r="AN348" i="2" s="1"/>
  <c r="AJ324" i="2"/>
  <c r="AN324" i="2" s="1"/>
  <c r="AJ311" i="2"/>
  <c r="AN311" i="2" s="1"/>
  <c r="AJ322" i="2"/>
  <c r="AN322" i="2" s="1"/>
  <c r="AF274" i="2"/>
  <c r="AF262" i="2"/>
  <c r="AF202" i="2"/>
  <c r="AF118" i="2"/>
  <c r="AF106" i="2"/>
  <c r="AF94" i="2"/>
  <c r="AF82" i="2"/>
  <c r="AF70" i="2"/>
  <c r="AF58" i="2"/>
  <c r="AF46" i="2"/>
  <c r="AJ34" i="2"/>
  <c r="AN34" i="2" s="1"/>
  <c r="AF3" i="2"/>
  <c r="AF296" i="2"/>
  <c r="AF287" i="2"/>
  <c r="AF263" i="2"/>
  <c r="AF251" i="2"/>
  <c r="AF239" i="2"/>
  <c r="AF215" i="2"/>
  <c r="AF107" i="2"/>
  <c r="AF59" i="2"/>
  <c r="AF261" i="2"/>
  <c r="AF117" i="2"/>
  <c r="AF93" i="2"/>
  <c r="AF81" i="2"/>
  <c r="AJ45" i="2"/>
  <c r="AN45" i="2" s="1"/>
  <c r="AJ9" i="2"/>
  <c r="AN9" i="2" s="1"/>
  <c r="AJ200" i="2"/>
  <c r="AN200" i="2" s="1"/>
  <c r="AJ188" i="2"/>
  <c r="AN188" i="2" s="1"/>
  <c r="AF176" i="2"/>
  <c r="AF92" i="2"/>
  <c r="AF80" i="2"/>
  <c r="AF32" i="2"/>
  <c r="AF103" i="2"/>
  <c r="AF91" i="2"/>
  <c r="AF79" i="2"/>
  <c r="AF55" i="2"/>
  <c r="AF43" i="2"/>
  <c r="AF31" i="2"/>
  <c r="AJ174" i="2"/>
  <c r="AN174" i="2" s="1"/>
  <c r="AJ162" i="2"/>
  <c r="AN162" i="2" s="1"/>
  <c r="AJ138" i="2"/>
  <c r="AN138" i="2" s="1"/>
  <c r="AJ78" i="2"/>
  <c r="AN78" i="2" s="1"/>
  <c r="AJ66" i="2"/>
  <c r="AN66" i="2" s="1"/>
  <c r="AJ54" i="2"/>
  <c r="AN54" i="2" s="1"/>
  <c r="AJ42" i="2"/>
  <c r="AN42" i="2" s="1"/>
  <c r="AJ6" i="2"/>
  <c r="AN6" i="2" s="1"/>
  <c r="AF221" i="2"/>
  <c r="AF65" i="2"/>
  <c r="AF5" i="2"/>
  <c r="AF280" i="2"/>
  <c r="AF256" i="2"/>
  <c r="AF172" i="2"/>
  <c r="AF160" i="2"/>
  <c r="AF148" i="2"/>
  <c r="AF136" i="2"/>
  <c r="AF124" i="2"/>
  <c r="AJ100" i="2"/>
  <c r="AN100" i="2" s="1"/>
  <c r="AF4" i="2"/>
  <c r="AF279" i="2"/>
  <c r="AF15" i="2"/>
  <c r="AF278" i="2"/>
  <c r="AF266" i="2"/>
  <c r="AF254" i="2"/>
  <c r="AF230" i="2"/>
  <c r="AF206" i="2"/>
  <c r="AF74" i="2"/>
  <c r="AF50" i="2"/>
  <c r="AF289" i="2"/>
  <c r="AF265" i="2"/>
  <c r="AF109" i="2"/>
  <c r="AJ49" i="2"/>
  <c r="AN49" i="2" s="1"/>
  <c r="AF37" i="2"/>
  <c r="AF84" i="2"/>
  <c r="AF72" i="2"/>
  <c r="AJ60" i="2"/>
  <c r="AN60" i="2" s="1"/>
  <c r="AF12" i="2"/>
  <c r="AF346" i="2"/>
  <c r="AF322" i="2"/>
  <c r="AJ117" i="2"/>
  <c r="AN117" i="2" s="1"/>
  <c r="AF348" i="2"/>
  <c r="AJ81" i="2"/>
  <c r="AN81" i="2" s="1"/>
  <c r="AF188" i="2"/>
  <c r="AF152" i="2"/>
  <c r="AF56" i="2"/>
  <c r="AJ80" i="2"/>
  <c r="AN80" i="2" s="1"/>
  <c r="AF311" i="2"/>
  <c r="AF49" i="2"/>
  <c r="AJ296" i="2"/>
  <c r="AN296" i="2" s="1"/>
  <c r="AJ72" i="2"/>
  <c r="AN72" i="2" s="1"/>
  <c r="AJ215" i="2"/>
  <c r="AN215" i="2" s="1"/>
  <c r="AF128" i="2"/>
  <c r="AF10" i="2"/>
  <c r="AF127" i="2"/>
  <c r="AF45" i="2"/>
  <c r="AF9" i="2"/>
  <c r="AF204" i="2"/>
  <c r="AJ59" i="2"/>
  <c r="AN59" i="2" s="1"/>
  <c r="AF359" i="2"/>
  <c r="AF297" i="2"/>
  <c r="AF101" i="2"/>
  <c r="AF36" i="2"/>
  <c r="AJ202" i="2"/>
  <c r="AN202" i="2" s="1"/>
  <c r="AJ58" i="2"/>
  <c r="AN58" i="2" s="1"/>
  <c r="AF200" i="2"/>
  <c r="AF100" i="2"/>
  <c r="AJ136" i="2"/>
  <c r="AN136" i="2" s="1"/>
  <c r="AJ93" i="2"/>
  <c r="AN93" i="2" s="1"/>
  <c r="AF324" i="2"/>
  <c r="AF34" i="2"/>
  <c r="AJ230" i="2"/>
  <c r="AN230" i="2" s="1"/>
  <c r="AJ124" i="2"/>
  <c r="AN124" i="2" s="1"/>
  <c r="AJ46" i="2"/>
  <c r="AN46" i="2" s="1"/>
  <c r="AF60" i="2"/>
  <c r="AJ256" i="2"/>
  <c r="AN256" i="2" s="1"/>
  <c r="AJ84" i="2"/>
  <c r="AN84" i="2" s="1"/>
  <c r="AJ5" i="2"/>
  <c r="AN5" i="2" s="1"/>
  <c r="AF138" i="2"/>
  <c r="AF112" i="2"/>
  <c r="AJ292" i="2"/>
  <c r="AN292" i="2" s="1"/>
  <c r="AJ279" i="2"/>
  <c r="AN279" i="2" s="1"/>
  <c r="AJ148" i="2"/>
  <c r="AN148" i="2" s="1"/>
  <c r="AJ70" i="2"/>
  <c r="AN70" i="2" s="1"/>
  <c r="AJ4" i="2"/>
  <c r="AN4" i="2" s="1"/>
  <c r="AF6" i="2"/>
  <c r="AJ278" i="2"/>
  <c r="AN278" i="2" s="1"/>
  <c r="AJ239" i="2"/>
  <c r="AN239" i="2" s="1"/>
  <c r="AJ160" i="2"/>
  <c r="AN160" i="2" s="1"/>
  <c r="AJ82" i="2"/>
  <c r="AN82" i="2" s="1"/>
  <c r="AF162" i="2"/>
  <c r="AJ172" i="2"/>
  <c r="AN172" i="2" s="1"/>
  <c r="AJ107" i="2"/>
  <c r="AN107" i="2" s="1"/>
  <c r="AJ94" i="2"/>
  <c r="AN94" i="2" s="1"/>
  <c r="AJ15" i="2"/>
  <c r="AN15" i="2" s="1"/>
  <c r="AF174" i="2"/>
  <c r="AJ328" i="2"/>
  <c r="AN328" i="2" s="1"/>
  <c r="AJ302" i="2"/>
  <c r="AN302" i="2" s="1"/>
  <c r="AJ289" i="2"/>
  <c r="AN289" i="2" s="1"/>
  <c r="AJ263" i="2"/>
  <c r="AN263" i="2" s="1"/>
  <c r="AJ106" i="2"/>
  <c r="AN106" i="2" s="1"/>
  <c r="AF186" i="2"/>
  <c r="AF42" i="2"/>
  <c r="AJ262" i="2"/>
  <c r="AN262" i="2" s="1"/>
  <c r="AJ118" i="2"/>
  <c r="AN118" i="2" s="1"/>
  <c r="AJ65" i="2"/>
  <c r="AN65" i="2" s="1"/>
  <c r="AF352" i="2"/>
  <c r="AF198" i="2"/>
  <c r="AF54" i="2"/>
  <c r="AJ326" i="2"/>
  <c r="AN326" i="2" s="1"/>
  <c r="AJ287" i="2"/>
  <c r="AN287" i="2" s="1"/>
  <c r="AJ274" i="2"/>
  <c r="AN274" i="2" s="1"/>
  <c r="AJ12" i="2"/>
  <c r="AN12" i="2" s="1"/>
  <c r="AF66" i="2"/>
  <c r="AJ338" i="2"/>
  <c r="AN338" i="2" s="1"/>
  <c r="AJ325" i="2"/>
  <c r="AN325" i="2" s="1"/>
  <c r="AJ37" i="2"/>
  <c r="AN37" i="2" s="1"/>
  <c r="AF350" i="2"/>
  <c r="AF222" i="2"/>
  <c r="AF78" i="2"/>
  <c r="AJ337" i="2"/>
  <c r="AN337" i="2" s="1"/>
  <c r="AJ206" i="2"/>
  <c r="AN206" i="2" s="1"/>
  <c r="AF90" i="2"/>
  <c r="U13" i="2"/>
  <c r="S13" i="2"/>
  <c r="AF13" i="2" s="1"/>
  <c r="U26" i="2"/>
  <c r="S26" i="2"/>
  <c r="AF26" i="2" s="1"/>
  <c r="U53" i="2"/>
  <c r="S53" i="2"/>
  <c r="AF53" i="2" s="1"/>
  <c r="U88" i="2"/>
  <c r="S88" i="2"/>
  <c r="AF88" i="2" s="1"/>
  <c r="U110" i="2"/>
  <c r="S110" i="2"/>
  <c r="U17" i="2"/>
  <c r="S17" i="2"/>
  <c r="U22" i="2"/>
  <c r="S22" i="2"/>
  <c r="U89" i="2"/>
  <c r="S89" i="2"/>
  <c r="AF89" i="2" s="1"/>
  <c r="U18" i="2"/>
  <c r="S18" i="2"/>
  <c r="AF18" i="2" s="1"/>
  <c r="U35" i="2"/>
  <c r="S35" i="2"/>
  <c r="U39" i="2"/>
  <c r="S39" i="2"/>
  <c r="AF39" i="2" s="1"/>
  <c r="U64" i="2"/>
  <c r="S64" i="2"/>
  <c r="U7" i="2"/>
  <c r="S7" i="2"/>
  <c r="AF7" i="2" s="1"/>
  <c r="U28" i="2"/>
  <c r="S28" i="2"/>
  <c r="AF28" i="2" s="1"/>
  <c r="U68" i="2"/>
  <c r="S68" i="2"/>
  <c r="AF68" i="2" s="1"/>
  <c r="U105" i="2"/>
  <c r="S105" i="2"/>
  <c r="U86" i="2"/>
  <c r="S86" i="2"/>
  <c r="AF86" i="2" s="1"/>
  <c r="U29" i="2"/>
  <c r="S29" i="2"/>
  <c r="U41" i="2"/>
  <c r="S41" i="2"/>
  <c r="AF41" i="2" s="1"/>
  <c r="S98" i="2"/>
  <c r="U98" i="2"/>
  <c r="U77" i="2"/>
  <c r="S77" i="2"/>
  <c r="AF77" i="2" s="1"/>
  <c r="U87" i="2"/>
  <c r="S87" i="2"/>
  <c r="U62" i="2"/>
  <c r="S62" i="2"/>
  <c r="AF62" i="2" s="1"/>
  <c r="U153" i="2"/>
  <c r="S153" i="2"/>
  <c r="U236" i="2"/>
  <c r="S236" i="2"/>
  <c r="AF236" i="2" s="1"/>
  <c r="U249" i="2"/>
  <c r="S249" i="2"/>
  <c r="U276" i="2"/>
  <c r="S276" i="2"/>
  <c r="U284" i="2"/>
  <c r="S284" i="2"/>
  <c r="U306" i="2"/>
  <c r="S306" i="2"/>
  <c r="AF306" i="2" s="1"/>
  <c r="U355" i="2"/>
  <c r="S355" i="2"/>
  <c r="U193" i="2"/>
  <c r="S193" i="2"/>
  <c r="AF193" i="2" s="1"/>
  <c r="S288" i="2"/>
  <c r="S19" i="2"/>
  <c r="AJ19" i="2" s="1"/>
  <c r="AN19" i="2" s="1"/>
  <c r="S24" i="2"/>
  <c r="AF24" i="2" s="1"/>
  <c r="S44" i="2"/>
  <c r="S52" i="2"/>
  <c r="AF52" i="2" s="1"/>
  <c r="S57" i="2"/>
  <c r="AF57" i="2" s="1"/>
  <c r="S76" i="2"/>
  <c r="S122" i="2"/>
  <c r="AJ122" i="2" s="1"/>
  <c r="AN122" i="2" s="1"/>
  <c r="U125" i="2"/>
  <c r="U141" i="2"/>
  <c r="S141" i="2"/>
  <c r="AF141" i="2" s="1"/>
  <c r="S150" i="2"/>
  <c r="U175" i="2"/>
  <c r="S175" i="2"/>
  <c r="AF175" i="2" s="1"/>
  <c r="U179" i="2"/>
  <c r="S179" i="2"/>
  <c r="U223" i="2"/>
  <c r="S223" i="2"/>
  <c r="AF223" i="2" s="1"/>
  <c r="U231" i="2"/>
  <c r="S231" i="2"/>
  <c r="AF231" i="2" s="1"/>
  <c r="U237" i="2"/>
  <c r="S237" i="2"/>
  <c r="AF237" i="2" s="1"/>
  <c r="U258" i="2"/>
  <c r="S258" i="2"/>
  <c r="AF258" i="2" s="1"/>
  <c r="U277" i="2"/>
  <c r="S277" i="2"/>
  <c r="AF277" i="2" s="1"/>
  <c r="U307" i="2"/>
  <c r="S307" i="2"/>
  <c r="AF307" i="2" s="1"/>
  <c r="U319" i="2"/>
  <c r="S319" i="2"/>
  <c r="U356" i="2"/>
  <c r="S356" i="2"/>
  <c r="U14" i="2"/>
  <c r="S14" i="2"/>
  <c r="U158" i="2"/>
  <c r="S158" i="2"/>
  <c r="AF158" i="2" s="1"/>
  <c r="U227" i="2"/>
  <c r="S227" i="2"/>
  <c r="AF227" i="2" s="1"/>
  <c r="U36" i="2"/>
  <c r="AJ36" i="2" s="1"/>
  <c r="AN36" i="2" s="1"/>
  <c r="U92" i="2"/>
  <c r="AJ92" i="2" s="1"/>
  <c r="AN92" i="2" s="1"/>
  <c r="S104" i="2"/>
  <c r="AJ104" i="2" s="1"/>
  <c r="AN104" i="2" s="1"/>
  <c r="S113" i="2"/>
  <c r="AJ113" i="2" s="1"/>
  <c r="AN113" i="2" s="1"/>
  <c r="S125" i="2"/>
  <c r="U128" i="2"/>
  <c r="AJ128" i="2" s="1"/>
  <c r="AN128" i="2" s="1"/>
  <c r="U133" i="2"/>
  <c r="S133" i="2"/>
  <c r="U146" i="2"/>
  <c r="S146" i="2"/>
  <c r="S154" i="2"/>
  <c r="AJ154" i="2" s="1"/>
  <c r="AN154" i="2" s="1"/>
  <c r="U159" i="2"/>
  <c r="S159" i="2"/>
  <c r="AJ159" i="2" s="1"/>
  <c r="AN159" i="2" s="1"/>
  <c r="U185" i="2"/>
  <c r="S185" i="2"/>
  <c r="U189" i="2"/>
  <c r="S189" i="2"/>
  <c r="U194" i="2"/>
  <c r="S194" i="2"/>
  <c r="AF194" i="2" s="1"/>
  <c r="U210" i="2"/>
  <c r="S210" i="2"/>
  <c r="AF210" i="2" s="1"/>
  <c r="U266" i="2"/>
  <c r="AJ266" i="2" s="1"/>
  <c r="AN266" i="2" s="1"/>
  <c r="U288" i="2"/>
  <c r="U360" i="2"/>
  <c r="S360" i="2"/>
  <c r="AF360" i="2" s="1"/>
  <c r="U364" i="2"/>
  <c r="S364" i="2"/>
  <c r="U214" i="2"/>
  <c r="S214" i="2"/>
  <c r="U24" i="2"/>
  <c r="U44" i="2"/>
  <c r="U47" i="2"/>
  <c r="S47" i="2"/>
  <c r="AF47" i="2" s="1"/>
  <c r="U52" i="2"/>
  <c r="U63" i="2"/>
  <c r="S63" i="2"/>
  <c r="AF63" i="2" s="1"/>
  <c r="U76" i="2"/>
  <c r="U79" i="2"/>
  <c r="AJ79" i="2" s="1"/>
  <c r="AN79" i="2" s="1"/>
  <c r="U90" i="2"/>
  <c r="AJ90" i="2" s="1"/>
  <c r="AN90" i="2" s="1"/>
  <c r="U101" i="2"/>
  <c r="AJ101" i="2" s="1"/>
  <c r="AN101" i="2" s="1"/>
  <c r="U129" i="2"/>
  <c r="S129" i="2"/>
  <c r="U150" i="2"/>
  <c r="U163" i="2"/>
  <c r="S163" i="2"/>
  <c r="U167" i="2"/>
  <c r="S167" i="2"/>
  <c r="AF167" i="2" s="1"/>
  <c r="U224" i="2"/>
  <c r="S224" i="2"/>
  <c r="AF224" i="2" s="1"/>
  <c r="U232" i="2"/>
  <c r="S232" i="2"/>
  <c r="AJ232" i="2" s="1"/>
  <c r="AN232" i="2" s="1"/>
  <c r="U238" i="2"/>
  <c r="S238" i="2"/>
  <c r="AF238" i="2" s="1"/>
  <c r="S246" i="2"/>
  <c r="AF246" i="2" s="1"/>
  <c r="U255" i="2"/>
  <c r="S255" i="2"/>
  <c r="U259" i="2"/>
  <c r="S259" i="2"/>
  <c r="AF259" i="2" s="1"/>
  <c r="U281" i="2"/>
  <c r="S281" i="2"/>
  <c r="AJ281" i="2" s="1"/>
  <c r="AN281" i="2" s="1"/>
  <c r="S303" i="2"/>
  <c r="AF303" i="2" s="1"/>
  <c r="U308" i="2"/>
  <c r="S308" i="2"/>
  <c r="U320" i="2"/>
  <c r="S320" i="2"/>
  <c r="S349" i="2"/>
  <c r="AJ349" i="2" s="1"/>
  <c r="AN349" i="2" s="1"/>
  <c r="S166" i="2"/>
  <c r="AF166" i="2" s="1"/>
  <c r="U27" i="2"/>
  <c r="S27" i="2"/>
  <c r="AF27" i="2" s="1"/>
  <c r="U55" i="2"/>
  <c r="AJ55" i="2" s="1"/>
  <c r="AN55" i="2" s="1"/>
  <c r="U134" i="2"/>
  <c r="S134" i="2"/>
  <c r="AJ134" i="2" s="1"/>
  <c r="AN134" i="2" s="1"/>
  <c r="S142" i="2"/>
  <c r="U147" i="2"/>
  <c r="S147" i="2"/>
  <c r="AJ147" i="2" s="1"/>
  <c r="AN147" i="2" s="1"/>
  <c r="U180" i="2"/>
  <c r="S180" i="2"/>
  <c r="U186" i="2"/>
  <c r="AJ186" i="2" s="1"/>
  <c r="AN186" i="2" s="1"/>
  <c r="S190" i="2"/>
  <c r="AF190" i="2" s="1"/>
  <c r="U195" i="2"/>
  <c r="S195" i="2"/>
  <c r="AF195" i="2" s="1"/>
  <c r="U211" i="2"/>
  <c r="S211" i="2"/>
  <c r="AF211" i="2" s="1"/>
  <c r="U242" i="2"/>
  <c r="S242" i="2"/>
  <c r="U251" i="2"/>
  <c r="AJ251" i="2" s="1"/>
  <c r="AN251" i="2" s="1"/>
  <c r="U342" i="2"/>
  <c r="S365" i="2"/>
  <c r="AF365" i="2" s="1"/>
  <c r="U365" i="2"/>
  <c r="U132" i="2"/>
  <c r="S132" i="2"/>
  <c r="AF132" i="2" s="1"/>
  <c r="U171" i="2"/>
  <c r="S171" i="2"/>
  <c r="AF171" i="2" s="1"/>
  <c r="U218" i="2"/>
  <c r="S218" i="2"/>
  <c r="U114" i="2"/>
  <c r="U123" i="2"/>
  <c r="S123" i="2"/>
  <c r="U126" i="2"/>
  <c r="S126" i="2"/>
  <c r="U151" i="2"/>
  <c r="S151" i="2"/>
  <c r="U155" i="2"/>
  <c r="S155" i="2"/>
  <c r="AF155" i="2" s="1"/>
  <c r="U220" i="2"/>
  <c r="S220" i="2"/>
  <c r="U233" i="2"/>
  <c r="S233" i="2"/>
  <c r="AF233" i="2" s="1"/>
  <c r="U260" i="2"/>
  <c r="S260" i="2"/>
  <c r="AF260" i="2" s="1"/>
  <c r="U271" i="2"/>
  <c r="S271" i="2"/>
  <c r="U282" i="2"/>
  <c r="S282" i="2"/>
  <c r="U286" i="2"/>
  <c r="S286" i="2"/>
  <c r="S316" i="2"/>
  <c r="U321" i="2"/>
  <c r="S321" i="2"/>
  <c r="AF321" i="2" s="1"/>
  <c r="S342" i="2"/>
  <c r="AF342" i="2" s="1"/>
  <c r="U137" i="2"/>
  <c r="S137" i="2"/>
  <c r="AF137" i="2" s="1"/>
  <c r="S8" i="2"/>
  <c r="AF8" i="2" s="1"/>
  <c r="U10" i="2"/>
  <c r="AJ10" i="2" s="1"/>
  <c r="AN10" i="2" s="1"/>
  <c r="S20" i="2"/>
  <c r="S25" i="2"/>
  <c r="AF25" i="2" s="1"/>
  <c r="U32" i="2"/>
  <c r="AJ32" i="2" s="1"/>
  <c r="AN32" i="2" s="1"/>
  <c r="S40" i="2"/>
  <c r="U50" i="2"/>
  <c r="AJ50" i="2" s="1"/>
  <c r="AN50" i="2" s="1"/>
  <c r="S69" i="2"/>
  <c r="AF69" i="2" s="1"/>
  <c r="U74" i="2"/>
  <c r="AJ74" i="2" s="1"/>
  <c r="AN74" i="2" s="1"/>
  <c r="S85" i="2"/>
  <c r="AJ85" i="2" s="1"/>
  <c r="AN85" i="2" s="1"/>
  <c r="S96" i="2"/>
  <c r="U111" i="2"/>
  <c r="S111" i="2"/>
  <c r="AF111" i="2" s="1"/>
  <c r="S114" i="2"/>
  <c r="AF114" i="2" s="1"/>
  <c r="S120" i="2"/>
  <c r="AJ120" i="2" s="1"/>
  <c r="AN120" i="2" s="1"/>
  <c r="S130" i="2"/>
  <c r="AJ130" i="2" s="1"/>
  <c r="AN130" i="2" s="1"/>
  <c r="U135" i="2"/>
  <c r="S135" i="2"/>
  <c r="U142" i="2"/>
  <c r="S164" i="2"/>
  <c r="U168" i="2"/>
  <c r="S168" i="2"/>
  <c r="AF168" i="2" s="1"/>
  <c r="U173" i="2"/>
  <c r="S173" i="2"/>
  <c r="AF173" i="2" s="1"/>
  <c r="U176" i="2"/>
  <c r="AJ176" i="2" s="1"/>
  <c r="AN176" i="2" s="1"/>
  <c r="U181" i="2"/>
  <c r="S181" i="2"/>
  <c r="AF181" i="2" s="1"/>
  <c r="U190" i="2"/>
  <c r="U196" i="2"/>
  <c r="S196" i="2"/>
  <c r="U203" i="2"/>
  <c r="S203" i="2"/>
  <c r="AF203" i="2" s="1"/>
  <c r="U247" i="2"/>
  <c r="S247" i="2"/>
  <c r="AJ247" i="2" s="1"/>
  <c r="AN247" i="2" s="1"/>
  <c r="U309" i="2"/>
  <c r="S309" i="2"/>
  <c r="AF309" i="2" s="1"/>
  <c r="U331" i="2"/>
  <c r="S331" i="2"/>
  <c r="AF331" i="2" s="1"/>
  <c r="U366" i="2"/>
  <c r="S366" i="2"/>
  <c r="AF366" i="2" s="1"/>
  <c r="U329" i="2"/>
  <c r="AJ329" i="2" s="1"/>
  <c r="AN329" i="2" s="1"/>
  <c r="S30" i="2"/>
  <c r="S48" i="2"/>
  <c r="AJ48" i="2" s="1"/>
  <c r="AN48" i="2" s="1"/>
  <c r="S61" i="2"/>
  <c r="AJ61" i="2" s="1"/>
  <c r="AN61" i="2" s="1"/>
  <c r="U91" i="2"/>
  <c r="AJ91" i="2" s="1"/>
  <c r="AN91" i="2" s="1"/>
  <c r="U99" i="2"/>
  <c r="S99" i="2"/>
  <c r="AF99" i="2" s="1"/>
  <c r="U102" i="2"/>
  <c r="S102" i="2"/>
  <c r="AF102" i="2" s="1"/>
  <c r="S108" i="2"/>
  <c r="AJ108" i="2" s="1"/>
  <c r="AN108" i="2" s="1"/>
  <c r="U139" i="2"/>
  <c r="S139" i="2"/>
  <c r="U143" i="2"/>
  <c r="S143" i="2"/>
  <c r="U177" i="2"/>
  <c r="S177" i="2"/>
  <c r="AF177" i="2" s="1"/>
  <c r="U191" i="2"/>
  <c r="S191" i="2"/>
  <c r="AJ191" i="2" s="1"/>
  <c r="AN191" i="2" s="1"/>
  <c r="U216" i="2"/>
  <c r="S216" i="2"/>
  <c r="U234" i="2"/>
  <c r="S234" i="2"/>
  <c r="AF234" i="2" s="1"/>
  <c r="U261" i="2"/>
  <c r="AJ261" i="2" s="1"/>
  <c r="AN261" i="2" s="1"/>
  <c r="U290" i="2"/>
  <c r="S290" i="2"/>
  <c r="AF290" i="2" s="1"/>
  <c r="U301" i="2"/>
  <c r="U316" i="2"/>
  <c r="U358" i="2"/>
  <c r="S358" i="2"/>
  <c r="AF358" i="2" s="1"/>
  <c r="S362" i="2"/>
  <c r="AF362" i="2" s="1"/>
  <c r="S116" i="2"/>
  <c r="AF116" i="2" s="1"/>
  <c r="U184" i="2"/>
  <c r="S184" i="2"/>
  <c r="AF184" i="2" s="1"/>
  <c r="U209" i="2"/>
  <c r="S209" i="2"/>
  <c r="AF209" i="2" s="1"/>
  <c r="U8" i="2"/>
  <c r="U20" i="2"/>
  <c r="U23" i="2"/>
  <c r="S23" i="2"/>
  <c r="AF23" i="2" s="1"/>
  <c r="U40" i="2"/>
  <c r="U43" i="2"/>
  <c r="AJ43" i="2" s="1"/>
  <c r="AN43" i="2" s="1"/>
  <c r="U96" i="2"/>
  <c r="U127" i="2"/>
  <c r="AJ127" i="2" s="1"/>
  <c r="AN127" i="2" s="1"/>
  <c r="U156" i="2"/>
  <c r="S156" i="2"/>
  <c r="U161" i="2"/>
  <c r="S161" i="2"/>
  <c r="AF161" i="2" s="1"/>
  <c r="U164" i="2"/>
  <c r="U169" i="2"/>
  <c r="S169" i="2"/>
  <c r="AF169" i="2" s="1"/>
  <c r="U182" i="2"/>
  <c r="S182" i="2"/>
  <c r="AF182" i="2" s="1"/>
  <c r="U197" i="2"/>
  <c r="S197" i="2"/>
  <c r="AF197" i="2" s="1"/>
  <c r="U248" i="2"/>
  <c r="S248" i="2"/>
  <c r="U294" i="2"/>
  <c r="S294" i="2"/>
  <c r="S301" i="2"/>
  <c r="U332" i="2"/>
  <c r="S332" i="2"/>
  <c r="U31" i="2"/>
  <c r="AJ31" i="2" s="1"/>
  <c r="AN31" i="2" s="1"/>
  <c r="U73" i="2"/>
  <c r="S73" i="2"/>
  <c r="AF73" i="2" s="1"/>
  <c r="U115" i="2"/>
  <c r="S115" i="2"/>
  <c r="AJ115" i="2" s="1"/>
  <c r="AN115" i="2" s="1"/>
  <c r="U121" i="2"/>
  <c r="S121" i="2"/>
  <c r="U131" i="2"/>
  <c r="S131" i="2"/>
  <c r="U165" i="2"/>
  <c r="S165" i="2"/>
  <c r="U235" i="2"/>
  <c r="S235" i="2"/>
  <c r="U244" i="2"/>
  <c r="U253" i="2"/>
  <c r="S253" i="2"/>
  <c r="S268" i="2"/>
  <c r="AJ268" i="2" s="1"/>
  <c r="AN268" i="2" s="1"/>
  <c r="U275" i="2"/>
  <c r="S275" i="2"/>
  <c r="U305" i="2"/>
  <c r="S305" i="2"/>
  <c r="U347" i="2"/>
  <c r="S347" i="2"/>
  <c r="U354" i="2"/>
  <c r="S354" i="2"/>
  <c r="U145" i="2"/>
  <c r="S145" i="2"/>
  <c r="AF145" i="2" s="1"/>
  <c r="U205" i="2"/>
  <c r="S205" i="2"/>
  <c r="AJ205" i="2" s="1"/>
  <c r="AN205" i="2" s="1"/>
  <c r="U38" i="2"/>
  <c r="S38" i="2"/>
  <c r="AF38" i="2" s="1"/>
  <c r="U51" i="2"/>
  <c r="S51" i="2"/>
  <c r="AF51" i="2" s="1"/>
  <c r="U67" i="2"/>
  <c r="U75" i="2"/>
  <c r="S75" i="2"/>
  <c r="S11" i="2"/>
  <c r="S16" i="2"/>
  <c r="AF16" i="2" s="1"/>
  <c r="S21" i="2"/>
  <c r="AJ21" i="2" s="1"/>
  <c r="AN21" i="2" s="1"/>
  <c r="S33" i="2"/>
  <c r="AJ33" i="2" s="1"/>
  <c r="AN33" i="2" s="1"/>
  <c r="U56" i="2"/>
  <c r="AJ56" i="2" s="1"/>
  <c r="AN56" i="2" s="1"/>
  <c r="S67" i="2"/>
  <c r="AF67" i="2" s="1"/>
  <c r="S83" i="2"/>
  <c r="AF83" i="2" s="1"/>
  <c r="U97" i="2"/>
  <c r="S97" i="2"/>
  <c r="U103" i="2"/>
  <c r="AJ103" i="2" s="1"/>
  <c r="AN103" i="2" s="1"/>
  <c r="U109" i="2"/>
  <c r="AJ109" i="2" s="1"/>
  <c r="AN109" i="2" s="1"/>
  <c r="U112" i="2"/>
  <c r="AJ112" i="2" s="1"/>
  <c r="AN112" i="2" s="1"/>
  <c r="S140" i="2"/>
  <c r="U144" i="2"/>
  <c r="S144" i="2"/>
  <c r="AF144" i="2" s="1"/>
  <c r="U149" i="2"/>
  <c r="S149" i="2"/>
  <c r="AJ149" i="2" s="1"/>
  <c r="AN149" i="2" s="1"/>
  <c r="U152" i="2"/>
  <c r="AJ152" i="2" s="1"/>
  <c r="AN152" i="2" s="1"/>
  <c r="U157" i="2"/>
  <c r="S157" i="2"/>
  <c r="AF157" i="2" s="1"/>
  <c r="U170" i="2"/>
  <c r="S170" i="2"/>
  <c r="AF170" i="2" s="1"/>
  <c r="S178" i="2"/>
  <c r="AJ178" i="2" s="1"/>
  <c r="AN178" i="2" s="1"/>
  <c r="U183" i="2"/>
  <c r="S183" i="2"/>
  <c r="U198" i="2"/>
  <c r="AJ198" i="2" s="1"/>
  <c r="AN198" i="2" s="1"/>
  <c r="U208" i="2"/>
  <c r="S208" i="2"/>
  <c r="AF208" i="2" s="1"/>
  <c r="U213" i="2"/>
  <c r="S213" i="2"/>
  <c r="U222" i="2"/>
  <c r="AJ222" i="2" s="1"/>
  <c r="AN222" i="2" s="1"/>
  <c r="S244" i="2"/>
  <c r="AF244" i="2" s="1"/>
  <c r="U314" i="2"/>
  <c r="AJ314" i="2" s="1"/>
  <c r="AN314" i="2" s="1"/>
  <c r="U318" i="2"/>
  <c r="S318" i="2"/>
  <c r="AF318" i="2" s="1"/>
  <c r="U344" i="2"/>
  <c r="S344" i="2"/>
  <c r="U299" i="2"/>
  <c r="S317" i="2"/>
  <c r="AF317" i="2" s="1"/>
  <c r="U345" i="2"/>
  <c r="S225" i="2"/>
  <c r="AF225" i="2" s="1"/>
  <c r="S252" i="2"/>
  <c r="U254" i="2"/>
  <c r="AJ254" i="2" s="1"/>
  <c r="AN254" i="2" s="1"/>
  <c r="S264" i="2"/>
  <c r="AF264" i="2" s="1"/>
  <c r="S269" i="2"/>
  <c r="S299" i="2"/>
  <c r="U304" i="2"/>
  <c r="AJ304" i="2" s="1"/>
  <c r="AN304" i="2" s="1"/>
  <c r="S312" i="2"/>
  <c r="AF312" i="2" s="1"/>
  <c r="S327" i="2"/>
  <c r="AF327" i="2" s="1"/>
  <c r="S335" i="2"/>
  <c r="AF335" i="2" s="1"/>
  <c r="S340" i="2"/>
  <c r="AF340" i="2" s="1"/>
  <c r="S345" i="2"/>
  <c r="AF345" i="2" s="1"/>
  <c r="U297" i="2"/>
  <c r="AJ297" i="2" s="1"/>
  <c r="AN297" i="2" s="1"/>
  <c r="U317" i="2"/>
  <c r="U330" i="2"/>
  <c r="S330" i="2"/>
  <c r="AF330" i="2" s="1"/>
  <c r="S201" i="2"/>
  <c r="AF201" i="2" s="1"/>
  <c r="U225" i="2"/>
  <c r="S228" i="2"/>
  <c r="S240" i="2"/>
  <c r="AJ240" i="2" s="1"/>
  <c r="AN240" i="2" s="1"/>
  <c r="S245" i="2"/>
  <c r="U252" i="2"/>
  <c r="S257" i="2"/>
  <c r="AF257" i="2" s="1"/>
  <c r="U264" i="2"/>
  <c r="S267" i="2"/>
  <c r="AJ267" i="2" s="1"/>
  <c r="AN267" i="2" s="1"/>
  <c r="U269" i="2"/>
  <c r="S272" i="2"/>
  <c r="AF272" i="2" s="1"/>
  <c r="U310" i="2"/>
  <c r="U312" i="2"/>
  <c r="U327" i="2"/>
  <c r="U335" i="2"/>
  <c r="U340" i="2"/>
  <c r="U343" i="2"/>
  <c r="S343" i="2"/>
  <c r="AF343" i="2" s="1"/>
  <c r="S353" i="2"/>
  <c r="AF353" i="2" s="1"/>
  <c r="S250" i="2"/>
  <c r="S300" i="2"/>
  <c r="S310" i="2"/>
  <c r="S333" i="2"/>
  <c r="U187" i="2"/>
  <c r="S187" i="2"/>
  <c r="AF187" i="2" s="1"/>
  <c r="U199" i="2"/>
  <c r="S199" i="2"/>
  <c r="U201" i="2"/>
  <c r="U228" i="2"/>
  <c r="S243" i="2"/>
  <c r="U295" i="2"/>
  <c r="S295" i="2"/>
  <c r="AF295" i="2" s="1"/>
  <c r="U323" i="2"/>
  <c r="S341" i="2"/>
  <c r="AF341" i="2" s="1"/>
  <c r="U353" i="2"/>
  <c r="U361" i="2"/>
  <c r="AJ361" i="2" s="1"/>
  <c r="AN361" i="2" s="1"/>
  <c r="S192" i="2"/>
  <c r="S226" i="2"/>
  <c r="U250" i="2"/>
  <c r="S270" i="2"/>
  <c r="AF270" i="2" s="1"/>
  <c r="S285" i="2"/>
  <c r="U300" i="2"/>
  <c r="S323" i="2"/>
  <c r="AF323" i="2" s="1"/>
  <c r="U333" i="2"/>
  <c r="S336" i="2"/>
  <c r="S351" i="2"/>
  <c r="AF351" i="2" s="1"/>
  <c r="U204" i="2"/>
  <c r="AJ204" i="2" s="1"/>
  <c r="AN204" i="2" s="1"/>
  <c r="S219" i="2"/>
  <c r="U221" i="2"/>
  <c r="AJ221" i="2" s="1"/>
  <c r="AN221" i="2" s="1"/>
  <c r="S241" i="2"/>
  <c r="U243" i="2"/>
  <c r="U265" i="2"/>
  <c r="AJ265" i="2" s="1"/>
  <c r="AN265" i="2" s="1"/>
  <c r="S293" i="2"/>
  <c r="AF293" i="2" s="1"/>
  <c r="S298" i="2"/>
  <c r="AJ298" i="2" s="1"/>
  <c r="AN298" i="2" s="1"/>
  <c r="U313" i="2"/>
  <c r="AJ313" i="2" s="1"/>
  <c r="AN313" i="2" s="1"/>
  <c r="U341" i="2"/>
  <c r="U346" i="2"/>
  <c r="AJ346" i="2" s="1"/>
  <c r="AN346" i="2" s="1"/>
  <c r="U192" i="2"/>
  <c r="U226" i="2"/>
  <c r="U270" i="2"/>
  <c r="U280" i="2"/>
  <c r="AJ280" i="2" s="1"/>
  <c r="AN280" i="2" s="1"/>
  <c r="U285" i="2"/>
  <c r="U334" i="2"/>
  <c r="U336" i="2"/>
  <c r="U351" i="2"/>
  <c r="U359" i="2"/>
  <c r="AJ359" i="2" s="1"/>
  <c r="AN359" i="2" s="1"/>
  <c r="U367" i="2"/>
  <c r="S367" i="2"/>
  <c r="S71" i="2"/>
  <c r="AF71" i="2" s="1"/>
  <c r="S95" i="2"/>
  <c r="AJ95" i="2" s="1"/>
  <c r="AN95" i="2" s="1"/>
  <c r="S119" i="2"/>
  <c r="AF119" i="2" s="1"/>
  <c r="S207" i="2"/>
  <c r="AJ207" i="2" s="1"/>
  <c r="AN207" i="2" s="1"/>
  <c r="S212" i="2"/>
  <c r="AJ212" i="2" s="1"/>
  <c r="AN212" i="2" s="1"/>
  <c r="S217" i="2"/>
  <c r="AF217" i="2" s="1"/>
  <c r="U219" i="2"/>
  <c r="S229" i="2"/>
  <c r="AJ229" i="2" s="1"/>
  <c r="AN229" i="2" s="1"/>
  <c r="U241" i="2"/>
  <c r="S273" i="2"/>
  <c r="AJ273" i="2" s="1"/>
  <c r="AN273" i="2" s="1"/>
  <c r="S283" i="2"/>
  <c r="AF283" i="2" s="1"/>
  <c r="U293" i="2"/>
  <c r="S334" i="2"/>
  <c r="S357" i="2"/>
  <c r="AJ357" i="2" s="1"/>
  <c r="AN357" i="2" s="1"/>
  <c r="S291" i="2"/>
  <c r="AJ291" i="2" s="1"/>
  <c r="AN291" i="2" s="1"/>
  <c r="S315" i="2"/>
  <c r="AF315" i="2" s="1"/>
  <c r="S339" i="2"/>
  <c r="AJ339" i="2" s="1"/>
  <c r="AN339" i="2" s="1"/>
  <c r="S363" i="2"/>
  <c r="AJ363" i="2" s="1"/>
  <c r="AN363" i="2" s="1"/>
  <c r="AJ220" i="2" l="1"/>
  <c r="AN220" i="2" s="1"/>
  <c r="AJ125" i="2"/>
  <c r="AN125" i="2" s="1"/>
  <c r="AJ300" i="2"/>
  <c r="AN300" i="2" s="1"/>
  <c r="AJ156" i="2"/>
  <c r="AN156" i="2" s="1"/>
  <c r="AJ308" i="2"/>
  <c r="AN308" i="2" s="1"/>
  <c r="AJ75" i="2"/>
  <c r="AN75" i="2" s="1"/>
  <c r="AJ332" i="2"/>
  <c r="AN332" i="2" s="1"/>
  <c r="AJ87" i="2"/>
  <c r="AN87" i="2" s="1"/>
  <c r="AJ364" i="2"/>
  <c r="AN364" i="2" s="1"/>
  <c r="AJ185" i="2"/>
  <c r="AN185" i="2" s="1"/>
  <c r="AJ334" i="2"/>
  <c r="AN334" i="2" s="1"/>
  <c r="AJ226" i="2"/>
  <c r="AN226" i="2" s="1"/>
  <c r="AJ299" i="2"/>
  <c r="AN299" i="2" s="1"/>
  <c r="AJ20" i="2"/>
  <c r="AN20" i="2" s="1"/>
  <c r="AJ180" i="2"/>
  <c r="AN180" i="2" s="1"/>
  <c r="AJ320" i="2"/>
  <c r="AN320" i="2" s="1"/>
  <c r="AJ214" i="2"/>
  <c r="AN214" i="2" s="1"/>
  <c r="AJ189" i="2"/>
  <c r="AN189" i="2" s="1"/>
  <c r="AJ76" i="2"/>
  <c r="AN76" i="2" s="1"/>
  <c r="AJ242" i="2"/>
  <c r="AN242" i="2" s="1"/>
  <c r="AJ119" i="2"/>
  <c r="AN119" i="2" s="1"/>
  <c r="AJ192" i="2"/>
  <c r="AN192" i="2" s="1"/>
  <c r="AJ269" i="2"/>
  <c r="AN269" i="2" s="1"/>
  <c r="AJ97" i="2"/>
  <c r="AN97" i="2" s="1"/>
  <c r="AJ305" i="2"/>
  <c r="AN305" i="2" s="1"/>
  <c r="AJ131" i="2"/>
  <c r="AN131" i="2" s="1"/>
  <c r="AJ294" i="2"/>
  <c r="AN294" i="2" s="1"/>
  <c r="AJ271" i="2"/>
  <c r="AN271" i="2" s="1"/>
  <c r="AJ126" i="2"/>
  <c r="AN126" i="2" s="1"/>
  <c r="AJ319" i="2"/>
  <c r="AN319" i="2" s="1"/>
  <c r="AJ284" i="2"/>
  <c r="AN284" i="2" s="1"/>
  <c r="AJ105" i="2"/>
  <c r="AN105" i="2" s="1"/>
  <c r="AJ35" i="2"/>
  <c r="AN35" i="2" s="1"/>
  <c r="AF232" i="2"/>
  <c r="AF87" i="2"/>
  <c r="AJ219" i="2"/>
  <c r="AN219" i="2" s="1"/>
  <c r="AJ295" i="2"/>
  <c r="AN295" i="2" s="1"/>
  <c r="AJ73" i="2"/>
  <c r="AN73" i="2" s="1"/>
  <c r="AJ333" i="2"/>
  <c r="AN333" i="2" s="1"/>
  <c r="AJ275" i="2"/>
  <c r="AN275" i="2" s="1"/>
  <c r="AJ121" i="2"/>
  <c r="AN121" i="2" s="1"/>
  <c r="AJ248" i="2"/>
  <c r="AN248" i="2" s="1"/>
  <c r="AJ216" i="2"/>
  <c r="AN216" i="2" s="1"/>
  <c r="AJ123" i="2"/>
  <c r="AN123" i="2" s="1"/>
  <c r="AJ179" i="2"/>
  <c r="AN179" i="2" s="1"/>
  <c r="AJ44" i="2"/>
  <c r="AN44" i="2" s="1"/>
  <c r="AJ276" i="2"/>
  <c r="AN276" i="2" s="1"/>
  <c r="AJ173" i="2"/>
  <c r="AN173" i="2" s="1"/>
  <c r="AJ358" i="2"/>
  <c r="AN358" i="2" s="1"/>
  <c r="AJ310" i="2"/>
  <c r="AN310" i="2" s="1"/>
  <c r="AJ252" i="2"/>
  <c r="AN252" i="2" s="1"/>
  <c r="AJ213" i="2"/>
  <c r="AN213" i="2" s="1"/>
  <c r="AJ96" i="2"/>
  <c r="AN96" i="2" s="1"/>
  <c r="AJ142" i="2"/>
  <c r="AN142" i="2" s="1"/>
  <c r="AJ111" i="2"/>
  <c r="AN111" i="2" s="1"/>
  <c r="AJ309" i="2"/>
  <c r="AN309" i="2" s="1"/>
  <c r="AJ217" i="2"/>
  <c r="AN217" i="2" s="1"/>
  <c r="AJ336" i="2"/>
  <c r="AN336" i="2" s="1"/>
  <c r="AJ249" i="2"/>
  <c r="AN249" i="2" s="1"/>
  <c r="AJ155" i="2"/>
  <c r="AN155" i="2" s="1"/>
  <c r="AJ231" i="2"/>
  <c r="AN231" i="2" s="1"/>
  <c r="AF95" i="2"/>
  <c r="AJ367" i="2"/>
  <c r="AN367" i="2" s="1"/>
  <c r="AJ250" i="2"/>
  <c r="AN250" i="2" s="1"/>
  <c r="AJ253" i="2"/>
  <c r="AN253" i="2" s="1"/>
  <c r="AJ218" i="2"/>
  <c r="AN218" i="2" s="1"/>
  <c r="AJ288" i="2"/>
  <c r="AN288" i="2" s="1"/>
  <c r="AJ98" i="2"/>
  <c r="AN98" i="2" s="1"/>
  <c r="AJ164" i="2"/>
  <c r="AN164" i="2" s="1"/>
  <c r="AJ146" i="2"/>
  <c r="AN146" i="2" s="1"/>
  <c r="AJ150" i="2"/>
  <c r="AN150" i="2" s="1"/>
  <c r="AJ193" i="2"/>
  <c r="AN193" i="2" s="1"/>
  <c r="AJ22" i="2"/>
  <c r="AN22" i="2" s="1"/>
  <c r="AJ144" i="2"/>
  <c r="AN144" i="2" s="1"/>
  <c r="AJ28" i="2"/>
  <c r="AN28" i="2" s="1"/>
  <c r="AF150" i="2"/>
  <c r="AJ360" i="2"/>
  <c r="AN360" i="2" s="1"/>
  <c r="AJ243" i="2"/>
  <c r="AN243" i="2" s="1"/>
  <c r="AJ316" i="2"/>
  <c r="AN316" i="2" s="1"/>
  <c r="AF332" i="2"/>
  <c r="AF75" i="2"/>
  <c r="AJ88" i="2"/>
  <c r="AN88" i="2" s="1"/>
  <c r="AJ89" i="2"/>
  <c r="AN89" i="2" s="1"/>
  <c r="AJ234" i="2"/>
  <c r="AN234" i="2" s="1"/>
  <c r="AJ343" i="2"/>
  <c r="AN343" i="2" s="1"/>
  <c r="AJ355" i="2"/>
  <c r="AN355" i="2" s="1"/>
  <c r="AJ236" i="2"/>
  <c r="AN236" i="2" s="1"/>
  <c r="AF218" i="2"/>
  <c r="AJ233" i="2"/>
  <c r="AN233" i="2" s="1"/>
  <c r="AJ353" i="2"/>
  <c r="AN353" i="2" s="1"/>
  <c r="AJ199" i="2"/>
  <c r="AN199" i="2" s="1"/>
  <c r="AJ347" i="2"/>
  <c r="AN347" i="2" s="1"/>
  <c r="AJ165" i="2"/>
  <c r="AN165" i="2" s="1"/>
  <c r="AJ139" i="2"/>
  <c r="AN139" i="2" s="1"/>
  <c r="AJ282" i="2"/>
  <c r="AN282" i="2" s="1"/>
  <c r="AJ151" i="2"/>
  <c r="AN151" i="2" s="1"/>
  <c r="AJ129" i="2"/>
  <c r="AN129" i="2" s="1"/>
  <c r="AJ356" i="2"/>
  <c r="AN356" i="2" s="1"/>
  <c r="AJ110" i="2"/>
  <c r="AN110" i="2" s="1"/>
  <c r="AJ259" i="2"/>
  <c r="AN259" i="2" s="1"/>
  <c r="AJ238" i="2"/>
  <c r="AN238" i="2" s="1"/>
  <c r="AJ161" i="2"/>
  <c r="AN161" i="2" s="1"/>
  <c r="AJ260" i="2"/>
  <c r="AN260" i="2" s="1"/>
  <c r="AF216" i="2"/>
  <c r="AF214" i="2"/>
  <c r="AJ163" i="2"/>
  <c r="AN163" i="2" s="1"/>
  <c r="AJ47" i="2"/>
  <c r="AN47" i="2" s="1"/>
  <c r="AJ237" i="2"/>
  <c r="AN237" i="2" s="1"/>
  <c r="AF354" i="2"/>
  <c r="AJ354" i="2"/>
  <c r="AN354" i="2" s="1"/>
  <c r="AF196" i="2"/>
  <c r="AJ196" i="2"/>
  <c r="AN196" i="2" s="1"/>
  <c r="AJ133" i="2"/>
  <c r="AN133" i="2" s="1"/>
  <c r="AF133" i="2"/>
  <c r="AF14" i="2"/>
  <c r="AJ14" i="2"/>
  <c r="AN14" i="2" s="1"/>
  <c r="AJ153" i="2"/>
  <c r="AN153" i="2" s="1"/>
  <c r="AF153" i="2"/>
  <c r="AF29" i="2"/>
  <c r="AJ29" i="2"/>
  <c r="AN29" i="2" s="1"/>
  <c r="AF64" i="2"/>
  <c r="AJ64" i="2"/>
  <c r="AN64" i="2" s="1"/>
  <c r="AF17" i="2"/>
  <c r="AJ17" i="2"/>
  <c r="AN17" i="2" s="1"/>
  <c r="AF40" i="2"/>
  <c r="AJ40" i="2"/>
  <c r="AN40" i="2" s="1"/>
  <c r="AJ255" i="2"/>
  <c r="AN255" i="2" s="1"/>
  <c r="AF255" i="2"/>
  <c r="AJ293" i="2"/>
  <c r="AN293" i="2" s="1"/>
  <c r="AJ11" i="2"/>
  <c r="AN11" i="2" s="1"/>
  <c r="AF11" i="2"/>
  <c r="AJ228" i="2"/>
  <c r="AN228" i="2" s="1"/>
  <c r="AJ327" i="2"/>
  <c r="AN327" i="2" s="1"/>
  <c r="AF245" i="2"/>
  <c r="AJ245" i="2"/>
  <c r="AN245" i="2" s="1"/>
  <c r="AF235" i="2"/>
  <c r="AJ235" i="2"/>
  <c r="AN235" i="2" s="1"/>
  <c r="AJ241" i="2"/>
  <c r="AN241" i="2" s="1"/>
  <c r="AJ301" i="2"/>
  <c r="AN301" i="2" s="1"/>
  <c r="AJ169" i="2"/>
  <c r="AN169" i="2" s="1"/>
  <c r="AJ140" i="2"/>
  <c r="AN140" i="2" s="1"/>
  <c r="AF140" i="2"/>
  <c r="AF286" i="2"/>
  <c r="AJ286" i="2"/>
  <c r="AN286" i="2" s="1"/>
  <c r="AJ285" i="2"/>
  <c r="AN285" i="2" s="1"/>
  <c r="AF285" i="2"/>
  <c r="AF183" i="2"/>
  <c r="AJ183" i="2"/>
  <c r="AN183" i="2" s="1"/>
  <c r="AJ30" i="2"/>
  <c r="AN30" i="2" s="1"/>
  <c r="AF30" i="2"/>
  <c r="AJ344" i="2"/>
  <c r="AN344" i="2" s="1"/>
  <c r="AF344" i="2"/>
  <c r="AJ135" i="2"/>
  <c r="AN135" i="2" s="1"/>
  <c r="AF135" i="2"/>
  <c r="AJ351" i="2"/>
  <c r="AN351" i="2" s="1"/>
  <c r="AF355" i="2"/>
  <c r="AJ143" i="2"/>
  <c r="AN143" i="2" s="1"/>
  <c r="AF143" i="2"/>
  <c r="AJ86" i="2"/>
  <c r="AN86" i="2" s="1"/>
  <c r="AJ168" i="2"/>
  <c r="AN168" i="2" s="1"/>
  <c r="AF363" i="2"/>
  <c r="AJ182" i="2"/>
  <c r="AN182" i="2" s="1"/>
  <c r="AJ157" i="2"/>
  <c r="AN157" i="2" s="1"/>
  <c r="AJ340" i="2"/>
  <c r="AN340" i="2" s="1"/>
  <c r="AJ132" i="2"/>
  <c r="AN132" i="2" s="1"/>
  <c r="AJ315" i="2"/>
  <c r="AN315" i="2" s="1"/>
  <c r="AJ41" i="2"/>
  <c r="AN41" i="2" s="1"/>
  <c r="AF367" i="2"/>
  <c r="AJ187" i="2"/>
  <c r="AN187" i="2" s="1"/>
  <c r="AF294" i="2"/>
  <c r="AJ175" i="2"/>
  <c r="AN175" i="2" s="1"/>
  <c r="AF125" i="2"/>
  <c r="AJ307" i="2"/>
  <c r="AN307" i="2" s="1"/>
  <c r="AF61" i="2"/>
  <c r="AF76" i="2"/>
  <c r="AF20" i="2"/>
  <c r="AJ116" i="2"/>
  <c r="AN116" i="2" s="1"/>
  <c r="AF249" i="2"/>
  <c r="AF228" i="2"/>
  <c r="AF85" i="2"/>
  <c r="AF229" i="2"/>
  <c r="AJ99" i="2"/>
  <c r="AN99" i="2" s="1"/>
  <c r="AF243" i="2"/>
  <c r="AJ244" i="2"/>
  <c r="AN244" i="2" s="1"/>
  <c r="AJ102" i="2"/>
  <c r="AN102" i="2" s="1"/>
  <c r="AJ246" i="2"/>
  <c r="AN246" i="2" s="1"/>
  <c r="AF247" i="2"/>
  <c r="AF104" i="2"/>
  <c r="AF248" i="2"/>
  <c r="AF105" i="2"/>
  <c r="AF226" i="2"/>
  <c r="AF299" i="2"/>
  <c r="AJ365" i="2"/>
  <c r="AN365" i="2" s="1"/>
  <c r="AJ181" i="2"/>
  <c r="AN181" i="2" s="1"/>
  <c r="AJ195" i="2"/>
  <c r="AN195" i="2" s="1"/>
  <c r="AJ170" i="2"/>
  <c r="AN170" i="2" s="1"/>
  <c r="AJ145" i="2"/>
  <c r="AN145" i="2" s="1"/>
  <c r="AJ264" i="2"/>
  <c r="AN264" i="2" s="1"/>
  <c r="AJ16" i="2"/>
  <c r="AN16" i="2" s="1"/>
  <c r="AF113" i="2"/>
  <c r="AF192" i="2"/>
  <c r="AF333" i="2"/>
  <c r="AF298" i="2"/>
  <c r="AF205" i="2"/>
  <c r="AF48" i="2"/>
  <c r="AJ224" i="2"/>
  <c r="AN224" i="2" s="1"/>
  <c r="AF22" i="2"/>
  <c r="AF96" i="2"/>
  <c r="AF240" i="2"/>
  <c r="AF97" i="2"/>
  <c r="AF241" i="2"/>
  <c r="AF98" i="2"/>
  <c r="AF242" i="2"/>
  <c r="AJ257" i="2"/>
  <c r="AN257" i="2" s="1"/>
  <c r="AJ114" i="2"/>
  <c r="AN114" i="2" s="1"/>
  <c r="AJ258" i="2"/>
  <c r="AN258" i="2" s="1"/>
  <c r="AF115" i="2"/>
  <c r="AF319" i="2"/>
  <c r="AF316" i="2"/>
  <c r="AJ194" i="2"/>
  <c r="AN194" i="2" s="1"/>
  <c r="AJ25" i="2"/>
  <c r="AN25" i="2" s="1"/>
  <c r="AJ208" i="2"/>
  <c r="AN208" i="2" s="1"/>
  <c r="AF364" i="2"/>
  <c r="AJ158" i="2"/>
  <c r="AN158" i="2" s="1"/>
  <c r="AJ341" i="2"/>
  <c r="AN341" i="2" s="1"/>
  <c r="AJ277" i="2"/>
  <c r="AN277" i="2" s="1"/>
  <c r="AJ227" i="2"/>
  <c r="AN227" i="2" s="1"/>
  <c r="AF269" i="2"/>
  <c r="AF126" i="2"/>
  <c r="AF154" i="2"/>
  <c r="AF284" i="2"/>
  <c r="AF357" i="2"/>
  <c r="AF334" i="2"/>
  <c r="AF178" i="2"/>
  <c r="AF271" i="2"/>
  <c r="AF108" i="2"/>
  <c r="AF252" i="2"/>
  <c r="AF253" i="2"/>
  <c r="AF110" i="2"/>
  <c r="AF123" i="2"/>
  <c r="AF267" i="2"/>
  <c r="AF268" i="2"/>
  <c r="AJ270" i="2"/>
  <c r="AN270" i="2" s="1"/>
  <c r="AJ272" i="2"/>
  <c r="AN272" i="2" s="1"/>
  <c r="AF129" i="2"/>
  <c r="AF273" i="2"/>
  <c r="AF131" i="2"/>
  <c r="AF275" i="2"/>
  <c r="AJ321" i="2"/>
  <c r="AN321" i="2" s="1"/>
  <c r="AF250" i="2"/>
  <c r="AJ323" i="2"/>
  <c r="AN323" i="2" s="1"/>
  <c r="AJ306" i="2"/>
  <c r="AN306" i="2" s="1"/>
  <c r="AJ38" i="2"/>
  <c r="AN38" i="2" s="1"/>
  <c r="AJ13" i="2"/>
  <c r="AN13" i="2" s="1"/>
  <c r="AJ171" i="2"/>
  <c r="AN171" i="2" s="1"/>
  <c r="AJ290" i="2"/>
  <c r="AN290" i="2" s="1"/>
  <c r="AF282" i="2"/>
  <c r="AF139" i="2"/>
  <c r="AF191" i="2"/>
  <c r="AJ137" i="2"/>
  <c r="AN137" i="2" s="1"/>
  <c r="AJ7" i="2"/>
  <c r="AN7" i="2" s="1"/>
  <c r="AF308" i="2"/>
  <c r="AF207" i="2"/>
  <c r="AF179" i="2"/>
  <c r="AF21" i="2"/>
  <c r="AJ177" i="2"/>
  <c r="AN177" i="2" s="1"/>
  <c r="AF120" i="2"/>
  <c r="AF121" i="2"/>
  <c r="AF122" i="2"/>
  <c r="AF281" i="2"/>
  <c r="AJ283" i="2"/>
  <c r="AN283" i="2" s="1"/>
  <c r="AJ141" i="2"/>
  <c r="AN141" i="2" s="1"/>
  <c r="AJ335" i="2"/>
  <c r="AN335" i="2" s="1"/>
  <c r="AF301" i="2"/>
  <c r="AJ362" i="2"/>
  <c r="AN362" i="2" s="1"/>
  <c r="AJ318" i="2"/>
  <c r="AN318" i="2" s="1"/>
  <c r="AJ51" i="2"/>
  <c r="AN51" i="2" s="1"/>
  <c r="AJ26" i="2"/>
  <c r="AN26" i="2" s="1"/>
  <c r="AJ209" i="2"/>
  <c r="AN209" i="2" s="1"/>
  <c r="AJ184" i="2"/>
  <c r="AN184" i="2" s="1"/>
  <c r="AJ303" i="2"/>
  <c r="AN303" i="2" s="1"/>
  <c r="AF220" i="2"/>
  <c r="AF356" i="2"/>
  <c r="AJ8" i="2"/>
  <c r="AN8" i="2" s="1"/>
  <c r="AF212" i="2"/>
  <c r="AF276" i="2"/>
  <c r="AF134" i="2"/>
  <c r="AF147" i="2"/>
  <c r="AF149" i="2"/>
  <c r="AF151" i="2"/>
  <c r="AJ345" i="2"/>
  <c r="AN345" i="2" s="1"/>
  <c r="AF130" i="2"/>
  <c r="AF347" i="2"/>
  <c r="AF291" i="2"/>
  <c r="AJ330" i="2"/>
  <c r="AN330" i="2" s="1"/>
  <c r="AJ39" i="2"/>
  <c r="AN39" i="2" s="1"/>
  <c r="AJ223" i="2"/>
  <c r="AN223" i="2" s="1"/>
  <c r="AJ197" i="2"/>
  <c r="AN197" i="2" s="1"/>
  <c r="AJ83" i="2"/>
  <c r="AN83" i="2" s="1"/>
  <c r="AJ68" i="2"/>
  <c r="AN68" i="2" s="1"/>
  <c r="AJ69" i="2"/>
  <c r="AN69" i="2" s="1"/>
  <c r="AF336" i="2"/>
  <c r="AF320" i="2"/>
  <c r="AJ225" i="2"/>
  <c r="AN225" i="2" s="1"/>
  <c r="AF288" i="2"/>
  <c r="AF146" i="2"/>
  <c r="AF159" i="2"/>
  <c r="AJ18" i="2"/>
  <c r="AN18" i="2" s="1"/>
  <c r="AF19" i="2"/>
  <c r="AF163" i="2"/>
  <c r="AF164" i="2"/>
  <c r="AF165" i="2"/>
  <c r="AJ23" i="2"/>
  <c r="AN23" i="2" s="1"/>
  <c r="AJ167" i="2"/>
  <c r="AN167" i="2" s="1"/>
  <c r="AF142" i="2"/>
  <c r="AJ342" i="2"/>
  <c r="AN342" i="2" s="1"/>
  <c r="AJ24" i="2"/>
  <c r="AN24" i="2" s="1"/>
  <c r="AJ312" i="2"/>
  <c r="AN312" i="2" s="1"/>
  <c r="AJ77" i="2"/>
  <c r="AN77" i="2" s="1"/>
  <c r="AJ52" i="2"/>
  <c r="AN52" i="2" s="1"/>
  <c r="AJ27" i="2"/>
  <c r="AN27" i="2" s="1"/>
  <c r="AJ211" i="2"/>
  <c r="AN211" i="2" s="1"/>
  <c r="AF35" i="2"/>
  <c r="AJ71" i="2"/>
  <c r="AN71" i="2" s="1"/>
  <c r="AF310" i="2"/>
  <c r="AF180" i="2"/>
  <c r="AF189" i="2"/>
  <c r="AF156" i="2"/>
  <c r="AF33" i="2"/>
  <c r="AF300" i="2"/>
  <c r="AF349" i="2"/>
  <c r="AJ203" i="2"/>
  <c r="AN203" i="2" s="1"/>
  <c r="AF213" i="2"/>
  <c r="AF185" i="2"/>
  <c r="AF44" i="2"/>
  <c r="AJ166" i="2"/>
  <c r="AN166" i="2" s="1"/>
  <c r="AF305" i="2"/>
  <c r="AJ366" i="2"/>
  <c r="AN366" i="2" s="1"/>
  <c r="AJ62" i="2"/>
  <c r="AN62" i="2" s="1"/>
  <c r="AJ53" i="2"/>
  <c r="AN53" i="2" s="1"/>
  <c r="AJ317" i="2"/>
  <c r="AN317" i="2" s="1"/>
  <c r="AF199" i="2"/>
  <c r="AJ57" i="2"/>
  <c r="AN57" i="2" s="1"/>
  <c r="AJ201" i="2"/>
  <c r="AN201" i="2" s="1"/>
  <c r="AF339" i="2"/>
  <c r="AJ67" i="2"/>
  <c r="AN67" i="2" s="1"/>
  <c r="AJ331" i="2"/>
  <c r="AN331" i="2" s="1"/>
  <c r="AJ190" i="2"/>
  <c r="AN190" i="2" s="1"/>
  <c r="AJ63" i="2"/>
  <c r="AN63" i="2" s="1"/>
  <c r="AJ210" i="2"/>
  <c r="AN210" i="2" s="1"/>
  <c r="AF219" i="2"/>
  <c r="Z13" i="4" l="1"/>
  <c r="AG13" i="4" s="1"/>
  <c r="AB20" i="4"/>
  <c r="AB26" i="4"/>
  <c r="AB32" i="4"/>
  <c r="AB38" i="4"/>
  <c r="AB50" i="4"/>
  <c r="AB60" i="4"/>
  <c r="Z61" i="4"/>
  <c r="AG61" i="4" s="1"/>
  <c r="Z73" i="4"/>
  <c r="AG73" i="4" s="1"/>
  <c r="Z85" i="4"/>
  <c r="AG85" i="4" s="1"/>
  <c r="AB92" i="4"/>
  <c r="AB96" i="4"/>
  <c r="Z97" i="4"/>
  <c r="AG97" i="4" s="1"/>
  <c r="AB98" i="4"/>
  <c r="Z109" i="4"/>
  <c r="AG109" i="4" s="1"/>
  <c r="AB110" i="4"/>
  <c r="AB116" i="4"/>
  <c r="AB122" i="4"/>
  <c r="AB128" i="4"/>
  <c r="Z133" i="4"/>
  <c r="AG133" i="4" s="1"/>
  <c r="AB134" i="4"/>
  <c r="Z144" i="4"/>
  <c r="AG144" i="4" s="1"/>
  <c r="AB158" i="4"/>
  <c r="AB164" i="4"/>
  <c r="Z169" i="4"/>
  <c r="AG169" i="4" s="1"/>
  <c r="Z180" i="4"/>
  <c r="AG180" i="4" s="1"/>
  <c r="Z181" i="4"/>
  <c r="AG181" i="4" s="1"/>
  <c r="AB184" i="4"/>
  <c r="AB188" i="4"/>
  <c r="AB196" i="4"/>
  <c r="AB199" i="4"/>
  <c r="Z200" i="4"/>
  <c r="AG200" i="4" s="1"/>
  <c r="AB200" i="4"/>
  <c r="AB206" i="4"/>
  <c r="AB208" i="4"/>
  <c r="Z211" i="4"/>
  <c r="AG211" i="4" s="1"/>
  <c r="Z213" i="4"/>
  <c r="AG213" i="4" s="1"/>
  <c r="AB214" i="4"/>
  <c r="Z223" i="4"/>
  <c r="AG223" i="4" s="1"/>
  <c r="Z225" i="4"/>
  <c r="AG225" i="4" s="1"/>
  <c r="Z228" i="4"/>
  <c r="AG228" i="4" s="1"/>
  <c r="AB230" i="4"/>
  <c r="AB232" i="4"/>
  <c r="AB238" i="4"/>
  <c r="AB244" i="4"/>
  <c r="Z249" i="4"/>
  <c r="AG249" i="4" s="1"/>
  <c r="AB254" i="4"/>
  <c r="Z262" i="4"/>
  <c r="AG262" i="4" s="1"/>
  <c r="AB262" i="4"/>
  <c r="AB267" i="4"/>
  <c r="Z274" i="4"/>
  <c r="AG274" i="4" s="1"/>
  <c r="AB274" i="4"/>
  <c r="AB279" i="4"/>
  <c r="AB280" i="4"/>
  <c r="AB290" i="4"/>
  <c r="AB292" i="4"/>
  <c r="AB298" i="4"/>
  <c r="AB302" i="4"/>
  <c r="AB304" i="4"/>
  <c r="AB316" i="4"/>
  <c r="AB327" i="4"/>
  <c r="Z334" i="4"/>
  <c r="AG334" i="4" s="1"/>
  <c r="AB339" i="4"/>
  <c r="AB362" i="4"/>
  <c r="AB363" i="4"/>
  <c r="AB364" i="4"/>
  <c r="AK200" i="4" l="1"/>
  <c r="AO200" i="4" s="1"/>
  <c r="AK262" i="4"/>
  <c r="AO262" i="4" s="1"/>
  <c r="AK274" i="4"/>
  <c r="AO274" i="4" s="1"/>
  <c r="Z313" i="4"/>
  <c r="AG313" i="4" s="1"/>
  <c r="Z338" i="4"/>
  <c r="AG338" i="4" s="1"/>
  <c r="AB338" i="4"/>
  <c r="Z346" i="4"/>
  <c r="AG346" i="4" s="1"/>
  <c r="AB346" i="4"/>
  <c r="Z289" i="4"/>
  <c r="AG289" i="4" s="1"/>
  <c r="AB256" i="4"/>
  <c r="AB49" i="4"/>
  <c r="Z49" i="4"/>
  <c r="AG49" i="4" s="1"/>
  <c r="Z41" i="4"/>
  <c r="AG41" i="4" s="1"/>
  <c r="Z288" i="4"/>
  <c r="AG288" i="4" s="1"/>
  <c r="Z255" i="4"/>
  <c r="AG255" i="4" s="1"/>
  <c r="Z218" i="4"/>
  <c r="AG218" i="4" s="1"/>
  <c r="AB218" i="4"/>
  <c r="AB202" i="4"/>
  <c r="AB132" i="4"/>
  <c r="Z132" i="4"/>
  <c r="AG132" i="4" s="1"/>
  <c r="AB113" i="4"/>
  <c r="Z87" i="4"/>
  <c r="AG87" i="4" s="1"/>
  <c r="AB12" i="4"/>
  <c r="Z12" i="4"/>
  <c r="AG12" i="4" s="1"/>
  <c r="Z14" i="4"/>
  <c r="AG14" i="4" s="1"/>
  <c r="AB14" i="4"/>
  <c r="Z328" i="4"/>
  <c r="AG328" i="4" s="1"/>
  <c r="AB328" i="4"/>
  <c r="Z264" i="4"/>
  <c r="AG264" i="4" s="1"/>
  <c r="Z278" i="4"/>
  <c r="AG278" i="4" s="1"/>
  <c r="AB278" i="4"/>
  <c r="Z209" i="4"/>
  <c r="AG209" i="4" s="1"/>
  <c r="Z178" i="4"/>
  <c r="AG178" i="4" s="1"/>
  <c r="Z86" i="4"/>
  <c r="AG86" i="4" s="1"/>
  <c r="AB86" i="4"/>
  <c r="Z65" i="4"/>
  <c r="AG65" i="4" s="1"/>
  <c r="Z75" i="4"/>
  <c r="AG75" i="4" s="1"/>
  <c r="Z29" i="4"/>
  <c r="AG29" i="4" s="1"/>
  <c r="Z216" i="4"/>
  <c r="AG216" i="4" s="1"/>
  <c r="AB216" i="4"/>
  <c r="Z352" i="4"/>
  <c r="AG352" i="4" s="1"/>
  <c r="AB352" i="4"/>
  <c r="Z224" i="4"/>
  <c r="AG224" i="4" s="1"/>
  <c r="AB121" i="4"/>
  <c r="Z121" i="4"/>
  <c r="AG121" i="4" s="1"/>
  <c r="Z74" i="4"/>
  <c r="AG74" i="4" s="1"/>
  <c r="AB74" i="4"/>
  <c r="Z63" i="4"/>
  <c r="AG63" i="4" s="1"/>
  <c r="Z348" i="4"/>
  <c r="AG348" i="4" s="1"/>
  <c r="AB286" i="4"/>
  <c r="Z286" i="4"/>
  <c r="AG286" i="4" s="1"/>
  <c r="Z193" i="4"/>
  <c r="AG193" i="4" s="1"/>
  <c r="AB120" i="4"/>
  <c r="Z120" i="4"/>
  <c r="AG120" i="4" s="1"/>
  <c r="Z99" i="4"/>
  <c r="AG99" i="4" s="1"/>
  <c r="Z84" i="4"/>
  <c r="AG84" i="4" s="1"/>
  <c r="AB84" i="4"/>
  <c r="AB37" i="4"/>
  <c r="Z37" i="4"/>
  <c r="AG37" i="4" s="1"/>
  <c r="Z27" i="4"/>
  <c r="AG27" i="4" s="1"/>
  <c r="Z314" i="4"/>
  <c r="AG314" i="4" s="1"/>
  <c r="AB314" i="4"/>
  <c r="Z351" i="4"/>
  <c r="AG351" i="4" s="1"/>
  <c r="AB351" i="4"/>
  <c r="AB157" i="4"/>
  <c r="Z157" i="4"/>
  <c r="AG157" i="4" s="1"/>
  <c r="Z146" i="4"/>
  <c r="AG146" i="4" s="1"/>
  <c r="AB146" i="4"/>
  <c r="AB137" i="4"/>
  <c r="Z53" i="4"/>
  <c r="AG53" i="4" s="1"/>
  <c r="Z268" i="4"/>
  <c r="AG268" i="4" s="1"/>
  <c r="AB268" i="4"/>
  <c r="AB156" i="4"/>
  <c r="Z156" i="4"/>
  <c r="AG156" i="4" s="1"/>
  <c r="Z72" i="4"/>
  <c r="AG72" i="4" s="1"/>
  <c r="AB72" i="4"/>
  <c r="AB310" i="4"/>
  <c r="Z310" i="4"/>
  <c r="AG310" i="4" s="1"/>
  <c r="Z182" i="4"/>
  <c r="AG182" i="4" s="1"/>
  <c r="AB182" i="4"/>
  <c r="Z108" i="4"/>
  <c r="AG108" i="4" s="1"/>
  <c r="AB108" i="4"/>
  <c r="AB25" i="4"/>
  <c r="Z25" i="4"/>
  <c r="AG25" i="4" s="1"/>
  <c r="Z5" i="4"/>
  <c r="AG5" i="4" s="1"/>
  <c r="Z315" i="4"/>
  <c r="AG315" i="4" s="1"/>
  <c r="AB315" i="4"/>
  <c r="Z291" i="4"/>
  <c r="AG291" i="4" s="1"/>
  <c r="AB291" i="4"/>
  <c r="Z250" i="4"/>
  <c r="AG250" i="4" s="1"/>
  <c r="AB250" i="4"/>
  <c r="Z236" i="4"/>
  <c r="AG236" i="4" s="1"/>
  <c r="Z221" i="4"/>
  <c r="AG221" i="4" s="1"/>
  <c r="AB125" i="4"/>
  <c r="Z24" i="4"/>
  <c r="AG24" i="4" s="1"/>
  <c r="AB24" i="4"/>
  <c r="Z254" i="4"/>
  <c r="AG254" i="4" s="1"/>
  <c r="AK254" i="4" s="1"/>
  <c r="AO254" i="4" s="1"/>
  <c r="Z238" i="4"/>
  <c r="AG238" i="4" s="1"/>
  <c r="AK238" i="4" s="1"/>
  <c r="AO238" i="4" s="1"/>
  <c r="Z336" i="4"/>
  <c r="AG336" i="4" s="1"/>
  <c r="Z340" i="4"/>
  <c r="AG340" i="4" s="1"/>
  <c r="Z266" i="4"/>
  <c r="AG266" i="4" s="1"/>
  <c r="AB252" i="4"/>
  <c r="AB237" i="4"/>
  <c r="Z226" i="4"/>
  <c r="AG226" i="4" s="1"/>
  <c r="Z204" i="4"/>
  <c r="AG204" i="4" s="1"/>
  <c r="Z192" i="4"/>
  <c r="AG192" i="4" s="1"/>
  <c r="Z170" i="4"/>
  <c r="AG170" i="4" s="1"/>
  <c r="AB163" i="4"/>
  <c r="AB145" i="4"/>
  <c r="Z62" i="4"/>
  <c r="AG62" i="4" s="1"/>
  <c r="AB56" i="4"/>
  <c r="Z17" i="4"/>
  <c r="AG17" i="4" s="1"/>
  <c r="Z300" i="4"/>
  <c r="AG300" i="4" s="1"/>
  <c r="Z3" i="4"/>
  <c r="AG3" i="4" s="1"/>
  <c r="Z292" i="4"/>
  <c r="AG292" i="4" s="1"/>
  <c r="AK292" i="4" s="1"/>
  <c r="AO292" i="4" s="1"/>
  <c r="AB3" i="4"/>
  <c r="Z304" i="4"/>
  <c r="AG304" i="4" s="1"/>
  <c r="AK304" i="4" s="1"/>
  <c r="AO304" i="4" s="1"/>
  <c r="Z243" i="4"/>
  <c r="AG243" i="4" s="1"/>
  <c r="Z316" i="4"/>
  <c r="AG316" i="4" s="1"/>
  <c r="AK316" i="4" s="1"/>
  <c r="AO316" i="4" s="1"/>
  <c r="Z360" i="4"/>
  <c r="AG360" i="4" s="1"/>
  <c r="AB322" i="4"/>
  <c r="Z303" i="4"/>
  <c r="AG303" i="4" s="1"/>
  <c r="AB247" i="4"/>
  <c r="Z242" i="4"/>
  <c r="AG242" i="4" s="1"/>
  <c r="Z231" i="4"/>
  <c r="AG231" i="4" s="1"/>
  <c r="Z198" i="4"/>
  <c r="AG198" i="4" s="1"/>
  <c r="AB334" i="4"/>
  <c r="AK334" i="4" s="1"/>
  <c r="AO334" i="4" s="1"/>
  <c r="Z322" i="4"/>
  <c r="AG322" i="4" s="1"/>
  <c r="Z252" i="4"/>
  <c r="AG252" i="4" s="1"/>
  <c r="Z247" i="4"/>
  <c r="AG247" i="4" s="1"/>
  <c r="AB220" i="4"/>
  <c r="Z163" i="4"/>
  <c r="AG163" i="4" s="1"/>
  <c r="AB36" i="4"/>
  <c r="Z325" i="4"/>
  <c r="AG325" i="4" s="1"/>
  <c r="Z327" i="4"/>
  <c r="AG327" i="4" s="1"/>
  <c r="AK327" i="4" s="1"/>
  <c r="AO327" i="4" s="1"/>
  <c r="Z265" i="4"/>
  <c r="AG265" i="4" s="1"/>
  <c r="AB68" i="4"/>
  <c r="Z36" i="4"/>
  <c r="AG36" i="4" s="1"/>
  <c r="Z326" i="4"/>
  <c r="AG326" i="4" s="1"/>
  <c r="AB358" i="4"/>
  <c r="Z302" i="4"/>
  <c r="AG302" i="4" s="1"/>
  <c r="AK302" i="4" s="1"/>
  <c r="AO302" i="4" s="1"/>
  <c r="Z277" i="4"/>
  <c r="AG277" i="4" s="1"/>
  <c r="AB240" i="4"/>
  <c r="AB225" i="4"/>
  <c r="AK225" i="4" s="1"/>
  <c r="AO225" i="4" s="1"/>
  <c r="AB144" i="4"/>
  <c r="AK144" i="4" s="1"/>
  <c r="AO144" i="4" s="1"/>
  <c r="AB61" i="4"/>
  <c r="AK61" i="4" s="1"/>
  <c r="AO61" i="4" s="1"/>
  <c r="AB48" i="4"/>
  <c r="Z15" i="4"/>
  <c r="AG15" i="4" s="1"/>
  <c r="Z350" i="4"/>
  <c r="AG350" i="4" s="1"/>
  <c r="Z364" i="4"/>
  <c r="AG364" i="4" s="1"/>
  <c r="AK364" i="4" s="1"/>
  <c r="AO364" i="4" s="1"/>
  <c r="Z290" i="4"/>
  <c r="AG290" i="4" s="1"/>
  <c r="AK290" i="4" s="1"/>
  <c r="AO290" i="4" s="1"/>
  <c r="Z339" i="4"/>
  <c r="AG339" i="4" s="1"/>
  <c r="AK339" i="4" s="1"/>
  <c r="AO339" i="4" s="1"/>
  <c r="AB235" i="4"/>
  <c r="Z230" i="4"/>
  <c r="AG230" i="4" s="1"/>
  <c r="AK230" i="4" s="1"/>
  <c r="AO230" i="4" s="1"/>
  <c r="Z219" i="4"/>
  <c r="AG219" i="4" s="1"/>
  <c r="Z214" i="4"/>
  <c r="AG214" i="4" s="1"/>
  <c r="AK214" i="4" s="1"/>
  <c r="AO214" i="4" s="1"/>
  <c r="AB169" i="4"/>
  <c r="AK169" i="4" s="1"/>
  <c r="AO169" i="4" s="1"/>
  <c r="AB149" i="4"/>
  <c r="Z358" i="4"/>
  <c r="AG358" i="4" s="1"/>
  <c r="AB326" i="4"/>
  <c r="Z240" i="4"/>
  <c r="AG240" i="4" s="1"/>
  <c r="Z235" i="4"/>
  <c r="AG235" i="4" s="1"/>
  <c r="AB189" i="4"/>
  <c r="AB176" i="4"/>
  <c r="Z130" i="4"/>
  <c r="AG130" i="4" s="1"/>
  <c r="AB80" i="4"/>
  <c r="Z48" i="4"/>
  <c r="AG48" i="4" s="1"/>
  <c r="Z301" i="4"/>
  <c r="AG301" i="4" s="1"/>
  <c r="Z276" i="4"/>
  <c r="AG276" i="4" s="1"/>
  <c r="Z245" i="4"/>
  <c r="AG245" i="4" s="1"/>
  <c r="Z195" i="4"/>
  <c r="AG195" i="4" s="1"/>
  <c r="Z175" i="4"/>
  <c r="AG175" i="4" s="1"/>
  <c r="AB168" i="4"/>
  <c r="Z118" i="4"/>
  <c r="AG118" i="4" s="1"/>
  <c r="Z98" i="4"/>
  <c r="AG98" i="4" s="1"/>
  <c r="AK98" i="4" s="1"/>
  <c r="AO98" i="4" s="1"/>
  <c r="AB73" i="4"/>
  <c r="AK73" i="4" s="1"/>
  <c r="AO73" i="4" s="1"/>
  <c r="Z39" i="4"/>
  <c r="AG39" i="4" s="1"/>
  <c r="AB350" i="4"/>
  <c r="AB228" i="4"/>
  <c r="AK228" i="4" s="1"/>
  <c r="AO228" i="4" s="1"/>
  <c r="AB223" i="4"/>
  <c r="AK223" i="4" s="1"/>
  <c r="AO223" i="4" s="1"/>
  <c r="AB213" i="4"/>
  <c r="AK213" i="4" s="1"/>
  <c r="AO213" i="4" s="1"/>
  <c r="AB201" i="4"/>
  <c r="Z188" i="4"/>
  <c r="AG188" i="4" s="1"/>
  <c r="AK188" i="4" s="1"/>
  <c r="AO188" i="4" s="1"/>
  <c r="Z142" i="4"/>
  <c r="AG142" i="4" s="1"/>
  <c r="Z60" i="4"/>
  <c r="AG60" i="4" s="1"/>
  <c r="AK60" i="4" s="1"/>
  <c r="AO60" i="4" s="1"/>
  <c r="AB8" i="4"/>
  <c r="Z363" i="4"/>
  <c r="AG363" i="4" s="1"/>
  <c r="AK363" i="4" s="1"/>
  <c r="AO363" i="4" s="1"/>
  <c r="Z280" i="4"/>
  <c r="AG280" i="4" s="1"/>
  <c r="AK280" i="4" s="1"/>
  <c r="AO280" i="4" s="1"/>
  <c r="Z212" i="4"/>
  <c r="AG212" i="4" s="1"/>
  <c r="Z206" i="4"/>
  <c r="AG206" i="4" s="1"/>
  <c r="AK206" i="4" s="1"/>
  <c r="AO206" i="4" s="1"/>
  <c r="Z194" i="4"/>
  <c r="AG194" i="4" s="1"/>
  <c r="AB181" i="4"/>
  <c r="AK181" i="4" s="1"/>
  <c r="AO181" i="4" s="1"/>
  <c r="Z154" i="4"/>
  <c r="AG154" i="4" s="1"/>
  <c r="Z134" i="4"/>
  <c r="AG134" i="4" s="1"/>
  <c r="AK134" i="4" s="1"/>
  <c r="AO134" i="4" s="1"/>
  <c r="Z110" i="4"/>
  <c r="AG110" i="4" s="1"/>
  <c r="AK110" i="4" s="1"/>
  <c r="AO110" i="4" s="1"/>
  <c r="AB85" i="4"/>
  <c r="AK85" i="4" s="1"/>
  <c r="AO85" i="4" s="1"/>
  <c r="Z51" i="4"/>
  <c r="AG51" i="4" s="1"/>
  <c r="Z26" i="4"/>
  <c r="AG26" i="4" s="1"/>
  <c r="AK26" i="4" s="1"/>
  <c r="AO26" i="4" s="1"/>
  <c r="Z312" i="4"/>
  <c r="AG312" i="4" s="1"/>
  <c r="Z233" i="4"/>
  <c r="AG233" i="4" s="1"/>
  <c r="Z187" i="4"/>
  <c r="AG187" i="4" s="1"/>
  <c r="Z166" i="4"/>
  <c r="AG166" i="4" s="1"/>
  <c r="Z122" i="4"/>
  <c r="AG122" i="4" s="1"/>
  <c r="AK122" i="4" s="1"/>
  <c r="AO122" i="4" s="1"/>
  <c r="AB103" i="4"/>
  <c r="AB97" i="4"/>
  <c r="AK97" i="4" s="1"/>
  <c r="AO97" i="4" s="1"/>
  <c r="Z77" i="4"/>
  <c r="AG77" i="4" s="1"/>
  <c r="Z38" i="4"/>
  <c r="AG38" i="4" s="1"/>
  <c r="AK38" i="4" s="1"/>
  <c r="AO38" i="4" s="1"/>
  <c r="AB205" i="4"/>
  <c r="AB152" i="4"/>
  <c r="AB139" i="4"/>
  <c r="AB127" i="4"/>
  <c r="AB115" i="4"/>
  <c r="AB13" i="4"/>
  <c r="AK13" i="4" s="1"/>
  <c r="AO13" i="4" s="1"/>
  <c r="Z362" i="4"/>
  <c r="AG362" i="4" s="1"/>
  <c r="AK362" i="4" s="1"/>
  <c r="AO362" i="4" s="1"/>
  <c r="Z337" i="4"/>
  <c r="AG337" i="4" s="1"/>
  <c r="Z349" i="4"/>
  <c r="AG349" i="4" s="1"/>
  <c r="Z324" i="4"/>
  <c r="AG324" i="4" s="1"/>
  <c r="AB249" i="4"/>
  <c r="AK249" i="4" s="1"/>
  <c r="AO249" i="4" s="1"/>
  <c r="AB211" i="4"/>
  <c r="AK211" i="4" s="1"/>
  <c r="AO211" i="4" s="1"/>
  <c r="AB109" i="4"/>
  <c r="AK109" i="4" s="1"/>
  <c r="AO109" i="4" s="1"/>
  <c r="Z89" i="4"/>
  <c r="AG89" i="4" s="1"/>
  <c r="Z50" i="4"/>
  <c r="AG50" i="4" s="1"/>
  <c r="AK50" i="4" s="1"/>
  <c r="AO50" i="4" s="1"/>
  <c r="AB44" i="4"/>
  <c r="Z267" i="4"/>
  <c r="AG267" i="4" s="1"/>
  <c r="AK267" i="4" s="1"/>
  <c r="AO267" i="4" s="1"/>
  <c r="Z361" i="4"/>
  <c r="AG361" i="4" s="1"/>
  <c r="Z279" i="4"/>
  <c r="AG279" i="4" s="1"/>
  <c r="AK279" i="4" s="1"/>
  <c r="AO279" i="4" s="1"/>
  <c r="Z248" i="4"/>
  <c r="AG248" i="4" s="1"/>
  <c r="AB180" i="4"/>
  <c r="AK180" i="4" s="1"/>
  <c r="AO180" i="4" s="1"/>
  <c r="Z158" i="4"/>
  <c r="AG158" i="4" s="1"/>
  <c r="AK158" i="4" s="1"/>
  <c r="AO158" i="4" s="1"/>
  <c r="AB133" i="4"/>
  <c r="AK133" i="4" s="1"/>
  <c r="AO133" i="4" s="1"/>
  <c r="AB340" i="4"/>
  <c r="AB303" i="4"/>
  <c r="Z298" i="4"/>
  <c r="AG298" i="4" s="1"/>
  <c r="AK298" i="4" s="1"/>
  <c r="AO298" i="4" s="1"/>
  <c r="AB266" i="4"/>
  <c r="AB242" i="4"/>
  <c r="Z237" i="4"/>
  <c r="AG237" i="4" s="1"/>
  <c r="AK237" i="4" s="1"/>
  <c r="AO237" i="4" s="1"/>
  <c r="AB226" i="4"/>
  <c r="Z199" i="4"/>
  <c r="AG199" i="4" s="1"/>
  <c r="AK199" i="4" s="1"/>
  <c r="AO199" i="4" s="1"/>
  <c r="AB192" i="4"/>
  <c r="AB170" i="4"/>
  <c r="AB151" i="4"/>
  <c r="Z145" i="4"/>
  <c r="AG145" i="4" s="1"/>
  <c r="Z96" i="4"/>
  <c r="AG96" i="4" s="1"/>
  <c r="AK96" i="4" s="1"/>
  <c r="AO96" i="4" s="1"/>
  <c r="AB62" i="4"/>
  <c r="Z259" i="4"/>
  <c r="AG259" i="4" s="1"/>
  <c r="AB259" i="4"/>
  <c r="Z299" i="4"/>
  <c r="AG299" i="4" s="1"/>
  <c r="AB299" i="4"/>
  <c r="Z269" i="4"/>
  <c r="AG269" i="4" s="1"/>
  <c r="AB269" i="4"/>
  <c r="Z258" i="4"/>
  <c r="AG258" i="4" s="1"/>
  <c r="AB258" i="4"/>
  <c r="Z357" i="4"/>
  <c r="AG357" i="4" s="1"/>
  <c r="AB357" i="4"/>
  <c r="Z287" i="4"/>
  <c r="AG287" i="4" s="1"/>
  <c r="AB287" i="4"/>
  <c r="Z257" i="4"/>
  <c r="AG257" i="4" s="1"/>
  <c r="AB257" i="4"/>
  <c r="Z186" i="4"/>
  <c r="AG186" i="4" s="1"/>
  <c r="AB186" i="4"/>
  <c r="Z367" i="4"/>
  <c r="AG367" i="4" s="1"/>
  <c r="AB367" i="4"/>
  <c r="AB356" i="4"/>
  <c r="Z356" i="4"/>
  <c r="AG356" i="4" s="1"/>
  <c r="Z345" i="4"/>
  <c r="AG345" i="4" s="1"/>
  <c r="AB345" i="4"/>
  <c r="Z275" i="4"/>
  <c r="AG275" i="4" s="1"/>
  <c r="AB275" i="4"/>
  <c r="Z173" i="4"/>
  <c r="AG173" i="4" s="1"/>
  <c r="AB173" i="4"/>
  <c r="Z161" i="4"/>
  <c r="AG161" i="4" s="1"/>
  <c r="AB161" i="4"/>
  <c r="Z366" i="4"/>
  <c r="AG366" i="4" s="1"/>
  <c r="AB366" i="4"/>
  <c r="Z355" i="4"/>
  <c r="AG355" i="4" s="1"/>
  <c r="AB355" i="4"/>
  <c r="AB344" i="4"/>
  <c r="Z344" i="4"/>
  <c r="AG344" i="4" s="1"/>
  <c r="Z333" i="4"/>
  <c r="AG333" i="4" s="1"/>
  <c r="AB333" i="4"/>
  <c r="Z263" i="4"/>
  <c r="AG263" i="4" s="1"/>
  <c r="AB263" i="4"/>
  <c r="Z251" i="4"/>
  <c r="AG251" i="4" s="1"/>
  <c r="AB251" i="4"/>
  <c r="Z227" i="4"/>
  <c r="AG227" i="4" s="1"/>
  <c r="AB227" i="4"/>
  <c r="Z207" i="4"/>
  <c r="AG207" i="4" s="1"/>
  <c r="AB207" i="4"/>
  <c r="Z365" i="4"/>
  <c r="AG365" i="4" s="1"/>
  <c r="AB365" i="4"/>
  <c r="AB332" i="4"/>
  <c r="Z332" i="4"/>
  <c r="AG332" i="4" s="1"/>
  <c r="Z321" i="4"/>
  <c r="AG321" i="4" s="1"/>
  <c r="AB321" i="4"/>
  <c r="Z241" i="4"/>
  <c r="AG241" i="4" s="1"/>
  <c r="AB241" i="4"/>
  <c r="Z217" i="4"/>
  <c r="AG217" i="4" s="1"/>
  <c r="AB217" i="4"/>
  <c r="AB197" i="4"/>
  <c r="Z197" i="4"/>
  <c r="AG197" i="4" s="1"/>
  <c r="Z171" i="4"/>
  <c r="AG171" i="4" s="1"/>
  <c r="AB171" i="4"/>
  <c r="Z281" i="4"/>
  <c r="AG281" i="4" s="1"/>
  <c r="AB281" i="4"/>
  <c r="Z353" i="4"/>
  <c r="AG353" i="4" s="1"/>
  <c r="AB353" i="4"/>
  <c r="Z342" i="4"/>
  <c r="AG342" i="4" s="1"/>
  <c r="AB342" i="4"/>
  <c r="Z331" i="4"/>
  <c r="AG331" i="4" s="1"/>
  <c r="AB331" i="4"/>
  <c r="AB320" i="4"/>
  <c r="Z320" i="4"/>
  <c r="AG320" i="4" s="1"/>
  <c r="Z309" i="4"/>
  <c r="AG309" i="4" s="1"/>
  <c r="AB309" i="4"/>
  <c r="Z311" i="4"/>
  <c r="AG311" i="4" s="1"/>
  <c r="AB311" i="4"/>
  <c r="Z341" i="4"/>
  <c r="AG341" i="4" s="1"/>
  <c r="AB341" i="4"/>
  <c r="Z330" i="4"/>
  <c r="AG330" i="4" s="1"/>
  <c r="AB330" i="4"/>
  <c r="Z319" i="4"/>
  <c r="AG319" i="4" s="1"/>
  <c r="AB319" i="4"/>
  <c r="AB308" i="4"/>
  <c r="Z308" i="4"/>
  <c r="AG308" i="4" s="1"/>
  <c r="Z297" i="4"/>
  <c r="AG297" i="4" s="1"/>
  <c r="AB297" i="4"/>
  <c r="Z183" i="4"/>
  <c r="AG183" i="4" s="1"/>
  <c r="AB183" i="4"/>
  <c r="Z354" i="4"/>
  <c r="AG354" i="4" s="1"/>
  <c r="AB354" i="4"/>
  <c r="Z359" i="4"/>
  <c r="AG359" i="4" s="1"/>
  <c r="AB359" i="4"/>
  <c r="Z329" i="4"/>
  <c r="AG329" i="4" s="1"/>
  <c r="AB329" i="4"/>
  <c r="Z318" i="4"/>
  <c r="AG318" i="4" s="1"/>
  <c r="AB318" i="4"/>
  <c r="Z307" i="4"/>
  <c r="AG307" i="4" s="1"/>
  <c r="AB307" i="4"/>
  <c r="AB296" i="4"/>
  <c r="Z296" i="4"/>
  <c r="AG296" i="4" s="1"/>
  <c r="Z285" i="4"/>
  <c r="AG285" i="4" s="1"/>
  <c r="AB285" i="4"/>
  <c r="AB190" i="4"/>
  <c r="Z190" i="4"/>
  <c r="AG190" i="4" s="1"/>
  <c r="Z343" i="4"/>
  <c r="AG343" i="4" s="1"/>
  <c r="AB343" i="4"/>
  <c r="Z347" i="4"/>
  <c r="AG347" i="4" s="1"/>
  <c r="AB347" i="4"/>
  <c r="Z317" i="4"/>
  <c r="AG317" i="4" s="1"/>
  <c r="AB317" i="4"/>
  <c r="Z306" i="4"/>
  <c r="AG306" i="4" s="1"/>
  <c r="AB306" i="4"/>
  <c r="Z295" i="4"/>
  <c r="AG295" i="4" s="1"/>
  <c r="AB295" i="4"/>
  <c r="AB284" i="4"/>
  <c r="Z284" i="4"/>
  <c r="AG284" i="4" s="1"/>
  <c r="Z273" i="4"/>
  <c r="AG273" i="4" s="1"/>
  <c r="AB273" i="4"/>
  <c r="Z335" i="4"/>
  <c r="AG335" i="4" s="1"/>
  <c r="AB335" i="4"/>
  <c r="Z305" i="4"/>
  <c r="AG305" i="4" s="1"/>
  <c r="AB305" i="4"/>
  <c r="Z294" i="4"/>
  <c r="AG294" i="4" s="1"/>
  <c r="AB294" i="4"/>
  <c r="Z283" i="4"/>
  <c r="AG283" i="4" s="1"/>
  <c r="AB283" i="4"/>
  <c r="AB272" i="4"/>
  <c r="Z272" i="4"/>
  <c r="AG272" i="4" s="1"/>
  <c r="Z261" i="4"/>
  <c r="AG261" i="4" s="1"/>
  <c r="AB261" i="4"/>
  <c r="Z239" i="4"/>
  <c r="AG239" i="4" s="1"/>
  <c r="AB239" i="4"/>
  <c r="Z215" i="4"/>
  <c r="AG215" i="4" s="1"/>
  <c r="AB215" i="4"/>
  <c r="Z270" i="4"/>
  <c r="AG270" i="4" s="1"/>
  <c r="AB270" i="4"/>
  <c r="Z323" i="4"/>
  <c r="AG323" i="4" s="1"/>
  <c r="AB323" i="4"/>
  <c r="Z293" i="4"/>
  <c r="AG293" i="4" s="1"/>
  <c r="AB293" i="4"/>
  <c r="Z282" i="4"/>
  <c r="AG282" i="4" s="1"/>
  <c r="AB282" i="4"/>
  <c r="Z271" i="4"/>
  <c r="AG271" i="4" s="1"/>
  <c r="AB271" i="4"/>
  <c r="AB260" i="4"/>
  <c r="Z260" i="4"/>
  <c r="AG260" i="4" s="1"/>
  <c r="Z253" i="4"/>
  <c r="AG253" i="4" s="1"/>
  <c r="AB253" i="4"/>
  <c r="Z229" i="4"/>
  <c r="AG229" i="4" s="1"/>
  <c r="AB229" i="4"/>
  <c r="Z124" i="4"/>
  <c r="AG124" i="4" s="1"/>
  <c r="AB124" i="4"/>
  <c r="Z104" i="4"/>
  <c r="AG104" i="4" s="1"/>
  <c r="Z94" i="4"/>
  <c r="AG94" i="4" s="1"/>
  <c r="AB94" i="4"/>
  <c r="Z165" i="4"/>
  <c r="AG165" i="4" s="1"/>
  <c r="AB165" i="4"/>
  <c r="AB130" i="4"/>
  <c r="Z93" i="4"/>
  <c r="AG93" i="4" s="1"/>
  <c r="AB93" i="4"/>
  <c r="Z83" i="4"/>
  <c r="AG83" i="4" s="1"/>
  <c r="AB83" i="4"/>
  <c r="Z64" i="4"/>
  <c r="AG64" i="4" s="1"/>
  <c r="AB64" i="4"/>
  <c r="Z42" i="4"/>
  <c r="AG42" i="4" s="1"/>
  <c r="AB42" i="4"/>
  <c r="Z32" i="4"/>
  <c r="AG32" i="4" s="1"/>
  <c r="AK32" i="4" s="1"/>
  <c r="AO32" i="4" s="1"/>
  <c r="Z21" i="4"/>
  <c r="AG21" i="4" s="1"/>
  <c r="AB21" i="4"/>
  <c r="Z11" i="4"/>
  <c r="AG11" i="4" s="1"/>
  <c r="AB11" i="4"/>
  <c r="AB193" i="4"/>
  <c r="AB178" i="4"/>
  <c r="Z159" i="4"/>
  <c r="AG159" i="4" s="1"/>
  <c r="AB159" i="4"/>
  <c r="Z149" i="4"/>
  <c r="AG149" i="4" s="1"/>
  <c r="AK149" i="4" s="1"/>
  <c r="AO149" i="4" s="1"/>
  <c r="Z139" i="4"/>
  <c r="AG139" i="4" s="1"/>
  <c r="Z129" i="4"/>
  <c r="AG129" i="4" s="1"/>
  <c r="AB129" i="4"/>
  <c r="Z123" i="4"/>
  <c r="AG123" i="4" s="1"/>
  <c r="AB123" i="4"/>
  <c r="Z113" i="4"/>
  <c r="AG113" i="4" s="1"/>
  <c r="Z103" i="4"/>
  <c r="AG103" i="4" s="1"/>
  <c r="Z82" i="4"/>
  <c r="AG82" i="4" s="1"/>
  <c r="AB82" i="4"/>
  <c r="Z31" i="4"/>
  <c r="AG31" i="4" s="1"/>
  <c r="AB31" i="4"/>
  <c r="Z10" i="4"/>
  <c r="AG10" i="4" s="1"/>
  <c r="AB10" i="4"/>
  <c r="AB246" i="4"/>
  <c r="Z160" i="4"/>
  <c r="AG160" i="4" s="1"/>
  <c r="AB160" i="4"/>
  <c r="Z22" i="4"/>
  <c r="AG22" i="4" s="1"/>
  <c r="AB22" i="4"/>
  <c r="AB360" i="4"/>
  <c r="AB348" i="4"/>
  <c r="AB336" i="4"/>
  <c r="AB324" i="4"/>
  <c r="AB312" i="4"/>
  <c r="AB300" i="4"/>
  <c r="AB288" i="4"/>
  <c r="AB276" i="4"/>
  <c r="AB264" i="4"/>
  <c r="AB248" i="4"/>
  <c r="AB245" i="4"/>
  <c r="AB236" i="4"/>
  <c r="AB233" i="4"/>
  <c r="AB224" i="4"/>
  <c r="AB221" i="4"/>
  <c r="AB212" i="4"/>
  <c r="AB209" i="4"/>
  <c r="Z203" i="4"/>
  <c r="AG203" i="4" s="1"/>
  <c r="AB203" i="4"/>
  <c r="AB185" i="4"/>
  <c r="Z164" i="4"/>
  <c r="AG164" i="4" s="1"/>
  <c r="AK164" i="4" s="1"/>
  <c r="AO164" i="4" s="1"/>
  <c r="Z155" i="4"/>
  <c r="AG155" i="4" s="1"/>
  <c r="AB155" i="4"/>
  <c r="Z138" i="4"/>
  <c r="AG138" i="4" s="1"/>
  <c r="AB138" i="4"/>
  <c r="Z119" i="4"/>
  <c r="AG119" i="4" s="1"/>
  <c r="AB119" i="4"/>
  <c r="Z102" i="4"/>
  <c r="AG102" i="4" s="1"/>
  <c r="AB102" i="4"/>
  <c r="Z92" i="4"/>
  <c r="AG92" i="4" s="1"/>
  <c r="AK92" i="4" s="1"/>
  <c r="AO92" i="4" s="1"/>
  <c r="Z81" i="4"/>
  <c r="AG81" i="4" s="1"/>
  <c r="AB81" i="4"/>
  <c r="Z71" i="4"/>
  <c r="AG71" i="4" s="1"/>
  <c r="AB71" i="4"/>
  <c r="Z52" i="4"/>
  <c r="AG52" i="4" s="1"/>
  <c r="AB52" i="4"/>
  <c r="Z30" i="4"/>
  <c r="AG30" i="4" s="1"/>
  <c r="AB30" i="4"/>
  <c r="Z20" i="4"/>
  <c r="AG20" i="4" s="1"/>
  <c r="AK20" i="4" s="1"/>
  <c r="AO20" i="4" s="1"/>
  <c r="Z9" i="4"/>
  <c r="AG9" i="4" s="1"/>
  <c r="AB9" i="4"/>
  <c r="Z140" i="4"/>
  <c r="AG140" i="4" s="1"/>
  <c r="Z196" i="4"/>
  <c r="AG196" i="4" s="1"/>
  <c r="AK196" i="4" s="1"/>
  <c r="AO196" i="4" s="1"/>
  <c r="Z189" i="4"/>
  <c r="AG189" i="4" s="1"/>
  <c r="AK189" i="4" s="1"/>
  <c r="AO189" i="4" s="1"/>
  <c r="Z185" i="4"/>
  <c r="AG185" i="4" s="1"/>
  <c r="Z148" i="4"/>
  <c r="AG148" i="4" s="1"/>
  <c r="AB148" i="4"/>
  <c r="Z128" i="4"/>
  <c r="AG128" i="4" s="1"/>
  <c r="AK128" i="4" s="1"/>
  <c r="AO128" i="4" s="1"/>
  <c r="Z112" i="4"/>
  <c r="AG112" i="4" s="1"/>
  <c r="AB112" i="4"/>
  <c r="Z91" i="4"/>
  <c r="AG91" i="4" s="1"/>
  <c r="AB91" i="4"/>
  <c r="Z70" i="4"/>
  <c r="AG70" i="4" s="1"/>
  <c r="AB70" i="4"/>
  <c r="Z19" i="4"/>
  <c r="AG19" i="4" s="1"/>
  <c r="AB19" i="4"/>
  <c r="Z177" i="4"/>
  <c r="AG177" i="4" s="1"/>
  <c r="AB177" i="4"/>
  <c r="AB154" i="4"/>
  <c r="AB118" i="4"/>
  <c r="Z101" i="4"/>
  <c r="AG101" i="4" s="1"/>
  <c r="AB101" i="4"/>
  <c r="Z90" i="4"/>
  <c r="AG90" i="4" s="1"/>
  <c r="AB90" i="4"/>
  <c r="Z80" i="4"/>
  <c r="AG80" i="4" s="1"/>
  <c r="Z69" i="4"/>
  <c r="AG69" i="4" s="1"/>
  <c r="AB69" i="4"/>
  <c r="Z59" i="4"/>
  <c r="AG59" i="4" s="1"/>
  <c r="AB59" i="4"/>
  <c r="Z40" i="4"/>
  <c r="AG40" i="4" s="1"/>
  <c r="AB40" i="4"/>
  <c r="Z18" i="4"/>
  <c r="AG18" i="4" s="1"/>
  <c r="AB18" i="4"/>
  <c r="Z8" i="4"/>
  <c r="AG8" i="4" s="1"/>
  <c r="Z205" i="4"/>
  <c r="AG205" i="4" s="1"/>
  <c r="AK205" i="4" s="1"/>
  <c r="AO205" i="4" s="1"/>
  <c r="Z202" i="4"/>
  <c r="AG202" i="4" s="1"/>
  <c r="AB195" i="4"/>
  <c r="Z172" i="4"/>
  <c r="AG172" i="4" s="1"/>
  <c r="AB172" i="4"/>
  <c r="Z168" i="4"/>
  <c r="AG168" i="4" s="1"/>
  <c r="AK168" i="4" s="1"/>
  <c r="AO168" i="4" s="1"/>
  <c r="Z153" i="4"/>
  <c r="AG153" i="4" s="1"/>
  <c r="AB153" i="4"/>
  <c r="Z147" i="4"/>
  <c r="AG147" i="4" s="1"/>
  <c r="AB147" i="4"/>
  <c r="Z137" i="4"/>
  <c r="AG137" i="4" s="1"/>
  <c r="Z127" i="4"/>
  <c r="AG127" i="4" s="1"/>
  <c r="Z117" i="4"/>
  <c r="AG117" i="4" s="1"/>
  <c r="AB117" i="4"/>
  <c r="Z111" i="4"/>
  <c r="AG111" i="4" s="1"/>
  <c r="AB111" i="4"/>
  <c r="Z79" i="4"/>
  <c r="AG79" i="4" s="1"/>
  <c r="AB79" i="4"/>
  <c r="Z58" i="4"/>
  <c r="AG58" i="4" s="1"/>
  <c r="AB58" i="4"/>
  <c r="Z7" i="4"/>
  <c r="AG7" i="4" s="1"/>
  <c r="AB7" i="4"/>
  <c r="AB234" i="4"/>
  <c r="Z256" i="4"/>
  <c r="AG256" i="4" s="1"/>
  <c r="Z176" i="4"/>
  <c r="AG176" i="4" s="1"/>
  <c r="Z162" i="4"/>
  <c r="AG162" i="4" s="1"/>
  <c r="AB162" i="4"/>
  <c r="Z143" i="4"/>
  <c r="AG143" i="4" s="1"/>
  <c r="AB143" i="4"/>
  <c r="Z126" i="4"/>
  <c r="AG126" i="4" s="1"/>
  <c r="AB126" i="4"/>
  <c r="Z100" i="4"/>
  <c r="AG100" i="4" s="1"/>
  <c r="AB100" i="4"/>
  <c r="Z78" i="4"/>
  <c r="AG78" i="4" s="1"/>
  <c r="AB78" i="4"/>
  <c r="Z68" i="4"/>
  <c r="AG68" i="4" s="1"/>
  <c r="Z57" i="4"/>
  <c r="AG57" i="4" s="1"/>
  <c r="AB57" i="4"/>
  <c r="Z47" i="4"/>
  <c r="AG47" i="4" s="1"/>
  <c r="AB47" i="4"/>
  <c r="Z28" i="4"/>
  <c r="AG28" i="4" s="1"/>
  <c r="AB28" i="4"/>
  <c r="Z6" i="4"/>
  <c r="AG6" i="4" s="1"/>
  <c r="AB6" i="4"/>
  <c r="AB222" i="4"/>
  <c r="Z244" i="4"/>
  <c r="AG244" i="4" s="1"/>
  <c r="AK244" i="4" s="1"/>
  <c r="AO244" i="4" s="1"/>
  <c r="Z232" i="4"/>
  <c r="AG232" i="4" s="1"/>
  <c r="AK232" i="4" s="1"/>
  <c r="AO232" i="4" s="1"/>
  <c r="Z220" i="4"/>
  <c r="AG220" i="4" s="1"/>
  <c r="Z208" i="4"/>
  <c r="AG208" i="4" s="1"/>
  <c r="AK208" i="4" s="1"/>
  <c r="AO208" i="4" s="1"/>
  <c r="Z184" i="4"/>
  <c r="AG184" i="4" s="1"/>
  <c r="AK184" i="4" s="1"/>
  <c r="AO184" i="4" s="1"/>
  <c r="Z152" i="4"/>
  <c r="AG152" i="4" s="1"/>
  <c r="AK152" i="4" s="1"/>
  <c r="AO152" i="4" s="1"/>
  <c r="Z136" i="4"/>
  <c r="AG136" i="4" s="1"/>
  <c r="AB136" i="4"/>
  <c r="Z116" i="4"/>
  <c r="AG116" i="4" s="1"/>
  <c r="AK116" i="4" s="1"/>
  <c r="AO116" i="4" s="1"/>
  <c r="Z107" i="4"/>
  <c r="AG107" i="4" s="1"/>
  <c r="AB107" i="4"/>
  <c r="Z67" i="4"/>
  <c r="AG67" i="4" s="1"/>
  <c r="AB67" i="4"/>
  <c r="Z46" i="4"/>
  <c r="AG46" i="4" s="1"/>
  <c r="AB46" i="4"/>
  <c r="Z179" i="4"/>
  <c r="AG179" i="4" s="1"/>
  <c r="AB179" i="4"/>
  <c r="AB198" i="4"/>
  <c r="AB175" i="4"/>
  <c r="Z167" i="4"/>
  <c r="AG167" i="4" s="1"/>
  <c r="AB167" i="4"/>
  <c r="AB142" i="4"/>
  <c r="Z106" i="4"/>
  <c r="AG106" i="4" s="1"/>
  <c r="AB106" i="4"/>
  <c r="Z88" i="4"/>
  <c r="AG88" i="4" s="1"/>
  <c r="AB88" i="4"/>
  <c r="Z66" i="4"/>
  <c r="AG66" i="4" s="1"/>
  <c r="AB66" i="4"/>
  <c r="Z56" i="4"/>
  <c r="AG56" i="4" s="1"/>
  <c r="AK56" i="4" s="1"/>
  <c r="AO56" i="4" s="1"/>
  <c r="Z45" i="4"/>
  <c r="AG45" i="4" s="1"/>
  <c r="AB45" i="4"/>
  <c r="Z35" i="4"/>
  <c r="AG35" i="4" s="1"/>
  <c r="AB35" i="4"/>
  <c r="Z16" i="4"/>
  <c r="AG16" i="4" s="1"/>
  <c r="AB16" i="4"/>
  <c r="AB210" i="4"/>
  <c r="Z174" i="4"/>
  <c r="AG174" i="4" s="1"/>
  <c r="AB174" i="4"/>
  <c r="Z43" i="4"/>
  <c r="AG43" i="4" s="1"/>
  <c r="AB43" i="4"/>
  <c r="AB361" i="4"/>
  <c r="AB349" i="4"/>
  <c r="AB337" i="4"/>
  <c r="AB325" i="4"/>
  <c r="AB313" i="4"/>
  <c r="AB301" i="4"/>
  <c r="AB289" i="4"/>
  <c r="AB277" i="4"/>
  <c r="AB265" i="4"/>
  <c r="AB255" i="4"/>
  <c r="AB243" i="4"/>
  <c r="AB231" i="4"/>
  <c r="AB219" i="4"/>
  <c r="AB204" i="4"/>
  <c r="Z201" i="4"/>
  <c r="AG201" i="4" s="1"/>
  <c r="AB194" i="4"/>
  <c r="Z191" i="4"/>
  <c r="AG191" i="4" s="1"/>
  <c r="AB191" i="4"/>
  <c r="AB187" i="4"/>
  <c r="Z151" i="4"/>
  <c r="AG151" i="4" s="1"/>
  <c r="AK151" i="4" s="1"/>
  <c r="AO151" i="4" s="1"/>
  <c r="Z141" i="4"/>
  <c r="AG141" i="4" s="1"/>
  <c r="AB141" i="4"/>
  <c r="Z135" i="4"/>
  <c r="AG135" i="4" s="1"/>
  <c r="AB135" i="4"/>
  <c r="Z125" i="4"/>
  <c r="AG125" i="4" s="1"/>
  <c r="Z115" i="4"/>
  <c r="AG115" i="4" s="1"/>
  <c r="AK115" i="4" s="1"/>
  <c r="AO115" i="4" s="1"/>
  <c r="Z105" i="4"/>
  <c r="AG105" i="4" s="1"/>
  <c r="AB105" i="4"/>
  <c r="Z55" i="4"/>
  <c r="AG55" i="4" s="1"/>
  <c r="AB55" i="4"/>
  <c r="Z34" i="4"/>
  <c r="AG34" i="4" s="1"/>
  <c r="AB34" i="4"/>
  <c r="Z246" i="4"/>
  <c r="AG246" i="4" s="1"/>
  <c r="Z234" i="4"/>
  <c r="AG234" i="4" s="1"/>
  <c r="Z222" i="4"/>
  <c r="AG222" i="4" s="1"/>
  <c r="Z210" i="4"/>
  <c r="AG210" i="4" s="1"/>
  <c r="AB166" i="4"/>
  <c r="Z150" i="4"/>
  <c r="AG150" i="4" s="1"/>
  <c r="AB150" i="4"/>
  <c r="AB140" i="4"/>
  <c r="Z131" i="4"/>
  <c r="AG131" i="4" s="1"/>
  <c r="AB131" i="4"/>
  <c r="Z114" i="4"/>
  <c r="AG114" i="4" s="1"/>
  <c r="AB114" i="4"/>
  <c r="AB104" i="4"/>
  <c r="Z95" i="4"/>
  <c r="AG95" i="4" s="1"/>
  <c r="AB95" i="4"/>
  <c r="Z76" i="4"/>
  <c r="AG76" i="4" s="1"/>
  <c r="AB76" i="4"/>
  <c r="Z54" i="4"/>
  <c r="AG54" i="4" s="1"/>
  <c r="AB54" i="4"/>
  <c r="Z44" i="4"/>
  <c r="AG44" i="4" s="1"/>
  <c r="AK44" i="4" s="1"/>
  <c r="AO44" i="4" s="1"/>
  <c r="Z33" i="4"/>
  <c r="AG33" i="4" s="1"/>
  <c r="AB33" i="4"/>
  <c r="Z23" i="4"/>
  <c r="AG23" i="4" s="1"/>
  <c r="AB23" i="4"/>
  <c r="Z4" i="4"/>
  <c r="AG4" i="4" s="1"/>
  <c r="AB4" i="4"/>
  <c r="AB99" i="4"/>
  <c r="AB87" i="4"/>
  <c r="AB75" i="4"/>
  <c r="AB63" i="4"/>
  <c r="AB51" i="4"/>
  <c r="AB39" i="4"/>
  <c r="AB27" i="4"/>
  <c r="AB15" i="4"/>
  <c r="AB89" i="4"/>
  <c r="AB77" i="4"/>
  <c r="AB65" i="4"/>
  <c r="AB53" i="4"/>
  <c r="AB41" i="4"/>
  <c r="AB29" i="4"/>
  <c r="AB17" i="4"/>
  <c r="AB5" i="4"/>
  <c r="J367" i="5"/>
  <c r="K367" i="5" s="1"/>
  <c r="C367" i="5"/>
  <c r="D367" i="5" s="1"/>
  <c r="J366" i="5"/>
  <c r="K366" i="5" s="1"/>
  <c r="C366" i="5"/>
  <c r="D366" i="5" s="1"/>
  <c r="J365" i="5"/>
  <c r="K365" i="5" s="1"/>
  <c r="C365" i="5"/>
  <c r="D365" i="5" s="1"/>
  <c r="J364" i="5"/>
  <c r="K364" i="5" s="1"/>
  <c r="C364" i="5"/>
  <c r="D364" i="5" s="1"/>
  <c r="O363" i="5"/>
  <c r="J363" i="5"/>
  <c r="K363" i="5" s="1"/>
  <c r="C363" i="5"/>
  <c r="D363" i="5" s="1"/>
  <c r="J362" i="5"/>
  <c r="K362" i="5" s="1"/>
  <c r="C362" i="5"/>
  <c r="D362" i="5" s="1"/>
  <c r="J361" i="5"/>
  <c r="K361" i="5" s="1"/>
  <c r="C361" i="5"/>
  <c r="D361" i="5" s="1"/>
  <c r="J360" i="5"/>
  <c r="K360" i="5" s="1"/>
  <c r="C360" i="5"/>
  <c r="D360" i="5" s="1"/>
  <c r="J359" i="5"/>
  <c r="K359" i="5" s="1"/>
  <c r="C359" i="5"/>
  <c r="D359" i="5" s="1"/>
  <c r="J358" i="5"/>
  <c r="K358" i="5" s="1"/>
  <c r="C358" i="5"/>
  <c r="D358" i="5" s="1"/>
  <c r="J357" i="5"/>
  <c r="K357" i="5" s="1"/>
  <c r="O357" i="5" s="1"/>
  <c r="C357" i="5"/>
  <c r="D357" i="5" s="1"/>
  <c r="H357" i="5" s="1"/>
  <c r="J356" i="5"/>
  <c r="K356" i="5" s="1"/>
  <c r="C356" i="5"/>
  <c r="D356" i="5" s="1"/>
  <c r="J355" i="5"/>
  <c r="K355" i="5" s="1"/>
  <c r="C355" i="5"/>
  <c r="D355" i="5" s="1"/>
  <c r="J354" i="5"/>
  <c r="K354" i="5" s="1"/>
  <c r="C354" i="5"/>
  <c r="D354" i="5" s="1"/>
  <c r="H354" i="5" s="1"/>
  <c r="J353" i="5"/>
  <c r="K353" i="5" s="1"/>
  <c r="C353" i="5"/>
  <c r="D353" i="5" s="1"/>
  <c r="G353" i="5" s="1"/>
  <c r="J352" i="5"/>
  <c r="K352" i="5" s="1"/>
  <c r="C352" i="5"/>
  <c r="D352" i="5" s="1"/>
  <c r="J351" i="5"/>
  <c r="K351" i="5" s="1"/>
  <c r="O351" i="5" s="1"/>
  <c r="C351" i="5"/>
  <c r="D351" i="5" s="1"/>
  <c r="H351" i="5" s="1"/>
  <c r="J350" i="5"/>
  <c r="K350" i="5" s="1"/>
  <c r="C350" i="5"/>
  <c r="D350" i="5" s="1"/>
  <c r="J349" i="5"/>
  <c r="K349" i="5" s="1"/>
  <c r="L349" i="5" s="1"/>
  <c r="C349" i="5"/>
  <c r="D349" i="5" s="1"/>
  <c r="J348" i="5"/>
  <c r="K348" i="5" s="1"/>
  <c r="C348" i="5"/>
  <c r="D348" i="5" s="1"/>
  <c r="H348" i="5" s="1"/>
  <c r="J347" i="5"/>
  <c r="K347" i="5" s="1"/>
  <c r="C347" i="5"/>
  <c r="D347" i="5" s="1"/>
  <c r="J346" i="5"/>
  <c r="K346" i="5" s="1"/>
  <c r="L346" i="5" s="1"/>
  <c r="C346" i="5"/>
  <c r="D346" i="5" s="1"/>
  <c r="O345" i="5"/>
  <c r="J345" i="5"/>
  <c r="K345" i="5" s="1"/>
  <c r="D345" i="5"/>
  <c r="H345" i="5" s="1"/>
  <c r="C345" i="5"/>
  <c r="J344" i="5"/>
  <c r="K344" i="5" s="1"/>
  <c r="D344" i="5"/>
  <c r="C344" i="5"/>
  <c r="J343" i="5"/>
  <c r="K343" i="5" s="1"/>
  <c r="C343" i="5"/>
  <c r="D343" i="5" s="1"/>
  <c r="J342" i="5"/>
  <c r="K342" i="5" s="1"/>
  <c r="D342" i="5"/>
  <c r="H342" i="5" s="1"/>
  <c r="C342" i="5"/>
  <c r="J341" i="5"/>
  <c r="K341" i="5" s="1"/>
  <c r="C341" i="5"/>
  <c r="D341" i="5" s="1"/>
  <c r="J340" i="5"/>
  <c r="K340" i="5" s="1"/>
  <c r="C340" i="5"/>
  <c r="D340" i="5" s="1"/>
  <c r="J339" i="5"/>
  <c r="K339" i="5" s="1"/>
  <c r="C339" i="5"/>
  <c r="D339" i="5" s="1"/>
  <c r="H339" i="5" s="1"/>
  <c r="J338" i="5"/>
  <c r="K338" i="5" s="1"/>
  <c r="C338" i="5"/>
  <c r="D338" i="5" s="1"/>
  <c r="G338" i="5" s="1"/>
  <c r="J337" i="5"/>
  <c r="K337" i="5" s="1"/>
  <c r="C337" i="5"/>
  <c r="D337" i="5" s="1"/>
  <c r="O336" i="5"/>
  <c r="J336" i="5"/>
  <c r="K336" i="5" s="1"/>
  <c r="C336" i="5"/>
  <c r="D336" i="5" s="1"/>
  <c r="H336" i="5" s="1"/>
  <c r="J335" i="5"/>
  <c r="K335" i="5" s="1"/>
  <c r="D335" i="5"/>
  <c r="C335" i="5"/>
  <c r="J334" i="5"/>
  <c r="K334" i="5" s="1"/>
  <c r="C334" i="5"/>
  <c r="D334" i="5" s="1"/>
  <c r="J333" i="5"/>
  <c r="K333" i="5" s="1"/>
  <c r="O333" i="5" s="1"/>
  <c r="C333" i="5"/>
  <c r="D333" i="5" s="1"/>
  <c r="H333" i="5" s="1"/>
  <c r="J332" i="5"/>
  <c r="K332" i="5" s="1"/>
  <c r="C332" i="5"/>
  <c r="D332" i="5" s="1"/>
  <c r="G332" i="5" s="1"/>
  <c r="L331" i="5"/>
  <c r="J331" i="5"/>
  <c r="K331" i="5" s="1"/>
  <c r="C331" i="5"/>
  <c r="D331" i="5" s="1"/>
  <c r="J330" i="5"/>
  <c r="K330" i="5" s="1"/>
  <c r="C330" i="5"/>
  <c r="D330" i="5" s="1"/>
  <c r="H330" i="5" s="1"/>
  <c r="J329" i="5"/>
  <c r="K329" i="5" s="1"/>
  <c r="C329" i="5"/>
  <c r="D329" i="5" s="1"/>
  <c r="J328" i="5"/>
  <c r="K328" i="5" s="1"/>
  <c r="L328" i="5" s="1"/>
  <c r="C328" i="5"/>
  <c r="D328" i="5" s="1"/>
  <c r="O327" i="5"/>
  <c r="J327" i="5"/>
  <c r="K327" i="5" s="1"/>
  <c r="C327" i="5"/>
  <c r="D327" i="5" s="1"/>
  <c r="H327" i="5" s="1"/>
  <c r="J326" i="5"/>
  <c r="K326" i="5" s="1"/>
  <c r="C326" i="5"/>
  <c r="D326" i="5" s="1"/>
  <c r="J325" i="5"/>
  <c r="C325" i="5"/>
  <c r="D325" i="5" s="1"/>
  <c r="J324" i="5"/>
  <c r="K324" i="5" s="1"/>
  <c r="O324" i="5" s="1"/>
  <c r="C324" i="5"/>
  <c r="D324" i="5" s="1"/>
  <c r="J323" i="5"/>
  <c r="K323" i="5" s="1"/>
  <c r="C323" i="5"/>
  <c r="D323" i="5" s="1"/>
  <c r="J322" i="5"/>
  <c r="K322" i="5" s="1"/>
  <c r="C322" i="5"/>
  <c r="D322" i="5" s="1"/>
  <c r="J321" i="5"/>
  <c r="K321" i="5" s="1"/>
  <c r="O321" i="5" s="1"/>
  <c r="C321" i="5"/>
  <c r="D321" i="5" s="1"/>
  <c r="J320" i="5"/>
  <c r="K320" i="5" s="1"/>
  <c r="C320" i="5"/>
  <c r="D320" i="5" s="1"/>
  <c r="J319" i="5"/>
  <c r="C319" i="5"/>
  <c r="D319" i="5" s="1"/>
  <c r="J318" i="5"/>
  <c r="K318" i="5" s="1"/>
  <c r="C318" i="5"/>
  <c r="D318" i="5" s="1"/>
  <c r="J317" i="5"/>
  <c r="K317" i="5" s="1"/>
  <c r="C317" i="5"/>
  <c r="D317" i="5" s="1"/>
  <c r="J316" i="5"/>
  <c r="C316" i="5"/>
  <c r="D316" i="5" s="1"/>
  <c r="J315" i="5"/>
  <c r="K315" i="5" s="1"/>
  <c r="C315" i="5"/>
  <c r="D315" i="5" s="1"/>
  <c r="J314" i="5"/>
  <c r="K314" i="5" s="1"/>
  <c r="C314" i="5"/>
  <c r="D314" i="5" s="1"/>
  <c r="J313" i="5"/>
  <c r="K313" i="5" s="1"/>
  <c r="C313" i="5"/>
  <c r="D313" i="5" s="1"/>
  <c r="J312" i="5"/>
  <c r="K312" i="5" s="1"/>
  <c r="C312" i="5"/>
  <c r="D312" i="5" s="1"/>
  <c r="J311" i="5"/>
  <c r="C311" i="5"/>
  <c r="D311" i="5" s="1"/>
  <c r="G311" i="5" s="1"/>
  <c r="J310" i="5"/>
  <c r="K310" i="5" s="1"/>
  <c r="C310" i="5"/>
  <c r="D310" i="5" s="1"/>
  <c r="J309" i="5"/>
  <c r="K309" i="5" s="1"/>
  <c r="O309" i="5" s="1"/>
  <c r="C309" i="5"/>
  <c r="D309" i="5" s="1"/>
  <c r="H309" i="5" s="1"/>
  <c r="J308" i="5"/>
  <c r="K308" i="5" s="1"/>
  <c r="C308" i="5"/>
  <c r="D308" i="5" s="1"/>
  <c r="G308" i="5" s="1"/>
  <c r="J307" i="5"/>
  <c r="C307" i="5"/>
  <c r="D307" i="5" s="1"/>
  <c r="O306" i="5"/>
  <c r="J306" i="5"/>
  <c r="K306" i="5" s="1"/>
  <c r="C306" i="5"/>
  <c r="D306" i="5" s="1"/>
  <c r="N305" i="5"/>
  <c r="L305" i="5"/>
  <c r="Q305" i="5" s="1"/>
  <c r="J305" i="5"/>
  <c r="K305" i="5" s="1"/>
  <c r="O305" i="5" s="1"/>
  <c r="C305" i="5"/>
  <c r="D305" i="5" s="1"/>
  <c r="J304" i="5"/>
  <c r="C304" i="5"/>
  <c r="D304" i="5" s="1"/>
  <c r="H304" i="5" s="1"/>
  <c r="J303" i="5"/>
  <c r="K303" i="5" s="1"/>
  <c r="O303" i="5" s="1"/>
  <c r="C303" i="5"/>
  <c r="D303" i="5" s="1"/>
  <c r="E303" i="5" s="1"/>
  <c r="J302" i="5"/>
  <c r="K302" i="5" s="1"/>
  <c r="C302" i="5"/>
  <c r="D302" i="5" s="1"/>
  <c r="J301" i="5"/>
  <c r="C301" i="5"/>
  <c r="D301" i="5" s="1"/>
  <c r="G301" i="5" s="1"/>
  <c r="O300" i="5"/>
  <c r="J300" i="5"/>
  <c r="K300" i="5" s="1"/>
  <c r="L300" i="5" s="1"/>
  <c r="Q300" i="5" s="1"/>
  <c r="C300" i="5"/>
  <c r="D300" i="5" s="1"/>
  <c r="J299" i="5"/>
  <c r="K299" i="5" s="1"/>
  <c r="C299" i="5"/>
  <c r="D299" i="5" s="1"/>
  <c r="E299" i="5" s="1"/>
  <c r="J298" i="5"/>
  <c r="K298" i="5" s="1"/>
  <c r="C298" i="5"/>
  <c r="D298" i="5" s="1"/>
  <c r="G298" i="5" s="1"/>
  <c r="L297" i="5"/>
  <c r="J297" i="5"/>
  <c r="K297" i="5" s="1"/>
  <c r="N297" i="5" s="1"/>
  <c r="C297" i="5"/>
  <c r="D297" i="5" s="1"/>
  <c r="J296" i="5"/>
  <c r="K296" i="5" s="1"/>
  <c r="O296" i="5" s="1"/>
  <c r="C296" i="5"/>
  <c r="D296" i="5" s="1"/>
  <c r="J295" i="5"/>
  <c r="K295" i="5" s="1"/>
  <c r="C295" i="5"/>
  <c r="D295" i="5" s="1"/>
  <c r="J294" i="5"/>
  <c r="K294" i="5" s="1"/>
  <c r="O294" i="5" s="1"/>
  <c r="D294" i="5"/>
  <c r="G294" i="5" s="1"/>
  <c r="C294" i="5"/>
  <c r="J293" i="5"/>
  <c r="C293" i="5"/>
  <c r="D293" i="5" s="1"/>
  <c r="L292" i="5"/>
  <c r="Q292" i="5" s="1"/>
  <c r="J292" i="5"/>
  <c r="K292" i="5" s="1"/>
  <c r="O292" i="5" s="1"/>
  <c r="C292" i="5"/>
  <c r="D292" i="5" s="1"/>
  <c r="G292" i="5" s="1"/>
  <c r="J291" i="5"/>
  <c r="K291" i="5" s="1"/>
  <c r="O291" i="5" s="1"/>
  <c r="C291" i="5"/>
  <c r="D291" i="5" s="1"/>
  <c r="J290" i="5"/>
  <c r="K290" i="5" s="1"/>
  <c r="C290" i="5"/>
  <c r="D290" i="5" s="1"/>
  <c r="G290" i="5" s="1"/>
  <c r="J289" i="5"/>
  <c r="C289" i="5"/>
  <c r="D289" i="5" s="1"/>
  <c r="G289" i="5" s="1"/>
  <c r="O288" i="5"/>
  <c r="J288" i="5"/>
  <c r="K288" i="5" s="1"/>
  <c r="L288" i="5" s="1"/>
  <c r="Q288" i="5" s="1"/>
  <c r="C288" i="5"/>
  <c r="D288" i="5" s="1"/>
  <c r="J287" i="5"/>
  <c r="K287" i="5" s="1"/>
  <c r="C287" i="5"/>
  <c r="D287" i="5" s="1"/>
  <c r="J286" i="5"/>
  <c r="K286" i="5" s="1"/>
  <c r="C286" i="5"/>
  <c r="D286" i="5" s="1"/>
  <c r="G286" i="5" s="1"/>
  <c r="J285" i="5"/>
  <c r="K285" i="5" s="1"/>
  <c r="O285" i="5" s="1"/>
  <c r="C285" i="5"/>
  <c r="D285" i="5" s="1"/>
  <c r="J284" i="5"/>
  <c r="K284" i="5" s="1"/>
  <c r="L284" i="5" s="1"/>
  <c r="Q284" i="5" s="1"/>
  <c r="C284" i="5"/>
  <c r="D284" i="5" s="1"/>
  <c r="J283" i="5"/>
  <c r="K283" i="5" s="1"/>
  <c r="C283" i="5"/>
  <c r="D283" i="5" s="1"/>
  <c r="O282" i="5"/>
  <c r="L282" i="5"/>
  <c r="J282" i="5"/>
  <c r="K282" i="5" s="1"/>
  <c r="N282" i="5" s="1"/>
  <c r="C282" i="5"/>
  <c r="D282" i="5" s="1"/>
  <c r="J281" i="5"/>
  <c r="H281" i="5"/>
  <c r="D281" i="5"/>
  <c r="G281" i="5" s="1"/>
  <c r="C281" i="5"/>
  <c r="J280" i="5"/>
  <c r="K280" i="5" s="1"/>
  <c r="L280" i="5" s="1"/>
  <c r="Q280" i="5" s="1"/>
  <c r="C280" i="5"/>
  <c r="D280" i="5" s="1"/>
  <c r="J279" i="5"/>
  <c r="K279" i="5" s="1"/>
  <c r="L279" i="5" s="1"/>
  <c r="Q279" i="5" s="1"/>
  <c r="C279" i="5"/>
  <c r="D279" i="5" s="1"/>
  <c r="J278" i="5"/>
  <c r="K278" i="5" s="1"/>
  <c r="D278" i="5"/>
  <c r="G278" i="5" s="1"/>
  <c r="C278" i="5"/>
  <c r="J277" i="5"/>
  <c r="H277" i="5"/>
  <c r="C277" i="5"/>
  <c r="D277" i="5" s="1"/>
  <c r="G277" i="5" s="1"/>
  <c r="J276" i="5"/>
  <c r="K276" i="5" s="1"/>
  <c r="L276" i="5" s="1"/>
  <c r="Q276" i="5" s="1"/>
  <c r="C276" i="5"/>
  <c r="D276" i="5" s="1"/>
  <c r="J275" i="5"/>
  <c r="K275" i="5" s="1"/>
  <c r="D275" i="5"/>
  <c r="E275" i="5" s="1"/>
  <c r="C275" i="5"/>
  <c r="J274" i="5"/>
  <c r="K274" i="5" s="1"/>
  <c r="C274" i="5"/>
  <c r="D274" i="5" s="1"/>
  <c r="N273" i="5"/>
  <c r="L273" i="5"/>
  <c r="J273" i="5"/>
  <c r="K273" i="5" s="1"/>
  <c r="O273" i="5" s="1"/>
  <c r="C273" i="5"/>
  <c r="D273" i="5" s="1"/>
  <c r="J272" i="5"/>
  <c r="K272" i="5" s="1"/>
  <c r="L272" i="5" s="1"/>
  <c r="C272" i="5"/>
  <c r="D272" i="5" s="1"/>
  <c r="J271" i="5"/>
  <c r="K271" i="5" s="1"/>
  <c r="C271" i="5"/>
  <c r="D271" i="5" s="1"/>
  <c r="E271" i="5" s="1"/>
  <c r="O270" i="5"/>
  <c r="L270" i="5"/>
  <c r="Q270" i="5" s="1"/>
  <c r="J270" i="5"/>
  <c r="K270" i="5" s="1"/>
  <c r="N270" i="5" s="1"/>
  <c r="D270" i="5"/>
  <c r="H270" i="5" s="1"/>
  <c r="C270" i="5"/>
  <c r="J269" i="5"/>
  <c r="C269" i="5"/>
  <c r="D269" i="5" s="1"/>
  <c r="J268" i="5"/>
  <c r="K268" i="5" s="1"/>
  <c r="L268" i="5" s="1"/>
  <c r="G268" i="5"/>
  <c r="E268" i="5"/>
  <c r="C268" i="5"/>
  <c r="D268" i="5" s="1"/>
  <c r="H268" i="5" s="1"/>
  <c r="J267" i="5"/>
  <c r="K267" i="5" s="1"/>
  <c r="D267" i="5"/>
  <c r="E267" i="5" s="1"/>
  <c r="C267" i="5"/>
  <c r="J266" i="5"/>
  <c r="K266" i="5" s="1"/>
  <c r="C266" i="5"/>
  <c r="D266" i="5" s="1"/>
  <c r="H266" i="5" s="1"/>
  <c r="J265" i="5"/>
  <c r="C265" i="5"/>
  <c r="D265" i="5" s="1"/>
  <c r="H265" i="5" s="1"/>
  <c r="J264" i="5"/>
  <c r="K264" i="5" s="1"/>
  <c r="L264" i="5" s="1"/>
  <c r="C264" i="5"/>
  <c r="D264" i="5" s="1"/>
  <c r="J263" i="5"/>
  <c r="K263" i="5" s="1"/>
  <c r="L263" i="5" s="1"/>
  <c r="C263" i="5"/>
  <c r="D263" i="5" s="1"/>
  <c r="J262" i="5"/>
  <c r="K262" i="5" s="1"/>
  <c r="C262" i="5"/>
  <c r="D262" i="5" s="1"/>
  <c r="H262" i="5" s="1"/>
  <c r="O261" i="5"/>
  <c r="J261" i="5"/>
  <c r="K261" i="5" s="1"/>
  <c r="N261" i="5" s="1"/>
  <c r="C261" i="5"/>
  <c r="D261" i="5" s="1"/>
  <c r="J260" i="5"/>
  <c r="K260" i="5" s="1"/>
  <c r="L260" i="5" s="1"/>
  <c r="Q260" i="5" s="1"/>
  <c r="C260" i="5"/>
  <c r="D260" i="5" s="1"/>
  <c r="H260" i="5" s="1"/>
  <c r="J259" i="5"/>
  <c r="K259" i="5" s="1"/>
  <c r="L259" i="5" s="1"/>
  <c r="C259" i="5"/>
  <c r="D259" i="5" s="1"/>
  <c r="J258" i="5"/>
  <c r="K258" i="5" s="1"/>
  <c r="O258" i="5" s="1"/>
  <c r="C258" i="5"/>
  <c r="D258" i="5" s="1"/>
  <c r="J257" i="5"/>
  <c r="K257" i="5" s="1"/>
  <c r="C257" i="5"/>
  <c r="D257" i="5" s="1"/>
  <c r="J256" i="5"/>
  <c r="K256" i="5" s="1"/>
  <c r="L256" i="5" s="1"/>
  <c r="H256" i="5"/>
  <c r="C256" i="5"/>
  <c r="D256" i="5" s="1"/>
  <c r="G256" i="5" s="1"/>
  <c r="J255" i="5"/>
  <c r="K255" i="5" s="1"/>
  <c r="N255" i="5" s="1"/>
  <c r="C255" i="5"/>
  <c r="D255" i="5" s="1"/>
  <c r="J254" i="5"/>
  <c r="K254" i="5" s="1"/>
  <c r="C254" i="5"/>
  <c r="D254" i="5" s="1"/>
  <c r="J253" i="5"/>
  <c r="K253" i="5" s="1"/>
  <c r="H253" i="5"/>
  <c r="C253" i="5"/>
  <c r="D253" i="5" s="1"/>
  <c r="E253" i="5" s="1"/>
  <c r="P253" i="5" s="1"/>
  <c r="J252" i="5"/>
  <c r="K252" i="5" s="1"/>
  <c r="L252" i="5" s="1"/>
  <c r="C252" i="5"/>
  <c r="D252" i="5" s="1"/>
  <c r="H252" i="5" s="1"/>
  <c r="J251" i="5"/>
  <c r="K251" i="5" s="1"/>
  <c r="C251" i="5"/>
  <c r="D251" i="5" s="1"/>
  <c r="E251" i="5" s="1"/>
  <c r="J250" i="5"/>
  <c r="K250" i="5" s="1"/>
  <c r="C250" i="5"/>
  <c r="D250" i="5" s="1"/>
  <c r="J249" i="5"/>
  <c r="K249" i="5" s="1"/>
  <c r="O249" i="5" s="1"/>
  <c r="C249" i="5"/>
  <c r="D249" i="5" s="1"/>
  <c r="L248" i="5"/>
  <c r="J248" i="5"/>
  <c r="K248" i="5" s="1"/>
  <c r="C248" i="5"/>
  <c r="D248" i="5" s="1"/>
  <c r="H248" i="5" s="1"/>
  <c r="L247" i="5"/>
  <c r="J247" i="5"/>
  <c r="K247" i="5" s="1"/>
  <c r="C247" i="5"/>
  <c r="D247" i="5" s="1"/>
  <c r="J246" i="5"/>
  <c r="K246" i="5" s="1"/>
  <c r="O246" i="5" s="1"/>
  <c r="C246" i="5"/>
  <c r="D246" i="5" s="1"/>
  <c r="J245" i="5"/>
  <c r="C245" i="5"/>
  <c r="D245" i="5" s="1"/>
  <c r="J244" i="5"/>
  <c r="K244" i="5" s="1"/>
  <c r="C244" i="5"/>
  <c r="D244" i="5" s="1"/>
  <c r="H244" i="5" s="1"/>
  <c r="J243" i="5"/>
  <c r="K243" i="5" s="1"/>
  <c r="O243" i="5" s="1"/>
  <c r="C243" i="5"/>
  <c r="D243" i="5" s="1"/>
  <c r="J242" i="5"/>
  <c r="K242" i="5" s="1"/>
  <c r="C242" i="5"/>
  <c r="D242" i="5" s="1"/>
  <c r="J241" i="5"/>
  <c r="K241" i="5" s="1"/>
  <c r="L241" i="5" s="1"/>
  <c r="C241" i="5"/>
  <c r="D241" i="5" s="1"/>
  <c r="J240" i="5"/>
  <c r="K240" i="5" s="1"/>
  <c r="C240" i="5"/>
  <c r="D240" i="5" s="1"/>
  <c r="H240" i="5" s="1"/>
  <c r="J239" i="5"/>
  <c r="K239" i="5" s="1"/>
  <c r="C239" i="5"/>
  <c r="D239" i="5" s="1"/>
  <c r="J238" i="5"/>
  <c r="K238" i="5" s="1"/>
  <c r="L238" i="5" s="1"/>
  <c r="C238" i="5"/>
  <c r="D238" i="5" s="1"/>
  <c r="H238" i="5" s="1"/>
  <c r="J237" i="5"/>
  <c r="K237" i="5" s="1"/>
  <c r="O237" i="5" s="1"/>
  <c r="C237" i="5"/>
  <c r="D237" i="5" s="1"/>
  <c r="J236" i="5"/>
  <c r="K236" i="5" s="1"/>
  <c r="N236" i="5" s="1"/>
  <c r="C236" i="5"/>
  <c r="D236" i="5" s="1"/>
  <c r="J235" i="5"/>
  <c r="K235" i="5" s="1"/>
  <c r="O235" i="5" s="1"/>
  <c r="C235" i="5"/>
  <c r="D235" i="5" s="1"/>
  <c r="J234" i="5"/>
  <c r="K234" i="5" s="1"/>
  <c r="N234" i="5" s="1"/>
  <c r="C234" i="5"/>
  <c r="D234" i="5" s="1"/>
  <c r="E234" i="5" s="1"/>
  <c r="J233" i="5"/>
  <c r="K233" i="5" s="1"/>
  <c r="C233" i="5"/>
  <c r="D233" i="5" s="1"/>
  <c r="J232" i="5"/>
  <c r="K232" i="5" s="1"/>
  <c r="L232" i="5" s="1"/>
  <c r="Q232" i="5" s="1"/>
  <c r="C232" i="5"/>
  <c r="D232" i="5" s="1"/>
  <c r="J231" i="5"/>
  <c r="K231" i="5" s="1"/>
  <c r="O231" i="5" s="1"/>
  <c r="C231" i="5"/>
  <c r="D231" i="5" s="1"/>
  <c r="J230" i="5"/>
  <c r="K230" i="5" s="1"/>
  <c r="N230" i="5" s="1"/>
  <c r="C230" i="5"/>
  <c r="D230" i="5" s="1"/>
  <c r="J229" i="5"/>
  <c r="K229" i="5" s="1"/>
  <c r="C229" i="5"/>
  <c r="D229" i="5" s="1"/>
  <c r="J228" i="5"/>
  <c r="K228" i="5" s="1"/>
  <c r="C228" i="5"/>
  <c r="D228" i="5" s="1"/>
  <c r="H228" i="5" s="1"/>
  <c r="J227" i="5"/>
  <c r="K227" i="5" s="1"/>
  <c r="C227" i="5"/>
  <c r="D227" i="5" s="1"/>
  <c r="E227" i="5" s="1"/>
  <c r="J226" i="5"/>
  <c r="K226" i="5" s="1"/>
  <c r="C226" i="5"/>
  <c r="D226" i="5" s="1"/>
  <c r="H226" i="5" s="1"/>
  <c r="J225" i="5"/>
  <c r="K225" i="5" s="1"/>
  <c r="L225" i="5" s="1"/>
  <c r="C225" i="5"/>
  <c r="D225" i="5" s="1"/>
  <c r="J224" i="5"/>
  <c r="K224" i="5" s="1"/>
  <c r="N224" i="5" s="1"/>
  <c r="C224" i="5"/>
  <c r="D224" i="5" s="1"/>
  <c r="J223" i="5"/>
  <c r="K223" i="5" s="1"/>
  <c r="N223" i="5" s="1"/>
  <c r="C223" i="5"/>
  <c r="D223" i="5" s="1"/>
  <c r="J222" i="5"/>
  <c r="C222" i="5"/>
  <c r="D222" i="5" s="1"/>
  <c r="J221" i="5"/>
  <c r="K221" i="5" s="1"/>
  <c r="C221" i="5"/>
  <c r="D221" i="5" s="1"/>
  <c r="H221" i="5" s="1"/>
  <c r="J220" i="5"/>
  <c r="K220" i="5" s="1"/>
  <c r="C220" i="5"/>
  <c r="D220" i="5" s="1"/>
  <c r="J219" i="5"/>
  <c r="K219" i="5" s="1"/>
  <c r="L219" i="5" s="1"/>
  <c r="Q219" i="5" s="1"/>
  <c r="C219" i="5"/>
  <c r="D219" i="5" s="1"/>
  <c r="G219" i="5" s="1"/>
  <c r="J218" i="5"/>
  <c r="K218" i="5" s="1"/>
  <c r="L218" i="5" s="1"/>
  <c r="C218" i="5"/>
  <c r="D218" i="5" s="1"/>
  <c r="J217" i="5"/>
  <c r="K217" i="5" s="1"/>
  <c r="C217" i="5"/>
  <c r="D217" i="5" s="1"/>
  <c r="J216" i="5"/>
  <c r="K216" i="5" s="1"/>
  <c r="L216" i="5" s="1"/>
  <c r="C216" i="5"/>
  <c r="D216" i="5" s="1"/>
  <c r="G216" i="5" s="1"/>
  <c r="J215" i="5"/>
  <c r="K215" i="5" s="1"/>
  <c r="L215" i="5" s="1"/>
  <c r="C215" i="5"/>
  <c r="D215" i="5" s="1"/>
  <c r="J214" i="5"/>
  <c r="K214" i="5" s="1"/>
  <c r="C214" i="5"/>
  <c r="D214" i="5" s="1"/>
  <c r="H214" i="5" s="1"/>
  <c r="J213" i="5"/>
  <c r="K213" i="5" s="1"/>
  <c r="C213" i="5"/>
  <c r="D213" i="5" s="1"/>
  <c r="H213" i="5" s="1"/>
  <c r="J212" i="5"/>
  <c r="K212" i="5" s="1"/>
  <c r="L212" i="5" s="1"/>
  <c r="C212" i="5"/>
  <c r="D212" i="5" s="1"/>
  <c r="J211" i="5"/>
  <c r="K211" i="5" s="1"/>
  <c r="C211" i="5"/>
  <c r="D211" i="5" s="1"/>
  <c r="J210" i="5"/>
  <c r="K210" i="5" s="1"/>
  <c r="O210" i="5" s="1"/>
  <c r="C210" i="5"/>
  <c r="D210" i="5" s="1"/>
  <c r="G210" i="5" s="1"/>
  <c r="J209" i="5"/>
  <c r="K209" i="5" s="1"/>
  <c r="L209" i="5" s="1"/>
  <c r="C209" i="5"/>
  <c r="D209" i="5" s="1"/>
  <c r="J208" i="5"/>
  <c r="K208" i="5" s="1"/>
  <c r="D208" i="5"/>
  <c r="H208" i="5" s="1"/>
  <c r="C208" i="5"/>
  <c r="J207" i="5"/>
  <c r="K207" i="5" s="1"/>
  <c r="C207" i="5"/>
  <c r="D207" i="5" s="1"/>
  <c r="H207" i="5" s="1"/>
  <c r="J206" i="5"/>
  <c r="K206" i="5" s="1"/>
  <c r="L206" i="5" s="1"/>
  <c r="Q206" i="5" s="1"/>
  <c r="C206" i="5"/>
  <c r="D206" i="5" s="1"/>
  <c r="J205" i="5"/>
  <c r="K205" i="5" s="1"/>
  <c r="C205" i="5"/>
  <c r="D205" i="5" s="1"/>
  <c r="J204" i="5"/>
  <c r="K204" i="5" s="1"/>
  <c r="O204" i="5" s="1"/>
  <c r="C204" i="5"/>
  <c r="D204" i="5" s="1"/>
  <c r="J203" i="5"/>
  <c r="K203" i="5" s="1"/>
  <c r="L203" i="5" s="1"/>
  <c r="C203" i="5"/>
  <c r="D203" i="5" s="1"/>
  <c r="G203" i="5" s="1"/>
  <c r="J202" i="5"/>
  <c r="K202" i="5" s="1"/>
  <c r="C202" i="5"/>
  <c r="D202" i="5" s="1"/>
  <c r="O201" i="5"/>
  <c r="J201" i="5"/>
  <c r="K201" i="5" s="1"/>
  <c r="L201" i="5" s="1"/>
  <c r="C201" i="5"/>
  <c r="D201" i="5" s="1"/>
  <c r="H201" i="5" s="1"/>
  <c r="J200" i="5"/>
  <c r="K200" i="5" s="1"/>
  <c r="C200" i="5"/>
  <c r="D200" i="5" s="1"/>
  <c r="G200" i="5" s="1"/>
  <c r="J199" i="5"/>
  <c r="K199" i="5" s="1"/>
  <c r="D199" i="5"/>
  <c r="H199" i="5" s="1"/>
  <c r="C199" i="5"/>
  <c r="J198" i="5"/>
  <c r="K198" i="5" s="1"/>
  <c r="O198" i="5" s="1"/>
  <c r="C198" i="5"/>
  <c r="D198" i="5" s="1"/>
  <c r="H198" i="5" s="1"/>
  <c r="J197" i="5"/>
  <c r="K197" i="5" s="1"/>
  <c r="L197" i="5" s="1"/>
  <c r="C197" i="5"/>
  <c r="D197" i="5" s="1"/>
  <c r="G197" i="5" s="1"/>
  <c r="J196" i="5"/>
  <c r="K196" i="5" s="1"/>
  <c r="C196" i="5"/>
  <c r="D196" i="5" s="1"/>
  <c r="N195" i="5"/>
  <c r="J195" i="5"/>
  <c r="K195" i="5" s="1"/>
  <c r="O195" i="5" s="1"/>
  <c r="C195" i="5"/>
  <c r="D195" i="5" s="1"/>
  <c r="H195" i="5" s="1"/>
  <c r="O194" i="5"/>
  <c r="J194" i="5"/>
  <c r="K194" i="5" s="1"/>
  <c r="L194" i="5" s="1"/>
  <c r="Q194" i="5" s="1"/>
  <c r="C194" i="5"/>
  <c r="D194" i="5" s="1"/>
  <c r="G194" i="5" s="1"/>
  <c r="J193" i="5"/>
  <c r="K193" i="5" s="1"/>
  <c r="C193" i="5"/>
  <c r="D193" i="5" s="1"/>
  <c r="J192" i="5"/>
  <c r="K192" i="5" s="1"/>
  <c r="C192" i="5"/>
  <c r="D192" i="5" s="1"/>
  <c r="G192" i="5" s="1"/>
  <c r="O191" i="5"/>
  <c r="L191" i="5"/>
  <c r="Q191" i="5" s="1"/>
  <c r="J191" i="5"/>
  <c r="K191" i="5" s="1"/>
  <c r="N191" i="5" s="1"/>
  <c r="C191" i="5"/>
  <c r="D191" i="5" s="1"/>
  <c r="J190" i="5"/>
  <c r="K190" i="5" s="1"/>
  <c r="C190" i="5"/>
  <c r="D190" i="5" s="1"/>
  <c r="J189" i="5"/>
  <c r="K189" i="5" s="1"/>
  <c r="C189" i="5"/>
  <c r="D189" i="5" s="1"/>
  <c r="H189" i="5" s="1"/>
  <c r="N188" i="5"/>
  <c r="J188" i="5"/>
  <c r="K188" i="5" s="1"/>
  <c r="O188" i="5" s="1"/>
  <c r="C188" i="5"/>
  <c r="D188" i="5" s="1"/>
  <c r="J187" i="5"/>
  <c r="C187" i="5"/>
  <c r="D187" i="5" s="1"/>
  <c r="E187" i="5" s="1"/>
  <c r="P187" i="5" s="1"/>
  <c r="J186" i="5"/>
  <c r="K186" i="5" s="1"/>
  <c r="N186" i="5" s="1"/>
  <c r="C186" i="5"/>
  <c r="D186" i="5" s="1"/>
  <c r="G186" i="5" s="1"/>
  <c r="J185" i="5"/>
  <c r="K185" i="5" s="1"/>
  <c r="O185" i="5" s="1"/>
  <c r="C185" i="5"/>
  <c r="D185" i="5" s="1"/>
  <c r="E185" i="5" s="1"/>
  <c r="J184" i="5"/>
  <c r="K184" i="5" s="1"/>
  <c r="N184" i="5" s="1"/>
  <c r="C184" i="5"/>
  <c r="D184" i="5" s="1"/>
  <c r="E184" i="5" s="1"/>
  <c r="P184" i="5" s="1"/>
  <c r="J183" i="5"/>
  <c r="C183" i="5"/>
  <c r="D183" i="5" s="1"/>
  <c r="E183" i="5" s="1"/>
  <c r="J182" i="5"/>
  <c r="K182" i="5" s="1"/>
  <c r="O182" i="5" s="1"/>
  <c r="C182" i="5"/>
  <c r="D182" i="5" s="1"/>
  <c r="J181" i="5"/>
  <c r="D181" i="5"/>
  <c r="C181" i="5"/>
  <c r="J180" i="5"/>
  <c r="K180" i="5" s="1"/>
  <c r="C180" i="5"/>
  <c r="D180" i="5" s="1"/>
  <c r="J179" i="5"/>
  <c r="K179" i="5" s="1"/>
  <c r="O179" i="5" s="1"/>
  <c r="C179" i="5"/>
  <c r="D179" i="5" s="1"/>
  <c r="G179" i="5" s="1"/>
  <c r="J178" i="5"/>
  <c r="C178" i="5"/>
  <c r="D178" i="5" s="1"/>
  <c r="J177" i="5"/>
  <c r="C177" i="5"/>
  <c r="D177" i="5" s="1"/>
  <c r="E177" i="5" s="1"/>
  <c r="J176" i="5"/>
  <c r="K176" i="5" s="1"/>
  <c r="C176" i="5"/>
  <c r="D176" i="5" s="1"/>
  <c r="J175" i="5"/>
  <c r="D175" i="5"/>
  <c r="G175" i="5" s="1"/>
  <c r="C175" i="5"/>
  <c r="J174" i="5"/>
  <c r="E174" i="5"/>
  <c r="R174" i="5" s="1"/>
  <c r="C174" i="5"/>
  <c r="D174" i="5" s="1"/>
  <c r="G174" i="5" s="1"/>
  <c r="J173" i="5"/>
  <c r="K173" i="5" s="1"/>
  <c r="C173" i="5"/>
  <c r="D173" i="5" s="1"/>
  <c r="G173" i="5" s="1"/>
  <c r="J172" i="5"/>
  <c r="K172" i="5" s="1"/>
  <c r="C172" i="5"/>
  <c r="D172" i="5" s="1"/>
  <c r="G172" i="5" s="1"/>
  <c r="J171" i="5"/>
  <c r="C171" i="5"/>
  <c r="D171" i="5" s="1"/>
  <c r="G171" i="5" s="1"/>
  <c r="J170" i="5"/>
  <c r="K170" i="5" s="1"/>
  <c r="O170" i="5" s="1"/>
  <c r="C170" i="5"/>
  <c r="D170" i="5" s="1"/>
  <c r="G170" i="5" s="1"/>
  <c r="J169" i="5"/>
  <c r="C169" i="5"/>
  <c r="D169" i="5" s="1"/>
  <c r="J168" i="5"/>
  <c r="K168" i="5" s="1"/>
  <c r="C168" i="5"/>
  <c r="D168" i="5" s="1"/>
  <c r="G168" i="5" s="1"/>
  <c r="J167" i="5"/>
  <c r="K167" i="5" s="1"/>
  <c r="D167" i="5"/>
  <c r="H167" i="5" s="1"/>
  <c r="C167" i="5"/>
  <c r="J166" i="5"/>
  <c r="K166" i="5" s="1"/>
  <c r="N166" i="5" s="1"/>
  <c r="C166" i="5"/>
  <c r="D166" i="5" s="1"/>
  <c r="G166" i="5" s="1"/>
  <c r="J165" i="5"/>
  <c r="C165" i="5"/>
  <c r="D165" i="5" s="1"/>
  <c r="H165" i="5" s="1"/>
  <c r="J164" i="5"/>
  <c r="K164" i="5" s="1"/>
  <c r="O164" i="5" s="1"/>
  <c r="C164" i="5"/>
  <c r="D164" i="5" s="1"/>
  <c r="J163" i="5"/>
  <c r="C163" i="5"/>
  <c r="D163" i="5" s="1"/>
  <c r="J162" i="5"/>
  <c r="K162" i="5" s="1"/>
  <c r="O162" i="5" s="1"/>
  <c r="C162" i="5"/>
  <c r="D162" i="5" s="1"/>
  <c r="G162" i="5" s="1"/>
  <c r="O161" i="5"/>
  <c r="J161" i="5"/>
  <c r="K161" i="5" s="1"/>
  <c r="N161" i="5" s="1"/>
  <c r="C161" i="5"/>
  <c r="D161" i="5" s="1"/>
  <c r="H161" i="5" s="1"/>
  <c r="J160" i="5"/>
  <c r="K160" i="5" s="1"/>
  <c r="C160" i="5"/>
  <c r="D160" i="5" s="1"/>
  <c r="J159" i="5"/>
  <c r="C159" i="5"/>
  <c r="D159" i="5" s="1"/>
  <c r="H159" i="5" s="1"/>
  <c r="J158" i="5"/>
  <c r="K158" i="5" s="1"/>
  <c r="O158" i="5" s="1"/>
  <c r="C158" i="5"/>
  <c r="D158" i="5" s="1"/>
  <c r="J157" i="5"/>
  <c r="C157" i="5"/>
  <c r="D157" i="5" s="1"/>
  <c r="H157" i="5" s="1"/>
  <c r="J156" i="5"/>
  <c r="K156" i="5" s="1"/>
  <c r="C156" i="5"/>
  <c r="D156" i="5" s="1"/>
  <c r="G156" i="5" s="1"/>
  <c r="J155" i="5"/>
  <c r="K155" i="5" s="1"/>
  <c r="C155" i="5"/>
  <c r="D155" i="5" s="1"/>
  <c r="J154" i="5"/>
  <c r="K154" i="5" s="1"/>
  <c r="O154" i="5" s="1"/>
  <c r="C154" i="5"/>
  <c r="D154" i="5" s="1"/>
  <c r="J153" i="5"/>
  <c r="C153" i="5"/>
  <c r="D153" i="5" s="1"/>
  <c r="H153" i="5" s="1"/>
  <c r="J152" i="5"/>
  <c r="K152" i="5" s="1"/>
  <c r="L152" i="5" s="1"/>
  <c r="C152" i="5"/>
  <c r="D152" i="5" s="1"/>
  <c r="J151" i="5"/>
  <c r="K151" i="5" s="1"/>
  <c r="C151" i="5"/>
  <c r="D151" i="5" s="1"/>
  <c r="J150" i="5"/>
  <c r="K150" i="5" s="1"/>
  <c r="C150" i="5"/>
  <c r="D150" i="5" s="1"/>
  <c r="G150" i="5" s="1"/>
  <c r="L149" i="5"/>
  <c r="J149" i="5"/>
  <c r="K149" i="5" s="1"/>
  <c r="O149" i="5" s="1"/>
  <c r="C149" i="5"/>
  <c r="D149" i="5" s="1"/>
  <c r="G149" i="5" s="1"/>
  <c r="J148" i="5"/>
  <c r="K148" i="5" s="1"/>
  <c r="C148" i="5"/>
  <c r="D148" i="5" s="1"/>
  <c r="H148" i="5" s="1"/>
  <c r="J147" i="5"/>
  <c r="K147" i="5" s="1"/>
  <c r="O147" i="5" s="1"/>
  <c r="C147" i="5"/>
  <c r="D147" i="5" s="1"/>
  <c r="O146" i="5"/>
  <c r="L146" i="5"/>
  <c r="Q146" i="5" s="1"/>
  <c r="N146" i="5"/>
  <c r="J146" i="5"/>
  <c r="K146" i="5" s="1"/>
  <c r="C146" i="5"/>
  <c r="D146" i="5" s="1"/>
  <c r="L145" i="5"/>
  <c r="J145" i="5"/>
  <c r="K145" i="5" s="1"/>
  <c r="N145" i="5" s="1"/>
  <c r="C145" i="5"/>
  <c r="D145" i="5" s="1"/>
  <c r="J144" i="5"/>
  <c r="K144" i="5" s="1"/>
  <c r="C144" i="5"/>
  <c r="D144" i="5" s="1"/>
  <c r="H144" i="5" s="1"/>
  <c r="J143" i="5"/>
  <c r="K143" i="5" s="1"/>
  <c r="L143" i="5" s="1"/>
  <c r="Q143" i="5" s="1"/>
  <c r="C143" i="5"/>
  <c r="D143" i="5" s="1"/>
  <c r="J142" i="5"/>
  <c r="K142" i="5" s="1"/>
  <c r="C142" i="5"/>
  <c r="D142" i="5" s="1"/>
  <c r="N141" i="5"/>
  <c r="L141" i="5"/>
  <c r="O141" i="5"/>
  <c r="J141" i="5"/>
  <c r="K141" i="5" s="1"/>
  <c r="H141" i="5"/>
  <c r="E141" i="5"/>
  <c r="P141" i="5" s="1"/>
  <c r="C141" i="5"/>
  <c r="D141" i="5" s="1"/>
  <c r="G141" i="5" s="1"/>
  <c r="J140" i="5"/>
  <c r="K140" i="5" s="1"/>
  <c r="O140" i="5" s="1"/>
  <c r="C140" i="5"/>
  <c r="D140" i="5" s="1"/>
  <c r="H140" i="5" s="1"/>
  <c r="N139" i="5"/>
  <c r="J139" i="5"/>
  <c r="K139" i="5" s="1"/>
  <c r="O139" i="5" s="1"/>
  <c r="C139" i="5"/>
  <c r="D139" i="5" s="1"/>
  <c r="J138" i="5"/>
  <c r="K138" i="5" s="1"/>
  <c r="C138" i="5"/>
  <c r="D138" i="5" s="1"/>
  <c r="G138" i="5" s="1"/>
  <c r="N137" i="5"/>
  <c r="O137" i="5"/>
  <c r="J137" i="5"/>
  <c r="K137" i="5" s="1"/>
  <c r="L137" i="5" s="1"/>
  <c r="C137" i="5"/>
  <c r="D137" i="5" s="1"/>
  <c r="J136" i="5"/>
  <c r="K136" i="5" s="1"/>
  <c r="C136" i="5"/>
  <c r="D136" i="5" s="1"/>
  <c r="H136" i="5" s="1"/>
  <c r="O135" i="5"/>
  <c r="J135" i="5"/>
  <c r="K135" i="5" s="1"/>
  <c r="N135" i="5" s="1"/>
  <c r="C135" i="5"/>
  <c r="D135" i="5" s="1"/>
  <c r="J134" i="5"/>
  <c r="K134" i="5" s="1"/>
  <c r="L134" i="5" s="1"/>
  <c r="Q134" i="5" s="1"/>
  <c r="C134" i="5"/>
  <c r="D134" i="5" s="1"/>
  <c r="G134" i="5" s="1"/>
  <c r="J133" i="5"/>
  <c r="K133" i="5" s="1"/>
  <c r="L133" i="5" s="1"/>
  <c r="C133" i="5"/>
  <c r="D133" i="5" s="1"/>
  <c r="J132" i="5"/>
  <c r="K132" i="5" s="1"/>
  <c r="L132" i="5" s="1"/>
  <c r="C132" i="5"/>
  <c r="D132" i="5" s="1"/>
  <c r="H132" i="5" s="1"/>
  <c r="N131" i="5"/>
  <c r="J131" i="5"/>
  <c r="K131" i="5" s="1"/>
  <c r="O131" i="5" s="1"/>
  <c r="C131" i="5"/>
  <c r="D131" i="5" s="1"/>
  <c r="J130" i="5"/>
  <c r="K130" i="5" s="1"/>
  <c r="C130" i="5"/>
  <c r="D130" i="5" s="1"/>
  <c r="J129" i="5"/>
  <c r="K129" i="5" s="1"/>
  <c r="N129" i="5" s="1"/>
  <c r="C129" i="5"/>
  <c r="D129" i="5" s="1"/>
  <c r="G129" i="5" s="1"/>
  <c r="J128" i="5"/>
  <c r="K128" i="5" s="1"/>
  <c r="D128" i="5"/>
  <c r="H128" i="5" s="1"/>
  <c r="C128" i="5"/>
  <c r="L127" i="5"/>
  <c r="Q127" i="5" s="1"/>
  <c r="J127" i="5"/>
  <c r="K127" i="5" s="1"/>
  <c r="N127" i="5" s="1"/>
  <c r="D127" i="5"/>
  <c r="C127" i="5"/>
  <c r="J126" i="5"/>
  <c r="K126" i="5" s="1"/>
  <c r="C126" i="5"/>
  <c r="D126" i="5" s="1"/>
  <c r="H126" i="5" s="1"/>
  <c r="J125" i="5"/>
  <c r="K125" i="5" s="1"/>
  <c r="N125" i="5" s="1"/>
  <c r="C125" i="5"/>
  <c r="D125" i="5" s="1"/>
  <c r="J124" i="5"/>
  <c r="K124" i="5" s="1"/>
  <c r="L124" i="5" s="1"/>
  <c r="C124" i="5"/>
  <c r="D124" i="5" s="1"/>
  <c r="N123" i="5"/>
  <c r="L123" i="5"/>
  <c r="J123" i="5"/>
  <c r="K123" i="5" s="1"/>
  <c r="O123" i="5" s="1"/>
  <c r="C123" i="5"/>
  <c r="D123" i="5" s="1"/>
  <c r="L122" i="5"/>
  <c r="Q122" i="5" s="1"/>
  <c r="J122" i="5"/>
  <c r="K122" i="5" s="1"/>
  <c r="N122" i="5" s="1"/>
  <c r="C122" i="5"/>
  <c r="D122" i="5" s="1"/>
  <c r="N121" i="5"/>
  <c r="J121" i="5"/>
  <c r="K121" i="5" s="1"/>
  <c r="L121" i="5" s="1"/>
  <c r="C121" i="5"/>
  <c r="D121" i="5" s="1"/>
  <c r="H121" i="5" s="1"/>
  <c r="J120" i="5"/>
  <c r="K120" i="5" s="1"/>
  <c r="L120" i="5" s="1"/>
  <c r="C120" i="5"/>
  <c r="D120" i="5" s="1"/>
  <c r="O119" i="5"/>
  <c r="N119" i="5"/>
  <c r="L119" i="5"/>
  <c r="Q119" i="5" s="1"/>
  <c r="J119" i="5"/>
  <c r="K119" i="5" s="1"/>
  <c r="C119" i="5"/>
  <c r="D119" i="5" s="1"/>
  <c r="H119" i="5" s="1"/>
  <c r="J118" i="5"/>
  <c r="K118" i="5" s="1"/>
  <c r="L118" i="5" s="1"/>
  <c r="Q118" i="5" s="1"/>
  <c r="C118" i="5"/>
  <c r="D118" i="5" s="1"/>
  <c r="J117" i="5"/>
  <c r="K117" i="5" s="1"/>
  <c r="E117" i="5"/>
  <c r="R117" i="5" s="1"/>
  <c r="C117" i="5"/>
  <c r="D117" i="5" s="1"/>
  <c r="G117" i="5" s="1"/>
  <c r="J116" i="5"/>
  <c r="K116" i="5" s="1"/>
  <c r="C116" i="5"/>
  <c r="D116" i="5" s="1"/>
  <c r="J115" i="5"/>
  <c r="K115" i="5" s="1"/>
  <c r="O115" i="5" s="1"/>
  <c r="C115" i="5"/>
  <c r="D115" i="5" s="1"/>
  <c r="L114" i="5"/>
  <c r="J114" i="5"/>
  <c r="K114" i="5" s="1"/>
  <c r="C114" i="5"/>
  <c r="D114" i="5" s="1"/>
  <c r="J113" i="5"/>
  <c r="K113" i="5" s="1"/>
  <c r="O113" i="5" s="1"/>
  <c r="C113" i="5"/>
  <c r="D113" i="5" s="1"/>
  <c r="J112" i="5"/>
  <c r="K112" i="5" s="1"/>
  <c r="L112" i="5" s="1"/>
  <c r="C112" i="5"/>
  <c r="D112" i="5" s="1"/>
  <c r="H112" i="5" s="1"/>
  <c r="J111" i="5"/>
  <c r="K111" i="5" s="1"/>
  <c r="L111" i="5" s="1"/>
  <c r="C111" i="5"/>
  <c r="D111" i="5" s="1"/>
  <c r="G111" i="5" s="1"/>
  <c r="J110" i="5"/>
  <c r="K110" i="5" s="1"/>
  <c r="L110" i="5" s="1"/>
  <c r="Q110" i="5" s="1"/>
  <c r="C110" i="5"/>
  <c r="D110" i="5" s="1"/>
  <c r="E110" i="5" s="1"/>
  <c r="J109" i="5"/>
  <c r="K109" i="5" s="1"/>
  <c r="O109" i="5" s="1"/>
  <c r="C109" i="5"/>
  <c r="D109" i="5" s="1"/>
  <c r="H109" i="5" s="1"/>
  <c r="J108" i="5"/>
  <c r="K108" i="5" s="1"/>
  <c r="C108" i="5"/>
  <c r="D108" i="5" s="1"/>
  <c r="H108" i="5" s="1"/>
  <c r="J107" i="5"/>
  <c r="K107" i="5" s="1"/>
  <c r="N107" i="5" s="1"/>
  <c r="C107" i="5"/>
  <c r="D107" i="5" s="1"/>
  <c r="J106" i="5"/>
  <c r="K106" i="5" s="1"/>
  <c r="L106" i="5" s="1"/>
  <c r="C106" i="5"/>
  <c r="D106" i="5" s="1"/>
  <c r="E106" i="5" s="1"/>
  <c r="P106" i="5" s="1"/>
  <c r="L105" i="5"/>
  <c r="J105" i="5"/>
  <c r="K105" i="5" s="1"/>
  <c r="O105" i="5" s="1"/>
  <c r="C105" i="5"/>
  <c r="D105" i="5" s="1"/>
  <c r="H105" i="5" s="1"/>
  <c r="J104" i="5"/>
  <c r="K104" i="5" s="1"/>
  <c r="L104" i="5" s="1"/>
  <c r="D104" i="5"/>
  <c r="E104" i="5" s="1"/>
  <c r="P104" i="5" s="1"/>
  <c r="C104" i="5"/>
  <c r="J103" i="5"/>
  <c r="K103" i="5" s="1"/>
  <c r="C103" i="5"/>
  <c r="D103" i="5" s="1"/>
  <c r="G103" i="5" s="1"/>
  <c r="J102" i="5"/>
  <c r="K102" i="5" s="1"/>
  <c r="C102" i="5"/>
  <c r="D102" i="5" s="1"/>
  <c r="E102" i="5" s="1"/>
  <c r="L101" i="5"/>
  <c r="Q101" i="5" s="1"/>
  <c r="O101" i="5"/>
  <c r="J101" i="5"/>
  <c r="K101" i="5" s="1"/>
  <c r="C101" i="5"/>
  <c r="D101" i="5" s="1"/>
  <c r="H101" i="5" s="1"/>
  <c r="J100" i="5"/>
  <c r="K100" i="5" s="1"/>
  <c r="C100" i="5"/>
  <c r="D100" i="5" s="1"/>
  <c r="E100" i="5" s="1"/>
  <c r="J99" i="5"/>
  <c r="K99" i="5" s="1"/>
  <c r="C99" i="5"/>
  <c r="D99" i="5" s="1"/>
  <c r="G99" i="5" s="1"/>
  <c r="O98" i="5"/>
  <c r="J98" i="5"/>
  <c r="K98" i="5" s="1"/>
  <c r="L98" i="5" s="1"/>
  <c r="Q98" i="5" s="1"/>
  <c r="C98" i="5"/>
  <c r="D98" i="5" s="1"/>
  <c r="E98" i="5" s="1"/>
  <c r="J97" i="5"/>
  <c r="K97" i="5" s="1"/>
  <c r="C97" i="5"/>
  <c r="D97" i="5" s="1"/>
  <c r="J96" i="5"/>
  <c r="K96" i="5" s="1"/>
  <c r="C96" i="5"/>
  <c r="D96" i="5" s="1"/>
  <c r="E96" i="5" s="1"/>
  <c r="P96" i="5" s="1"/>
  <c r="N95" i="5"/>
  <c r="J95" i="5"/>
  <c r="K95" i="5" s="1"/>
  <c r="O95" i="5" s="1"/>
  <c r="D95" i="5"/>
  <c r="C95" i="5"/>
  <c r="J94" i="5"/>
  <c r="K94" i="5" s="1"/>
  <c r="C94" i="5"/>
  <c r="D94" i="5" s="1"/>
  <c r="J93" i="5"/>
  <c r="K93" i="5" s="1"/>
  <c r="O93" i="5" s="1"/>
  <c r="C93" i="5"/>
  <c r="D93" i="5" s="1"/>
  <c r="H93" i="5" s="1"/>
  <c r="J92" i="5"/>
  <c r="K92" i="5" s="1"/>
  <c r="N92" i="5" s="1"/>
  <c r="C92" i="5"/>
  <c r="D92" i="5" s="1"/>
  <c r="E92" i="5" s="1"/>
  <c r="J91" i="5"/>
  <c r="C91" i="5"/>
  <c r="D91" i="5" s="1"/>
  <c r="J90" i="5"/>
  <c r="K90" i="5" s="1"/>
  <c r="O90" i="5" s="1"/>
  <c r="C90" i="5"/>
  <c r="D90" i="5" s="1"/>
  <c r="J89" i="5"/>
  <c r="K89" i="5" s="1"/>
  <c r="D89" i="5"/>
  <c r="C89" i="5"/>
  <c r="J88" i="5"/>
  <c r="C88" i="5"/>
  <c r="D88" i="5" s="1"/>
  <c r="N87" i="5"/>
  <c r="J87" i="5"/>
  <c r="K87" i="5" s="1"/>
  <c r="O87" i="5" s="1"/>
  <c r="C87" i="5"/>
  <c r="D87" i="5" s="1"/>
  <c r="J86" i="5"/>
  <c r="K86" i="5" s="1"/>
  <c r="O86" i="5" s="1"/>
  <c r="C86" i="5"/>
  <c r="D86" i="5" s="1"/>
  <c r="J85" i="5"/>
  <c r="C85" i="5"/>
  <c r="D85" i="5" s="1"/>
  <c r="H85" i="5" s="1"/>
  <c r="J84" i="5"/>
  <c r="K84" i="5" s="1"/>
  <c r="O84" i="5" s="1"/>
  <c r="C84" i="5"/>
  <c r="D84" i="5" s="1"/>
  <c r="J83" i="5"/>
  <c r="K83" i="5" s="1"/>
  <c r="C83" i="5"/>
  <c r="D83" i="5" s="1"/>
  <c r="J82" i="5"/>
  <c r="K82" i="5" s="1"/>
  <c r="C82" i="5"/>
  <c r="D82" i="5" s="1"/>
  <c r="J81" i="5"/>
  <c r="K81" i="5" s="1"/>
  <c r="C81" i="5"/>
  <c r="D81" i="5" s="1"/>
  <c r="J80" i="5"/>
  <c r="K80" i="5" s="1"/>
  <c r="C80" i="5"/>
  <c r="D80" i="5" s="1"/>
  <c r="J79" i="5"/>
  <c r="K79" i="5" s="1"/>
  <c r="O79" i="5" s="1"/>
  <c r="C79" i="5"/>
  <c r="D79" i="5" s="1"/>
  <c r="H79" i="5" s="1"/>
  <c r="J78" i="5"/>
  <c r="K78" i="5" s="1"/>
  <c r="C78" i="5"/>
  <c r="D78" i="5" s="1"/>
  <c r="H78" i="5" s="1"/>
  <c r="J77" i="5"/>
  <c r="K77" i="5" s="1"/>
  <c r="L77" i="5" s="1"/>
  <c r="C77" i="5"/>
  <c r="D77" i="5" s="1"/>
  <c r="O76" i="5"/>
  <c r="J76" i="5"/>
  <c r="K76" i="5" s="1"/>
  <c r="N76" i="5" s="1"/>
  <c r="C76" i="5"/>
  <c r="D76" i="5" s="1"/>
  <c r="J75" i="5"/>
  <c r="K75" i="5" s="1"/>
  <c r="C75" i="5"/>
  <c r="D75" i="5" s="1"/>
  <c r="E75" i="5" s="1"/>
  <c r="J74" i="5"/>
  <c r="K74" i="5" s="1"/>
  <c r="N74" i="5" s="1"/>
  <c r="C74" i="5"/>
  <c r="D74" i="5" s="1"/>
  <c r="J73" i="5"/>
  <c r="K73" i="5" s="1"/>
  <c r="C73" i="5"/>
  <c r="D73" i="5" s="1"/>
  <c r="J72" i="5"/>
  <c r="K72" i="5" s="1"/>
  <c r="D72" i="5"/>
  <c r="C72" i="5"/>
  <c r="J71" i="5"/>
  <c r="K71" i="5" s="1"/>
  <c r="C71" i="5"/>
  <c r="D71" i="5" s="1"/>
  <c r="J70" i="5"/>
  <c r="D70" i="5"/>
  <c r="C70" i="5"/>
  <c r="J69" i="5"/>
  <c r="K69" i="5" s="1"/>
  <c r="C69" i="5"/>
  <c r="D69" i="5" s="1"/>
  <c r="J68" i="5"/>
  <c r="K68" i="5" s="1"/>
  <c r="C68" i="5"/>
  <c r="D68" i="5" s="1"/>
  <c r="J67" i="5"/>
  <c r="C67" i="5"/>
  <c r="D67" i="5" s="1"/>
  <c r="E67" i="5" s="1"/>
  <c r="P67" i="5" s="1"/>
  <c r="J66" i="5"/>
  <c r="K66" i="5" s="1"/>
  <c r="C66" i="5"/>
  <c r="D66" i="5" s="1"/>
  <c r="J65" i="5"/>
  <c r="K65" i="5" s="1"/>
  <c r="O65" i="5" s="1"/>
  <c r="C65" i="5"/>
  <c r="D65" i="5" s="1"/>
  <c r="G65" i="5" s="1"/>
  <c r="J64" i="5"/>
  <c r="C64" i="5"/>
  <c r="D64" i="5" s="1"/>
  <c r="J63" i="5"/>
  <c r="K63" i="5" s="1"/>
  <c r="C63" i="5"/>
  <c r="D63" i="5" s="1"/>
  <c r="E63" i="5" s="1"/>
  <c r="P63" i="5" s="1"/>
  <c r="J62" i="5"/>
  <c r="K62" i="5" s="1"/>
  <c r="C62" i="5"/>
  <c r="D62" i="5" s="1"/>
  <c r="J61" i="5"/>
  <c r="K61" i="5" s="1"/>
  <c r="C61" i="5"/>
  <c r="D61" i="5" s="1"/>
  <c r="G61" i="5" s="1"/>
  <c r="J60" i="5"/>
  <c r="K60" i="5" s="1"/>
  <c r="N60" i="5" s="1"/>
  <c r="C60" i="5"/>
  <c r="D60" i="5" s="1"/>
  <c r="J59" i="5"/>
  <c r="K59" i="5" s="1"/>
  <c r="L59" i="5" s="1"/>
  <c r="C59" i="5"/>
  <c r="D59" i="5" s="1"/>
  <c r="E59" i="5" s="1"/>
  <c r="J58" i="5"/>
  <c r="K58" i="5" s="1"/>
  <c r="C58" i="5"/>
  <c r="D58" i="5" s="1"/>
  <c r="G58" i="5" s="1"/>
  <c r="O57" i="5"/>
  <c r="J57" i="5"/>
  <c r="K57" i="5" s="1"/>
  <c r="N57" i="5" s="1"/>
  <c r="C57" i="5"/>
  <c r="D57" i="5" s="1"/>
  <c r="G57" i="5" s="1"/>
  <c r="J56" i="5"/>
  <c r="C56" i="5"/>
  <c r="D56" i="5" s="1"/>
  <c r="G56" i="5" s="1"/>
  <c r="J55" i="5"/>
  <c r="K55" i="5" s="1"/>
  <c r="C55" i="5"/>
  <c r="D55" i="5" s="1"/>
  <c r="E55" i="5" s="1"/>
  <c r="P55" i="5" s="1"/>
  <c r="J54" i="5"/>
  <c r="K54" i="5" s="1"/>
  <c r="C54" i="5"/>
  <c r="D54" i="5" s="1"/>
  <c r="G54" i="5" s="1"/>
  <c r="J53" i="5"/>
  <c r="C53" i="5"/>
  <c r="D53" i="5" s="1"/>
  <c r="H53" i="5" s="1"/>
  <c r="N52" i="5"/>
  <c r="J52" i="5"/>
  <c r="K52" i="5" s="1"/>
  <c r="D52" i="5"/>
  <c r="E52" i="5" s="1"/>
  <c r="C52" i="5"/>
  <c r="J51" i="5"/>
  <c r="K51" i="5" s="1"/>
  <c r="D51" i="5"/>
  <c r="G51" i="5" s="1"/>
  <c r="C51" i="5"/>
  <c r="J50" i="5"/>
  <c r="C50" i="5"/>
  <c r="D50" i="5" s="1"/>
  <c r="H50" i="5" s="1"/>
  <c r="J49" i="5"/>
  <c r="K49" i="5" s="1"/>
  <c r="C49" i="5"/>
  <c r="D49" i="5" s="1"/>
  <c r="E49" i="5" s="1"/>
  <c r="J48" i="5"/>
  <c r="K48" i="5" s="1"/>
  <c r="C48" i="5"/>
  <c r="D48" i="5" s="1"/>
  <c r="J47" i="5"/>
  <c r="C47" i="5"/>
  <c r="D47" i="5" s="1"/>
  <c r="H47" i="5" s="1"/>
  <c r="J46" i="5"/>
  <c r="K46" i="5" s="1"/>
  <c r="L46" i="5" s="1"/>
  <c r="C46" i="5"/>
  <c r="D46" i="5" s="1"/>
  <c r="J45" i="5"/>
  <c r="K45" i="5" s="1"/>
  <c r="N45" i="5" s="1"/>
  <c r="C45" i="5"/>
  <c r="D45" i="5" s="1"/>
  <c r="G45" i="5" s="1"/>
  <c r="J44" i="5"/>
  <c r="D44" i="5"/>
  <c r="H44" i="5" s="1"/>
  <c r="C44" i="5"/>
  <c r="J43" i="5"/>
  <c r="K43" i="5" s="1"/>
  <c r="C43" i="5"/>
  <c r="D43" i="5" s="1"/>
  <c r="G43" i="5" s="1"/>
  <c r="J42" i="5"/>
  <c r="K42" i="5" s="1"/>
  <c r="C42" i="5"/>
  <c r="D42" i="5" s="1"/>
  <c r="E42" i="5" s="1"/>
  <c r="P42" i="5" s="1"/>
  <c r="J41" i="5"/>
  <c r="D41" i="5"/>
  <c r="H41" i="5" s="1"/>
  <c r="C41" i="5"/>
  <c r="J40" i="5"/>
  <c r="K40" i="5" s="1"/>
  <c r="N40" i="5" s="1"/>
  <c r="C40" i="5"/>
  <c r="D40" i="5" s="1"/>
  <c r="J39" i="5"/>
  <c r="K39" i="5" s="1"/>
  <c r="L39" i="5" s="1"/>
  <c r="C39" i="5"/>
  <c r="D39" i="5" s="1"/>
  <c r="E39" i="5" s="1"/>
  <c r="P39" i="5" s="1"/>
  <c r="J38" i="5"/>
  <c r="K38" i="5" s="1"/>
  <c r="N38" i="5" s="1"/>
  <c r="C38" i="5"/>
  <c r="D38" i="5" s="1"/>
  <c r="J37" i="5"/>
  <c r="K37" i="5" s="1"/>
  <c r="N37" i="5" s="1"/>
  <c r="C37" i="5"/>
  <c r="D37" i="5" s="1"/>
  <c r="J36" i="5"/>
  <c r="K36" i="5" s="1"/>
  <c r="L36" i="5" s="1"/>
  <c r="C36" i="5"/>
  <c r="D36" i="5" s="1"/>
  <c r="J35" i="5"/>
  <c r="C35" i="5"/>
  <c r="D35" i="5" s="1"/>
  <c r="J34" i="5"/>
  <c r="K34" i="5" s="1"/>
  <c r="N34" i="5" s="1"/>
  <c r="C34" i="5"/>
  <c r="D34" i="5" s="1"/>
  <c r="N33" i="5"/>
  <c r="L33" i="5"/>
  <c r="J33" i="5"/>
  <c r="K33" i="5" s="1"/>
  <c r="C33" i="5"/>
  <c r="D33" i="5" s="1"/>
  <c r="J32" i="5"/>
  <c r="K32" i="5" s="1"/>
  <c r="O32" i="5" s="1"/>
  <c r="C32" i="5"/>
  <c r="D32" i="5" s="1"/>
  <c r="J31" i="5"/>
  <c r="K31" i="5" s="1"/>
  <c r="C31" i="5"/>
  <c r="D31" i="5" s="1"/>
  <c r="G31" i="5" s="1"/>
  <c r="J30" i="5"/>
  <c r="K30" i="5" s="1"/>
  <c r="C30" i="5"/>
  <c r="D30" i="5" s="1"/>
  <c r="J29" i="5"/>
  <c r="K29" i="5" s="1"/>
  <c r="O29" i="5" s="1"/>
  <c r="C29" i="5"/>
  <c r="D29" i="5" s="1"/>
  <c r="H29" i="5" s="1"/>
  <c r="J28" i="5"/>
  <c r="K28" i="5" s="1"/>
  <c r="N28" i="5" s="1"/>
  <c r="C28" i="5"/>
  <c r="D28" i="5" s="1"/>
  <c r="J27" i="5"/>
  <c r="K27" i="5" s="1"/>
  <c r="C27" i="5"/>
  <c r="D27" i="5" s="1"/>
  <c r="J26" i="5"/>
  <c r="K26" i="5" s="1"/>
  <c r="C26" i="5"/>
  <c r="D26" i="5" s="1"/>
  <c r="J25" i="5"/>
  <c r="K25" i="5" s="1"/>
  <c r="O25" i="5" s="1"/>
  <c r="C25" i="5"/>
  <c r="D25" i="5" s="1"/>
  <c r="G25" i="5" s="1"/>
  <c r="J24" i="5"/>
  <c r="K24" i="5" s="1"/>
  <c r="C24" i="5"/>
  <c r="D24" i="5" s="1"/>
  <c r="O23" i="5"/>
  <c r="J23" i="5"/>
  <c r="K23" i="5" s="1"/>
  <c r="L23" i="5" s="1"/>
  <c r="C23" i="5"/>
  <c r="D23" i="5" s="1"/>
  <c r="J22" i="5"/>
  <c r="K22" i="5" s="1"/>
  <c r="C22" i="5"/>
  <c r="D22" i="5" s="1"/>
  <c r="H22" i="5" s="1"/>
  <c r="J21" i="5"/>
  <c r="K21" i="5" s="1"/>
  <c r="C21" i="5"/>
  <c r="D21" i="5" s="1"/>
  <c r="J20" i="5"/>
  <c r="K20" i="5" s="1"/>
  <c r="N20" i="5" s="1"/>
  <c r="C20" i="5"/>
  <c r="D20" i="5" s="1"/>
  <c r="J19" i="5"/>
  <c r="K19" i="5" s="1"/>
  <c r="D19" i="5"/>
  <c r="H19" i="5" s="1"/>
  <c r="C19" i="5"/>
  <c r="J18" i="5"/>
  <c r="K18" i="5" s="1"/>
  <c r="C18" i="5"/>
  <c r="D18" i="5" s="1"/>
  <c r="O17" i="5"/>
  <c r="J17" i="5"/>
  <c r="K17" i="5" s="1"/>
  <c r="L17" i="5" s="1"/>
  <c r="C17" i="5"/>
  <c r="D17" i="5" s="1"/>
  <c r="J16" i="5"/>
  <c r="K16" i="5" s="1"/>
  <c r="C16" i="5"/>
  <c r="D16" i="5" s="1"/>
  <c r="H16" i="5" s="1"/>
  <c r="J15" i="5"/>
  <c r="K15" i="5" s="1"/>
  <c r="C15" i="5"/>
  <c r="D15" i="5" s="1"/>
  <c r="J14" i="5"/>
  <c r="K14" i="5" s="1"/>
  <c r="O14" i="5" s="1"/>
  <c r="C14" i="5"/>
  <c r="D14" i="5" s="1"/>
  <c r="J13" i="5"/>
  <c r="K13" i="5" s="1"/>
  <c r="C13" i="5"/>
  <c r="D13" i="5" s="1"/>
  <c r="H13" i="5" s="1"/>
  <c r="J12" i="5"/>
  <c r="K12" i="5" s="1"/>
  <c r="C12" i="5"/>
  <c r="D12" i="5" s="1"/>
  <c r="J11" i="5"/>
  <c r="K11" i="5" s="1"/>
  <c r="O11" i="5" s="1"/>
  <c r="C11" i="5"/>
  <c r="D11" i="5" s="1"/>
  <c r="J10" i="5"/>
  <c r="K10" i="5" s="1"/>
  <c r="C10" i="5"/>
  <c r="D10" i="5" s="1"/>
  <c r="H10" i="5" s="1"/>
  <c r="J9" i="5"/>
  <c r="K9" i="5" s="1"/>
  <c r="C9" i="5"/>
  <c r="D9" i="5" s="1"/>
  <c r="J8" i="5"/>
  <c r="K8" i="5" s="1"/>
  <c r="O8" i="5" s="1"/>
  <c r="C8" i="5"/>
  <c r="D8" i="5" s="1"/>
  <c r="J7" i="5"/>
  <c r="K7" i="5" s="1"/>
  <c r="C7" i="5"/>
  <c r="D7" i="5" s="1"/>
  <c r="H7" i="5" s="1"/>
  <c r="J6" i="5"/>
  <c r="K6" i="5" s="1"/>
  <c r="C6" i="5"/>
  <c r="D6" i="5" s="1"/>
  <c r="L5" i="5"/>
  <c r="J5" i="5"/>
  <c r="K5" i="5" s="1"/>
  <c r="O5" i="5" s="1"/>
  <c r="C5" i="5"/>
  <c r="D5" i="5" s="1"/>
  <c r="J4" i="5"/>
  <c r="K4" i="5" s="1"/>
  <c r="D4" i="5"/>
  <c r="H4" i="5" s="1"/>
  <c r="C4" i="5"/>
  <c r="J3" i="5"/>
  <c r="K3" i="5" s="1"/>
  <c r="O3" i="5" s="1"/>
  <c r="C3" i="5"/>
  <c r="D3" i="5" s="1"/>
  <c r="G176" i="5" l="1"/>
  <c r="E176" i="5"/>
  <c r="P176" i="5" s="1"/>
  <c r="G64" i="5"/>
  <c r="H64" i="5"/>
  <c r="H97" i="5"/>
  <c r="G97" i="5"/>
  <c r="G146" i="5"/>
  <c r="H146" i="5"/>
  <c r="G188" i="5"/>
  <c r="H188" i="5"/>
  <c r="E23" i="5"/>
  <c r="R23" i="5" s="1"/>
  <c r="T23" i="5" s="1"/>
  <c r="H23" i="5"/>
  <c r="G164" i="5"/>
  <c r="H164" i="5"/>
  <c r="H196" i="5"/>
  <c r="E196" i="5"/>
  <c r="P196" i="5" s="1"/>
  <c r="G133" i="5"/>
  <c r="H133" i="5"/>
  <c r="G76" i="5"/>
  <c r="H76" i="5"/>
  <c r="E76" i="5"/>
  <c r="G182" i="5"/>
  <c r="H182" i="5"/>
  <c r="G285" i="5"/>
  <c r="H285" i="5"/>
  <c r="E86" i="5"/>
  <c r="H86" i="5"/>
  <c r="O59" i="5"/>
  <c r="L296" i="5"/>
  <c r="Q296" i="5" s="1"/>
  <c r="H129" i="5"/>
  <c r="O203" i="5"/>
  <c r="O279" i="5"/>
  <c r="AK234" i="4"/>
  <c r="AO234" i="4" s="1"/>
  <c r="L28" i="5"/>
  <c r="S28" i="5" s="1"/>
  <c r="L115" i="5"/>
  <c r="S115" i="5" s="1"/>
  <c r="U115" i="5" s="1"/>
  <c r="N133" i="5"/>
  <c r="S133" i="5" s="1"/>
  <c r="U133" i="5" s="1"/>
  <c r="G165" i="5"/>
  <c r="H171" i="5"/>
  <c r="L182" i="5"/>
  <c r="Q182" i="5" s="1"/>
  <c r="N216" i="5"/>
  <c r="AK201" i="4"/>
  <c r="AO201" i="4" s="1"/>
  <c r="L65" i="5"/>
  <c r="S65" i="5" s="1"/>
  <c r="U65" i="5" s="1"/>
  <c r="E192" i="5"/>
  <c r="P192" i="5" s="1"/>
  <c r="O284" i="5"/>
  <c r="O133" i="5"/>
  <c r="O197" i="5"/>
  <c r="H138" i="5"/>
  <c r="E244" i="5"/>
  <c r="N115" i="5"/>
  <c r="O129" i="5"/>
  <c r="L147" i="5"/>
  <c r="Q147" i="5" s="1"/>
  <c r="N182" i="5"/>
  <c r="N198" i="5"/>
  <c r="S198" i="5" s="1"/>
  <c r="U198" i="5" s="1"/>
  <c r="H210" i="5"/>
  <c r="O216" i="5"/>
  <c r="E304" i="5"/>
  <c r="P304" i="5" s="1"/>
  <c r="N59" i="5"/>
  <c r="O215" i="5"/>
  <c r="O152" i="5"/>
  <c r="O125" i="5"/>
  <c r="L129" i="5"/>
  <c r="S129" i="5" s="1"/>
  <c r="U129" i="5" s="1"/>
  <c r="H134" i="5"/>
  <c r="N143" i="5"/>
  <c r="S143" i="5" s="1"/>
  <c r="U143" i="5" s="1"/>
  <c r="N147" i="5"/>
  <c r="L198" i="5"/>
  <c r="O280" i="5"/>
  <c r="E292" i="5"/>
  <c r="P292" i="5" s="1"/>
  <c r="O297" i="5"/>
  <c r="N36" i="5"/>
  <c r="N79" i="5"/>
  <c r="N93" i="5"/>
  <c r="L125" i="5"/>
  <c r="Q125" i="5" s="1"/>
  <c r="O143" i="5"/>
  <c r="L210" i="5"/>
  <c r="O264" i="5"/>
  <c r="H286" i="5"/>
  <c r="H292" i="5"/>
  <c r="AK176" i="4"/>
  <c r="AO176" i="4" s="1"/>
  <c r="L170" i="5"/>
  <c r="Q170" i="5" s="1"/>
  <c r="H192" i="5"/>
  <c r="O209" i="5"/>
  <c r="L8" i="5"/>
  <c r="Q8" i="5" s="1"/>
  <c r="E165" i="5"/>
  <c r="P165" i="5" s="1"/>
  <c r="E171" i="5"/>
  <c r="R171" i="5" s="1"/>
  <c r="N17" i="5"/>
  <c r="N23" i="5"/>
  <c r="S23" i="5" s="1"/>
  <c r="U23" i="5" s="1"/>
  <c r="N98" i="5"/>
  <c r="S98" i="5" s="1"/>
  <c r="U98" i="5" s="1"/>
  <c r="N111" i="5"/>
  <c r="S111" i="5" s="1"/>
  <c r="U111" i="5" s="1"/>
  <c r="O121" i="5"/>
  <c r="O134" i="5"/>
  <c r="L139" i="5"/>
  <c r="L161" i="5"/>
  <c r="Q161" i="5" s="1"/>
  <c r="L188" i="5"/>
  <c r="Q188" i="5" s="1"/>
  <c r="L224" i="5"/>
  <c r="Q224" i="5" s="1"/>
  <c r="N218" i="5"/>
  <c r="L246" i="5"/>
  <c r="Q246" i="5" s="1"/>
  <c r="O276" i="5"/>
  <c r="L37" i="5"/>
  <c r="L11" i="5"/>
  <c r="L135" i="5"/>
  <c r="S135" i="5" s="1"/>
  <c r="U135" i="5" s="1"/>
  <c r="O145" i="5"/>
  <c r="N179" i="5"/>
  <c r="O206" i="5"/>
  <c r="O260" i="5"/>
  <c r="AK202" i="4"/>
  <c r="AO202" i="4" s="1"/>
  <c r="L14" i="5"/>
  <c r="S14" i="5" s="1"/>
  <c r="U14" i="5" s="1"/>
  <c r="N25" i="5"/>
  <c r="L38" i="5"/>
  <c r="Q38" i="5" s="1"/>
  <c r="L76" i="5"/>
  <c r="L107" i="5"/>
  <c r="Q107" i="5" s="1"/>
  <c r="O219" i="5"/>
  <c r="O234" i="5"/>
  <c r="O272" i="5"/>
  <c r="O38" i="5"/>
  <c r="L95" i="5"/>
  <c r="Q95" i="5" s="1"/>
  <c r="O107" i="5"/>
  <c r="L113" i="5"/>
  <c r="Q113" i="5" s="1"/>
  <c r="O127" i="5"/>
  <c r="N201" i="5"/>
  <c r="E214" i="5"/>
  <c r="P214" i="5" s="1"/>
  <c r="L261" i="5"/>
  <c r="H301" i="5"/>
  <c r="AK139" i="4"/>
  <c r="AO139" i="4" s="1"/>
  <c r="L20" i="5"/>
  <c r="S20" i="5" s="1"/>
  <c r="U20" i="5" s="1"/>
  <c r="L45" i="5"/>
  <c r="S45" i="5" s="1"/>
  <c r="E186" i="5"/>
  <c r="R186" i="5" s="1"/>
  <c r="E256" i="5"/>
  <c r="H278" i="5"/>
  <c r="H290" i="5"/>
  <c r="AK127" i="4"/>
  <c r="AO127" i="4" s="1"/>
  <c r="AK8" i="4"/>
  <c r="AO8" i="4" s="1"/>
  <c r="AK137" i="4"/>
  <c r="AO137" i="4" s="1"/>
  <c r="AK113" i="4"/>
  <c r="AO113" i="4" s="1"/>
  <c r="AK256" i="4"/>
  <c r="AO256" i="4" s="1"/>
  <c r="AK246" i="4"/>
  <c r="AO246" i="4" s="1"/>
  <c r="AK35" i="4"/>
  <c r="AO35" i="4" s="1"/>
  <c r="AK167" i="4"/>
  <c r="AO167" i="4" s="1"/>
  <c r="AK28" i="4"/>
  <c r="AO28" i="4" s="1"/>
  <c r="AK79" i="4"/>
  <c r="AO79" i="4" s="1"/>
  <c r="AK19" i="4"/>
  <c r="AO19" i="4" s="1"/>
  <c r="AK81" i="4"/>
  <c r="AO81" i="4" s="1"/>
  <c r="AK42" i="4"/>
  <c r="AO42" i="4" s="1"/>
  <c r="AK282" i="4"/>
  <c r="AO282" i="4" s="1"/>
  <c r="AK261" i="4"/>
  <c r="AO261" i="4" s="1"/>
  <c r="AK273" i="4"/>
  <c r="AO273" i="4" s="1"/>
  <c r="AK343" i="4"/>
  <c r="AO343" i="4" s="1"/>
  <c r="AK329" i="4"/>
  <c r="AO329" i="4" s="1"/>
  <c r="AK319" i="4"/>
  <c r="AO319" i="4" s="1"/>
  <c r="AK331" i="4"/>
  <c r="AO331" i="4" s="1"/>
  <c r="AK217" i="4"/>
  <c r="AO217" i="4" s="1"/>
  <c r="AK227" i="4"/>
  <c r="AO227" i="4" s="1"/>
  <c r="AK366" i="4"/>
  <c r="AO366" i="4" s="1"/>
  <c r="AK367" i="4"/>
  <c r="AO367" i="4" s="1"/>
  <c r="AK269" i="4"/>
  <c r="AO269" i="4" s="1"/>
  <c r="AK310" i="4"/>
  <c r="AO310" i="4" s="1"/>
  <c r="AK120" i="4"/>
  <c r="AO120" i="4" s="1"/>
  <c r="AK308" i="4"/>
  <c r="AO308" i="4" s="1"/>
  <c r="AK320" i="4"/>
  <c r="AO320" i="4" s="1"/>
  <c r="AK197" i="4"/>
  <c r="AO197" i="4" s="1"/>
  <c r="AK356" i="4"/>
  <c r="AO356" i="4" s="1"/>
  <c r="AK247" i="4"/>
  <c r="AO247" i="4" s="1"/>
  <c r="AK252" i="4"/>
  <c r="AO252" i="4" s="1"/>
  <c r="AK54" i="4"/>
  <c r="AO54" i="4" s="1"/>
  <c r="AK135" i="4"/>
  <c r="AO135" i="4" s="1"/>
  <c r="AK43" i="4"/>
  <c r="AO43" i="4" s="1"/>
  <c r="AK66" i="4"/>
  <c r="AO66" i="4" s="1"/>
  <c r="AK119" i="4"/>
  <c r="AO119" i="4" s="1"/>
  <c r="AK82" i="4"/>
  <c r="AO82" i="4" s="1"/>
  <c r="AK14" i="4"/>
  <c r="AO14" i="4" s="1"/>
  <c r="AK33" i="4"/>
  <c r="AO33" i="4" s="1"/>
  <c r="AK131" i="4"/>
  <c r="AO131" i="4" s="1"/>
  <c r="AK55" i="4"/>
  <c r="AO55" i="4" s="1"/>
  <c r="AK191" i="4"/>
  <c r="AO191" i="4" s="1"/>
  <c r="AK126" i="4"/>
  <c r="AO126" i="4" s="1"/>
  <c r="AK59" i="4"/>
  <c r="AO59" i="4" s="1"/>
  <c r="AK129" i="4"/>
  <c r="AO129" i="4" s="1"/>
  <c r="AK94" i="4"/>
  <c r="AO94" i="4" s="1"/>
  <c r="AK132" i="4"/>
  <c r="AO132" i="4" s="1"/>
  <c r="AK220" i="4"/>
  <c r="AO220" i="4" s="1"/>
  <c r="AK24" i="4"/>
  <c r="AO24" i="4" s="1"/>
  <c r="AK37" i="4"/>
  <c r="AO37" i="4" s="1"/>
  <c r="AK150" i="4"/>
  <c r="AO150" i="4" s="1"/>
  <c r="AK45" i="4"/>
  <c r="AO45" i="4" s="1"/>
  <c r="AK47" i="4"/>
  <c r="AO47" i="4" s="1"/>
  <c r="AK111" i="4"/>
  <c r="AO111" i="4" s="1"/>
  <c r="AK70" i="4"/>
  <c r="AO70" i="4" s="1"/>
  <c r="AK64" i="4"/>
  <c r="AO64" i="4" s="1"/>
  <c r="AK124" i="4"/>
  <c r="AO124" i="4" s="1"/>
  <c r="AK293" i="4"/>
  <c r="AO293" i="4" s="1"/>
  <c r="AK359" i="4"/>
  <c r="AO359" i="4" s="1"/>
  <c r="AK330" i="4"/>
  <c r="AO330" i="4" s="1"/>
  <c r="AK342" i="4"/>
  <c r="AO342" i="4" s="1"/>
  <c r="AK241" i="4"/>
  <c r="AO241" i="4" s="1"/>
  <c r="AK251" i="4"/>
  <c r="AO251" i="4" s="1"/>
  <c r="AK161" i="4"/>
  <c r="AO161" i="4" s="1"/>
  <c r="AK186" i="4"/>
  <c r="AO186" i="4" s="1"/>
  <c r="AK299" i="4"/>
  <c r="AO299" i="4" s="1"/>
  <c r="AK146" i="4"/>
  <c r="AO146" i="4" s="1"/>
  <c r="AK346" i="4"/>
  <c r="AO346" i="4" s="1"/>
  <c r="AK3" i="4"/>
  <c r="AO3" i="4" s="1"/>
  <c r="AK163" i="4"/>
  <c r="AO163" i="4" s="1"/>
  <c r="AK240" i="4"/>
  <c r="AO240" i="4" s="1"/>
  <c r="AK222" i="4"/>
  <c r="AO222" i="4" s="1"/>
  <c r="AK296" i="4"/>
  <c r="AO296" i="4" s="1"/>
  <c r="AK332" i="4"/>
  <c r="AO332" i="4" s="1"/>
  <c r="AK103" i="4"/>
  <c r="AO103" i="4" s="1"/>
  <c r="AK286" i="4"/>
  <c r="AO286" i="4" s="1"/>
  <c r="AK145" i="4"/>
  <c r="AO145" i="4" s="1"/>
  <c r="AK210" i="4"/>
  <c r="AO210" i="4" s="1"/>
  <c r="AK358" i="4"/>
  <c r="AO358" i="4" s="1"/>
  <c r="AK48" i="4"/>
  <c r="AO48" i="4" s="1"/>
  <c r="AK36" i="4"/>
  <c r="AO36" i="4" s="1"/>
  <c r="AK4" i="4"/>
  <c r="AO4" i="4" s="1"/>
  <c r="AK141" i="4"/>
  <c r="AO141" i="4" s="1"/>
  <c r="AK174" i="4"/>
  <c r="AO174" i="4" s="1"/>
  <c r="AK88" i="4"/>
  <c r="AO88" i="4" s="1"/>
  <c r="AK78" i="4"/>
  <c r="AO78" i="4" s="1"/>
  <c r="AK18" i="4"/>
  <c r="AO18" i="4" s="1"/>
  <c r="AK138" i="4"/>
  <c r="AO138" i="4" s="1"/>
  <c r="AK11" i="4"/>
  <c r="AO11" i="4" s="1"/>
  <c r="AK260" i="4"/>
  <c r="AO260" i="4" s="1"/>
  <c r="AK344" i="4"/>
  <c r="AO344" i="4" s="1"/>
  <c r="AK361" i="4"/>
  <c r="AO361" i="4" s="1"/>
  <c r="AK312" i="4"/>
  <c r="AO312" i="4" s="1"/>
  <c r="AK154" i="4"/>
  <c r="AO154" i="4" s="1"/>
  <c r="AK322" i="4"/>
  <c r="AO322" i="4" s="1"/>
  <c r="AK266" i="4"/>
  <c r="AO266" i="4" s="1"/>
  <c r="AK23" i="4"/>
  <c r="AO23" i="4" s="1"/>
  <c r="AK114" i="4"/>
  <c r="AO114" i="4" s="1"/>
  <c r="AK34" i="4"/>
  <c r="AO34" i="4" s="1"/>
  <c r="AK106" i="4"/>
  <c r="AO106" i="4" s="1"/>
  <c r="AK100" i="4"/>
  <c r="AO100" i="4" s="1"/>
  <c r="AK40" i="4"/>
  <c r="AO40" i="4" s="1"/>
  <c r="AK148" i="4"/>
  <c r="AO148" i="4" s="1"/>
  <c r="AK155" i="4"/>
  <c r="AO155" i="4" s="1"/>
  <c r="AK123" i="4"/>
  <c r="AO123" i="4" s="1"/>
  <c r="AK21" i="4"/>
  <c r="AO21" i="4" s="1"/>
  <c r="AK165" i="4"/>
  <c r="AO165" i="4" s="1"/>
  <c r="AK315" i="4"/>
  <c r="AO315" i="4" s="1"/>
  <c r="AK84" i="4"/>
  <c r="AO84" i="4" s="1"/>
  <c r="AK288" i="4"/>
  <c r="AO288" i="4" s="1"/>
  <c r="AK348" i="4"/>
  <c r="AO348" i="4" s="1"/>
  <c r="AK352" i="4"/>
  <c r="AO352" i="4" s="1"/>
  <c r="AK25" i="4"/>
  <c r="AO25" i="4" s="1"/>
  <c r="AK74" i="4"/>
  <c r="AO74" i="4" s="1"/>
  <c r="G40" i="5"/>
  <c r="E40" i="5"/>
  <c r="G33" i="5"/>
  <c r="H33" i="5"/>
  <c r="E11" i="5"/>
  <c r="R11" i="5" s="1"/>
  <c r="T11" i="5" s="1"/>
  <c r="H11" i="5"/>
  <c r="G11" i="5"/>
  <c r="E20" i="5"/>
  <c r="H20" i="5"/>
  <c r="G20" i="5"/>
  <c r="H84" i="5"/>
  <c r="G84" i="5"/>
  <c r="E17" i="5"/>
  <c r="R17" i="5" s="1"/>
  <c r="T17" i="5" s="1"/>
  <c r="H17" i="5"/>
  <c r="G17" i="5"/>
  <c r="G34" i="5"/>
  <c r="E34" i="5"/>
  <c r="G46" i="5"/>
  <c r="H46" i="5"/>
  <c r="E46" i="5"/>
  <c r="E8" i="5"/>
  <c r="R8" i="5" s="1"/>
  <c r="T8" i="5" s="1"/>
  <c r="H8" i="5"/>
  <c r="G8" i="5"/>
  <c r="G30" i="5"/>
  <c r="R30" i="5" s="1"/>
  <c r="H30" i="5"/>
  <c r="E30" i="5"/>
  <c r="P30" i="5" s="1"/>
  <c r="G27" i="5"/>
  <c r="H27" i="5"/>
  <c r="E27" i="5"/>
  <c r="R27" i="5" s="1"/>
  <c r="T27" i="5" s="1"/>
  <c r="H35" i="5"/>
  <c r="G35" i="5"/>
  <c r="E5" i="5"/>
  <c r="H5" i="5"/>
  <c r="G5" i="5"/>
  <c r="E14" i="5"/>
  <c r="R14" i="5" s="1"/>
  <c r="H14" i="5"/>
  <c r="G14" i="5"/>
  <c r="E36" i="5"/>
  <c r="P36" i="5" s="1"/>
  <c r="G36" i="5"/>
  <c r="H36" i="5"/>
  <c r="H72" i="5"/>
  <c r="G72" i="5"/>
  <c r="O20" i="5"/>
  <c r="N32" i="5"/>
  <c r="G107" i="5"/>
  <c r="H107" i="5"/>
  <c r="E107" i="5"/>
  <c r="R107" i="5" s="1"/>
  <c r="T107" i="5" s="1"/>
  <c r="H202" i="5"/>
  <c r="E202" i="5"/>
  <c r="P202" i="5" s="1"/>
  <c r="L267" i="5"/>
  <c r="Q267" i="5" s="1"/>
  <c r="O267" i="5"/>
  <c r="L32" i="5"/>
  <c r="S32" i="5" s="1"/>
  <c r="U32" i="5" s="1"/>
  <c r="H91" i="5"/>
  <c r="G91" i="5"/>
  <c r="E95" i="5"/>
  <c r="H95" i="5"/>
  <c r="G95" i="5"/>
  <c r="G178" i="5"/>
  <c r="H178" i="5"/>
  <c r="E178" i="5"/>
  <c r="P178" i="5" s="1"/>
  <c r="E223" i="5"/>
  <c r="R223" i="5" s="1"/>
  <c r="T223" i="5" s="1"/>
  <c r="H223" i="5"/>
  <c r="G223" i="5"/>
  <c r="E79" i="5"/>
  <c r="G79" i="5"/>
  <c r="R79" i="5" s="1"/>
  <c r="T79" i="5" s="1"/>
  <c r="G274" i="5"/>
  <c r="H274" i="5"/>
  <c r="E41" i="5"/>
  <c r="E44" i="5"/>
  <c r="N65" i="5"/>
  <c r="K91" i="5"/>
  <c r="L91" i="5" s="1"/>
  <c r="G142" i="5"/>
  <c r="H142" i="5"/>
  <c r="O167" i="5"/>
  <c r="N167" i="5"/>
  <c r="L167" i="5"/>
  <c r="S167" i="5" s="1"/>
  <c r="U167" i="5" s="1"/>
  <c r="H243" i="5"/>
  <c r="G243" i="5"/>
  <c r="G145" i="5"/>
  <c r="R145" i="5" s="1"/>
  <c r="T145" i="5" s="1"/>
  <c r="H145" i="5"/>
  <c r="E145" i="5"/>
  <c r="N46" i="5"/>
  <c r="O171" i="5"/>
  <c r="K171" i="5"/>
  <c r="H211" i="5"/>
  <c r="E211" i="5"/>
  <c r="K44" i="5"/>
  <c r="L44" i="5" s="1"/>
  <c r="N84" i="5"/>
  <c r="L84" i="5"/>
  <c r="Q84" i="5" s="1"/>
  <c r="G282" i="5"/>
  <c r="H282" i="5"/>
  <c r="H70" i="5"/>
  <c r="G70" i="5"/>
  <c r="E70" i="5"/>
  <c r="R70" i="5" s="1"/>
  <c r="T70" i="5" s="1"/>
  <c r="O74" i="5"/>
  <c r="G125" i="5"/>
  <c r="H125" i="5"/>
  <c r="G137" i="5"/>
  <c r="H137" i="5"/>
  <c r="H193" i="5"/>
  <c r="E193" i="5"/>
  <c r="P193" i="5" s="1"/>
  <c r="H230" i="5"/>
  <c r="E230" i="5"/>
  <c r="P230" i="5" s="1"/>
  <c r="H239" i="5"/>
  <c r="G239" i="5"/>
  <c r="G269" i="5"/>
  <c r="H269" i="5"/>
  <c r="K50" i="5"/>
  <c r="L50" i="5" s="1"/>
  <c r="Q50" i="5" s="1"/>
  <c r="K53" i="5"/>
  <c r="N53" i="5" s="1"/>
  <c r="K56" i="5"/>
  <c r="H67" i="5"/>
  <c r="G67" i="5"/>
  <c r="K70" i="5"/>
  <c r="H75" i="5"/>
  <c r="G75" i="5"/>
  <c r="G158" i="5"/>
  <c r="H158" i="5"/>
  <c r="E158" i="5"/>
  <c r="H169" i="5"/>
  <c r="G169" i="5"/>
  <c r="E169" i="5"/>
  <c r="P169" i="5" s="1"/>
  <c r="G220" i="5"/>
  <c r="H220" i="5"/>
  <c r="E220" i="5"/>
  <c r="E235" i="5"/>
  <c r="P235" i="5" s="1"/>
  <c r="H235" i="5"/>
  <c r="G235" i="5"/>
  <c r="R235" i="5" s="1"/>
  <c r="T235" i="5" s="1"/>
  <c r="N117" i="5"/>
  <c r="L117" i="5"/>
  <c r="Q117" i="5" s="1"/>
  <c r="O117" i="5"/>
  <c r="G224" i="5"/>
  <c r="H224" i="5"/>
  <c r="G302" i="5"/>
  <c r="H302" i="5"/>
  <c r="E56" i="5"/>
  <c r="H56" i="5"/>
  <c r="K35" i="5"/>
  <c r="O35" i="5" s="1"/>
  <c r="P75" i="5"/>
  <c r="R75" i="5"/>
  <c r="H82" i="5"/>
  <c r="G82" i="5"/>
  <c r="E89" i="5"/>
  <c r="P89" i="5" s="1"/>
  <c r="H89" i="5"/>
  <c r="G89" i="5"/>
  <c r="G154" i="5"/>
  <c r="H154" i="5"/>
  <c r="E154" i="5"/>
  <c r="G190" i="5"/>
  <c r="R190" i="5" s="1"/>
  <c r="T190" i="5" s="1"/>
  <c r="H190" i="5"/>
  <c r="E190" i="5"/>
  <c r="P190" i="5" s="1"/>
  <c r="L200" i="5"/>
  <c r="O200" i="5"/>
  <c r="G273" i="5"/>
  <c r="H273" i="5"/>
  <c r="H280" i="5"/>
  <c r="G280" i="5"/>
  <c r="E280" i="5"/>
  <c r="H151" i="5"/>
  <c r="G151" i="5"/>
  <c r="E151" i="5"/>
  <c r="P151" i="5" s="1"/>
  <c r="G88" i="5"/>
  <c r="H88" i="5"/>
  <c r="H229" i="5"/>
  <c r="G229" i="5"/>
  <c r="E229" i="5"/>
  <c r="P229" i="5" s="1"/>
  <c r="G39" i="5"/>
  <c r="R39" i="5" s="1"/>
  <c r="N14" i="5"/>
  <c r="G23" i="5"/>
  <c r="E64" i="5"/>
  <c r="R64" i="5" s="1"/>
  <c r="T64" i="5" s="1"/>
  <c r="E82" i="5"/>
  <c r="G113" i="5"/>
  <c r="H113" i="5"/>
  <c r="O116" i="5"/>
  <c r="L116" i="5"/>
  <c r="Q116" i="5" s="1"/>
  <c r="N116" i="5"/>
  <c r="O128" i="5"/>
  <c r="L128" i="5"/>
  <c r="N128" i="5"/>
  <c r="G180" i="5"/>
  <c r="H180" i="5"/>
  <c r="E180" i="5"/>
  <c r="R180" i="5" s="1"/>
  <c r="T180" i="5" s="1"/>
  <c r="H217" i="5"/>
  <c r="E217" i="5"/>
  <c r="P217" i="5" s="1"/>
  <c r="O110" i="5"/>
  <c r="N110" i="5"/>
  <c r="L82" i="5"/>
  <c r="O82" i="5"/>
  <c r="N176" i="5"/>
  <c r="L176" i="5"/>
  <c r="Q176" i="5" s="1"/>
  <c r="O176" i="5"/>
  <c r="H191" i="5"/>
  <c r="E191" i="5"/>
  <c r="E245" i="5"/>
  <c r="P245" i="5" s="1"/>
  <c r="H245" i="5"/>
  <c r="G245" i="5"/>
  <c r="K41" i="5"/>
  <c r="E29" i="5"/>
  <c r="P29" i="5" s="1"/>
  <c r="L57" i="5"/>
  <c r="Q57" i="5" s="1"/>
  <c r="N82" i="5"/>
  <c r="S82" i="5" s="1"/>
  <c r="U82" i="5" s="1"/>
  <c r="E94" i="5"/>
  <c r="P94" i="5" s="1"/>
  <c r="H94" i="5"/>
  <c r="H155" i="5"/>
  <c r="G155" i="5"/>
  <c r="H163" i="5"/>
  <c r="G163" i="5"/>
  <c r="E163" i="5"/>
  <c r="E166" i="5"/>
  <c r="P166" i="5" s="1"/>
  <c r="O173" i="5"/>
  <c r="N173" i="5"/>
  <c r="L173" i="5"/>
  <c r="S173" i="5" s="1"/>
  <c r="U173" i="5" s="1"/>
  <c r="G184" i="5"/>
  <c r="R184" i="5" s="1"/>
  <c r="T184" i="5" s="1"/>
  <c r="H184" i="5"/>
  <c r="H205" i="5"/>
  <c r="E205" i="5"/>
  <c r="P205" i="5" s="1"/>
  <c r="K304" i="5"/>
  <c r="N304" i="5" s="1"/>
  <c r="K85" i="5"/>
  <c r="N85" i="5" s="1"/>
  <c r="O111" i="5"/>
  <c r="N113" i="5"/>
  <c r="S113" i="5" s="1"/>
  <c r="U113" i="5" s="1"/>
  <c r="O122" i="5"/>
  <c r="N149" i="5"/>
  <c r="N170" i="5"/>
  <c r="H186" i="5"/>
  <c r="L195" i="5"/>
  <c r="Q195" i="5" s="1"/>
  <c r="K277" i="5"/>
  <c r="L277" i="5" s="1"/>
  <c r="K307" i="5"/>
  <c r="O307" i="5" s="1"/>
  <c r="AK67" i="4"/>
  <c r="AO67" i="4" s="1"/>
  <c r="AK7" i="4"/>
  <c r="AO7" i="4" s="1"/>
  <c r="AK147" i="4"/>
  <c r="AO147" i="4" s="1"/>
  <c r="AK52" i="4"/>
  <c r="AO52" i="4" s="1"/>
  <c r="AK22" i="4"/>
  <c r="AO22" i="4" s="1"/>
  <c r="AK215" i="4"/>
  <c r="AO215" i="4" s="1"/>
  <c r="AK305" i="4"/>
  <c r="AO305" i="4" s="1"/>
  <c r="AK317" i="4"/>
  <c r="AO317" i="4" s="1"/>
  <c r="AK307" i="4"/>
  <c r="AO307" i="4" s="1"/>
  <c r="AK297" i="4"/>
  <c r="AO297" i="4" s="1"/>
  <c r="AK309" i="4"/>
  <c r="AO309" i="4" s="1"/>
  <c r="AK171" i="4"/>
  <c r="AO171" i="4" s="1"/>
  <c r="AK365" i="4"/>
  <c r="AO365" i="4" s="1"/>
  <c r="AK345" i="4"/>
  <c r="AO345" i="4" s="1"/>
  <c r="AK357" i="4"/>
  <c r="AO357" i="4" s="1"/>
  <c r="AK175" i="4"/>
  <c r="AO175" i="4" s="1"/>
  <c r="AK130" i="4"/>
  <c r="AO130" i="4" s="1"/>
  <c r="AK360" i="4"/>
  <c r="AO360" i="4" s="1"/>
  <c r="AK170" i="4"/>
  <c r="AO170" i="4" s="1"/>
  <c r="AK72" i="4"/>
  <c r="AO72" i="4" s="1"/>
  <c r="AK99" i="4"/>
  <c r="AO99" i="4" s="1"/>
  <c r="N104" i="5"/>
  <c r="N134" i="5"/>
  <c r="S134" i="5" s="1"/>
  <c r="L234" i="5"/>
  <c r="Q234" i="5" s="1"/>
  <c r="E248" i="5"/>
  <c r="K265" i="5"/>
  <c r="K269" i="5"/>
  <c r="L269" i="5" s="1"/>
  <c r="AK265" i="4"/>
  <c r="AO265" i="4" s="1"/>
  <c r="AK300" i="4"/>
  <c r="AO300" i="4" s="1"/>
  <c r="AK340" i="4"/>
  <c r="AO340" i="4" s="1"/>
  <c r="AK291" i="4"/>
  <c r="AO291" i="4" s="1"/>
  <c r="AK108" i="4"/>
  <c r="AO108" i="4" s="1"/>
  <c r="AK314" i="4"/>
  <c r="AO314" i="4" s="1"/>
  <c r="AK63" i="4"/>
  <c r="AO63" i="4" s="1"/>
  <c r="AK86" i="4"/>
  <c r="AO86" i="4" s="1"/>
  <c r="AK328" i="4"/>
  <c r="AO328" i="4" s="1"/>
  <c r="AK41" i="4"/>
  <c r="AO41" i="4" s="1"/>
  <c r="O67" i="5"/>
  <c r="K67" i="5"/>
  <c r="N67" i="5" s="1"/>
  <c r="N88" i="5"/>
  <c r="K88" i="5"/>
  <c r="K153" i="5"/>
  <c r="N153" i="5" s="1"/>
  <c r="K245" i="5"/>
  <c r="L245" i="5" s="1"/>
  <c r="Q245" i="5" s="1"/>
  <c r="G248" i="5"/>
  <c r="K293" i="5"/>
  <c r="O293" i="5" s="1"/>
  <c r="AK16" i="4"/>
  <c r="AO16" i="4" s="1"/>
  <c r="AK107" i="4"/>
  <c r="AO107" i="4" s="1"/>
  <c r="AK6" i="4"/>
  <c r="AO6" i="4" s="1"/>
  <c r="AK58" i="4"/>
  <c r="AO58" i="4" s="1"/>
  <c r="AK153" i="4"/>
  <c r="AO153" i="4" s="1"/>
  <c r="AK177" i="4"/>
  <c r="AO177" i="4" s="1"/>
  <c r="AK185" i="4"/>
  <c r="AO185" i="4" s="1"/>
  <c r="AK71" i="4"/>
  <c r="AO71" i="4" s="1"/>
  <c r="AK160" i="4"/>
  <c r="AO160" i="4" s="1"/>
  <c r="AK271" i="4"/>
  <c r="AO271" i="4" s="1"/>
  <c r="AK239" i="4"/>
  <c r="AO239" i="4" s="1"/>
  <c r="AK335" i="4"/>
  <c r="AO335" i="4" s="1"/>
  <c r="AK347" i="4"/>
  <c r="AO347" i="4" s="1"/>
  <c r="AK318" i="4"/>
  <c r="AO318" i="4" s="1"/>
  <c r="AK207" i="4"/>
  <c r="AO207" i="4" s="1"/>
  <c r="AK355" i="4"/>
  <c r="AO355" i="4" s="1"/>
  <c r="AK258" i="4"/>
  <c r="AO258" i="4" s="1"/>
  <c r="AK39" i="4"/>
  <c r="AO39" i="4" s="1"/>
  <c r="AK195" i="4"/>
  <c r="AO195" i="4" s="1"/>
  <c r="AK198" i="4"/>
  <c r="AO198" i="4" s="1"/>
  <c r="AK192" i="4"/>
  <c r="AO192" i="4" s="1"/>
  <c r="AK156" i="4"/>
  <c r="AO156" i="4" s="1"/>
  <c r="AK216" i="4"/>
  <c r="AO216" i="4" s="1"/>
  <c r="AK49" i="4"/>
  <c r="AO49" i="4" s="1"/>
  <c r="K163" i="5"/>
  <c r="L163" i="5" s="1"/>
  <c r="Q163" i="5" s="1"/>
  <c r="K169" i="5"/>
  <c r="L169" i="5" s="1"/>
  <c r="K178" i="5"/>
  <c r="L178" i="5" s="1"/>
  <c r="Q178" i="5" s="1"/>
  <c r="R268" i="5"/>
  <c r="T268" i="5" s="1"/>
  <c r="K311" i="5"/>
  <c r="L311" i="5" s="1"/>
  <c r="Q311" i="5" s="1"/>
  <c r="N319" i="5"/>
  <c r="K319" i="5"/>
  <c r="L319" i="5" s="1"/>
  <c r="AK324" i="4"/>
  <c r="AO324" i="4" s="1"/>
  <c r="AK51" i="4"/>
  <c r="AO51" i="4" s="1"/>
  <c r="AK194" i="4"/>
  <c r="AO194" i="4" s="1"/>
  <c r="AK350" i="4"/>
  <c r="AO350" i="4" s="1"/>
  <c r="AK277" i="4"/>
  <c r="AO277" i="4" s="1"/>
  <c r="AK17" i="4"/>
  <c r="AO17" i="4" s="1"/>
  <c r="AK336" i="4"/>
  <c r="AO336" i="4" s="1"/>
  <c r="AK27" i="4"/>
  <c r="AO27" i="4" s="1"/>
  <c r="AK178" i="4"/>
  <c r="AO178" i="4" s="1"/>
  <c r="AK338" i="4"/>
  <c r="AO338" i="4" s="1"/>
  <c r="AK104" i="4"/>
  <c r="AO104" i="4" s="1"/>
  <c r="AK142" i="4"/>
  <c r="AO142" i="4" s="1"/>
  <c r="AK245" i="4"/>
  <c r="AO245" i="4" s="1"/>
  <c r="AK219" i="4"/>
  <c r="AO219" i="4" s="1"/>
  <c r="AK231" i="4"/>
  <c r="AO231" i="4" s="1"/>
  <c r="AK243" i="4"/>
  <c r="AO243" i="4" s="1"/>
  <c r="AK204" i="4"/>
  <c r="AO204" i="4" s="1"/>
  <c r="AK221" i="4"/>
  <c r="AO221" i="4" s="1"/>
  <c r="H117" i="5"/>
  <c r="T117" i="5" s="1"/>
  <c r="K174" i="5"/>
  <c r="O174" i="5" s="1"/>
  <c r="K181" i="5"/>
  <c r="E189" i="5"/>
  <c r="P189" i="5" s="1"/>
  <c r="O212" i="5"/>
  <c r="E226" i="5"/>
  <c r="P226" i="5" s="1"/>
  <c r="O232" i="5"/>
  <c r="L237" i="5"/>
  <c r="Q237" i="5" s="1"/>
  <c r="E252" i="5"/>
  <c r="L285" i="5"/>
  <c r="S285" i="5" s="1"/>
  <c r="U285" i="5" s="1"/>
  <c r="H294" i="5"/>
  <c r="N316" i="5"/>
  <c r="K316" i="5"/>
  <c r="AK105" i="4"/>
  <c r="AO105" i="4" s="1"/>
  <c r="AK136" i="4"/>
  <c r="AO136" i="4" s="1"/>
  <c r="AK143" i="4"/>
  <c r="AO143" i="4" s="1"/>
  <c r="AK172" i="4"/>
  <c r="AO172" i="4" s="1"/>
  <c r="AK69" i="4"/>
  <c r="AO69" i="4" s="1"/>
  <c r="AK140" i="4"/>
  <c r="AO140" i="4" s="1"/>
  <c r="AK203" i="4"/>
  <c r="AO203" i="4" s="1"/>
  <c r="AK10" i="4"/>
  <c r="AO10" i="4" s="1"/>
  <c r="AK272" i="4"/>
  <c r="AO272" i="4" s="1"/>
  <c r="AK284" i="4"/>
  <c r="AO284" i="4" s="1"/>
  <c r="AK190" i="4"/>
  <c r="AO190" i="4" s="1"/>
  <c r="AK349" i="4"/>
  <c r="AO349" i="4" s="1"/>
  <c r="AK166" i="4"/>
  <c r="AO166" i="4" s="1"/>
  <c r="AK235" i="4"/>
  <c r="AO235" i="4" s="1"/>
  <c r="AK15" i="4"/>
  <c r="AO15" i="4" s="1"/>
  <c r="AK325" i="4"/>
  <c r="AO325" i="4" s="1"/>
  <c r="AK182" i="4"/>
  <c r="AO182" i="4" s="1"/>
  <c r="AK157" i="4"/>
  <c r="AO157" i="4" s="1"/>
  <c r="AK193" i="4"/>
  <c r="AO193" i="4" s="1"/>
  <c r="AK121" i="4"/>
  <c r="AO121" i="4" s="1"/>
  <c r="AK29" i="4"/>
  <c r="AO29" i="4" s="1"/>
  <c r="AK209" i="4"/>
  <c r="AO209" i="4" s="1"/>
  <c r="AK12" i="4"/>
  <c r="AO12" i="4" s="1"/>
  <c r="K165" i="5"/>
  <c r="O165" i="5" s="1"/>
  <c r="N237" i="5"/>
  <c r="S237" i="5" s="1"/>
  <c r="U237" i="5" s="1"/>
  <c r="G252" i="5"/>
  <c r="R252" i="5" s="1"/>
  <c r="T252" i="5" s="1"/>
  <c r="N285" i="5"/>
  <c r="AK80" i="4"/>
  <c r="AO80" i="4" s="1"/>
  <c r="AK276" i="4"/>
  <c r="AO276" i="4" s="1"/>
  <c r="AK242" i="4"/>
  <c r="AO242" i="4" s="1"/>
  <c r="AK226" i="4"/>
  <c r="AO226" i="4" s="1"/>
  <c r="N140" i="5"/>
  <c r="E149" i="5"/>
  <c r="E157" i="5"/>
  <c r="P157" i="5" s="1"/>
  <c r="E159" i="5"/>
  <c r="R159" i="5" s="1"/>
  <c r="T159" i="5" s="1"/>
  <c r="E170" i="5"/>
  <c r="K183" i="5"/>
  <c r="L183" i="5" s="1"/>
  <c r="Q183" i="5" s="1"/>
  <c r="L185" i="5"/>
  <c r="Q185" i="5" s="1"/>
  <c r="K187" i="5"/>
  <c r="L187" i="5" s="1"/>
  <c r="E199" i="5"/>
  <c r="R199" i="5" s="1"/>
  <c r="T199" i="5" s="1"/>
  <c r="N204" i="5"/>
  <c r="H216" i="5"/>
  <c r="G244" i="5"/>
  <c r="N246" i="5"/>
  <c r="L249" i="5"/>
  <c r="Q249" i="5" s="1"/>
  <c r="L258" i="5"/>
  <c r="Q258" i="5" s="1"/>
  <c r="O268" i="5"/>
  <c r="H289" i="5"/>
  <c r="L294" i="5"/>
  <c r="S294" i="5" s="1"/>
  <c r="U294" i="5" s="1"/>
  <c r="AK125" i="4"/>
  <c r="AO125" i="4" s="1"/>
  <c r="AK162" i="4"/>
  <c r="AO162" i="4" s="1"/>
  <c r="AK9" i="4"/>
  <c r="AO9" i="4" s="1"/>
  <c r="AK102" i="4"/>
  <c r="AO102" i="4" s="1"/>
  <c r="AK31" i="4"/>
  <c r="AO31" i="4" s="1"/>
  <c r="AK159" i="4"/>
  <c r="AO159" i="4" s="1"/>
  <c r="AK248" i="4"/>
  <c r="AO248" i="4" s="1"/>
  <c r="AK89" i="4"/>
  <c r="AO89" i="4" s="1"/>
  <c r="AK337" i="4"/>
  <c r="AO337" i="4" s="1"/>
  <c r="AK187" i="4"/>
  <c r="AO187" i="4" s="1"/>
  <c r="AK212" i="4"/>
  <c r="AO212" i="4" s="1"/>
  <c r="AK62" i="4"/>
  <c r="AO62" i="4" s="1"/>
  <c r="AK236" i="4"/>
  <c r="AO236" i="4" s="1"/>
  <c r="AK5" i="4"/>
  <c r="AO5" i="4" s="1"/>
  <c r="AK75" i="4"/>
  <c r="AO75" i="4" s="1"/>
  <c r="AK218" i="4"/>
  <c r="AO218" i="4" s="1"/>
  <c r="L79" i="5"/>
  <c r="Q79" i="5" s="1"/>
  <c r="L87" i="5"/>
  <c r="S87" i="5" s="1"/>
  <c r="U87" i="5" s="1"/>
  <c r="L131" i="5"/>
  <c r="Q131" i="5" s="1"/>
  <c r="L140" i="5"/>
  <c r="S140" i="5" s="1"/>
  <c r="U140" i="5" s="1"/>
  <c r="H149" i="5"/>
  <c r="G157" i="5"/>
  <c r="G159" i="5"/>
  <c r="H170" i="5"/>
  <c r="L179" i="5"/>
  <c r="S179" i="5" s="1"/>
  <c r="U179" i="5" s="1"/>
  <c r="N185" i="5"/>
  <c r="S185" i="5" s="1"/>
  <c r="U185" i="5" s="1"/>
  <c r="L204" i="5"/>
  <c r="Q204" i="5" s="1"/>
  <c r="N210" i="5"/>
  <c r="S210" i="5" s="1"/>
  <c r="U210" i="5" s="1"/>
  <c r="N249" i="5"/>
  <c r="S249" i="5" s="1"/>
  <c r="U249" i="5" s="1"/>
  <c r="N258" i="5"/>
  <c r="K289" i="5"/>
  <c r="N289" i="5" s="1"/>
  <c r="N294" i="5"/>
  <c r="AK76" i="4"/>
  <c r="AO76" i="4" s="1"/>
  <c r="AK179" i="4"/>
  <c r="AO179" i="4" s="1"/>
  <c r="AK57" i="4"/>
  <c r="AO57" i="4" s="1"/>
  <c r="AK117" i="4"/>
  <c r="AO117" i="4" s="1"/>
  <c r="AK90" i="4"/>
  <c r="AO90" i="4" s="1"/>
  <c r="AK91" i="4"/>
  <c r="AO91" i="4" s="1"/>
  <c r="AK83" i="4"/>
  <c r="AO83" i="4" s="1"/>
  <c r="AK229" i="4"/>
  <c r="AO229" i="4" s="1"/>
  <c r="AK323" i="4"/>
  <c r="AO323" i="4" s="1"/>
  <c r="AK283" i="4"/>
  <c r="AO283" i="4" s="1"/>
  <c r="AK295" i="4"/>
  <c r="AO295" i="4" s="1"/>
  <c r="AK285" i="4"/>
  <c r="AO285" i="4" s="1"/>
  <c r="AK354" i="4"/>
  <c r="AO354" i="4" s="1"/>
  <c r="AK341" i="4"/>
  <c r="AO341" i="4" s="1"/>
  <c r="AK353" i="4"/>
  <c r="AO353" i="4" s="1"/>
  <c r="AK321" i="4"/>
  <c r="AO321" i="4" s="1"/>
  <c r="AK263" i="4"/>
  <c r="AO263" i="4" s="1"/>
  <c r="AK173" i="4"/>
  <c r="AO173" i="4" s="1"/>
  <c r="AK257" i="4"/>
  <c r="AO257" i="4" s="1"/>
  <c r="AK259" i="4"/>
  <c r="AO259" i="4" s="1"/>
  <c r="AK118" i="4"/>
  <c r="AO118" i="4" s="1"/>
  <c r="AK301" i="4"/>
  <c r="AO301" i="4" s="1"/>
  <c r="AK326" i="4"/>
  <c r="AO326" i="4" s="1"/>
  <c r="AK268" i="4"/>
  <c r="AO268" i="4" s="1"/>
  <c r="AK278" i="4"/>
  <c r="AO278" i="4" s="1"/>
  <c r="K159" i="5"/>
  <c r="O159" i="5" s="1"/>
  <c r="P268" i="5"/>
  <c r="K325" i="5"/>
  <c r="O325" i="5" s="1"/>
  <c r="AK68" i="4"/>
  <c r="AO68" i="4" s="1"/>
  <c r="AK77" i="4"/>
  <c r="AO77" i="4" s="1"/>
  <c r="AK233" i="4"/>
  <c r="AO233" i="4" s="1"/>
  <c r="AK303" i="4"/>
  <c r="AO303" i="4" s="1"/>
  <c r="AK224" i="4"/>
  <c r="AO224" i="4" s="1"/>
  <c r="AK87" i="4"/>
  <c r="AO87" i="4" s="1"/>
  <c r="AK255" i="4"/>
  <c r="AO255" i="4" s="1"/>
  <c r="AK289" i="4"/>
  <c r="AO289" i="4" s="1"/>
  <c r="AK313" i="4"/>
  <c r="AO313" i="4" s="1"/>
  <c r="K47" i="5"/>
  <c r="N47" i="5" s="1"/>
  <c r="K64" i="5"/>
  <c r="O64" i="5" s="1"/>
  <c r="E97" i="5"/>
  <c r="R97" i="5" s="1"/>
  <c r="T97" i="5" s="1"/>
  <c r="O157" i="5"/>
  <c r="K157" i="5"/>
  <c r="L157" i="5" s="1"/>
  <c r="E164" i="5"/>
  <c r="P164" i="5" s="1"/>
  <c r="E173" i="5"/>
  <c r="R173" i="5" s="1"/>
  <c r="K175" i="5"/>
  <c r="K177" i="5"/>
  <c r="L177" i="5" s="1"/>
  <c r="E182" i="5"/>
  <c r="E188" i="5"/>
  <c r="R188" i="5" s="1"/>
  <c r="T188" i="5" s="1"/>
  <c r="E208" i="5"/>
  <c r="P208" i="5" s="1"/>
  <c r="K222" i="5"/>
  <c r="N222" i="5" s="1"/>
  <c r="K281" i="5"/>
  <c r="N281" i="5" s="1"/>
  <c r="H298" i="5"/>
  <c r="K301" i="5"/>
  <c r="O301" i="5" s="1"/>
  <c r="G304" i="5"/>
  <c r="AK95" i="4"/>
  <c r="AO95" i="4" s="1"/>
  <c r="AK46" i="4"/>
  <c r="AO46" i="4" s="1"/>
  <c r="AK101" i="4"/>
  <c r="AO101" i="4" s="1"/>
  <c r="AK112" i="4"/>
  <c r="AO112" i="4" s="1"/>
  <c r="AK30" i="4"/>
  <c r="AO30" i="4" s="1"/>
  <c r="AK93" i="4"/>
  <c r="AO93" i="4" s="1"/>
  <c r="AK253" i="4"/>
  <c r="AO253" i="4" s="1"/>
  <c r="AK270" i="4"/>
  <c r="AO270" i="4" s="1"/>
  <c r="AK294" i="4"/>
  <c r="AO294" i="4" s="1"/>
  <c r="AK306" i="4"/>
  <c r="AO306" i="4" s="1"/>
  <c r="AK183" i="4"/>
  <c r="AO183" i="4" s="1"/>
  <c r="AK311" i="4"/>
  <c r="AO311" i="4" s="1"/>
  <c r="AK281" i="4"/>
  <c r="AO281" i="4" s="1"/>
  <c r="AK333" i="4"/>
  <c r="AO333" i="4" s="1"/>
  <c r="AK275" i="4"/>
  <c r="AO275" i="4" s="1"/>
  <c r="AK287" i="4"/>
  <c r="AO287" i="4" s="1"/>
  <c r="AK250" i="4"/>
  <c r="AO250" i="4" s="1"/>
  <c r="AK53" i="4"/>
  <c r="AO53" i="4" s="1"/>
  <c r="AK351" i="4"/>
  <c r="AO351" i="4" s="1"/>
  <c r="AK65" i="4"/>
  <c r="AO65" i="4" s="1"/>
  <c r="AK264" i="4"/>
  <c r="AO264" i="4" s="1"/>
  <c r="S246" i="5"/>
  <c r="U246" i="5" s="1"/>
  <c r="S107" i="5"/>
  <c r="U107" i="5" s="1"/>
  <c r="S59" i="5"/>
  <c r="S270" i="5"/>
  <c r="U270" i="5" s="1"/>
  <c r="S139" i="5"/>
  <c r="U139" i="5" s="1"/>
  <c r="S161" i="5"/>
  <c r="U161" i="5" s="1"/>
  <c r="S46" i="5"/>
  <c r="S110" i="5"/>
  <c r="S76" i="5"/>
  <c r="S121" i="5"/>
  <c r="S79" i="5"/>
  <c r="U79" i="5" s="1"/>
  <c r="S218" i="5"/>
  <c r="S36" i="5"/>
  <c r="Q82" i="5"/>
  <c r="Q115" i="5"/>
  <c r="Q139" i="5"/>
  <c r="Q218" i="5"/>
  <c r="S119" i="5"/>
  <c r="U119" i="5" s="1"/>
  <c r="S33" i="5"/>
  <c r="S146" i="5"/>
  <c r="U146" i="5" s="1"/>
  <c r="U76" i="5"/>
  <c r="Q33" i="5"/>
  <c r="S37" i="5"/>
  <c r="S127" i="5"/>
  <c r="S131" i="5"/>
  <c r="U131" i="5" s="1"/>
  <c r="Q32" i="5"/>
  <c r="Q59" i="5"/>
  <c r="S123" i="5"/>
  <c r="U123" i="5" s="1"/>
  <c r="S188" i="5"/>
  <c r="U188" i="5" s="1"/>
  <c r="Q200" i="5"/>
  <c r="S104" i="5"/>
  <c r="Q212" i="5"/>
  <c r="Q44" i="5"/>
  <c r="S116" i="5"/>
  <c r="U116" i="5" s="1"/>
  <c r="Q152" i="5"/>
  <c r="P40" i="5"/>
  <c r="R176" i="5"/>
  <c r="R56" i="5"/>
  <c r="P56" i="5"/>
  <c r="P92" i="5"/>
  <c r="T171" i="5"/>
  <c r="P27" i="5"/>
  <c r="P110" i="5"/>
  <c r="E12" i="5"/>
  <c r="G12" i="5"/>
  <c r="H12" i="5"/>
  <c r="S17" i="5"/>
  <c r="U17" i="5" s="1"/>
  <c r="O26" i="5"/>
  <c r="N26" i="5"/>
  <c r="L26" i="5"/>
  <c r="H32" i="5"/>
  <c r="G32" i="5"/>
  <c r="E32" i="5"/>
  <c r="H38" i="5"/>
  <c r="G38" i="5"/>
  <c r="E38" i="5"/>
  <c r="E9" i="5"/>
  <c r="G9" i="5"/>
  <c r="H9" i="5"/>
  <c r="O9" i="5"/>
  <c r="N9" i="5"/>
  <c r="L9" i="5"/>
  <c r="O18" i="5"/>
  <c r="N18" i="5"/>
  <c r="L18" i="5"/>
  <c r="E21" i="5"/>
  <c r="G21" i="5"/>
  <c r="H21" i="5"/>
  <c r="N31" i="5"/>
  <c r="O31" i="5"/>
  <c r="L31" i="5"/>
  <c r="O15" i="5"/>
  <c r="N15" i="5"/>
  <c r="L15" i="5"/>
  <c r="O7" i="5"/>
  <c r="N7" i="5"/>
  <c r="L7" i="5"/>
  <c r="O10" i="5"/>
  <c r="N10" i="5"/>
  <c r="L10" i="5"/>
  <c r="O13" i="5"/>
  <c r="N13" i="5"/>
  <c r="L13" i="5"/>
  <c r="O21" i="5"/>
  <c r="N21" i="5"/>
  <c r="L21" i="5"/>
  <c r="E24" i="5"/>
  <c r="G24" i="5"/>
  <c r="H24" i="5"/>
  <c r="E3" i="5"/>
  <c r="G3" i="5"/>
  <c r="H3" i="5"/>
  <c r="O12" i="5"/>
  <c r="N12" i="5"/>
  <c r="L12" i="5"/>
  <c r="E18" i="5"/>
  <c r="G18" i="5"/>
  <c r="H18" i="5"/>
  <c r="N43" i="5"/>
  <c r="O43" i="5"/>
  <c r="L43" i="5"/>
  <c r="O16" i="5"/>
  <c r="N16" i="5"/>
  <c r="L16" i="5"/>
  <c r="O24" i="5"/>
  <c r="N24" i="5"/>
  <c r="L24" i="5"/>
  <c r="L27" i="5"/>
  <c r="N27" i="5"/>
  <c r="O27" i="5"/>
  <c r="N51" i="5"/>
  <c r="L51" i="5"/>
  <c r="O51" i="5"/>
  <c r="N54" i="5"/>
  <c r="L54" i="5"/>
  <c r="O54" i="5"/>
  <c r="E15" i="5"/>
  <c r="G15" i="5"/>
  <c r="H15" i="5"/>
  <c r="R5" i="5"/>
  <c r="T5" i="5" s="1"/>
  <c r="P5" i="5"/>
  <c r="R20" i="5"/>
  <c r="T20" i="5" s="1"/>
  <c r="P20" i="5"/>
  <c r="L30" i="5"/>
  <c r="O30" i="5"/>
  <c r="N30" i="5"/>
  <c r="G37" i="5"/>
  <c r="H37" i="5"/>
  <c r="E37" i="5"/>
  <c r="N49" i="5"/>
  <c r="O49" i="5"/>
  <c r="L49" i="5"/>
  <c r="L42" i="5"/>
  <c r="O42" i="5"/>
  <c r="N42" i="5"/>
  <c r="N3" i="5"/>
  <c r="L3" i="5"/>
  <c r="P8" i="5"/>
  <c r="O19" i="5"/>
  <c r="N19" i="5"/>
  <c r="L19" i="5"/>
  <c r="O22" i="5"/>
  <c r="N22" i="5"/>
  <c r="L22" i="5"/>
  <c r="H26" i="5"/>
  <c r="G26" i="5"/>
  <c r="E26" i="5"/>
  <c r="E6" i="5"/>
  <c r="G6" i="5"/>
  <c r="H6" i="5"/>
  <c r="O6" i="5"/>
  <c r="N6" i="5"/>
  <c r="L6" i="5"/>
  <c r="O4" i="5"/>
  <c r="N4" i="5"/>
  <c r="L4" i="5"/>
  <c r="P11" i="5"/>
  <c r="G28" i="5"/>
  <c r="H28" i="5"/>
  <c r="E28" i="5"/>
  <c r="P17" i="5"/>
  <c r="G60" i="5"/>
  <c r="E60" i="5"/>
  <c r="H60" i="5"/>
  <c r="P52" i="5"/>
  <c r="O61" i="5"/>
  <c r="L61" i="5"/>
  <c r="P211" i="5"/>
  <c r="N5" i="5"/>
  <c r="S5" i="5" s="1"/>
  <c r="U5" i="5" s="1"/>
  <c r="N8" i="5"/>
  <c r="N11" i="5"/>
  <c r="O28" i="5"/>
  <c r="L29" i="5"/>
  <c r="E31" i="5"/>
  <c r="O36" i="5"/>
  <c r="U36" i="5" s="1"/>
  <c r="O37" i="5"/>
  <c r="N39" i="5"/>
  <c r="S39" i="5" s="1"/>
  <c r="L40" i="5"/>
  <c r="O44" i="5"/>
  <c r="O45" i="5"/>
  <c r="O46" i="5"/>
  <c r="H51" i="5"/>
  <c r="E51" i="5"/>
  <c r="L53" i="5"/>
  <c r="N61" i="5"/>
  <c r="H63" i="5"/>
  <c r="G63" i="5"/>
  <c r="H66" i="5"/>
  <c r="G66" i="5"/>
  <c r="E66" i="5"/>
  <c r="O78" i="5"/>
  <c r="N78" i="5"/>
  <c r="L78" i="5"/>
  <c r="O97" i="5"/>
  <c r="N97" i="5"/>
  <c r="L97" i="5"/>
  <c r="O103" i="5"/>
  <c r="N103" i="5"/>
  <c r="L103" i="5"/>
  <c r="E114" i="5"/>
  <c r="H114" i="5"/>
  <c r="G114" i="5"/>
  <c r="N29" i="5"/>
  <c r="H31" i="5"/>
  <c r="Q37" i="5"/>
  <c r="O39" i="5"/>
  <c r="O40" i="5"/>
  <c r="P44" i="5"/>
  <c r="Q46" i="5"/>
  <c r="O53" i="5"/>
  <c r="P59" i="5"/>
  <c r="N80" i="5"/>
  <c r="O80" i="5"/>
  <c r="L80" i="5"/>
  <c r="O100" i="5"/>
  <c r="N100" i="5"/>
  <c r="L100" i="5"/>
  <c r="G122" i="5"/>
  <c r="E122" i="5"/>
  <c r="H122" i="5"/>
  <c r="E7" i="5"/>
  <c r="E13" i="5"/>
  <c r="E19" i="5"/>
  <c r="E25" i="5"/>
  <c r="Q36" i="5"/>
  <c r="P41" i="5"/>
  <c r="E50" i="5"/>
  <c r="L52" i="5"/>
  <c r="G59" i="5"/>
  <c r="R59" i="5" s="1"/>
  <c r="O63" i="5"/>
  <c r="N63" i="5"/>
  <c r="O66" i="5"/>
  <c r="N66" i="5"/>
  <c r="L66" i="5"/>
  <c r="L72" i="5"/>
  <c r="O72" i="5"/>
  <c r="H81" i="5"/>
  <c r="G81" i="5"/>
  <c r="E81" i="5"/>
  <c r="Q106" i="5"/>
  <c r="N108" i="5"/>
  <c r="O108" i="5"/>
  <c r="L108" i="5"/>
  <c r="E4" i="5"/>
  <c r="E10" i="5"/>
  <c r="E16" i="5"/>
  <c r="E22" i="5"/>
  <c r="G4" i="5"/>
  <c r="Q5" i="5"/>
  <c r="G7" i="5"/>
  <c r="G10" i="5"/>
  <c r="Q11" i="5"/>
  <c r="G13" i="5"/>
  <c r="G16" i="5"/>
  <c r="Q17" i="5"/>
  <c r="G19" i="5"/>
  <c r="Q20" i="5"/>
  <c r="G22" i="5"/>
  <c r="Q23" i="5"/>
  <c r="H25" i="5"/>
  <c r="E33" i="5"/>
  <c r="Q39" i="5"/>
  <c r="R40" i="5"/>
  <c r="H49" i="5"/>
  <c r="G49" i="5"/>
  <c r="R49" i="5" s="1"/>
  <c r="T49" i="5" s="1"/>
  <c r="G50" i="5"/>
  <c r="O52" i="5"/>
  <c r="H55" i="5"/>
  <c r="G55" i="5"/>
  <c r="R55" i="5" s="1"/>
  <c r="H59" i="5"/>
  <c r="O60" i="5"/>
  <c r="L60" i="5"/>
  <c r="L63" i="5"/>
  <c r="E65" i="5"/>
  <c r="H65" i="5"/>
  <c r="E68" i="5"/>
  <c r="H68" i="5"/>
  <c r="G68" i="5"/>
  <c r="N72" i="5"/>
  <c r="P79" i="5"/>
  <c r="O81" i="5"/>
  <c r="N81" i="5"/>
  <c r="L81" i="5"/>
  <c r="E83" i="5"/>
  <c r="H83" i="5"/>
  <c r="G83" i="5"/>
  <c r="N89" i="5"/>
  <c r="O89" i="5"/>
  <c r="L89" i="5"/>
  <c r="G115" i="5"/>
  <c r="H115" i="5"/>
  <c r="E115" i="5"/>
  <c r="H127" i="5"/>
  <c r="G127" i="5"/>
  <c r="E127" i="5"/>
  <c r="P49" i="5"/>
  <c r="R63" i="5"/>
  <c r="N83" i="5"/>
  <c r="O83" i="5"/>
  <c r="L83" i="5"/>
  <c r="H48" i="5"/>
  <c r="E48" i="5"/>
  <c r="O55" i="5"/>
  <c r="L55" i="5"/>
  <c r="E62" i="5"/>
  <c r="G62" i="5"/>
  <c r="N68" i="5"/>
  <c r="O68" i="5"/>
  <c r="L68" i="5"/>
  <c r="H73" i="5"/>
  <c r="G73" i="5"/>
  <c r="E73" i="5"/>
  <c r="E77" i="5"/>
  <c r="H77" i="5"/>
  <c r="G77" i="5"/>
  <c r="O94" i="5"/>
  <c r="N94" i="5"/>
  <c r="L94" i="5"/>
  <c r="E80" i="5"/>
  <c r="H80" i="5"/>
  <c r="G80" i="5"/>
  <c r="H87" i="5"/>
  <c r="G87" i="5"/>
  <c r="E87" i="5"/>
  <c r="Q132" i="5"/>
  <c r="H209" i="5"/>
  <c r="G209" i="5"/>
  <c r="E209" i="5"/>
  <c r="L25" i="5"/>
  <c r="H34" i="5"/>
  <c r="E35" i="5"/>
  <c r="R36" i="5"/>
  <c r="E47" i="5"/>
  <c r="G48" i="5"/>
  <c r="O50" i="5"/>
  <c r="H54" i="5"/>
  <c r="E54" i="5"/>
  <c r="N55" i="5"/>
  <c r="H58" i="5"/>
  <c r="E58" i="5"/>
  <c r="H62" i="5"/>
  <c r="O73" i="5"/>
  <c r="N73" i="5"/>
  <c r="L73" i="5"/>
  <c r="O75" i="5"/>
  <c r="N75" i="5"/>
  <c r="L75" i="5"/>
  <c r="N77" i="5"/>
  <c r="S77" i="5" s="1"/>
  <c r="O77" i="5"/>
  <c r="H90" i="5"/>
  <c r="G90" i="5"/>
  <c r="E90" i="5"/>
  <c r="N96" i="5"/>
  <c r="O96" i="5"/>
  <c r="L96" i="5"/>
  <c r="H45" i="5"/>
  <c r="E45" i="5"/>
  <c r="R46" i="5"/>
  <c r="T46" i="5" s="1"/>
  <c r="P46" i="5"/>
  <c r="G47" i="5"/>
  <c r="Q65" i="5"/>
  <c r="H69" i="5"/>
  <c r="G69" i="5"/>
  <c r="E69" i="5"/>
  <c r="Q77" i="5"/>
  <c r="R82" i="5"/>
  <c r="P82" i="5"/>
  <c r="N48" i="5"/>
  <c r="L48" i="5"/>
  <c r="O58" i="5"/>
  <c r="N58" i="5"/>
  <c r="N62" i="5"/>
  <c r="L62" i="5"/>
  <c r="N69" i="5"/>
  <c r="L69" i="5"/>
  <c r="E71" i="5"/>
  <c r="H71" i="5"/>
  <c r="G71" i="5"/>
  <c r="E74" i="5"/>
  <c r="G74" i="5"/>
  <c r="R95" i="5"/>
  <c r="T95" i="5" s="1"/>
  <c r="P95" i="5"/>
  <c r="N102" i="5"/>
  <c r="O102" i="5"/>
  <c r="L102" i="5"/>
  <c r="O138" i="5"/>
  <c r="N138" i="5"/>
  <c r="L138" i="5"/>
  <c r="G29" i="5"/>
  <c r="R29" i="5" s="1"/>
  <c r="T29" i="5" s="1"/>
  <c r="O33" i="5"/>
  <c r="L34" i="5"/>
  <c r="L35" i="5"/>
  <c r="H39" i="5"/>
  <c r="H40" i="5"/>
  <c r="G41" i="5"/>
  <c r="R41" i="5" s="1"/>
  <c r="T41" i="5" s="1"/>
  <c r="G42" i="5"/>
  <c r="R42" i="5" s="1"/>
  <c r="E43" i="5"/>
  <c r="G44" i="5"/>
  <c r="R44" i="5" s="1"/>
  <c r="T44" i="5" s="1"/>
  <c r="O48" i="5"/>
  <c r="E53" i="5"/>
  <c r="E57" i="5"/>
  <c r="L58" i="5"/>
  <c r="H61" i="5"/>
  <c r="E61" i="5"/>
  <c r="O62" i="5"/>
  <c r="O69" i="5"/>
  <c r="N71" i="5"/>
  <c r="O71" i="5"/>
  <c r="L71" i="5"/>
  <c r="H74" i="5"/>
  <c r="N86" i="5"/>
  <c r="L86" i="5"/>
  <c r="O34" i="5"/>
  <c r="H42" i="5"/>
  <c r="H43" i="5"/>
  <c r="H52" i="5"/>
  <c r="G52" i="5"/>
  <c r="R52" i="5" s="1"/>
  <c r="G53" i="5"/>
  <c r="H57" i="5"/>
  <c r="O99" i="5"/>
  <c r="N99" i="5"/>
  <c r="L99" i="5"/>
  <c r="P64" i="5"/>
  <c r="P86" i="5"/>
  <c r="P117" i="5"/>
  <c r="O136" i="5"/>
  <c r="N136" i="5"/>
  <c r="L136" i="5"/>
  <c r="O144" i="5"/>
  <c r="N144" i="5"/>
  <c r="L144" i="5"/>
  <c r="O189" i="5"/>
  <c r="L189" i="5"/>
  <c r="N189" i="5"/>
  <c r="R76" i="5"/>
  <c r="T76" i="5" s="1"/>
  <c r="Q105" i="5"/>
  <c r="P107" i="5"/>
  <c r="H131" i="5"/>
  <c r="G131" i="5"/>
  <c r="E131" i="5"/>
  <c r="H139" i="5"/>
  <c r="G139" i="5"/>
  <c r="E139" i="5"/>
  <c r="G160" i="5"/>
  <c r="H160" i="5"/>
  <c r="E160" i="5"/>
  <c r="L74" i="5"/>
  <c r="E84" i="5"/>
  <c r="E91" i="5"/>
  <c r="P98" i="5"/>
  <c r="P100" i="5"/>
  <c r="N101" i="5"/>
  <c r="S101" i="5" s="1"/>
  <c r="U101" i="5" s="1"/>
  <c r="P102" i="5"/>
  <c r="O104" i="5"/>
  <c r="N105" i="5"/>
  <c r="S105" i="5" s="1"/>
  <c r="U105" i="5" s="1"/>
  <c r="E113" i="5"/>
  <c r="O114" i="5"/>
  <c r="N114" i="5"/>
  <c r="S114" i="5" s="1"/>
  <c r="G121" i="5"/>
  <c r="E121" i="5"/>
  <c r="O142" i="5"/>
  <c r="N142" i="5"/>
  <c r="L142" i="5"/>
  <c r="O148" i="5"/>
  <c r="N148" i="5"/>
  <c r="L148" i="5"/>
  <c r="O150" i="5"/>
  <c r="N150" i="5"/>
  <c r="L150" i="5"/>
  <c r="O160" i="5"/>
  <c r="N160" i="5"/>
  <c r="L160" i="5"/>
  <c r="R170" i="5"/>
  <c r="T170" i="5" s="1"/>
  <c r="P170" i="5"/>
  <c r="Q203" i="5"/>
  <c r="G118" i="5"/>
  <c r="E118" i="5"/>
  <c r="H135" i="5"/>
  <c r="G135" i="5"/>
  <c r="E135" i="5"/>
  <c r="S201" i="5"/>
  <c r="U201" i="5" s="1"/>
  <c r="Q201" i="5"/>
  <c r="E78" i="5"/>
  <c r="E85" i="5"/>
  <c r="L90" i="5"/>
  <c r="G92" i="5"/>
  <c r="R92" i="5" s="1"/>
  <c r="E93" i="5"/>
  <c r="Q104" i="5"/>
  <c r="E109" i="5"/>
  <c r="G110" i="5"/>
  <c r="R110" i="5" s="1"/>
  <c r="E111" i="5"/>
  <c r="G112" i="5"/>
  <c r="E112" i="5"/>
  <c r="H118" i="5"/>
  <c r="R141" i="5"/>
  <c r="T141" i="5" s="1"/>
  <c r="H143" i="5"/>
  <c r="G143" i="5"/>
  <c r="E143" i="5"/>
  <c r="O155" i="5"/>
  <c r="N155" i="5"/>
  <c r="L155" i="5"/>
  <c r="R158" i="5"/>
  <c r="T158" i="5" s="1"/>
  <c r="P158" i="5"/>
  <c r="O168" i="5"/>
  <c r="N168" i="5"/>
  <c r="L168" i="5"/>
  <c r="O172" i="5"/>
  <c r="N172" i="5"/>
  <c r="L172" i="5"/>
  <c r="G78" i="5"/>
  <c r="G85" i="5"/>
  <c r="N90" i="5"/>
  <c r="H92" i="5"/>
  <c r="G93" i="5"/>
  <c r="G108" i="5"/>
  <c r="E108" i="5"/>
  <c r="G109" i="5"/>
  <c r="H110" i="5"/>
  <c r="H111" i="5"/>
  <c r="Q114" i="5"/>
  <c r="O118" i="5"/>
  <c r="N118" i="5"/>
  <c r="S118" i="5" s="1"/>
  <c r="H124" i="5"/>
  <c r="G124" i="5"/>
  <c r="E124" i="5"/>
  <c r="Q129" i="5"/>
  <c r="H147" i="5"/>
  <c r="G147" i="5"/>
  <c r="E147" i="5"/>
  <c r="R151" i="5"/>
  <c r="T151" i="5" s="1"/>
  <c r="E72" i="5"/>
  <c r="G86" i="5"/>
  <c r="R86" i="5" s="1"/>
  <c r="G94" i="5"/>
  <c r="O112" i="5"/>
  <c r="N112" i="5"/>
  <c r="S112" i="5" s="1"/>
  <c r="S122" i="5"/>
  <c r="O124" i="5"/>
  <c r="N124" i="5"/>
  <c r="S124" i="5" s="1"/>
  <c r="G126" i="5"/>
  <c r="E126" i="5"/>
  <c r="Q133" i="5"/>
  <c r="O156" i="5"/>
  <c r="N156" i="5"/>
  <c r="L156" i="5"/>
  <c r="O166" i="5"/>
  <c r="L166" i="5"/>
  <c r="O199" i="5"/>
  <c r="N199" i="5"/>
  <c r="L199" i="5"/>
  <c r="G120" i="5"/>
  <c r="E120" i="5"/>
  <c r="G123" i="5"/>
  <c r="E123" i="5"/>
  <c r="S137" i="5"/>
  <c r="U137" i="5" s="1"/>
  <c r="Q137" i="5"/>
  <c r="O151" i="5"/>
  <c r="N151" i="5"/>
  <c r="L151" i="5"/>
  <c r="P76" i="5"/>
  <c r="L85" i="5"/>
  <c r="L92" i="5"/>
  <c r="G96" i="5"/>
  <c r="R96" i="5" s="1"/>
  <c r="T96" i="5" s="1"/>
  <c r="G98" i="5"/>
  <c r="R98" i="5" s="1"/>
  <c r="E99" i="5"/>
  <c r="E101" i="5"/>
  <c r="E103" i="5"/>
  <c r="E105" i="5"/>
  <c r="G106" i="5"/>
  <c r="R106" i="5" s="1"/>
  <c r="Q111" i="5"/>
  <c r="G116" i="5"/>
  <c r="E116" i="5"/>
  <c r="H120" i="5"/>
  <c r="Q121" i="5"/>
  <c r="H123" i="5"/>
  <c r="Q124" i="5"/>
  <c r="O126" i="5"/>
  <c r="N126" i="5"/>
  <c r="L126" i="5"/>
  <c r="G130" i="5"/>
  <c r="E130" i="5"/>
  <c r="S141" i="5"/>
  <c r="U141" i="5" s="1"/>
  <c r="Q141" i="5"/>
  <c r="S145" i="5"/>
  <c r="U145" i="5" s="1"/>
  <c r="Q145" i="5"/>
  <c r="H152" i="5"/>
  <c r="G152" i="5"/>
  <c r="E152" i="5"/>
  <c r="Q197" i="5"/>
  <c r="L64" i="5"/>
  <c r="Q76" i="5"/>
  <c r="E88" i="5"/>
  <c r="O92" i="5"/>
  <c r="L93" i="5"/>
  <c r="H96" i="5"/>
  <c r="H98" i="5"/>
  <c r="H99" i="5"/>
  <c r="G100" i="5"/>
  <c r="R100" i="5" s="1"/>
  <c r="G101" i="5"/>
  <c r="G102" i="5"/>
  <c r="R102" i="5" s="1"/>
  <c r="T102" i="5" s="1"/>
  <c r="H103" i="5"/>
  <c r="G104" i="5"/>
  <c r="R104" i="5" s="1"/>
  <c r="G105" i="5"/>
  <c r="H106" i="5"/>
  <c r="L109" i="5"/>
  <c r="Q112" i="5"/>
  <c r="H116" i="5"/>
  <c r="O120" i="5"/>
  <c r="N120" i="5"/>
  <c r="S120" i="5" s="1"/>
  <c r="H130" i="5"/>
  <c r="P159" i="5"/>
  <c r="R67" i="5"/>
  <c r="T67" i="5" s="1"/>
  <c r="H100" i="5"/>
  <c r="H102" i="5"/>
  <c r="H104" i="5"/>
  <c r="O106" i="5"/>
  <c r="N106" i="5"/>
  <c r="S106" i="5" s="1"/>
  <c r="N109" i="5"/>
  <c r="G119" i="5"/>
  <c r="E119" i="5"/>
  <c r="Q120" i="5"/>
  <c r="S128" i="5"/>
  <c r="Q128" i="5"/>
  <c r="O130" i="5"/>
  <c r="N130" i="5"/>
  <c r="L130" i="5"/>
  <c r="O132" i="5"/>
  <c r="N132" i="5"/>
  <c r="S132" i="5" s="1"/>
  <c r="S149" i="5"/>
  <c r="U149" i="5" s="1"/>
  <c r="Q149" i="5"/>
  <c r="O192" i="5"/>
  <c r="L192" i="5"/>
  <c r="G204" i="5"/>
  <c r="E204" i="5"/>
  <c r="O211" i="5"/>
  <c r="N211" i="5"/>
  <c r="L211" i="5"/>
  <c r="O214" i="5"/>
  <c r="N214" i="5"/>
  <c r="L214" i="5"/>
  <c r="N221" i="5"/>
  <c r="O221" i="5"/>
  <c r="L221" i="5"/>
  <c r="H232" i="5"/>
  <c r="G232" i="5"/>
  <c r="E232" i="5"/>
  <c r="P145" i="5"/>
  <c r="E161" i="5"/>
  <c r="R166" i="5"/>
  <c r="L171" i="5"/>
  <c r="P174" i="5"/>
  <c r="E179" i="5"/>
  <c r="P191" i="5"/>
  <c r="N192" i="5"/>
  <c r="G198" i="5"/>
  <c r="E198" i="5"/>
  <c r="H200" i="5"/>
  <c r="E200" i="5"/>
  <c r="H204" i="5"/>
  <c r="H212" i="5"/>
  <c r="G212" i="5"/>
  <c r="E212" i="5"/>
  <c r="H236" i="5"/>
  <c r="G236" i="5"/>
  <c r="E236" i="5"/>
  <c r="Q247" i="5"/>
  <c r="G161" i="5"/>
  <c r="N171" i="5"/>
  <c r="H179" i="5"/>
  <c r="O180" i="5"/>
  <c r="L180" i="5"/>
  <c r="Q209" i="5"/>
  <c r="H215" i="5"/>
  <c r="G215" i="5"/>
  <c r="E215" i="5"/>
  <c r="H222" i="5"/>
  <c r="G222" i="5"/>
  <c r="E222" i="5"/>
  <c r="O226" i="5"/>
  <c r="N226" i="5"/>
  <c r="L226" i="5"/>
  <c r="E128" i="5"/>
  <c r="E132" i="5"/>
  <c r="E136" i="5"/>
  <c r="E140" i="5"/>
  <c r="E144" i="5"/>
  <c r="E148" i="5"/>
  <c r="E153" i="5"/>
  <c r="N157" i="5"/>
  <c r="S157" i="5" s="1"/>
  <c r="U157" i="5" s="1"/>
  <c r="L158" i="5"/>
  <c r="L159" i="5"/>
  <c r="E162" i="5"/>
  <c r="P171" i="5"/>
  <c r="N180" i="5"/>
  <c r="H183" i="5"/>
  <c r="G183" i="5"/>
  <c r="R183" i="5" s="1"/>
  <c r="T183" i="5" s="1"/>
  <c r="O184" i="5"/>
  <c r="L184" i="5"/>
  <c r="O217" i="5"/>
  <c r="N217" i="5"/>
  <c r="L217" i="5"/>
  <c r="G128" i="5"/>
  <c r="G132" i="5"/>
  <c r="G136" i="5"/>
  <c r="G140" i="5"/>
  <c r="G144" i="5"/>
  <c r="G148" i="5"/>
  <c r="G153" i="5"/>
  <c r="N158" i="5"/>
  <c r="N159" i="5"/>
  <c r="H162" i="5"/>
  <c r="Q167" i="5"/>
  <c r="Q173" i="5"/>
  <c r="H177" i="5"/>
  <c r="G177" i="5"/>
  <c r="R177" i="5" s="1"/>
  <c r="P183" i="5"/>
  <c r="H187" i="5"/>
  <c r="G187" i="5"/>
  <c r="S191" i="5"/>
  <c r="U191" i="5" s="1"/>
  <c r="O196" i="5"/>
  <c r="N196" i="5"/>
  <c r="L196" i="5"/>
  <c r="O207" i="5"/>
  <c r="N207" i="5"/>
  <c r="L207" i="5"/>
  <c r="H218" i="5"/>
  <c r="G218" i="5"/>
  <c r="E218" i="5"/>
  <c r="N227" i="5"/>
  <c r="O227" i="5"/>
  <c r="L227" i="5"/>
  <c r="H233" i="5"/>
  <c r="G233" i="5"/>
  <c r="E233" i="5"/>
  <c r="Q157" i="5"/>
  <c r="R165" i="5"/>
  <c r="T165" i="5" s="1"/>
  <c r="Q169" i="5"/>
  <c r="G195" i="5"/>
  <c r="E195" i="5"/>
  <c r="Q198" i="5"/>
  <c r="O202" i="5"/>
  <c r="N202" i="5"/>
  <c r="L202" i="5"/>
  <c r="Q215" i="5"/>
  <c r="E237" i="5"/>
  <c r="H237" i="5"/>
  <c r="E241" i="5"/>
  <c r="H241" i="5"/>
  <c r="G241" i="5"/>
  <c r="L250" i="5"/>
  <c r="O250" i="5"/>
  <c r="N250" i="5"/>
  <c r="R256" i="5"/>
  <c r="T256" i="5" s="1"/>
  <c r="P256" i="5"/>
  <c r="E125" i="5"/>
  <c r="E129" i="5"/>
  <c r="E133" i="5"/>
  <c r="E137" i="5"/>
  <c r="H225" i="5"/>
  <c r="G225" i="5"/>
  <c r="E225" i="5"/>
  <c r="G237" i="5"/>
  <c r="N152" i="5"/>
  <c r="S152" i="5" s="1"/>
  <c r="U152" i="5" s="1"/>
  <c r="E155" i="5"/>
  <c r="L162" i="5"/>
  <c r="H166" i="5"/>
  <c r="E167" i="5"/>
  <c r="E175" i="5"/>
  <c r="H176" i="5"/>
  <c r="T176" i="5" s="1"/>
  <c r="N178" i="5"/>
  <c r="S178" i="5" s="1"/>
  <c r="O190" i="5"/>
  <c r="L190" i="5"/>
  <c r="O193" i="5"/>
  <c r="N193" i="5"/>
  <c r="L193" i="5"/>
  <c r="H197" i="5"/>
  <c r="E197" i="5"/>
  <c r="H203" i="5"/>
  <c r="E203" i="5"/>
  <c r="O213" i="5"/>
  <c r="N213" i="5"/>
  <c r="L213" i="5"/>
  <c r="O228" i="5"/>
  <c r="N228" i="5"/>
  <c r="L228" i="5"/>
  <c r="N162" i="5"/>
  <c r="G167" i="5"/>
  <c r="H175" i="5"/>
  <c r="Q179" i="5"/>
  <c r="H181" i="5"/>
  <c r="G181" i="5"/>
  <c r="N187" i="5"/>
  <c r="N190" i="5"/>
  <c r="O220" i="5"/>
  <c r="N220" i="5"/>
  <c r="L220" i="5"/>
  <c r="H231" i="5"/>
  <c r="E231" i="5"/>
  <c r="G231" i="5"/>
  <c r="G242" i="5"/>
  <c r="E242" i="5"/>
  <c r="H242" i="5"/>
  <c r="E249" i="5"/>
  <c r="G249" i="5"/>
  <c r="H249" i="5"/>
  <c r="Q123" i="5"/>
  <c r="E134" i="5"/>
  <c r="Q135" i="5"/>
  <c r="E138" i="5"/>
  <c r="E142" i="5"/>
  <c r="E146" i="5"/>
  <c r="E150" i="5"/>
  <c r="L154" i="5"/>
  <c r="E156" i="5"/>
  <c r="N163" i="5"/>
  <c r="S163" i="5" s="1"/>
  <c r="L164" i="5"/>
  <c r="E168" i="5"/>
  <c r="E172" i="5"/>
  <c r="H173" i="5"/>
  <c r="H174" i="5"/>
  <c r="T174" i="5" s="1"/>
  <c r="P177" i="5"/>
  <c r="E181" i="5"/>
  <c r="H185" i="5"/>
  <c r="G185" i="5"/>
  <c r="R185" i="5" s="1"/>
  <c r="T185" i="5" s="1"/>
  <c r="R187" i="5"/>
  <c r="O205" i="5"/>
  <c r="N205" i="5"/>
  <c r="L205" i="5"/>
  <c r="O208" i="5"/>
  <c r="N208" i="5"/>
  <c r="L208" i="5"/>
  <c r="Q225" i="5"/>
  <c r="H150" i="5"/>
  <c r="N154" i="5"/>
  <c r="H156" i="5"/>
  <c r="N164" i="5"/>
  <c r="H168" i="5"/>
  <c r="H172" i="5"/>
  <c r="S182" i="5"/>
  <c r="U182" i="5" s="1"/>
  <c r="P185" i="5"/>
  <c r="O186" i="5"/>
  <c r="L186" i="5"/>
  <c r="R192" i="5"/>
  <c r="T192" i="5" s="1"/>
  <c r="H194" i="5"/>
  <c r="E194" i="5"/>
  <c r="H206" i="5"/>
  <c r="G206" i="5"/>
  <c r="E206" i="5"/>
  <c r="L223" i="5"/>
  <c r="O223" i="5"/>
  <c r="G254" i="5"/>
  <c r="E254" i="5"/>
  <c r="H254" i="5"/>
  <c r="G189" i="5"/>
  <c r="R189" i="5" s="1"/>
  <c r="T189" i="5" s="1"/>
  <c r="G193" i="5"/>
  <c r="N197" i="5"/>
  <c r="S197" i="5" s="1"/>
  <c r="G199" i="5"/>
  <c r="N203" i="5"/>
  <c r="S203" i="5" s="1"/>
  <c r="U203" i="5" s="1"/>
  <c r="G205" i="5"/>
  <c r="R205" i="5" s="1"/>
  <c r="T205" i="5" s="1"/>
  <c r="N209" i="5"/>
  <c r="S209" i="5" s="1"/>
  <c r="G211" i="5"/>
  <c r="R211" i="5" s="1"/>
  <c r="T211" i="5" s="1"/>
  <c r="N215" i="5"/>
  <c r="S215" i="5" s="1"/>
  <c r="U215" i="5" s="1"/>
  <c r="G217" i="5"/>
  <c r="O224" i="5"/>
  <c r="G230" i="5"/>
  <c r="R230" i="5" s="1"/>
  <c r="T230" i="5" s="1"/>
  <c r="O244" i="5"/>
  <c r="N244" i="5"/>
  <c r="L244" i="5"/>
  <c r="G246" i="5"/>
  <c r="E246" i="5"/>
  <c r="H219" i="5"/>
  <c r="E219" i="5"/>
  <c r="H234" i="5"/>
  <c r="G234" i="5"/>
  <c r="R234" i="5" s="1"/>
  <c r="O238" i="5"/>
  <c r="N238" i="5"/>
  <c r="S238" i="5" s="1"/>
  <c r="O241" i="5"/>
  <c r="N241" i="5"/>
  <c r="S241" i="5" s="1"/>
  <c r="E243" i="5"/>
  <c r="P244" i="5"/>
  <c r="H246" i="5"/>
  <c r="O252" i="5"/>
  <c r="N252" i="5"/>
  <c r="S252" i="5" s="1"/>
  <c r="O263" i="5"/>
  <c r="N263" i="5"/>
  <c r="S263" i="5" s="1"/>
  <c r="H303" i="5"/>
  <c r="G303" i="5"/>
  <c r="R303" i="5" s="1"/>
  <c r="T303" i="5" s="1"/>
  <c r="S204" i="5"/>
  <c r="U204" i="5" s="1"/>
  <c r="S216" i="5"/>
  <c r="U216" i="5" s="1"/>
  <c r="N229" i="5"/>
  <c r="L229" i="5"/>
  <c r="Q238" i="5"/>
  <c r="Q241" i="5"/>
  <c r="Q252" i="5"/>
  <c r="Q263" i="5"/>
  <c r="P303" i="5"/>
  <c r="E201" i="5"/>
  <c r="E207" i="5"/>
  <c r="E213" i="5"/>
  <c r="E221" i="5"/>
  <c r="P227" i="5"/>
  <c r="O229" i="5"/>
  <c r="L230" i="5"/>
  <c r="L231" i="5"/>
  <c r="E240" i="5"/>
  <c r="G201" i="5"/>
  <c r="G207" i="5"/>
  <c r="G213" i="5"/>
  <c r="G221" i="5"/>
  <c r="O230" i="5"/>
  <c r="N231" i="5"/>
  <c r="S234" i="5"/>
  <c r="U234" i="5" s="1"/>
  <c r="O236" i="5"/>
  <c r="L236" i="5"/>
  <c r="G240" i="5"/>
  <c r="N243" i="5"/>
  <c r="L243" i="5"/>
  <c r="P248" i="5"/>
  <c r="R248" i="5"/>
  <c r="T248" i="5" s="1"/>
  <c r="P251" i="5"/>
  <c r="H259" i="5"/>
  <c r="G259" i="5"/>
  <c r="E259" i="5"/>
  <c r="Q268" i="5"/>
  <c r="O278" i="5"/>
  <c r="N278" i="5"/>
  <c r="L278" i="5"/>
  <c r="N233" i="5"/>
  <c r="O233" i="5"/>
  <c r="L233" i="5"/>
  <c r="H255" i="5"/>
  <c r="G255" i="5"/>
  <c r="E255" i="5"/>
  <c r="Q261" i="5"/>
  <c r="S261" i="5"/>
  <c r="U261" i="5" s="1"/>
  <c r="H288" i="5"/>
  <c r="G288" i="5"/>
  <c r="E288" i="5"/>
  <c r="G191" i="5"/>
  <c r="R191" i="5" s="1"/>
  <c r="T191" i="5" s="1"/>
  <c r="N194" i="5"/>
  <c r="S194" i="5" s="1"/>
  <c r="U194" i="5" s="1"/>
  <c r="G196" i="5"/>
  <c r="N200" i="5"/>
  <c r="S200" i="5" s="1"/>
  <c r="G202" i="5"/>
  <c r="R202" i="5" s="1"/>
  <c r="N206" i="5"/>
  <c r="S206" i="5" s="1"/>
  <c r="U206" i="5" s="1"/>
  <c r="G208" i="5"/>
  <c r="R208" i="5" s="1"/>
  <c r="T208" i="5" s="1"/>
  <c r="Q210" i="5"/>
  <c r="N212" i="5"/>
  <c r="S212" i="5" s="1"/>
  <c r="U212" i="5" s="1"/>
  <c r="G214" i="5"/>
  <c r="R214" i="5" s="1"/>
  <c r="T214" i="5" s="1"/>
  <c r="Q216" i="5"/>
  <c r="O218" i="5"/>
  <c r="N219" i="5"/>
  <c r="S219" i="5" s="1"/>
  <c r="U219" i="5" s="1"/>
  <c r="E224" i="5"/>
  <c r="N232" i="5"/>
  <c r="S232" i="5" s="1"/>
  <c r="U232" i="5" s="1"/>
  <c r="L235" i="5"/>
  <c r="O240" i="5"/>
  <c r="N240" i="5"/>
  <c r="L240" i="5"/>
  <c r="O251" i="5"/>
  <c r="N251" i="5"/>
  <c r="L251" i="5"/>
  <c r="O253" i="5"/>
  <c r="L253" i="5"/>
  <c r="E257" i="5"/>
  <c r="G257" i="5"/>
  <c r="P267" i="5"/>
  <c r="O298" i="5"/>
  <c r="N298" i="5"/>
  <c r="L298" i="5"/>
  <c r="L222" i="5"/>
  <c r="P234" i="5"/>
  <c r="N235" i="5"/>
  <c r="E239" i="5"/>
  <c r="N253" i="5"/>
  <c r="H257" i="5"/>
  <c r="G260" i="5"/>
  <c r="E260" i="5"/>
  <c r="G265" i="5"/>
  <c r="E265" i="5"/>
  <c r="O242" i="5"/>
  <c r="L242" i="5"/>
  <c r="H247" i="5"/>
  <c r="G247" i="5"/>
  <c r="E247" i="5"/>
  <c r="O257" i="5"/>
  <c r="N257" i="5"/>
  <c r="Q285" i="5"/>
  <c r="E210" i="5"/>
  <c r="E216" i="5"/>
  <c r="G226" i="5"/>
  <c r="R226" i="5" s="1"/>
  <c r="T226" i="5" s="1"/>
  <c r="G227" i="5"/>
  <c r="R227" i="5" s="1"/>
  <c r="E228" i="5"/>
  <c r="N242" i="5"/>
  <c r="Q248" i="5"/>
  <c r="P252" i="5"/>
  <c r="L257" i="5"/>
  <c r="H272" i="5"/>
  <c r="G272" i="5"/>
  <c r="E272" i="5"/>
  <c r="O225" i="5"/>
  <c r="N225" i="5"/>
  <c r="S225" i="5" s="1"/>
  <c r="H227" i="5"/>
  <c r="G228" i="5"/>
  <c r="G238" i="5"/>
  <c r="E238" i="5"/>
  <c r="O239" i="5"/>
  <c r="N239" i="5"/>
  <c r="L239" i="5"/>
  <c r="N247" i="5"/>
  <c r="S247" i="5" s="1"/>
  <c r="O247" i="5"/>
  <c r="G250" i="5"/>
  <c r="E250" i="5"/>
  <c r="H250" i="5"/>
  <c r="G258" i="5"/>
  <c r="E258" i="5"/>
  <c r="H258" i="5"/>
  <c r="H284" i="5"/>
  <c r="G284" i="5"/>
  <c r="E284" i="5"/>
  <c r="H251" i="5"/>
  <c r="G251" i="5"/>
  <c r="R251" i="5" s="1"/>
  <c r="O290" i="5"/>
  <c r="N290" i="5"/>
  <c r="L290" i="5"/>
  <c r="L308" i="5"/>
  <c r="N308" i="5"/>
  <c r="O308" i="5"/>
  <c r="G322" i="5"/>
  <c r="E322" i="5"/>
  <c r="H322" i="5"/>
  <c r="O332" i="5"/>
  <c r="N332" i="5"/>
  <c r="L332" i="5"/>
  <c r="G340" i="5"/>
  <c r="E340" i="5"/>
  <c r="H340" i="5"/>
  <c r="H279" i="5"/>
  <c r="G279" i="5"/>
  <c r="H299" i="5"/>
  <c r="G299" i="5"/>
  <c r="R299" i="5" s="1"/>
  <c r="N322" i="5"/>
  <c r="O322" i="5"/>
  <c r="L322" i="5"/>
  <c r="O329" i="5"/>
  <c r="N329" i="5"/>
  <c r="L329" i="5"/>
  <c r="O340" i="5"/>
  <c r="N340" i="5"/>
  <c r="L340" i="5"/>
  <c r="G364" i="5"/>
  <c r="E364" i="5"/>
  <c r="H364" i="5"/>
  <c r="G262" i="5"/>
  <c r="E262" i="5"/>
  <c r="Q272" i="5"/>
  <c r="O274" i="5"/>
  <c r="N274" i="5"/>
  <c r="L274" i="5"/>
  <c r="E279" i="5"/>
  <c r="H291" i="5"/>
  <c r="G291" i="5"/>
  <c r="P299" i="5"/>
  <c r="G264" i="5"/>
  <c r="E264" i="5"/>
  <c r="S282" i="5"/>
  <c r="U282" i="5" s="1"/>
  <c r="Q282" i="5"/>
  <c r="O286" i="5"/>
  <c r="N286" i="5"/>
  <c r="L286" i="5"/>
  <c r="E291" i="5"/>
  <c r="H297" i="5"/>
  <c r="G297" i="5"/>
  <c r="E297" i="5"/>
  <c r="O299" i="5"/>
  <c r="N299" i="5"/>
  <c r="L299" i="5"/>
  <c r="L301" i="5"/>
  <c r="O337" i="5"/>
  <c r="N337" i="5"/>
  <c r="L348" i="5"/>
  <c r="N348" i="5"/>
  <c r="O348" i="5"/>
  <c r="H360" i="5"/>
  <c r="G360" i="5"/>
  <c r="E360" i="5"/>
  <c r="O262" i="5"/>
  <c r="N262" i="5"/>
  <c r="L262" i="5"/>
  <c r="H264" i="5"/>
  <c r="G266" i="5"/>
  <c r="E266" i="5"/>
  <c r="H271" i="5"/>
  <c r="G271" i="5"/>
  <c r="H275" i="5"/>
  <c r="G275" i="5"/>
  <c r="R275" i="5" s="1"/>
  <c r="H295" i="5"/>
  <c r="G295" i="5"/>
  <c r="N301" i="5"/>
  <c r="L306" i="5"/>
  <c r="N306" i="5"/>
  <c r="L337" i="5"/>
  <c r="O256" i="5"/>
  <c r="N256" i="5"/>
  <c r="S256" i="5" s="1"/>
  <c r="O259" i="5"/>
  <c r="N259" i="5"/>
  <c r="S259" i="5" s="1"/>
  <c r="R271" i="5"/>
  <c r="P275" i="5"/>
  <c r="H287" i="5"/>
  <c r="G287" i="5"/>
  <c r="H293" i="5"/>
  <c r="G293" i="5"/>
  <c r="E293" i="5"/>
  <c r="E295" i="5"/>
  <c r="Q259" i="5"/>
  <c r="G261" i="5"/>
  <c r="E261" i="5"/>
  <c r="O266" i="5"/>
  <c r="N266" i="5"/>
  <c r="L266" i="5"/>
  <c r="O271" i="5"/>
  <c r="N271" i="5"/>
  <c r="L271" i="5"/>
  <c r="O275" i="5"/>
  <c r="N275" i="5"/>
  <c r="L275" i="5"/>
  <c r="Q277" i="5"/>
  <c r="H283" i="5"/>
  <c r="G283" i="5"/>
  <c r="E287" i="5"/>
  <c r="O295" i="5"/>
  <c r="N295" i="5"/>
  <c r="L295" i="5"/>
  <c r="S297" i="5"/>
  <c r="Q297" i="5"/>
  <c r="H300" i="5"/>
  <c r="G300" i="5"/>
  <c r="E300" i="5"/>
  <c r="G310" i="5"/>
  <c r="E310" i="5"/>
  <c r="H310" i="5"/>
  <c r="H320" i="5"/>
  <c r="E320" i="5"/>
  <c r="G320" i="5"/>
  <c r="L255" i="5"/>
  <c r="H261" i="5"/>
  <c r="P271" i="5"/>
  <c r="N277" i="5"/>
  <c r="S277" i="5" s="1"/>
  <c r="E283" i="5"/>
  <c r="O287" i="5"/>
  <c r="N287" i="5"/>
  <c r="L287" i="5"/>
  <c r="L289" i="5"/>
  <c r="N310" i="5"/>
  <c r="O310" i="5"/>
  <c r="L310" i="5"/>
  <c r="O254" i="5"/>
  <c r="L254" i="5"/>
  <c r="O255" i="5"/>
  <c r="Q256" i="5"/>
  <c r="H263" i="5"/>
  <c r="G263" i="5"/>
  <c r="O283" i="5"/>
  <c r="N283" i="5"/>
  <c r="L283" i="5"/>
  <c r="O302" i="5"/>
  <c r="N302" i="5"/>
  <c r="L302" i="5"/>
  <c r="H335" i="5"/>
  <c r="E335" i="5"/>
  <c r="G335" i="5"/>
  <c r="O248" i="5"/>
  <c r="N248" i="5"/>
  <c r="S248" i="5" s="1"/>
  <c r="U248" i="5" s="1"/>
  <c r="G253" i="5"/>
  <c r="R253" i="5" s="1"/>
  <c r="T253" i="5" s="1"/>
  <c r="N254" i="5"/>
  <c r="E263" i="5"/>
  <c r="Q264" i="5"/>
  <c r="H267" i="5"/>
  <c r="G267" i="5"/>
  <c r="R267" i="5" s="1"/>
  <c r="G270" i="5"/>
  <c r="E270" i="5"/>
  <c r="S273" i="5"/>
  <c r="U273" i="5" s="1"/>
  <c r="Q273" i="5"/>
  <c r="H276" i="5"/>
  <c r="G276" i="5"/>
  <c r="E276" i="5"/>
  <c r="L281" i="5"/>
  <c r="H296" i="5"/>
  <c r="G296" i="5"/>
  <c r="E296" i="5"/>
  <c r="H305" i="5"/>
  <c r="E305" i="5"/>
  <c r="G305" i="5"/>
  <c r="G343" i="5"/>
  <c r="E343" i="5"/>
  <c r="H343" i="5"/>
  <c r="G312" i="5"/>
  <c r="E312" i="5"/>
  <c r="H314" i="5"/>
  <c r="E314" i="5"/>
  <c r="G316" i="5"/>
  <c r="E316" i="5"/>
  <c r="H316" i="5"/>
  <c r="G318" i="5"/>
  <c r="E318" i="5"/>
  <c r="O343" i="5"/>
  <c r="N343" i="5"/>
  <c r="L343" i="5"/>
  <c r="G349" i="5"/>
  <c r="E349" i="5"/>
  <c r="H349" i="5"/>
  <c r="L354" i="5"/>
  <c r="N354" i="5"/>
  <c r="L360" i="5"/>
  <c r="N360" i="5"/>
  <c r="O364" i="5"/>
  <c r="N364" i="5"/>
  <c r="L364" i="5"/>
  <c r="H312" i="5"/>
  <c r="G314" i="5"/>
  <c r="H318" i="5"/>
  <c r="O320" i="5"/>
  <c r="N320" i="5"/>
  <c r="L320" i="5"/>
  <c r="G325" i="5"/>
  <c r="E325" i="5"/>
  <c r="H325" i="5"/>
  <c r="L327" i="5"/>
  <c r="N327" i="5"/>
  <c r="O335" i="5"/>
  <c r="N335" i="5"/>
  <c r="L335" i="5"/>
  <c r="H338" i="5"/>
  <c r="E338" i="5"/>
  <c r="O349" i="5"/>
  <c r="N349" i="5"/>
  <c r="S349" i="5" s="1"/>
  <c r="O354" i="5"/>
  <c r="L357" i="5"/>
  <c r="N357" i="5"/>
  <c r="O360" i="5"/>
  <c r="G307" i="5"/>
  <c r="E307" i="5"/>
  <c r="H307" i="5"/>
  <c r="L312" i="5"/>
  <c r="N312" i="5"/>
  <c r="O314" i="5"/>
  <c r="L314" i="5"/>
  <c r="L318" i="5"/>
  <c r="N318" i="5"/>
  <c r="H344" i="5"/>
  <c r="E344" i="5"/>
  <c r="Q346" i="5"/>
  <c r="Q349" i="5"/>
  <c r="G352" i="5"/>
  <c r="E352" i="5"/>
  <c r="H352" i="5"/>
  <c r="G361" i="5"/>
  <c r="E361" i="5"/>
  <c r="H361" i="5"/>
  <c r="H365" i="5"/>
  <c r="G365" i="5"/>
  <c r="E365" i="5"/>
  <c r="O312" i="5"/>
  <c r="N314" i="5"/>
  <c r="O318" i="5"/>
  <c r="H323" i="5"/>
  <c r="E323" i="5"/>
  <c r="L325" i="5"/>
  <c r="L330" i="5"/>
  <c r="N330" i="5"/>
  <c r="O341" i="5"/>
  <c r="N341" i="5"/>
  <c r="L341" i="5"/>
  <c r="G344" i="5"/>
  <c r="O352" i="5"/>
  <c r="N352" i="5"/>
  <c r="G355" i="5"/>
  <c r="E355" i="5"/>
  <c r="H355" i="5"/>
  <c r="O361" i="5"/>
  <c r="N361" i="5"/>
  <c r="L361" i="5"/>
  <c r="O365" i="5"/>
  <c r="N365" i="5"/>
  <c r="L365" i="5"/>
  <c r="L291" i="5"/>
  <c r="L303" i="5"/>
  <c r="G309" i="5"/>
  <c r="E309" i="5"/>
  <c r="G323" i="5"/>
  <c r="G328" i="5"/>
  <c r="E328" i="5"/>
  <c r="H328" i="5"/>
  <c r="O330" i="5"/>
  <c r="O344" i="5"/>
  <c r="N344" i="5"/>
  <c r="L344" i="5"/>
  <c r="H347" i="5"/>
  <c r="E347" i="5"/>
  <c r="H350" i="5"/>
  <c r="E350" i="5"/>
  <c r="L352" i="5"/>
  <c r="O355" i="5"/>
  <c r="N355" i="5"/>
  <c r="G358" i="5"/>
  <c r="E358" i="5"/>
  <c r="H358" i="5"/>
  <c r="N267" i="5"/>
  <c r="E269" i="5"/>
  <c r="E273" i="5"/>
  <c r="E277" i="5"/>
  <c r="N279" i="5"/>
  <c r="S279" i="5" s="1"/>
  <c r="U279" i="5" s="1"/>
  <c r="E281" i="5"/>
  <c r="E285" i="5"/>
  <c r="E289" i="5"/>
  <c r="N291" i="5"/>
  <c r="E301" i="5"/>
  <c r="N303" i="5"/>
  <c r="L304" i="5"/>
  <c r="S305" i="5"/>
  <c r="U305" i="5" s="1"/>
  <c r="H311" i="5"/>
  <c r="E311" i="5"/>
  <c r="H321" i="5"/>
  <c r="G321" i="5"/>
  <c r="E321" i="5"/>
  <c r="O323" i="5"/>
  <c r="N323" i="5"/>
  <c r="L323" i="5"/>
  <c r="G331" i="5"/>
  <c r="E331" i="5"/>
  <c r="H331" i="5"/>
  <c r="G347" i="5"/>
  <c r="G350" i="5"/>
  <c r="L355" i="5"/>
  <c r="O358" i="5"/>
  <c r="N358" i="5"/>
  <c r="H362" i="5"/>
  <c r="G362" i="5"/>
  <c r="E362" i="5"/>
  <c r="H366" i="5"/>
  <c r="G366" i="5"/>
  <c r="E366" i="5"/>
  <c r="L309" i="5"/>
  <c r="N309" i="5"/>
  <c r="H317" i="5"/>
  <c r="E317" i="5"/>
  <c r="G317" i="5"/>
  <c r="H326" i="5"/>
  <c r="E326" i="5"/>
  <c r="Q328" i="5"/>
  <c r="O331" i="5"/>
  <c r="N331" i="5"/>
  <c r="S331" i="5" s="1"/>
  <c r="L336" i="5"/>
  <c r="N336" i="5"/>
  <c r="O347" i="5"/>
  <c r="N347" i="5"/>
  <c r="L347" i="5"/>
  <c r="O350" i="5"/>
  <c r="N350" i="5"/>
  <c r="L350" i="5"/>
  <c r="H353" i="5"/>
  <c r="E353" i="5"/>
  <c r="L358" i="5"/>
  <c r="O362" i="5"/>
  <c r="N362" i="5"/>
  <c r="L362" i="5"/>
  <c r="L366" i="5"/>
  <c r="N366" i="5"/>
  <c r="G313" i="5"/>
  <c r="E313" i="5"/>
  <c r="H313" i="5"/>
  <c r="G315" i="5"/>
  <c r="E315" i="5"/>
  <c r="H315" i="5"/>
  <c r="O317" i="5"/>
  <c r="L317" i="5"/>
  <c r="G326" i="5"/>
  <c r="Q331" i="5"/>
  <c r="G334" i="5"/>
  <c r="E334" i="5"/>
  <c r="H334" i="5"/>
  <c r="L339" i="5"/>
  <c r="N339" i="5"/>
  <c r="H356" i="5"/>
  <c r="E356" i="5"/>
  <c r="O366" i="5"/>
  <c r="N260" i="5"/>
  <c r="S260" i="5" s="1"/>
  <c r="U260" i="5" s="1"/>
  <c r="N264" i="5"/>
  <c r="S264" i="5" s="1"/>
  <c r="U264" i="5" s="1"/>
  <c r="N268" i="5"/>
  <c r="S268" i="5" s="1"/>
  <c r="U268" i="5" s="1"/>
  <c r="N272" i="5"/>
  <c r="S272" i="5" s="1"/>
  <c r="U272" i="5" s="1"/>
  <c r="E274" i="5"/>
  <c r="N276" i="5"/>
  <c r="S276" i="5" s="1"/>
  <c r="U276" i="5" s="1"/>
  <c r="E278" i="5"/>
  <c r="N280" i="5"/>
  <c r="S280" i="5" s="1"/>
  <c r="U280" i="5" s="1"/>
  <c r="E282" i="5"/>
  <c r="N284" i="5"/>
  <c r="S284" i="5" s="1"/>
  <c r="E286" i="5"/>
  <c r="N288" i="5"/>
  <c r="S288" i="5" s="1"/>
  <c r="U288" i="5" s="1"/>
  <c r="E290" i="5"/>
  <c r="N292" i="5"/>
  <c r="S292" i="5" s="1"/>
  <c r="U292" i="5" s="1"/>
  <c r="E294" i="5"/>
  <c r="N296" i="5"/>
  <c r="S296" i="5" s="1"/>
  <c r="U296" i="5" s="1"/>
  <c r="E298" i="5"/>
  <c r="N300" i="5"/>
  <c r="S300" i="5" s="1"/>
  <c r="U300" i="5" s="1"/>
  <c r="E302" i="5"/>
  <c r="R304" i="5"/>
  <c r="T304" i="5" s="1"/>
  <c r="G306" i="5"/>
  <c r="E306" i="5"/>
  <c r="N311" i="5"/>
  <c r="N313" i="5"/>
  <c r="L313" i="5"/>
  <c r="L315" i="5"/>
  <c r="N315" i="5"/>
  <c r="N317" i="5"/>
  <c r="H324" i="5"/>
  <c r="G324" i="5"/>
  <c r="E324" i="5"/>
  <c r="O326" i="5"/>
  <c r="N326" i="5"/>
  <c r="L326" i="5"/>
  <c r="H329" i="5"/>
  <c r="E329" i="5"/>
  <c r="O334" i="5"/>
  <c r="N334" i="5"/>
  <c r="O339" i="5"/>
  <c r="L342" i="5"/>
  <c r="N342" i="5"/>
  <c r="O353" i="5"/>
  <c r="N353" i="5"/>
  <c r="L353" i="5"/>
  <c r="G356" i="5"/>
  <c r="H306" i="5"/>
  <c r="H308" i="5"/>
  <c r="E308" i="5"/>
  <c r="O311" i="5"/>
  <c r="O313" i="5"/>
  <c r="O315" i="5"/>
  <c r="O319" i="5"/>
  <c r="L324" i="5"/>
  <c r="N324" i="5"/>
  <c r="G329" i="5"/>
  <c r="H332" i="5"/>
  <c r="E332" i="5"/>
  <c r="L334" i="5"/>
  <c r="G337" i="5"/>
  <c r="E337" i="5"/>
  <c r="H337" i="5"/>
  <c r="O342" i="5"/>
  <c r="L345" i="5"/>
  <c r="N345" i="5"/>
  <c r="O338" i="5"/>
  <c r="N338" i="5"/>
  <c r="L338" i="5"/>
  <c r="H341" i="5"/>
  <c r="E341" i="5"/>
  <c r="G346" i="5"/>
  <c r="E346" i="5"/>
  <c r="H346" i="5"/>
  <c r="O356" i="5"/>
  <c r="N356" i="5"/>
  <c r="L356" i="5"/>
  <c r="H359" i="5"/>
  <c r="G359" i="5"/>
  <c r="E359" i="5"/>
  <c r="H363" i="5"/>
  <c r="G363" i="5"/>
  <c r="E363" i="5"/>
  <c r="G367" i="5"/>
  <c r="E367" i="5"/>
  <c r="H367" i="5"/>
  <c r="G319" i="5"/>
  <c r="E319" i="5"/>
  <c r="H319" i="5"/>
  <c r="L321" i="5"/>
  <c r="N321" i="5"/>
  <c r="O328" i="5"/>
  <c r="N328" i="5"/>
  <c r="S328" i="5" s="1"/>
  <c r="L333" i="5"/>
  <c r="N333" i="5"/>
  <c r="G341" i="5"/>
  <c r="O346" i="5"/>
  <c r="N346" i="5"/>
  <c r="S346" i="5" s="1"/>
  <c r="L351" i="5"/>
  <c r="N351" i="5"/>
  <c r="O359" i="5"/>
  <c r="N359" i="5"/>
  <c r="L359" i="5"/>
  <c r="L363" i="5"/>
  <c r="N363" i="5"/>
  <c r="O367" i="5"/>
  <c r="N367" i="5"/>
  <c r="L367" i="5"/>
  <c r="E327" i="5"/>
  <c r="E330" i="5"/>
  <c r="E333" i="5"/>
  <c r="E336" i="5"/>
  <c r="E339" i="5"/>
  <c r="E342" i="5"/>
  <c r="E345" i="5"/>
  <c r="E348" i="5"/>
  <c r="E351" i="5"/>
  <c r="E354" i="5"/>
  <c r="E357" i="5"/>
  <c r="G327" i="5"/>
  <c r="G330" i="5"/>
  <c r="G333" i="5"/>
  <c r="G336" i="5"/>
  <c r="G339" i="5"/>
  <c r="G342" i="5"/>
  <c r="G345" i="5"/>
  <c r="G348" i="5"/>
  <c r="G351" i="5"/>
  <c r="G354" i="5"/>
  <c r="G357" i="5"/>
  <c r="S224" i="5" l="1"/>
  <c r="S125" i="5"/>
  <c r="U125" i="5" s="1"/>
  <c r="O269" i="5"/>
  <c r="U127" i="5"/>
  <c r="U59" i="5"/>
  <c r="O177" i="5"/>
  <c r="Q294" i="5"/>
  <c r="N169" i="5"/>
  <c r="S169" i="5" s="1"/>
  <c r="U169" i="5" s="1"/>
  <c r="Q87" i="5"/>
  <c r="U28" i="5"/>
  <c r="N325" i="5"/>
  <c r="O187" i="5"/>
  <c r="O85" i="5"/>
  <c r="R229" i="5"/>
  <c r="T229" i="5" s="1"/>
  <c r="U33" i="5"/>
  <c r="S57" i="5"/>
  <c r="U57" i="5" s="1"/>
  <c r="S11" i="5"/>
  <c r="U11" i="5" s="1"/>
  <c r="R164" i="5"/>
  <c r="T164" i="5" s="1"/>
  <c r="S84" i="5"/>
  <c r="U84" i="5" s="1"/>
  <c r="N165" i="5"/>
  <c r="U134" i="5"/>
  <c r="R220" i="5"/>
  <c r="T220" i="5" s="1"/>
  <c r="Q28" i="5"/>
  <c r="N177" i="5"/>
  <c r="S177" i="5" s="1"/>
  <c r="U177" i="5" s="1"/>
  <c r="Q14" i="5"/>
  <c r="S8" i="5"/>
  <c r="U8" i="5" s="1"/>
  <c r="P14" i="5"/>
  <c r="U328" i="5"/>
  <c r="U128" i="5"/>
  <c r="Q45" i="5"/>
  <c r="R157" i="5"/>
  <c r="T157" i="5" s="1"/>
  <c r="R245" i="5"/>
  <c r="T245" i="5" s="1"/>
  <c r="N50" i="5"/>
  <c r="P199" i="5"/>
  <c r="L165" i="5"/>
  <c r="S165" i="5" s="1"/>
  <c r="U165" i="5" s="1"/>
  <c r="P188" i="5"/>
  <c r="U121" i="5"/>
  <c r="P186" i="5"/>
  <c r="N269" i="5"/>
  <c r="S269" i="5" s="1"/>
  <c r="U269" i="5" s="1"/>
  <c r="O178" i="5"/>
  <c r="T36" i="5"/>
  <c r="U110" i="5"/>
  <c r="L293" i="5"/>
  <c r="Q293" i="5" s="1"/>
  <c r="U209" i="5"/>
  <c r="S117" i="5"/>
  <c r="U117" i="5" s="1"/>
  <c r="S147" i="5"/>
  <c r="U147" i="5" s="1"/>
  <c r="P97" i="5"/>
  <c r="O47" i="5"/>
  <c r="U46" i="5"/>
  <c r="S170" i="5"/>
  <c r="U170" i="5" s="1"/>
  <c r="O277" i="5"/>
  <c r="U277" i="5"/>
  <c r="U122" i="5"/>
  <c r="T82" i="5"/>
  <c r="S95" i="5"/>
  <c r="U95" i="5" s="1"/>
  <c r="U45" i="5"/>
  <c r="R196" i="5"/>
  <c r="T196" i="5" s="1"/>
  <c r="S258" i="5"/>
  <c r="U258" i="5" s="1"/>
  <c r="U197" i="5"/>
  <c r="S195" i="5"/>
  <c r="U195" i="5" s="1"/>
  <c r="P180" i="5"/>
  <c r="Q140" i="5"/>
  <c r="L67" i="5"/>
  <c r="Q67" i="5" s="1"/>
  <c r="P23" i="5"/>
  <c r="S176" i="5"/>
  <c r="U176" i="5" s="1"/>
  <c r="O289" i="5"/>
  <c r="R292" i="5"/>
  <c r="T292" i="5" s="1"/>
  <c r="T30" i="5"/>
  <c r="T92" i="5"/>
  <c r="T63" i="5"/>
  <c r="R94" i="5"/>
  <c r="T94" i="5" s="1"/>
  <c r="L47" i="5"/>
  <c r="Q47" i="5" s="1"/>
  <c r="S38" i="5"/>
  <c r="U38" i="5" s="1"/>
  <c r="U297" i="5"/>
  <c r="U200" i="5"/>
  <c r="T86" i="5"/>
  <c r="S267" i="5"/>
  <c r="U267" i="5" s="1"/>
  <c r="N293" i="5"/>
  <c r="S293" i="5" s="1"/>
  <c r="U293" i="5" s="1"/>
  <c r="U284" i="5"/>
  <c r="O304" i="5"/>
  <c r="N245" i="5"/>
  <c r="S245" i="5" s="1"/>
  <c r="P223" i="5"/>
  <c r="R193" i="5"/>
  <c r="T193" i="5" s="1"/>
  <c r="T177" i="5"/>
  <c r="T100" i="5"/>
  <c r="T42" i="5"/>
  <c r="S50" i="5"/>
  <c r="U50" i="5" s="1"/>
  <c r="R244" i="5"/>
  <c r="T244" i="5" s="1"/>
  <c r="Q91" i="5"/>
  <c r="O183" i="5"/>
  <c r="O153" i="5"/>
  <c r="N307" i="5"/>
  <c r="N70" i="5"/>
  <c r="L70" i="5"/>
  <c r="S311" i="5"/>
  <c r="T234" i="5"/>
  <c r="R217" i="5"/>
  <c r="T217" i="5" s="1"/>
  <c r="L153" i="5"/>
  <c r="T52" i="5"/>
  <c r="O281" i="5"/>
  <c r="O169" i="5"/>
  <c r="L88" i="5"/>
  <c r="O88" i="5"/>
  <c r="R280" i="5"/>
  <c r="T280" i="5" s="1"/>
  <c r="P280" i="5"/>
  <c r="O70" i="5"/>
  <c r="R89" i="5"/>
  <c r="T89" i="5" s="1"/>
  <c r="P70" i="5"/>
  <c r="O222" i="5"/>
  <c r="O163" i="5"/>
  <c r="U163" i="5" s="1"/>
  <c r="T186" i="5"/>
  <c r="R178" i="5"/>
  <c r="T178" i="5" s="1"/>
  <c r="N183" i="5"/>
  <c r="S183" i="5" s="1"/>
  <c r="R149" i="5"/>
  <c r="T149" i="5" s="1"/>
  <c r="P149" i="5"/>
  <c r="O56" i="5"/>
  <c r="L56" i="5"/>
  <c r="O91" i="5"/>
  <c r="N91" i="5"/>
  <c r="S91" i="5" s="1"/>
  <c r="U91" i="5" s="1"/>
  <c r="U178" i="5"/>
  <c r="T106" i="5"/>
  <c r="T14" i="5"/>
  <c r="N64" i="5"/>
  <c r="R169" i="5"/>
  <c r="T169" i="5" s="1"/>
  <c r="N56" i="5"/>
  <c r="R154" i="5"/>
  <c r="T154" i="5" s="1"/>
  <c r="P154" i="5"/>
  <c r="P220" i="5"/>
  <c r="T104" i="5"/>
  <c r="R182" i="5"/>
  <c r="T182" i="5" s="1"/>
  <c r="P182" i="5"/>
  <c r="N181" i="5"/>
  <c r="L181" i="5"/>
  <c r="R34" i="5"/>
  <c r="T34" i="5" s="1"/>
  <c r="P34" i="5"/>
  <c r="L307" i="5"/>
  <c r="U225" i="5"/>
  <c r="T227" i="5"/>
  <c r="T173" i="5"/>
  <c r="T59" i="5"/>
  <c r="O181" i="5"/>
  <c r="N265" i="5"/>
  <c r="L265" i="5"/>
  <c r="T75" i="5"/>
  <c r="N44" i="5"/>
  <c r="S44" i="5" s="1"/>
  <c r="U44" i="5" s="1"/>
  <c r="T202" i="5"/>
  <c r="U118" i="5"/>
  <c r="T110" i="5"/>
  <c r="T55" i="5"/>
  <c r="T56" i="5"/>
  <c r="O316" i="5"/>
  <c r="L316" i="5"/>
  <c r="N174" i="5"/>
  <c r="L174" i="5"/>
  <c r="O265" i="5"/>
  <c r="P173" i="5"/>
  <c r="N175" i="5"/>
  <c r="L175" i="5"/>
  <c r="O41" i="5"/>
  <c r="L41" i="5"/>
  <c r="T267" i="5"/>
  <c r="T251" i="5"/>
  <c r="T98" i="5"/>
  <c r="O175" i="5"/>
  <c r="O245" i="5"/>
  <c r="R163" i="5"/>
  <c r="T163" i="5" s="1"/>
  <c r="P163" i="5"/>
  <c r="N41" i="5"/>
  <c r="N35" i="5"/>
  <c r="S35" i="5" s="1"/>
  <c r="U35" i="5" s="1"/>
  <c r="U263" i="5"/>
  <c r="U112" i="5"/>
  <c r="U218" i="5"/>
  <c r="U252" i="5"/>
  <c r="U311" i="5"/>
  <c r="U106" i="5"/>
  <c r="U120" i="5"/>
  <c r="U37" i="5"/>
  <c r="U259" i="5"/>
  <c r="U104" i="5"/>
  <c r="U124" i="5"/>
  <c r="U247" i="5"/>
  <c r="U132" i="5"/>
  <c r="U114" i="5"/>
  <c r="U39" i="5"/>
  <c r="U349" i="5"/>
  <c r="R312" i="5"/>
  <c r="T312" i="5" s="1"/>
  <c r="P312" i="5"/>
  <c r="R330" i="5"/>
  <c r="T330" i="5" s="1"/>
  <c r="P330" i="5"/>
  <c r="R337" i="5"/>
  <c r="T337" i="5" s="1"/>
  <c r="P337" i="5"/>
  <c r="P308" i="5"/>
  <c r="R308" i="5"/>
  <c r="T308" i="5" s="1"/>
  <c r="P329" i="5"/>
  <c r="R329" i="5"/>
  <c r="T329" i="5" s="1"/>
  <c r="S313" i="5"/>
  <c r="U313" i="5" s="1"/>
  <c r="Q313" i="5"/>
  <c r="R290" i="5"/>
  <c r="T290" i="5" s="1"/>
  <c r="P290" i="5"/>
  <c r="Q317" i="5"/>
  <c r="S317" i="5"/>
  <c r="U317" i="5" s="1"/>
  <c r="S355" i="5"/>
  <c r="U355" i="5" s="1"/>
  <c r="Q355" i="5"/>
  <c r="P311" i="5"/>
  <c r="R311" i="5"/>
  <c r="T311" i="5" s="1"/>
  <c r="R277" i="5"/>
  <c r="T277" i="5" s="1"/>
  <c r="P277" i="5"/>
  <c r="P347" i="5"/>
  <c r="R347" i="5"/>
  <c r="T347" i="5" s="1"/>
  <c r="R276" i="5"/>
  <c r="T276" i="5" s="1"/>
  <c r="P276" i="5"/>
  <c r="S289" i="5"/>
  <c r="U289" i="5" s="1"/>
  <c r="Q289" i="5"/>
  <c r="P320" i="5"/>
  <c r="R320" i="5"/>
  <c r="T320" i="5" s="1"/>
  <c r="Q269" i="5"/>
  <c r="S306" i="5"/>
  <c r="U306" i="5" s="1"/>
  <c r="Q306" i="5"/>
  <c r="S251" i="5"/>
  <c r="U251" i="5" s="1"/>
  <c r="Q251" i="5"/>
  <c r="S231" i="5"/>
  <c r="U231" i="5" s="1"/>
  <c r="Q231" i="5"/>
  <c r="R194" i="5"/>
  <c r="T194" i="5" s="1"/>
  <c r="P194" i="5"/>
  <c r="R138" i="5"/>
  <c r="T138" i="5" s="1"/>
  <c r="P138" i="5"/>
  <c r="S213" i="5"/>
  <c r="U213" i="5" s="1"/>
  <c r="Q213" i="5"/>
  <c r="S187" i="5"/>
  <c r="U187" i="5" s="1"/>
  <c r="Q187" i="5"/>
  <c r="U224" i="5"/>
  <c r="R144" i="5"/>
  <c r="T144" i="5" s="1"/>
  <c r="P144" i="5"/>
  <c r="R198" i="5"/>
  <c r="T198" i="5" s="1"/>
  <c r="P198" i="5"/>
  <c r="R152" i="5"/>
  <c r="T152" i="5" s="1"/>
  <c r="P152" i="5"/>
  <c r="R101" i="5"/>
  <c r="T101" i="5" s="1"/>
  <c r="P101" i="5"/>
  <c r="S166" i="5"/>
  <c r="U166" i="5" s="1"/>
  <c r="Q166" i="5"/>
  <c r="S168" i="5"/>
  <c r="U168" i="5" s="1"/>
  <c r="Q168" i="5"/>
  <c r="P78" i="5"/>
  <c r="R78" i="5"/>
  <c r="T78" i="5" s="1"/>
  <c r="R61" i="5"/>
  <c r="T61" i="5" s="1"/>
  <c r="P61" i="5"/>
  <c r="S48" i="5"/>
  <c r="U48" i="5" s="1"/>
  <c r="Q48" i="5"/>
  <c r="P90" i="5"/>
  <c r="R90" i="5"/>
  <c r="T90" i="5" s="1"/>
  <c r="P58" i="5"/>
  <c r="R58" i="5"/>
  <c r="T58" i="5" s="1"/>
  <c r="Q25" i="5"/>
  <c r="S25" i="5"/>
  <c r="U25" i="5" s="1"/>
  <c r="P22" i="5"/>
  <c r="R22" i="5"/>
  <c r="T22" i="5" s="1"/>
  <c r="P81" i="5"/>
  <c r="R81" i="5"/>
  <c r="T81" i="5" s="1"/>
  <c r="R50" i="5"/>
  <c r="T50" i="5" s="1"/>
  <c r="P50" i="5"/>
  <c r="S97" i="5"/>
  <c r="U97" i="5" s="1"/>
  <c r="Q97" i="5"/>
  <c r="Q53" i="5"/>
  <c r="S53" i="5"/>
  <c r="U53" i="5" s="1"/>
  <c r="R15" i="5"/>
  <c r="T15" i="5" s="1"/>
  <c r="P15" i="5"/>
  <c r="S27" i="5"/>
  <c r="U27" i="5" s="1"/>
  <c r="Q27" i="5"/>
  <c r="R18" i="5"/>
  <c r="T18" i="5" s="1"/>
  <c r="P18" i="5"/>
  <c r="S21" i="5"/>
  <c r="U21" i="5" s="1"/>
  <c r="Q21" i="5"/>
  <c r="S15" i="5"/>
  <c r="U15" i="5" s="1"/>
  <c r="Q15" i="5"/>
  <c r="R32" i="5"/>
  <c r="T32" i="5" s="1"/>
  <c r="P32" i="5"/>
  <c r="R247" i="5"/>
  <c r="T247" i="5" s="1"/>
  <c r="P247" i="5"/>
  <c r="R161" i="5"/>
  <c r="T161" i="5" s="1"/>
  <c r="P161" i="5"/>
  <c r="S189" i="5"/>
  <c r="U189" i="5" s="1"/>
  <c r="Q189" i="5"/>
  <c r="R327" i="5"/>
  <c r="T327" i="5" s="1"/>
  <c r="P327" i="5"/>
  <c r="R367" i="5"/>
  <c r="T367" i="5" s="1"/>
  <c r="P367" i="5"/>
  <c r="R346" i="5"/>
  <c r="T346" i="5" s="1"/>
  <c r="P346" i="5"/>
  <c r="S366" i="5"/>
  <c r="U366" i="5" s="1"/>
  <c r="Q366" i="5"/>
  <c r="R273" i="5"/>
  <c r="T273" i="5" s="1"/>
  <c r="P273" i="5"/>
  <c r="Q307" i="5"/>
  <c r="S307" i="5"/>
  <c r="U307" i="5" s="1"/>
  <c r="S312" i="5"/>
  <c r="U312" i="5" s="1"/>
  <c r="Q312" i="5"/>
  <c r="Q335" i="5"/>
  <c r="S335" i="5"/>
  <c r="U335" i="5" s="1"/>
  <c r="S343" i="5"/>
  <c r="U343" i="5" s="1"/>
  <c r="Q343" i="5"/>
  <c r="S287" i="5"/>
  <c r="U287" i="5" s="1"/>
  <c r="Q287" i="5"/>
  <c r="R287" i="5"/>
  <c r="T287" i="5" s="1"/>
  <c r="P287" i="5"/>
  <c r="S266" i="5"/>
  <c r="U266" i="5" s="1"/>
  <c r="Q266" i="5"/>
  <c r="R340" i="5"/>
  <c r="T340" i="5" s="1"/>
  <c r="P340" i="5"/>
  <c r="S290" i="5"/>
  <c r="U290" i="5" s="1"/>
  <c r="Q290" i="5"/>
  <c r="R228" i="5"/>
  <c r="T228" i="5" s="1"/>
  <c r="P228" i="5"/>
  <c r="S236" i="5"/>
  <c r="U236" i="5" s="1"/>
  <c r="Q236" i="5"/>
  <c r="S230" i="5"/>
  <c r="U230" i="5" s="1"/>
  <c r="Q230" i="5"/>
  <c r="P172" i="5"/>
  <c r="R172" i="5"/>
  <c r="T172" i="5" s="1"/>
  <c r="Q220" i="5"/>
  <c r="S220" i="5"/>
  <c r="U220" i="5" s="1"/>
  <c r="S207" i="5"/>
  <c r="U207" i="5" s="1"/>
  <c r="Q207" i="5"/>
  <c r="R140" i="5"/>
  <c r="T140" i="5" s="1"/>
  <c r="P140" i="5"/>
  <c r="R215" i="5"/>
  <c r="T215" i="5" s="1"/>
  <c r="P215" i="5"/>
  <c r="R232" i="5"/>
  <c r="T232" i="5" s="1"/>
  <c r="P232" i="5"/>
  <c r="R204" i="5"/>
  <c r="T204" i="5" s="1"/>
  <c r="P204" i="5"/>
  <c r="R99" i="5"/>
  <c r="T99" i="5" s="1"/>
  <c r="P99" i="5"/>
  <c r="R123" i="5"/>
  <c r="T123" i="5" s="1"/>
  <c r="P123" i="5"/>
  <c r="P124" i="5"/>
  <c r="R124" i="5"/>
  <c r="T124" i="5" s="1"/>
  <c r="S144" i="5"/>
  <c r="U144" i="5" s="1"/>
  <c r="Q144" i="5"/>
  <c r="S99" i="5"/>
  <c r="U99" i="5" s="1"/>
  <c r="Q99" i="5"/>
  <c r="Q35" i="5"/>
  <c r="R209" i="5"/>
  <c r="T209" i="5" s="1"/>
  <c r="P209" i="5"/>
  <c r="S94" i="5"/>
  <c r="U94" i="5" s="1"/>
  <c r="Q94" i="5"/>
  <c r="R68" i="5"/>
  <c r="T68" i="5" s="1"/>
  <c r="P68" i="5"/>
  <c r="P16" i="5"/>
  <c r="R16" i="5"/>
  <c r="T16" i="5" s="1"/>
  <c r="R51" i="5"/>
  <c r="T51" i="5" s="1"/>
  <c r="P51" i="5"/>
  <c r="S30" i="5"/>
  <c r="U30" i="5" s="1"/>
  <c r="Q30" i="5"/>
  <c r="S24" i="5"/>
  <c r="U24" i="5" s="1"/>
  <c r="Q24" i="5"/>
  <c r="S12" i="5"/>
  <c r="U12" i="5" s="1"/>
  <c r="Q12" i="5"/>
  <c r="Q9" i="5"/>
  <c r="S9" i="5"/>
  <c r="U9" i="5" s="1"/>
  <c r="S351" i="5"/>
  <c r="U351" i="5" s="1"/>
  <c r="Q351" i="5"/>
  <c r="S315" i="5"/>
  <c r="U315" i="5" s="1"/>
  <c r="Q315" i="5"/>
  <c r="R349" i="5"/>
  <c r="T349" i="5" s="1"/>
  <c r="P349" i="5"/>
  <c r="R262" i="5"/>
  <c r="T262" i="5" s="1"/>
  <c r="P262" i="5"/>
  <c r="R125" i="5"/>
  <c r="T125" i="5" s="1"/>
  <c r="P125" i="5"/>
  <c r="S367" i="5"/>
  <c r="U367" i="5" s="1"/>
  <c r="Q367" i="5"/>
  <c r="S334" i="5"/>
  <c r="U334" i="5" s="1"/>
  <c r="Q334" i="5"/>
  <c r="Q326" i="5"/>
  <c r="S326" i="5"/>
  <c r="U326" i="5" s="1"/>
  <c r="R286" i="5"/>
  <c r="T286" i="5" s="1"/>
  <c r="P286" i="5"/>
  <c r="P356" i="5"/>
  <c r="R356" i="5"/>
  <c r="T356" i="5" s="1"/>
  <c r="Q362" i="5"/>
  <c r="S362" i="5"/>
  <c r="U362" i="5" s="1"/>
  <c r="S309" i="5"/>
  <c r="U309" i="5" s="1"/>
  <c r="Q309" i="5"/>
  <c r="R269" i="5"/>
  <c r="T269" i="5" s="1"/>
  <c r="P269" i="5"/>
  <c r="Q344" i="5"/>
  <c r="S344" i="5"/>
  <c r="U344" i="5" s="1"/>
  <c r="Q303" i="5"/>
  <c r="S303" i="5"/>
  <c r="U303" i="5" s="1"/>
  <c r="R343" i="5"/>
  <c r="T343" i="5" s="1"/>
  <c r="P343" i="5"/>
  <c r="R360" i="5"/>
  <c r="T360" i="5" s="1"/>
  <c r="P360" i="5"/>
  <c r="R297" i="5"/>
  <c r="T297" i="5" s="1"/>
  <c r="P297" i="5"/>
  <c r="T299" i="5"/>
  <c r="R250" i="5"/>
  <c r="T250" i="5" s="1"/>
  <c r="P250" i="5"/>
  <c r="S242" i="5"/>
  <c r="U242" i="5" s="1"/>
  <c r="Q242" i="5"/>
  <c r="S222" i="5"/>
  <c r="Q222" i="5"/>
  <c r="R254" i="5"/>
  <c r="T254" i="5" s="1"/>
  <c r="P254" i="5"/>
  <c r="R168" i="5"/>
  <c r="T168" i="5" s="1"/>
  <c r="P168" i="5"/>
  <c r="R134" i="5"/>
  <c r="T134" i="5" s="1"/>
  <c r="P134" i="5"/>
  <c r="R225" i="5"/>
  <c r="T225" i="5" s="1"/>
  <c r="P225" i="5"/>
  <c r="P136" i="5"/>
  <c r="R136" i="5"/>
  <c r="T136" i="5" s="1"/>
  <c r="S156" i="5"/>
  <c r="U156" i="5" s="1"/>
  <c r="Q156" i="5"/>
  <c r="R112" i="5"/>
  <c r="T112" i="5" s="1"/>
  <c r="P112" i="5"/>
  <c r="S142" i="5"/>
  <c r="U142" i="5" s="1"/>
  <c r="Q142" i="5"/>
  <c r="R131" i="5"/>
  <c r="T131" i="5" s="1"/>
  <c r="P131" i="5"/>
  <c r="S58" i="5"/>
  <c r="U58" i="5" s="1"/>
  <c r="Q58" i="5"/>
  <c r="S34" i="5"/>
  <c r="U34" i="5" s="1"/>
  <c r="Q34" i="5"/>
  <c r="R74" i="5"/>
  <c r="T74" i="5" s="1"/>
  <c r="P74" i="5"/>
  <c r="R62" i="5"/>
  <c r="T62" i="5" s="1"/>
  <c r="P62" i="5"/>
  <c r="P10" i="5"/>
  <c r="R10" i="5"/>
  <c r="T10" i="5" s="1"/>
  <c r="Q22" i="5"/>
  <c r="S22" i="5"/>
  <c r="U22" i="5" s="1"/>
  <c r="Q54" i="5"/>
  <c r="S54" i="5"/>
  <c r="U54" i="5" s="1"/>
  <c r="R103" i="5"/>
  <c r="T103" i="5" s="1"/>
  <c r="P103" i="5"/>
  <c r="S148" i="5"/>
  <c r="U148" i="5" s="1"/>
  <c r="Q148" i="5"/>
  <c r="S52" i="5"/>
  <c r="U52" i="5" s="1"/>
  <c r="Q52" i="5"/>
  <c r="S100" i="5"/>
  <c r="U100" i="5" s="1"/>
  <c r="Q100" i="5"/>
  <c r="Q29" i="5"/>
  <c r="S29" i="5"/>
  <c r="U29" i="5" s="1"/>
  <c r="P60" i="5"/>
  <c r="R60" i="5"/>
  <c r="T60" i="5" s="1"/>
  <c r="R24" i="5"/>
  <c r="T24" i="5" s="1"/>
  <c r="P24" i="5"/>
  <c r="R357" i="5"/>
  <c r="T357" i="5" s="1"/>
  <c r="P357" i="5"/>
  <c r="R363" i="5"/>
  <c r="T363" i="5" s="1"/>
  <c r="P363" i="5"/>
  <c r="P341" i="5"/>
  <c r="R341" i="5"/>
  <c r="T341" i="5" s="1"/>
  <c r="P332" i="5"/>
  <c r="R332" i="5"/>
  <c r="T332" i="5" s="1"/>
  <c r="R306" i="5"/>
  <c r="T306" i="5" s="1"/>
  <c r="P306" i="5"/>
  <c r="R315" i="5"/>
  <c r="T315" i="5" s="1"/>
  <c r="P315" i="5"/>
  <c r="S336" i="5"/>
  <c r="U336" i="5" s="1"/>
  <c r="Q336" i="5"/>
  <c r="Q291" i="5"/>
  <c r="S291" i="5"/>
  <c r="U291" i="5" s="1"/>
  <c r="P365" i="5"/>
  <c r="R365" i="5"/>
  <c r="T365" i="5" s="1"/>
  <c r="U346" i="5"/>
  <c r="P307" i="5"/>
  <c r="R307" i="5"/>
  <c r="T307" i="5" s="1"/>
  <c r="S364" i="5"/>
  <c r="U364" i="5" s="1"/>
  <c r="Q364" i="5"/>
  <c r="P310" i="5"/>
  <c r="R310" i="5"/>
  <c r="T310" i="5" s="1"/>
  <c r="R364" i="5"/>
  <c r="T364" i="5" s="1"/>
  <c r="P364" i="5"/>
  <c r="Q332" i="5"/>
  <c r="S332" i="5"/>
  <c r="U332" i="5" s="1"/>
  <c r="S298" i="5"/>
  <c r="U298" i="5" s="1"/>
  <c r="Q298" i="5"/>
  <c r="Q240" i="5"/>
  <c r="S240" i="5"/>
  <c r="U240" i="5" s="1"/>
  <c r="R259" i="5"/>
  <c r="T259" i="5" s="1"/>
  <c r="P259" i="5"/>
  <c r="U241" i="5"/>
  <c r="R203" i="5"/>
  <c r="T203" i="5" s="1"/>
  <c r="P203" i="5"/>
  <c r="Q177" i="5"/>
  <c r="R132" i="5"/>
  <c r="T132" i="5" s="1"/>
  <c r="P132" i="5"/>
  <c r="P236" i="5"/>
  <c r="R236" i="5"/>
  <c r="T236" i="5" s="1"/>
  <c r="S192" i="5"/>
  <c r="U192" i="5" s="1"/>
  <c r="Q192" i="5"/>
  <c r="R120" i="5"/>
  <c r="T120" i="5" s="1"/>
  <c r="P120" i="5"/>
  <c r="R135" i="5"/>
  <c r="T135" i="5" s="1"/>
  <c r="P135" i="5"/>
  <c r="P57" i="5"/>
  <c r="R57" i="5"/>
  <c r="T57" i="5" s="1"/>
  <c r="S55" i="5"/>
  <c r="U55" i="5" s="1"/>
  <c r="Q55" i="5"/>
  <c r="R65" i="5"/>
  <c r="T65" i="5" s="1"/>
  <c r="P65" i="5"/>
  <c r="P4" i="5"/>
  <c r="R4" i="5"/>
  <c r="T4" i="5" s="1"/>
  <c r="S78" i="5"/>
  <c r="U78" i="5" s="1"/>
  <c r="Q78" i="5"/>
  <c r="R28" i="5"/>
  <c r="T28" i="5" s="1"/>
  <c r="P28" i="5"/>
  <c r="S42" i="5"/>
  <c r="U42" i="5" s="1"/>
  <c r="Q42" i="5"/>
  <c r="Q13" i="5"/>
  <c r="S13" i="5"/>
  <c r="U13" i="5" s="1"/>
  <c r="S31" i="5"/>
  <c r="U31" i="5" s="1"/>
  <c r="Q31" i="5"/>
  <c r="S299" i="5"/>
  <c r="U299" i="5" s="1"/>
  <c r="Q299" i="5"/>
  <c r="R142" i="5"/>
  <c r="T142" i="5" s="1"/>
  <c r="P142" i="5"/>
  <c r="S130" i="5"/>
  <c r="U130" i="5" s="1"/>
  <c r="Q130" i="5"/>
  <c r="R354" i="5"/>
  <c r="T354" i="5" s="1"/>
  <c r="P354" i="5"/>
  <c r="S333" i="5"/>
  <c r="U333" i="5" s="1"/>
  <c r="Q333" i="5"/>
  <c r="Q353" i="5"/>
  <c r="S353" i="5"/>
  <c r="U353" i="5" s="1"/>
  <c r="R282" i="5"/>
  <c r="T282" i="5" s="1"/>
  <c r="P282" i="5"/>
  <c r="R366" i="5"/>
  <c r="T366" i="5" s="1"/>
  <c r="P366" i="5"/>
  <c r="R331" i="5"/>
  <c r="T331" i="5" s="1"/>
  <c r="P331" i="5"/>
  <c r="S304" i="5"/>
  <c r="Q304" i="5"/>
  <c r="Q365" i="5"/>
  <c r="S365" i="5"/>
  <c r="U365" i="5" s="1"/>
  <c r="Q341" i="5"/>
  <c r="S341" i="5"/>
  <c r="U341" i="5" s="1"/>
  <c r="P344" i="5"/>
  <c r="R344" i="5"/>
  <c r="T344" i="5" s="1"/>
  <c r="R318" i="5"/>
  <c r="T318" i="5" s="1"/>
  <c r="P318" i="5"/>
  <c r="P335" i="5"/>
  <c r="R335" i="5"/>
  <c r="T335" i="5" s="1"/>
  <c r="R283" i="5"/>
  <c r="T283" i="5" s="1"/>
  <c r="P283" i="5"/>
  <c r="R261" i="5"/>
  <c r="T261" i="5" s="1"/>
  <c r="P261" i="5"/>
  <c r="T275" i="5"/>
  <c r="P272" i="5"/>
  <c r="R272" i="5"/>
  <c r="T272" i="5" s="1"/>
  <c r="R216" i="5"/>
  <c r="T216" i="5" s="1"/>
  <c r="P216" i="5"/>
  <c r="R255" i="5"/>
  <c r="T255" i="5" s="1"/>
  <c r="P255" i="5"/>
  <c r="R221" i="5"/>
  <c r="T221" i="5" s="1"/>
  <c r="P221" i="5"/>
  <c r="S164" i="5"/>
  <c r="U164" i="5" s="1"/>
  <c r="Q164" i="5"/>
  <c r="S250" i="5"/>
  <c r="U250" i="5" s="1"/>
  <c r="Q250" i="5"/>
  <c r="S202" i="5"/>
  <c r="U202" i="5" s="1"/>
  <c r="Q202" i="5"/>
  <c r="R233" i="5"/>
  <c r="T233" i="5" s="1"/>
  <c r="P233" i="5"/>
  <c r="R128" i="5"/>
  <c r="T128" i="5" s="1"/>
  <c r="P128" i="5"/>
  <c r="Q221" i="5"/>
  <c r="S221" i="5"/>
  <c r="U221" i="5" s="1"/>
  <c r="S93" i="5"/>
  <c r="U93" i="5" s="1"/>
  <c r="Q93" i="5"/>
  <c r="R116" i="5"/>
  <c r="T116" i="5" s="1"/>
  <c r="P116" i="5"/>
  <c r="S92" i="5"/>
  <c r="U92" i="5" s="1"/>
  <c r="Q92" i="5"/>
  <c r="R111" i="5"/>
  <c r="T111" i="5" s="1"/>
  <c r="P111" i="5"/>
  <c r="R91" i="5"/>
  <c r="T91" i="5" s="1"/>
  <c r="P91" i="5"/>
  <c r="S86" i="5"/>
  <c r="U86" i="5" s="1"/>
  <c r="Q86" i="5"/>
  <c r="R53" i="5"/>
  <c r="T53" i="5" s="1"/>
  <c r="P53" i="5"/>
  <c r="R54" i="5"/>
  <c r="T54" i="5" s="1"/>
  <c r="P54" i="5"/>
  <c r="R83" i="5"/>
  <c r="T83" i="5" s="1"/>
  <c r="P83" i="5"/>
  <c r="Q63" i="5"/>
  <c r="S63" i="5"/>
  <c r="U63" i="5" s="1"/>
  <c r="T40" i="5"/>
  <c r="S108" i="5"/>
  <c r="U108" i="5" s="1"/>
  <c r="Q108" i="5"/>
  <c r="S72" i="5"/>
  <c r="U72" i="5" s="1"/>
  <c r="Q72" i="5"/>
  <c r="R25" i="5"/>
  <c r="T25" i="5" s="1"/>
  <c r="P25" i="5"/>
  <c r="S80" i="5"/>
  <c r="U80" i="5" s="1"/>
  <c r="Q80" i="5"/>
  <c r="R6" i="5"/>
  <c r="T6" i="5" s="1"/>
  <c r="P6" i="5"/>
  <c r="Q16" i="5"/>
  <c r="S16" i="5"/>
  <c r="U16" i="5" s="1"/>
  <c r="Q26" i="5"/>
  <c r="S26" i="5"/>
  <c r="U26" i="5" s="1"/>
  <c r="Q347" i="5"/>
  <c r="S347" i="5"/>
  <c r="U347" i="5" s="1"/>
  <c r="R139" i="5"/>
  <c r="T139" i="5" s="1"/>
  <c r="P139" i="5"/>
  <c r="R80" i="5"/>
  <c r="T80" i="5" s="1"/>
  <c r="P80" i="5"/>
  <c r="R351" i="5"/>
  <c r="T351" i="5" s="1"/>
  <c r="P351" i="5"/>
  <c r="Q338" i="5"/>
  <c r="S338" i="5"/>
  <c r="U338" i="5" s="1"/>
  <c r="R324" i="5"/>
  <c r="T324" i="5" s="1"/>
  <c r="P324" i="5"/>
  <c r="S339" i="5"/>
  <c r="U339" i="5" s="1"/>
  <c r="Q339" i="5"/>
  <c r="S358" i="5"/>
  <c r="U358" i="5" s="1"/>
  <c r="Q358" i="5"/>
  <c r="R358" i="5"/>
  <c r="T358" i="5" s="1"/>
  <c r="P358" i="5"/>
  <c r="S327" i="5"/>
  <c r="U327" i="5" s="1"/>
  <c r="Q327" i="5"/>
  <c r="P305" i="5"/>
  <c r="R305" i="5"/>
  <c r="T305" i="5" s="1"/>
  <c r="R270" i="5"/>
  <c r="T270" i="5" s="1"/>
  <c r="P270" i="5"/>
  <c r="R300" i="5"/>
  <c r="T300" i="5" s="1"/>
  <c r="P300" i="5"/>
  <c r="T271" i="5"/>
  <c r="R291" i="5"/>
  <c r="T291" i="5" s="1"/>
  <c r="P291" i="5"/>
  <c r="S340" i="5"/>
  <c r="U340" i="5" s="1"/>
  <c r="Q340" i="5"/>
  <c r="R210" i="5"/>
  <c r="T210" i="5" s="1"/>
  <c r="P210" i="5"/>
  <c r="R265" i="5"/>
  <c r="T265" i="5" s="1"/>
  <c r="P265" i="5"/>
  <c r="R213" i="5"/>
  <c r="T213" i="5" s="1"/>
  <c r="P213" i="5"/>
  <c r="U238" i="5"/>
  <c r="T187" i="5"/>
  <c r="R197" i="5"/>
  <c r="T197" i="5" s="1"/>
  <c r="P197" i="5"/>
  <c r="P175" i="5"/>
  <c r="R175" i="5"/>
  <c r="T175" i="5" s="1"/>
  <c r="Q196" i="5"/>
  <c r="S196" i="5"/>
  <c r="U196" i="5" s="1"/>
  <c r="S226" i="5"/>
  <c r="U226" i="5" s="1"/>
  <c r="Q226" i="5"/>
  <c r="S109" i="5"/>
  <c r="U109" i="5" s="1"/>
  <c r="Q109" i="5"/>
  <c r="S85" i="5"/>
  <c r="U85" i="5" s="1"/>
  <c r="Q85" i="5"/>
  <c r="P72" i="5"/>
  <c r="R72" i="5"/>
  <c r="T72" i="5" s="1"/>
  <c r="S155" i="5"/>
  <c r="U155" i="5" s="1"/>
  <c r="Q155" i="5"/>
  <c r="S160" i="5"/>
  <c r="U160" i="5" s="1"/>
  <c r="Q160" i="5"/>
  <c r="R121" i="5"/>
  <c r="T121" i="5" s="1"/>
  <c r="P121" i="5"/>
  <c r="P84" i="5"/>
  <c r="R84" i="5"/>
  <c r="T84" i="5" s="1"/>
  <c r="S136" i="5"/>
  <c r="U136" i="5" s="1"/>
  <c r="Q136" i="5"/>
  <c r="S138" i="5"/>
  <c r="U138" i="5" s="1"/>
  <c r="Q138" i="5"/>
  <c r="R71" i="5"/>
  <c r="T71" i="5" s="1"/>
  <c r="P71" i="5"/>
  <c r="S75" i="5"/>
  <c r="U75" i="5" s="1"/>
  <c r="Q75" i="5"/>
  <c r="R48" i="5"/>
  <c r="T48" i="5" s="1"/>
  <c r="P48" i="5"/>
  <c r="R127" i="5"/>
  <c r="T127" i="5" s="1"/>
  <c r="P127" i="5"/>
  <c r="S81" i="5"/>
  <c r="U81" i="5" s="1"/>
  <c r="Q81" i="5"/>
  <c r="S60" i="5"/>
  <c r="U60" i="5" s="1"/>
  <c r="Q60" i="5"/>
  <c r="S66" i="5"/>
  <c r="U66" i="5" s="1"/>
  <c r="Q66" i="5"/>
  <c r="P19" i="5"/>
  <c r="R19" i="5"/>
  <c r="T19" i="5" s="1"/>
  <c r="P26" i="5"/>
  <c r="R26" i="5"/>
  <c r="T26" i="5" s="1"/>
  <c r="Q19" i="5"/>
  <c r="S19" i="5"/>
  <c r="U19" i="5" s="1"/>
  <c r="S49" i="5"/>
  <c r="U49" i="5" s="1"/>
  <c r="Q49" i="5"/>
  <c r="S51" i="5"/>
  <c r="U51" i="5" s="1"/>
  <c r="Q51" i="5"/>
  <c r="Q308" i="5"/>
  <c r="S308" i="5"/>
  <c r="U308" i="5" s="1"/>
  <c r="P240" i="5"/>
  <c r="R240" i="5"/>
  <c r="T240" i="5" s="1"/>
  <c r="R231" i="5"/>
  <c r="T231" i="5" s="1"/>
  <c r="P231" i="5"/>
  <c r="P148" i="5"/>
  <c r="R148" i="5"/>
  <c r="T148" i="5" s="1"/>
  <c r="R348" i="5"/>
  <c r="T348" i="5" s="1"/>
  <c r="P348" i="5"/>
  <c r="S363" i="5"/>
  <c r="U363" i="5" s="1"/>
  <c r="Q363" i="5"/>
  <c r="P359" i="5"/>
  <c r="R359" i="5"/>
  <c r="T359" i="5" s="1"/>
  <c r="R302" i="5"/>
  <c r="T302" i="5" s="1"/>
  <c r="P302" i="5"/>
  <c r="R278" i="5"/>
  <c r="T278" i="5" s="1"/>
  <c r="P278" i="5"/>
  <c r="P313" i="5"/>
  <c r="R313" i="5"/>
  <c r="T313" i="5" s="1"/>
  <c r="P353" i="5"/>
  <c r="R353" i="5"/>
  <c r="T353" i="5" s="1"/>
  <c r="Q323" i="5"/>
  <c r="S323" i="5"/>
  <c r="U323" i="5" s="1"/>
  <c r="R301" i="5"/>
  <c r="T301" i="5" s="1"/>
  <c r="P301" i="5"/>
  <c r="S302" i="5"/>
  <c r="U302" i="5" s="1"/>
  <c r="Q302" i="5"/>
  <c r="S254" i="5"/>
  <c r="U254" i="5" s="1"/>
  <c r="Q254" i="5"/>
  <c r="S275" i="5"/>
  <c r="U275" i="5" s="1"/>
  <c r="Q275" i="5"/>
  <c r="S286" i="5"/>
  <c r="U286" i="5" s="1"/>
  <c r="Q286" i="5"/>
  <c r="R279" i="5"/>
  <c r="T279" i="5" s="1"/>
  <c r="P279" i="5"/>
  <c r="S239" i="5"/>
  <c r="U239" i="5" s="1"/>
  <c r="Q239" i="5"/>
  <c r="S235" i="5"/>
  <c r="U235" i="5" s="1"/>
  <c r="Q235" i="5"/>
  <c r="R207" i="5"/>
  <c r="T207" i="5" s="1"/>
  <c r="P207" i="5"/>
  <c r="S229" i="5"/>
  <c r="U229" i="5" s="1"/>
  <c r="Q229" i="5"/>
  <c r="R219" i="5"/>
  <c r="T219" i="5" s="1"/>
  <c r="P219" i="5"/>
  <c r="S223" i="5"/>
  <c r="U223" i="5" s="1"/>
  <c r="Q223" i="5"/>
  <c r="S186" i="5"/>
  <c r="U186" i="5" s="1"/>
  <c r="Q186" i="5"/>
  <c r="R156" i="5"/>
  <c r="T156" i="5" s="1"/>
  <c r="P156" i="5"/>
  <c r="P249" i="5"/>
  <c r="R249" i="5"/>
  <c r="T249" i="5" s="1"/>
  <c r="S217" i="5"/>
  <c r="U217" i="5" s="1"/>
  <c r="Q217" i="5"/>
  <c r="P162" i="5"/>
  <c r="R162" i="5"/>
  <c r="T162" i="5" s="1"/>
  <c r="S180" i="5"/>
  <c r="U180" i="5" s="1"/>
  <c r="Q180" i="5"/>
  <c r="R212" i="5"/>
  <c r="T212" i="5" s="1"/>
  <c r="P212" i="5"/>
  <c r="R119" i="5"/>
  <c r="T119" i="5" s="1"/>
  <c r="P119" i="5"/>
  <c r="R88" i="5"/>
  <c r="T88" i="5" s="1"/>
  <c r="P88" i="5"/>
  <c r="R109" i="5"/>
  <c r="T109" i="5" s="1"/>
  <c r="P109" i="5"/>
  <c r="Q74" i="5"/>
  <c r="S74" i="5"/>
  <c r="U74" i="5" s="1"/>
  <c r="S69" i="5"/>
  <c r="U69" i="5" s="1"/>
  <c r="Q69" i="5"/>
  <c r="R45" i="5"/>
  <c r="T45" i="5" s="1"/>
  <c r="P45" i="5"/>
  <c r="P87" i="5"/>
  <c r="R87" i="5"/>
  <c r="T87" i="5" s="1"/>
  <c r="P77" i="5"/>
  <c r="R77" i="5"/>
  <c r="T77" i="5" s="1"/>
  <c r="P13" i="5"/>
  <c r="R13" i="5"/>
  <c r="T13" i="5" s="1"/>
  <c r="P66" i="5"/>
  <c r="R66" i="5"/>
  <c r="T66" i="5" s="1"/>
  <c r="S40" i="5"/>
  <c r="U40" i="5" s="1"/>
  <c r="Q40" i="5"/>
  <c r="S61" i="5"/>
  <c r="U61" i="5" s="1"/>
  <c r="Q61" i="5"/>
  <c r="R3" i="5"/>
  <c r="T3" i="5" s="1"/>
  <c r="P3" i="5"/>
  <c r="Q10" i="5"/>
  <c r="S10" i="5"/>
  <c r="U10" i="5" s="1"/>
  <c r="R9" i="5"/>
  <c r="T9" i="5" s="1"/>
  <c r="P9" i="5"/>
  <c r="R355" i="5"/>
  <c r="T355" i="5" s="1"/>
  <c r="P355" i="5"/>
  <c r="S283" i="5"/>
  <c r="U283" i="5" s="1"/>
  <c r="Q283" i="5"/>
  <c r="S322" i="5"/>
  <c r="U322" i="5" s="1"/>
  <c r="Q322" i="5"/>
  <c r="R345" i="5"/>
  <c r="T345" i="5" s="1"/>
  <c r="P345" i="5"/>
  <c r="Q359" i="5"/>
  <c r="S359" i="5"/>
  <c r="U359" i="5" s="1"/>
  <c r="S324" i="5"/>
  <c r="U324" i="5" s="1"/>
  <c r="Q324" i="5"/>
  <c r="R334" i="5"/>
  <c r="T334" i="5" s="1"/>
  <c r="P334" i="5"/>
  <c r="P362" i="5"/>
  <c r="R362" i="5"/>
  <c r="T362" i="5" s="1"/>
  <c r="R328" i="5"/>
  <c r="T328" i="5" s="1"/>
  <c r="P328" i="5"/>
  <c r="S361" i="5"/>
  <c r="U361" i="5" s="1"/>
  <c r="Q361" i="5"/>
  <c r="R361" i="5"/>
  <c r="T361" i="5" s="1"/>
  <c r="P361" i="5"/>
  <c r="S318" i="5"/>
  <c r="U318" i="5" s="1"/>
  <c r="Q318" i="5"/>
  <c r="S357" i="5"/>
  <c r="U357" i="5" s="1"/>
  <c r="Q357" i="5"/>
  <c r="R325" i="5"/>
  <c r="T325" i="5" s="1"/>
  <c r="P325" i="5"/>
  <c r="S360" i="5"/>
  <c r="U360" i="5" s="1"/>
  <c r="Q360" i="5"/>
  <c r="P316" i="5"/>
  <c r="R316" i="5"/>
  <c r="T316" i="5" s="1"/>
  <c r="S348" i="5"/>
  <c r="U348" i="5" s="1"/>
  <c r="Q348" i="5"/>
  <c r="S274" i="5"/>
  <c r="U274" i="5" s="1"/>
  <c r="Q274" i="5"/>
  <c r="R322" i="5"/>
  <c r="T322" i="5" s="1"/>
  <c r="P322" i="5"/>
  <c r="P284" i="5"/>
  <c r="R284" i="5"/>
  <c r="T284" i="5" s="1"/>
  <c r="S257" i="5"/>
  <c r="U257" i="5" s="1"/>
  <c r="Q257" i="5"/>
  <c r="P260" i="5"/>
  <c r="R260" i="5"/>
  <c r="T260" i="5" s="1"/>
  <c r="S233" i="5"/>
  <c r="U233" i="5" s="1"/>
  <c r="Q233" i="5"/>
  <c r="R201" i="5"/>
  <c r="T201" i="5" s="1"/>
  <c r="P201" i="5"/>
  <c r="R206" i="5"/>
  <c r="T206" i="5" s="1"/>
  <c r="P206" i="5"/>
  <c r="S154" i="5"/>
  <c r="U154" i="5" s="1"/>
  <c r="Q154" i="5"/>
  <c r="Q193" i="5"/>
  <c r="S193" i="5"/>
  <c r="U193" i="5" s="1"/>
  <c r="R167" i="5"/>
  <c r="T167" i="5" s="1"/>
  <c r="P167" i="5"/>
  <c r="P241" i="5"/>
  <c r="R241" i="5"/>
  <c r="T241" i="5" s="1"/>
  <c r="S227" i="5"/>
  <c r="U227" i="5" s="1"/>
  <c r="Q227" i="5"/>
  <c r="S159" i="5"/>
  <c r="U159" i="5" s="1"/>
  <c r="Q159" i="5"/>
  <c r="R179" i="5"/>
  <c r="T179" i="5" s="1"/>
  <c r="P179" i="5"/>
  <c r="S214" i="5"/>
  <c r="U214" i="5" s="1"/>
  <c r="Q214" i="5"/>
  <c r="R130" i="5"/>
  <c r="T130" i="5" s="1"/>
  <c r="P130" i="5"/>
  <c r="S151" i="5"/>
  <c r="U151" i="5" s="1"/>
  <c r="Q151" i="5"/>
  <c r="R126" i="5"/>
  <c r="T126" i="5" s="1"/>
  <c r="P126" i="5"/>
  <c r="S71" i="5"/>
  <c r="U71" i="5" s="1"/>
  <c r="Q71" i="5"/>
  <c r="U77" i="5"/>
  <c r="R73" i="5"/>
  <c r="T73" i="5" s="1"/>
  <c r="P73" i="5"/>
  <c r="R33" i="5"/>
  <c r="T33" i="5" s="1"/>
  <c r="P33" i="5"/>
  <c r="P7" i="5"/>
  <c r="R7" i="5"/>
  <c r="T7" i="5" s="1"/>
  <c r="R114" i="5"/>
  <c r="T114" i="5" s="1"/>
  <c r="P114" i="5"/>
  <c r="S43" i="5"/>
  <c r="U43" i="5" s="1"/>
  <c r="Q43" i="5"/>
  <c r="P338" i="5"/>
  <c r="R338" i="5"/>
  <c r="T338" i="5" s="1"/>
  <c r="R258" i="5"/>
  <c r="T258" i="5" s="1"/>
  <c r="P258" i="5"/>
  <c r="R342" i="5"/>
  <c r="T342" i="5" s="1"/>
  <c r="P342" i="5"/>
  <c r="S321" i="5"/>
  <c r="U321" i="5" s="1"/>
  <c r="Q321" i="5"/>
  <c r="S342" i="5"/>
  <c r="U342" i="5" s="1"/>
  <c r="Q342" i="5"/>
  <c r="S319" i="5"/>
  <c r="U319" i="5" s="1"/>
  <c r="Q319" i="5"/>
  <c r="R298" i="5"/>
  <c r="T298" i="5" s="1"/>
  <c r="P298" i="5"/>
  <c r="R274" i="5"/>
  <c r="T274" i="5" s="1"/>
  <c r="P274" i="5"/>
  <c r="Q350" i="5"/>
  <c r="S350" i="5"/>
  <c r="U350" i="5" s="1"/>
  <c r="P326" i="5"/>
  <c r="R326" i="5"/>
  <c r="T326" i="5" s="1"/>
  <c r="R289" i="5"/>
  <c r="T289" i="5" s="1"/>
  <c r="P289" i="5"/>
  <c r="S330" i="5"/>
  <c r="U330" i="5" s="1"/>
  <c r="Q330" i="5"/>
  <c r="P296" i="5"/>
  <c r="R296" i="5"/>
  <c r="T296" i="5" s="1"/>
  <c r="Q310" i="5"/>
  <c r="S310" i="5"/>
  <c r="U310" i="5" s="1"/>
  <c r="U256" i="5"/>
  <c r="R266" i="5"/>
  <c r="T266" i="5" s="1"/>
  <c r="P266" i="5"/>
  <c r="Q329" i="5"/>
  <c r="S329" i="5"/>
  <c r="U329" i="5" s="1"/>
  <c r="R224" i="5"/>
  <c r="T224" i="5" s="1"/>
  <c r="P224" i="5"/>
  <c r="R246" i="5"/>
  <c r="T246" i="5" s="1"/>
  <c r="P246" i="5"/>
  <c r="S208" i="5"/>
  <c r="U208" i="5" s="1"/>
  <c r="Q208" i="5"/>
  <c r="P181" i="5"/>
  <c r="R181" i="5"/>
  <c r="T181" i="5" s="1"/>
  <c r="R150" i="5"/>
  <c r="T150" i="5" s="1"/>
  <c r="P150" i="5"/>
  <c r="R242" i="5"/>
  <c r="T242" i="5" s="1"/>
  <c r="P242" i="5"/>
  <c r="Q228" i="5"/>
  <c r="S228" i="5"/>
  <c r="U228" i="5" s="1"/>
  <c r="R137" i="5"/>
  <c r="T137" i="5" s="1"/>
  <c r="P137" i="5"/>
  <c r="S158" i="5"/>
  <c r="U158" i="5" s="1"/>
  <c r="Q158" i="5"/>
  <c r="P222" i="5"/>
  <c r="R222" i="5"/>
  <c r="T222" i="5" s="1"/>
  <c r="R147" i="5"/>
  <c r="T147" i="5" s="1"/>
  <c r="P147" i="5"/>
  <c r="R93" i="5"/>
  <c r="T93" i="5" s="1"/>
  <c r="P93" i="5"/>
  <c r="R118" i="5"/>
  <c r="T118" i="5" s="1"/>
  <c r="P118" i="5"/>
  <c r="S150" i="5"/>
  <c r="U150" i="5" s="1"/>
  <c r="Q150" i="5"/>
  <c r="P160" i="5"/>
  <c r="R160" i="5"/>
  <c r="T160" i="5" s="1"/>
  <c r="R43" i="5"/>
  <c r="T43" i="5" s="1"/>
  <c r="P43" i="5"/>
  <c r="S102" i="5"/>
  <c r="U102" i="5" s="1"/>
  <c r="Q102" i="5"/>
  <c r="Q62" i="5"/>
  <c r="S62" i="5"/>
  <c r="U62" i="5" s="1"/>
  <c r="T39" i="5"/>
  <c r="S73" i="5"/>
  <c r="U73" i="5" s="1"/>
  <c r="Q73" i="5"/>
  <c r="R47" i="5"/>
  <c r="T47" i="5" s="1"/>
  <c r="P47" i="5"/>
  <c r="R115" i="5"/>
  <c r="T115" i="5" s="1"/>
  <c r="P115" i="5"/>
  <c r="S103" i="5"/>
  <c r="U103" i="5" s="1"/>
  <c r="Q103" i="5"/>
  <c r="Q4" i="5"/>
  <c r="S4" i="5"/>
  <c r="U4" i="5" s="1"/>
  <c r="P37" i="5"/>
  <c r="R37" i="5"/>
  <c r="T37" i="5" s="1"/>
  <c r="R21" i="5"/>
  <c r="T21" i="5" s="1"/>
  <c r="P21" i="5"/>
  <c r="R333" i="5"/>
  <c r="T333" i="5" s="1"/>
  <c r="P333" i="5"/>
  <c r="P317" i="5"/>
  <c r="R317" i="5"/>
  <c r="T317" i="5" s="1"/>
  <c r="R264" i="5"/>
  <c r="T264" i="5" s="1"/>
  <c r="P264" i="5"/>
  <c r="R288" i="5"/>
  <c r="T288" i="5" s="1"/>
  <c r="P288" i="5"/>
  <c r="S205" i="5"/>
  <c r="U205" i="5" s="1"/>
  <c r="Q205" i="5"/>
  <c r="R85" i="5"/>
  <c r="T85" i="5" s="1"/>
  <c r="P85" i="5"/>
  <c r="S6" i="5"/>
  <c r="U6" i="5" s="1"/>
  <c r="Q6" i="5"/>
  <c r="R339" i="5"/>
  <c r="T339" i="5" s="1"/>
  <c r="P339" i="5"/>
  <c r="Q356" i="5"/>
  <c r="S356" i="5"/>
  <c r="U356" i="5" s="1"/>
  <c r="S345" i="5"/>
  <c r="U345" i="5" s="1"/>
  <c r="Q345" i="5"/>
  <c r="R321" i="5"/>
  <c r="T321" i="5" s="1"/>
  <c r="P321" i="5"/>
  <c r="R285" i="5"/>
  <c r="T285" i="5" s="1"/>
  <c r="P285" i="5"/>
  <c r="S352" i="5"/>
  <c r="U352" i="5" s="1"/>
  <c r="Q352" i="5"/>
  <c r="S325" i="5"/>
  <c r="U325" i="5" s="1"/>
  <c r="Q325" i="5"/>
  <c r="Q320" i="5"/>
  <c r="S320" i="5"/>
  <c r="U320" i="5" s="1"/>
  <c r="S354" i="5"/>
  <c r="U354" i="5" s="1"/>
  <c r="Q354" i="5"/>
  <c r="P314" i="5"/>
  <c r="R314" i="5"/>
  <c r="T314" i="5" s="1"/>
  <c r="S271" i="5"/>
  <c r="U271" i="5" s="1"/>
  <c r="Q271" i="5"/>
  <c r="R295" i="5"/>
  <c r="T295" i="5" s="1"/>
  <c r="P295" i="5"/>
  <c r="P238" i="5"/>
  <c r="R238" i="5"/>
  <c r="T238" i="5" s="1"/>
  <c r="R257" i="5"/>
  <c r="T257" i="5" s="1"/>
  <c r="P257" i="5"/>
  <c r="R243" i="5"/>
  <c r="T243" i="5" s="1"/>
  <c r="P243" i="5"/>
  <c r="S162" i="5"/>
  <c r="U162" i="5" s="1"/>
  <c r="Q162" i="5"/>
  <c r="R133" i="5"/>
  <c r="T133" i="5" s="1"/>
  <c r="P133" i="5"/>
  <c r="P237" i="5"/>
  <c r="R237" i="5"/>
  <c r="T237" i="5" s="1"/>
  <c r="R195" i="5"/>
  <c r="T195" i="5" s="1"/>
  <c r="P195" i="5"/>
  <c r="S171" i="5"/>
  <c r="U171" i="5" s="1"/>
  <c r="Q171" i="5"/>
  <c r="S64" i="5"/>
  <c r="U64" i="5" s="1"/>
  <c r="Q64" i="5"/>
  <c r="S126" i="5"/>
  <c r="U126" i="5" s="1"/>
  <c r="Q126" i="5"/>
  <c r="R105" i="5"/>
  <c r="T105" i="5" s="1"/>
  <c r="P105" i="5"/>
  <c r="Q199" i="5"/>
  <c r="S199" i="5"/>
  <c r="U199" i="5" s="1"/>
  <c r="S172" i="5"/>
  <c r="U172" i="5" s="1"/>
  <c r="Q172" i="5"/>
  <c r="R143" i="5"/>
  <c r="T143" i="5" s="1"/>
  <c r="P143" i="5"/>
  <c r="R113" i="5"/>
  <c r="T113" i="5" s="1"/>
  <c r="P113" i="5"/>
  <c r="S96" i="5"/>
  <c r="U96" i="5" s="1"/>
  <c r="Q96" i="5"/>
  <c r="S83" i="5"/>
  <c r="U83" i="5" s="1"/>
  <c r="Q83" i="5"/>
  <c r="R122" i="5"/>
  <c r="T122" i="5" s="1"/>
  <c r="P122" i="5"/>
  <c r="S7" i="5"/>
  <c r="U7" i="5" s="1"/>
  <c r="Q7" i="5"/>
  <c r="S18" i="5"/>
  <c r="U18" i="5" s="1"/>
  <c r="Q18" i="5"/>
  <c r="R38" i="5"/>
  <c r="T38" i="5" s="1"/>
  <c r="P38" i="5"/>
  <c r="R309" i="5"/>
  <c r="T309" i="5" s="1"/>
  <c r="P309" i="5"/>
  <c r="S281" i="5"/>
  <c r="U281" i="5" s="1"/>
  <c r="Q281" i="5"/>
  <c r="S262" i="5"/>
  <c r="U262" i="5" s="1"/>
  <c r="Q262" i="5"/>
  <c r="R239" i="5"/>
  <c r="T239" i="5" s="1"/>
  <c r="P239" i="5"/>
  <c r="S89" i="5"/>
  <c r="U89" i="5" s="1"/>
  <c r="Q89" i="5"/>
  <c r="R336" i="5"/>
  <c r="T336" i="5" s="1"/>
  <c r="P336" i="5"/>
  <c r="R319" i="5"/>
  <c r="T319" i="5" s="1"/>
  <c r="P319" i="5"/>
  <c r="R294" i="5"/>
  <c r="T294" i="5" s="1"/>
  <c r="P294" i="5"/>
  <c r="U331" i="5"/>
  <c r="R281" i="5"/>
  <c r="T281" i="5" s="1"/>
  <c r="P281" i="5"/>
  <c r="P350" i="5"/>
  <c r="R350" i="5"/>
  <c r="T350" i="5" s="1"/>
  <c r="P323" i="5"/>
  <c r="R323" i="5"/>
  <c r="T323" i="5" s="1"/>
  <c r="R352" i="5"/>
  <c r="T352" i="5" s="1"/>
  <c r="P352" i="5"/>
  <c r="Q314" i="5"/>
  <c r="S314" i="5"/>
  <c r="U314" i="5" s="1"/>
  <c r="R263" i="5"/>
  <c r="T263" i="5" s="1"/>
  <c r="P263" i="5"/>
  <c r="Q255" i="5"/>
  <c r="S255" i="5"/>
  <c r="U255" i="5" s="1"/>
  <c r="S295" i="5"/>
  <c r="U295" i="5" s="1"/>
  <c r="Q295" i="5"/>
  <c r="R293" i="5"/>
  <c r="T293" i="5" s="1"/>
  <c r="P293" i="5"/>
  <c r="S337" i="5"/>
  <c r="U337" i="5" s="1"/>
  <c r="Q337" i="5"/>
  <c r="S301" i="5"/>
  <c r="U301" i="5" s="1"/>
  <c r="Q301" i="5"/>
  <c r="S253" i="5"/>
  <c r="U253" i="5" s="1"/>
  <c r="Q253" i="5"/>
  <c r="S278" i="5"/>
  <c r="U278" i="5" s="1"/>
  <c r="Q278" i="5"/>
  <c r="Q243" i="5"/>
  <c r="S243" i="5"/>
  <c r="U243" i="5" s="1"/>
  <c r="S244" i="5"/>
  <c r="U244" i="5" s="1"/>
  <c r="Q244" i="5"/>
  <c r="R146" i="5"/>
  <c r="T146" i="5" s="1"/>
  <c r="P146" i="5"/>
  <c r="Q190" i="5"/>
  <c r="S190" i="5"/>
  <c r="U190" i="5" s="1"/>
  <c r="R155" i="5"/>
  <c r="T155" i="5" s="1"/>
  <c r="P155" i="5"/>
  <c r="R129" i="5"/>
  <c r="T129" i="5" s="1"/>
  <c r="P129" i="5"/>
  <c r="R218" i="5"/>
  <c r="T218" i="5" s="1"/>
  <c r="P218" i="5"/>
  <c r="S184" i="5"/>
  <c r="U184" i="5" s="1"/>
  <c r="Q184" i="5"/>
  <c r="P153" i="5"/>
  <c r="R153" i="5"/>
  <c r="T153" i="5" s="1"/>
  <c r="R200" i="5"/>
  <c r="T200" i="5" s="1"/>
  <c r="P200" i="5"/>
  <c r="T166" i="5"/>
  <c r="S211" i="5"/>
  <c r="U211" i="5" s="1"/>
  <c r="Q211" i="5"/>
  <c r="R108" i="5"/>
  <c r="T108" i="5" s="1"/>
  <c r="P108" i="5"/>
  <c r="S90" i="5"/>
  <c r="U90" i="5" s="1"/>
  <c r="Q90" i="5"/>
  <c r="P69" i="5"/>
  <c r="R69" i="5"/>
  <c r="T69" i="5" s="1"/>
  <c r="R35" i="5"/>
  <c r="T35" i="5" s="1"/>
  <c r="P35" i="5"/>
  <c r="S68" i="5"/>
  <c r="U68" i="5" s="1"/>
  <c r="Q68" i="5"/>
  <c r="R31" i="5"/>
  <c r="T31" i="5" s="1"/>
  <c r="P31" i="5"/>
  <c r="S3" i="5"/>
  <c r="U3" i="5" s="1"/>
  <c r="Q3" i="5"/>
  <c r="R12" i="5"/>
  <c r="T12" i="5" s="1"/>
  <c r="P12" i="5"/>
  <c r="R367" i="4"/>
  <c r="V367" i="4" s="1"/>
  <c r="K367" i="4"/>
  <c r="O367" i="4" s="1"/>
  <c r="D367" i="4"/>
  <c r="H367" i="4" s="1"/>
  <c r="R366" i="4"/>
  <c r="V366" i="4" s="1"/>
  <c r="K366" i="4"/>
  <c r="O366" i="4" s="1"/>
  <c r="D366" i="4"/>
  <c r="H366" i="4" s="1"/>
  <c r="R365" i="4"/>
  <c r="V365" i="4" s="1"/>
  <c r="K365" i="4"/>
  <c r="O365" i="4" s="1"/>
  <c r="D365" i="4"/>
  <c r="H365" i="4" s="1"/>
  <c r="R364" i="4"/>
  <c r="K364" i="4"/>
  <c r="O364" i="4" s="1"/>
  <c r="D364" i="4"/>
  <c r="R363" i="4"/>
  <c r="V363" i="4" s="1"/>
  <c r="K363" i="4"/>
  <c r="O363" i="4" s="1"/>
  <c r="D363" i="4"/>
  <c r="H363" i="4" s="1"/>
  <c r="R362" i="4"/>
  <c r="V362" i="4" s="1"/>
  <c r="K362" i="4"/>
  <c r="O362" i="4" s="1"/>
  <c r="D362" i="4"/>
  <c r="H362" i="4" s="1"/>
  <c r="R361" i="4"/>
  <c r="V361" i="4" s="1"/>
  <c r="K361" i="4"/>
  <c r="O361" i="4" s="1"/>
  <c r="D361" i="4"/>
  <c r="H361" i="4" s="1"/>
  <c r="R360" i="4"/>
  <c r="V360" i="4" s="1"/>
  <c r="K360" i="4"/>
  <c r="D360" i="4"/>
  <c r="H360" i="4" s="1"/>
  <c r="R359" i="4"/>
  <c r="V359" i="4" s="1"/>
  <c r="K359" i="4"/>
  <c r="O359" i="4" s="1"/>
  <c r="D359" i="4"/>
  <c r="H359" i="4" s="1"/>
  <c r="R358" i="4"/>
  <c r="V358" i="4" s="1"/>
  <c r="K358" i="4"/>
  <c r="O358" i="4" s="1"/>
  <c r="D358" i="4"/>
  <c r="H358" i="4" s="1"/>
  <c r="R357" i="4"/>
  <c r="K357" i="4"/>
  <c r="O357" i="4" s="1"/>
  <c r="D357" i="4"/>
  <c r="H357" i="4" s="1"/>
  <c r="R356" i="4"/>
  <c r="V356" i="4" s="1"/>
  <c r="K356" i="4"/>
  <c r="O356" i="4" s="1"/>
  <c r="D356" i="4"/>
  <c r="H356" i="4" s="1"/>
  <c r="R355" i="4"/>
  <c r="V355" i="4" s="1"/>
  <c r="K355" i="4"/>
  <c r="O355" i="4" s="1"/>
  <c r="D355" i="4"/>
  <c r="H355" i="4" s="1"/>
  <c r="R354" i="4"/>
  <c r="V354" i="4" s="1"/>
  <c r="K354" i="4"/>
  <c r="D354" i="4"/>
  <c r="H354" i="4" s="1"/>
  <c r="R353" i="4"/>
  <c r="V353" i="4" s="1"/>
  <c r="K353" i="4"/>
  <c r="O353" i="4" s="1"/>
  <c r="D353" i="4"/>
  <c r="H353" i="4" s="1"/>
  <c r="R352" i="4"/>
  <c r="V352" i="4" s="1"/>
  <c r="K352" i="4"/>
  <c r="O352" i="4" s="1"/>
  <c r="D352" i="4"/>
  <c r="H352" i="4" s="1"/>
  <c r="R351" i="4"/>
  <c r="V351" i="4" s="1"/>
  <c r="K351" i="4"/>
  <c r="D351" i="4"/>
  <c r="H351" i="4" s="1"/>
  <c r="R350" i="4"/>
  <c r="V350" i="4" s="1"/>
  <c r="K350" i="4"/>
  <c r="O350" i="4" s="1"/>
  <c r="D350" i="4"/>
  <c r="R349" i="4"/>
  <c r="V349" i="4" s="1"/>
  <c r="K349" i="4"/>
  <c r="O349" i="4" s="1"/>
  <c r="D349" i="4"/>
  <c r="H349" i="4" s="1"/>
  <c r="R348" i="4"/>
  <c r="V348" i="4" s="1"/>
  <c r="K348" i="4"/>
  <c r="O348" i="4" s="1"/>
  <c r="D348" i="4"/>
  <c r="H348" i="4" s="1"/>
  <c r="R347" i="4"/>
  <c r="V347" i="4" s="1"/>
  <c r="K347" i="4"/>
  <c r="O347" i="4" s="1"/>
  <c r="D347" i="4"/>
  <c r="H347" i="4" s="1"/>
  <c r="R346" i="4"/>
  <c r="V346" i="4" s="1"/>
  <c r="K346" i="4"/>
  <c r="O346" i="4" s="1"/>
  <c r="D346" i="4"/>
  <c r="H346" i="4" s="1"/>
  <c r="R345" i="4"/>
  <c r="V345" i="4" s="1"/>
  <c r="K345" i="4"/>
  <c r="O345" i="4" s="1"/>
  <c r="D345" i="4"/>
  <c r="H345" i="4" s="1"/>
  <c r="R344" i="4"/>
  <c r="V344" i="4" s="1"/>
  <c r="K344" i="4"/>
  <c r="O344" i="4" s="1"/>
  <c r="D344" i="4"/>
  <c r="H344" i="4" s="1"/>
  <c r="R343" i="4"/>
  <c r="V343" i="4" s="1"/>
  <c r="K343" i="4"/>
  <c r="O343" i="4" s="1"/>
  <c r="D343" i="4"/>
  <c r="H343" i="4" s="1"/>
  <c r="R342" i="4"/>
  <c r="K342" i="4"/>
  <c r="O342" i="4" s="1"/>
  <c r="D342" i="4"/>
  <c r="H342" i="4" s="1"/>
  <c r="R341" i="4"/>
  <c r="V341" i="4" s="1"/>
  <c r="K341" i="4"/>
  <c r="O341" i="4" s="1"/>
  <c r="D341" i="4"/>
  <c r="R340" i="4"/>
  <c r="V340" i="4" s="1"/>
  <c r="K340" i="4"/>
  <c r="O340" i="4" s="1"/>
  <c r="D340" i="4"/>
  <c r="H340" i="4" s="1"/>
  <c r="R339" i="4"/>
  <c r="V339" i="4" s="1"/>
  <c r="K339" i="4"/>
  <c r="O339" i="4" s="1"/>
  <c r="D339" i="4"/>
  <c r="H339" i="4" s="1"/>
  <c r="R338" i="4"/>
  <c r="V338" i="4" s="1"/>
  <c r="K338" i="4"/>
  <c r="D338" i="4"/>
  <c r="H338" i="4" s="1"/>
  <c r="R337" i="4"/>
  <c r="V337" i="4" s="1"/>
  <c r="K337" i="4"/>
  <c r="O337" i="4" s="1"/>
  <c r="D337" i="4"/>
  <c r="H337" i="4" s="1"/>
  <c r="R336" i="4"/>
  <c r="V336" i="4" s="1"/>
  <c r="K336" i="4"/>
  <c r="O336" i="4" s="1"/>
  <c r="D336" i="4"/>
  <c r="H336" i="4" s="1"/>
  <c r="R335" i="4"/>
  <c r="V335" i="4" s="1"/>
  <c r="K335" i="4"/>
  <c r="D335" i="4"/>
  <c r="H335" i="4" s="1"/>
  <c r="R334" i="4"/>
  <c r="V334" i="4" s="1"/>
  <c r="K334" i="4"/>
  <c r="O334" i="4" s="1"/>
  <c r="D334" i="4"/>
  <c r="H334" i="4" s="1"/>
  <c r="R333" i="4"/>
  <c r="K333" i="4"/>
  <c r="O333" i="4" s="1"/>
  <c r="D333" i="4"/>
  <c r="H333" i="4" s="1"/>
  <c r="R332" i="4"/>
  <c r="V332" i="4" s="1"/>
  <c r="K332" i="4"/>
  <c r="O332" i="4" s="1"/>
  <c r="D332" i="4"/>
  <c r="R331" i="4"/>
  <c r="V331" i="4" s="1"/>
  <c r="K331" i="4"/>
  <c r="O331" i="4" s="1"/>
  <c r="D331" i="4"/>
  <c r="H331" i="4" s="1"/>
  <c r="R330" i="4"/>
  <c r="V330" i="4" s="1"/>
  <c r="K330" i="4"/>
  <c r="D330" i="4"/>
  <c r="H330" i="4" s="1"/>
  <c r="R329" i="4"/>
  <c r="V329" i="4" s="1"/>
  <c r="K329" i="4"/>
  <c r="O329" i="4" s="1"/>
  <c r="D329" i="4"/>
  <c r="R328" i="4"/>
  <c r="K328" i="4"/>
  <c r="O328" i="4" s="1"/>
  <c r="D328" i="4"/>
  <c r="H328" i="4" s="1"/>
  <c r="R327" i="4"/>
  <c r="V327" i="4" s="1"/>
  <c r="K327" i="4"/>
  <c r="O327" i="4" s="1"/>
  <c r="D327" i="4"/>
  <c r="H327" i="4" s="1"/>
  <c r="R326" i="4"/>
  <c r="V326" i="4" s="1"/>
  <c r="K326" i="4"/>
  <c r="O326" i="4" s="1"/>
  <c r="D326" i="4"/>
  <c r="H326" i="4" s="1"/>
  <c r="R325" i="4"/>
  <c r="K325" i="4"/>
  <c r="O325" i="4" s="1"/>
  <c r="D325" i="4"/>
  <c r="H325" i="4" s="1"/>
  <c r="R324" i="4"/>
  <c r="V324" i="4" s="1"/>
  <c r="K324" i="4"/>
  <c r="O324" i="4" s="1"/>
  <c r="D324" i="4"/>
  <c r="H324" i="4" s="1"/>
  <c r="R323" i="4"/>
  <c r="V323" i="4" s="1"/>
  <c r="K323" i="4"/>
  <c r="D323" i="4"/>
  <c r="H323" i="4" s="1"/>
  <c r="R322" i="4"/>
  <c r="V322" i="4" s="1"/>
  <c r="K322" i="4"/>
  <c r="O322" i="4" s="1"/>
  <c r="D322" i="4"/>
  <c r="R321" i="4"/>
  <c r="V321" i="4" s="1"/>
  <c r="K321" i="4"/>
  <c r="O321" i="4" s="1"/>
  <c r="D321" i="4"/>
  <c r="R320" i="4"/>
  <c r="V320" i="4" s="1"/>
  <c r="K320" i="4"/>
  <c r="O320" i="4" s="1"/>
  <c r="D320" i="4"/>
  <c r="H320" i="4" s="1"/>
  <c r="R319" i="4"/>
  <c r="V319" i="4" s="1"/>
  <c r="K319" i="4"/>
  <c r="O319" i="4" s="1"/>
  <c r="D319" i="4"/>
  <c r="H319" i="4" s="1"/>
  <c r="R318" i="4"/>
  <c r="V318" i="4" s="1"/>
  <c r="K318" i="4"/>
  <c r="O318" i="4" s="1"/>
  <c r="D318" i="4"/>
  <c r="H318" i="4" s="1"/>
  <c r="R317" i="4"/>
  <c r="V317" i="4" s="1"/>
  <c r="K317" i="4"/>
  <c r="D317" i="4"/>
  <c r="H317" i="4" s="1"/>
  <c r="R316" i="4"/>
  <c r="V316" i="4" s="1"/>
  <c r="K316" i="4"/>
  <c r="O316" i="4" s="1"/>
  <c r="D316" i="4"/>
  <c r="H316" i="4" s="1"/>
  <c r="R315" i="4"/>
  <c r="K315" i="4"/>
  <c r="O315" i="4" s="1"/>
  <c r="D315" i="4"/>
  <c r="H315" i="4" s="1"/>
  <c r="R314" i="4"/>
  <c r="V314" i="4" s="1"/>
  <c r="K314" i="4"/>
  <c r="O314" i="4" s="1"/>
  <c r="D314" i="4"/>
  <c r="H314" i="4" s="1"/>
  <c r="R313" i="4"/>
  <c r="V313" i="4" s="1"/>
  <c r="K313" i="4"/>
  <c r="O313" i="4" s="1"/>
  <c r="D313" i="4"/>
  <c r="H313" i="4" s="1"/>
  <c r="R312" i="4"/>
  <c r="V312" i="4" s="1"/>
  <c r="K312" i="4"/>
  <c r="O312" i="4" s="1"/>
  <c r="D312" i="4"/>
  <c r="H312" i="4" s="1"/>
  <c r="R311" i="4"/>
  <c r="V311" i="4" s="1"/>
  <c r="K311" i="4"/>
  <c r="O311" i="4" s="1"/>
  <c r="D311" i="4"/>
  <c r="H311" i="4" s="1"/>
  <c r="R310" i="4"/>
  <c r="V310" i="4" s="1"/>
  <c r="K310" i="4"/>
  <c r="D310" i="4"/>
  <c r="H310" i="4" s="1"/>
  <c r="R309" i="4"/>
  <c r="K309" i="4"/>
  <c r="O309" i="4" s="1"/>
  <c r="D309" i="4"/>
  <c r="H309" i="4" s="1"/>
  <c r="R308" i="4"/>
  <c r="V308" i="4" s="1"/>
  <c r="K308" i="4"/>
  <c r="O308" i="4" s="1"/>
  <c r="D308" i="4"/>
  <c r="H308" i="4" s="1"/>
  <c r="R307" i="4"/>
  <c r="V307" i="4" s="1"/>
  <c r="K307" i="4"/>
  <c r="O307" i="4" s="1"/>
  <c r="D307" i="4"/>
  <c r="H307" i="4" s="1"/>
  <c r="R306" i="4"/>
  <c r="V306" i="4" s="1"/>
  <c r="K306" i="4"/>
  <c r="O306" i="4" s="1"/>
  <c r="D306" i="4"/>
  <c r="H306" i="4" s="1"/>
  <c r="R305" i="4"/>
  <c r="V305" i="4" s="1"/>
  <c r="K305" i="4"/>
  <c r="D305" i="4"/>
  <c r="R304" i="4"/>
  <c r="K304" i="4"/>
  <c r="O304" i="4" s="1"/>
  <c r="D304" i="4"/>
  <c r="H304" i="4" s="1"/>
  <c r="R303" i="4"/>
  <c r="V303" i="4" s="1"/>
  <c r="K303" i="4"/>
  <c r="O303" i="4" s="1"/>
  <c r="D303" i="4"/>
  <c r="R302" i="4"/>
  <c r="V302" i="4" s="1"/>
  <c r="K302" i="4"/>
  <c r="O302" i="4" s="1"/>
  <c r="D302" i="4"/>
  <c r="R301" i="4"/>
  <c r="V301" i="4" s="1"/>
  <c r="K301" i="4"/>
  <c r="O301" i="4" s="1"/>
  <c r="D301" i="4"/>
  <c r="H301" i="4" s="1"/>
  <c r="R300" i="4"/>
  <c r="V300" i="4" s="1"/>
  <c r="K300" i="4"/>
  <c r="O300" i="4" s="1"/>
  <c r="D300" i="4"/>
  <c r="H300" i="4" s="1"/>
  <c r="R299" i="4"/>
  <c r="V299" i="4" s="1"/>
  <c r="K299" i="4"/>
  <c r="O299" i="4" s="1"/>
  <c r="D299" i="4"/>
  <c r="H299" i="4" s="1"/>
  <c r="R298" i="4"/>
  <c r="K298" i="4"/>
  <c r="O298" i="4" s="1"/>
  <c r="D298" i="4"/>
  <c r="H298" i="4" s="1"/>
  <c r="R297" i="4"/>
  <c r="V297" i="4" s="1"/>
  <c r="K297" i="4"/>
  <c r="D297" i="4"/>
  <c r="H297" i="4" s="1"/>
  <c r="R296" i="4"/>
  <c r="V296" i="4" s="1"/>
  <c r="K296" i="4"/>
  <c r="D296" i="4"/>
  <c r="H296" i="4" s="1"/>
  <c r="R295" i="4"/>
  <c r="V295" i="4" s="1"/>
  <c r="K295" i="4"/>
  <c r="O295" i="4" s="1"/>
  <c r="D295" i="4"/>
  <c r="H295" i="4" s="1"/>
  <c r="R294" i="4"/>
  <c r="K294" i="4"/>
  <c r="O294" i="4" s="1"/>
  <c r="D294" i="4"/>
  <c r="R293" i="4"/>
  <c r="K293" i="4"/>
  <c r="O293" i="4" s="1"/>
  <c r="D293" i="4"/>
  <c r="H293" i="4" s="1"/>
  <c r="R292" i="4"/>
  <c r="V292" i="4" s="1"/>
  <c r="K292" i="4"/>
  <c r="O292" i="4" s="1"/>
  <c r="D292" i="4"/>
  <c r="H292" i="4" s="1"/>
  <c r="R291" i="4"/>
  <c r="V291" i="4" s="1"/>
  <c r="K291" i="4"/>
  <c r="O291" i="4" s="1"/>
  <c r="D291" i="4"/>
  <c r="H291" i="4" s="1"/>
  <c r="R290" i="4"/>
  <c r="V290" i="4" s="1"/>
  <c r="K290" i="4"/>
  <c r="O290" i="4" s="1"/>
  <c r="D290" i="4"/>
  <c r="R289" i="4"/>
  <c r="K289" i="4"/>
  <c r="O289" i="4" s="1"/>
  <c r="D289" i="4"/>
  <c r="H289" i="4" s="1"/>
  <c r="R288" i="4"/>
  <c r="V288" i="4" s="1"/>
  <c r="K288" i="4"/>
  <c r="O288" i="4" s="1"/>
  <c r="D288" i="4"/>
  <c r="H288" i="4" s="1"/>
  <c r="R287" i="4"/>
  <c r="V287" i="4" s="1"/>
  <c r="K287" i="4"/>
  <c r="O287" i="4" s="1"/>
  <c r="D287" i="4"/>
  <c r="H287" i="4" s="1"/>
  <c r="R286" i="4"/>
  <c r="V286" i="4" s="1"/>
  <c r="K286" i="4"/>
  <c r="O286" i="4" s="1"/>
  <c r="D286" i="4"/>
  <c r="R285" i="4"/>
  <c r="V285" i="4" s="1"/>
  <c r="K285" i="4"/>
  <c r="O285" i="4" s="1"/>
  <c r="D285" i="4"/>
  <c r="R284" i="4"/>
  <c r="V284" i="4" s="1"/>
  <c r="K284" i="4"/>
  <c r="O284" i="4" s="1"/>
  <c r="D284" i="4"/>
  <c r="H284" i="4" s="1"/>
  <c r="R283" i="4"/>
  <c r="V283" i="4" s="1"/>
  <c r="K283" i="4"/>
  <c r="O283" i="4" s="1"/>
  <c r="D283" i="4"/>
  <c r="H283" i="4" s="1"/>
  <c r="R282" i="4"/>
  <c r="K282" i="4"/>
  <c r="O282" i="4" s="1"/>
  <c r="D282" i="4"/>
  <c r="H282" i="4" s="1"/>
  <c r="R281" i="4"/>
  <c r="V281" i="4" s="1"/>
  <c r="K281" i="4"/>
  <c r="O281" i="4" s="1"/>
  <c r="D281" i="4"/>
  <c r="H281" i="4" s="1"/>
  <c r="R280" i="4"/>
  <c r="V280" i="4" s="1"/>
  <c r="K280" i="4"/>
  <c r="O280" i="4" s="1"/>
  <c r="D280" i="4"/>
  <c r="H280" i="4" s="1"/>
  <c r="R279" i="4"/>
  <c r="V279" i="4" s="1"/>
  <c r="K279" i="4"/>
  <c r="O279" i="4" s="1"/>
  <c r="D279" i="4"/>
  <c r="H279" i="4" s="1"/>
  <c r="R278" i="4"/>
  <c r="V278" i="4" s="1"/>
  <c r="K278" i="4"/>
  <c r="O278" i="4" s="1"/>
  <c r="D278" i="4"/>
  <c r="H278" i="4" s="1"/>
  <c r="R277" i="4"/>
  <c r="V277" i="4" s="1"/>
  <c r="K277" i="4"/>
  <c r="O277" i="4" s="1"/>
  <c r="D277" i="4"/>
  <c r="H277" i="4" s="1"/>
  <c r="R276" i="4"/>
  <c r="V276" i="4" s="1"/>
  <c r="K276" i="4"/>
  <c r="O276" i="4" s="1"/>
  <c r="D276" i="4"/>
  <c r="R275" i="4"/>
  <c r="K275" i="4"/>
  <c r="O275" i="4" s="1"/>
  <c r="D275" i="4"/>
  <c r="H275" i="4" s="1"/>
  <c r="R274" i="4"/>
  <c r="K274" i="4"/>
  <c r="O274" i="4" s="1"/>
  <c r="D274" i="4"/>
  <c r="H274" i="4" s="1"/>
  <c r="R273" i="4"/>
  <c r="V273" i="4" s="1"/>
  <c r="K273" i="4"/>
  <c r="O273" i="4" s="1"/>
  <c r="D273" i="4"/>
  <c r="H273" i="4" s="1"/>
  <c r="R272" i="4"/>
  <c r="V272" i="4" s="1"/>
  <c r="K272" i="4"/>
  <c r="O272" i="4" s="1"/>
  <c r="D272" i="4"/>
  <c r="H272" i="4" s="1"/>
  <c r="R271" i="4"/>
  <c r="V271" i="4" s="1"/>
  <c r="K271" i="4"/>
  <c r="O271" i="4" s="1"/>
  <c r="D271" i="4"/>
  <c r="R270" i="4"/>
  <c r="V270" i="4" s="1"/>
  <c r="K270" i="4"/>
  <c r="O270" i="4" s="1"/>
  <c r="D270" i="4"/>
  <c r="H270" i="4" s="1"/>
  <c r="R269" i="4"/>
  <c r="V269" i="4" s="1"/>
  <c r="K269" i="4"/>
  <c r="O269" i="4" s="1"/>
  <c r="D269" i="4"/>
  <c r="H269" i="4" s="1"/>
  <c r="R268" i="4"/>
  <c r="V268" i="4" s="1"/>
  <c r="K268" i="4"/>
  <c r="O268" i="4" s="1"/>
  <c r="D268" i="4"/>
  <c r="H268" i="4" s="1"/>
  <c r="R267" i="4"/>
  <c r="V267" i="4" s="1"/>
  <c r="K267" i="4"/>
  <c r="O267" i="4" s="1"/>
  <c r="D267" i="4"/>
  <c r="R266" i="4"/>
  <c r="V266" i="4" s="1"/>
  <c r="K266" i="4"/>
  <c r="O266" i="4" s="1"/>
  <c r="D266" i="4"/>
  <c r="R265" i="4"/>
  <c r="K265" i="4"/>
  <c r="O265" i="4" s="1"/>
  <c r="D265" i="4"/>
  <c r="H265" i="4" s="1"/>
  <c r="R264" i="4"/>
  <c r="V264" i="4" s="1"/>
  <c r="K264" i="4"/>
  <c r="O264" i="4" s="1"/>
  <c r="D264" i="4"/>
  <c r="H264" i="4" s="1"/>
  <c r="R263" i="4"/>
  <c r="K263" i="4"/>
  <c r="O263" i="4" s="1"/>
  <c r="D263" i="4"/>
  <c r="H263" i="4" s="1"/>
  <c r="R262" i="4"/>
  <c r="V262" i="4" s="1"/>
  <c r="K262" i="4"/>
  <c r="O262" i="4" s="1"/>
  <c r="D262" i="4"/>
  <c r="H262" i="4" s="1"/>
  <c r="R261" i="4"/>
  <c r="V261" i="4" s="1"/>
  <c r="K261" i="4"/>
  <c r="O261" i="4" s="1"/>
  <c r="D261" i="4"/>
  <c r="H261" i="4" s="1"/>
  <c r="R260" i="4"/>
  <c r="K260" i="4"/>
  <c r="O260" i="4" s="1"/>
  <c r="D260" i="4"/>
  <c r="H260" i="4" s="1"/>
  <c r="R259" i="4"/>
  <c r="V259" i="4" s="1"/>
  <c r="K259" i="4"/>
  <c r="O259" i="4" s="1"/>
  <c r="D259" i="4"/>
  <c r="H259" i="4" s="1"/>
  <c r="R258" i="4"/>
  <c r="V258" i="4" s="1"/>
  <c r="K258" i="4"/>
  <c r="O258" i="4" s="1"/>
  <c r="D258" i="4"/>
  <c r="H258" i="4" s="1"/>
  <c r="R257" i="4"/>
  <c r="V257" i="4" s="1"/>
  <c r="K257" i="4"/>
  <c r="O257" i="4" s="1"/>
  <c r="D257" i="4"/>
  <c r="R256" i="4"/>
  <c r="V256" i="4" s="1"/>
  <c r="K256" i="4"/>
  <c r="O256" i="4" s="1"/>
  <c r="D256" i="4"/>
  <c r="H256" i="4" s="1"/>
  <c r="R255" i="4"/>
  <c r="V255" i="4" s="1"/>
  <c r="K255" i="4"/>
  <c r="O255" i="4" s="1"/>
  <c r="D255" i="4"/>
  <c r="R254" i="4"/>
  <c r="V254" i="4" s="1"/>
  <c r="K254" i="4"/>
  <c r="D254" i="4"/>
  <c r="H254" i="4" s="1"/>
  <c r="R253" i="4"/>
  <c r="V253" i="4" s="1"/>
  <c r="K253" i="4"/>
  <c r="O253" i="4" s="1"/>
  <c r="D253" i="4"/>
  <c r="H253" i="4" s="1"/>
  <c r="R252" i="4"/>
  <c r="V252" i="4" s="1"/>
  <c r="K252" i="4"/>
  <c r="O252" i="4" s="1"/>
  <c r="D252" i="4"/>
  <c r="H252" i="4" s="1"/>
  <c r="R251" i="4"/>
  <c r="V251" i="4" s="1"/>
  <c r="K251" i="4"/>
  <c r="O251" i="4" s="1"/>
  <c r="D251" i="4"/>
  <c r="H251" i="4" s="1"/>
  <c r="R250" i="4"/>
  <c r="V250" i="4" s="1"/>
  <c r="K250" i="4"/>
  <c r="O250" i="4" s="1"/>
  <c r="D250" i="4"/>
  <c r="H250" i="4" s="1"/>
  <c r="R249" i="4"/>
  <c r="V249" i="4" s="1"/>
  <c r="K249" i="4"/>
  <c r="O249" i="4" s="1"/>
  <c r="D249" i="4"/>
  <c r="H249" i="4" s="1"/>
  <c r="R248" i="4"/>
  <c r="K248" i="4"/>
  <c r="O248" i="4" s="1"/>
  <c r="D248" i="4"/>
  <c r="R247" i="4"/>
  <c r="V247" i="4" s="1"/>
  <c r="K247" i="4"/>
  <c r="O247" i="4" s="1"/>
  <c r="D247" i="4"/>
  <c r="H247" i="4" s="1"/>
  <c r="R246" i="4"/>
  <c r="V246" i="4" s="1"/>
  <c r="K246" i="4"/>
  <c r="O246" i="4" s="1"/>
  <c r="D246" i="4"/>
  <c r="H246" i="4" s="1"/>
  <c r="R245" i="4"/>
  <c r="V245" i="4" s="1"/>
  <c r="K245" i="4"/>
  <c r="D245" i="4"/>
  <c r="H245" i="4" s="1"/>
  <c r="R244" i="4"/>
  <c r="K244" i="4"/>
  <c r="O244" i="4" s="1"/>
  <c r="D244" i="4"/>
  <c r="H244" i="4" s="1"/>
  <c r="R243" i="4"/>
  <c r="V243" i="4" s="1"/>
  <c r="K243" i="4"/>
  <c r="D243" i="4"/>
  <c r="H243" i="4" s="1"/>
  <c r="R242" i="4"/>
  <c r="V242" i="4" s="1"/>
  <c r="K242" i="4"/>
  <c r="O242" i="4" s="1"/>
  <c r="D242" i="4"/>
  <c r="H242" i="4" s="1"/>
  <c r="R241" i="4"/>
  <c r="V241" i="4" s="1"/>
  <c r="K241" i="4"/>
  <c r="O241" i="4" s="1"/>
  <c r="D241" i="4"/>
  <c r="H241" i="4" s="1"/>
  <c r="R240" i="4"/>
  <c r="V240" i="4" s="1"/>
  <c r="K240" i="4"/>
  <c r="O240" i="4" s="1"/>
  <c r="D240" i="4"/>
  <c r="H240" i="4" s="1"/>
  <c r="R239" i="4"/>
  <c r="V239" i="4" s="1"/>
  <c r="K239" i="4"/>
  <c r="O239" i="4" s="1"/>
  <c r="D239" i="4"/>
  <c r="H239" i="4" s="1"/>
  <c r="R238" i="4"/>
  <c r="V238" i="4" s="1"/>
  <c r="K238" i="4"/>
  <c r="O238" i="4" s="1"/>
  <c r="D238" i="4"/>
  <c r="H238" i="4" s="1"/>
  <c r="R237" i="4"/>
  <c r="V237" i="4" s="1"/>
  <c r="K237" i="4"/>
  <c r="O237" i="4" s="1"/>
  <c r="D237" i="4"/>
  <c r="H237" i="4" s="1"/>
  <c r="R236" i="4"/>
  <c r="V236" i="4" s="1"/>
  <c r="K236" i="4"/>
  <c r="O236" i="4" s="1"/>
  <c r="D236" i="4"/>
  <c r="H236" i="4" s="1"/>
  <c r="R235" i="4"/>
  <c r="V235" i="4" s="1"/>
  <c r="K235" i="4"/>
  <c r="O235" i="4" s="1"/>
  <c r="D235" i="4"/>
  <c r="H235" i="4" s="1"/>
  <c r="R234" i="4"/>
  <c r="V234" i="4" s="1"/>
  <c r="K234" i="4"/>
  <c r="O234" i="4" s="1"/>
  <c r="D234" i="4"/>
  <c r="H234" i="4" s="1"/>
  <c r="R233" i="4"/>
  <c r="K233" i="4"/>
  <c r="O233" i="4" s="1"/>
  <c r="D233" i="4"/>
  <c r="H233" i="4" s="1"/>
  <c r="R232" i="4"/>
  <c r="V232" i="4" s="1"/>
  <c r="K232" i="4"/>
  <c r="D232" i="4"/>
  <c r="R231" i="4"/>
  <c r="V231" i="4" s="1"/>
  <c r="K231" i="4"/>
  <c r="O231" i="4" s="1"/>
  <c r="D231" i="4"/>
  <c r="H231" i="4" s="1"/>
  <c r="R230" i="4"/>
  <c r="V230" i="4" s="1"/>
  <c r="K230" i="4"/>
  <c r="O230" i="4" s="1"/>
  <c r="D230" i="4"/>
  <c r="H230" i="4" s="1"/>
  <c r="R229" i="4"/>
  <c r="V229" i="4" s="1"/>
  <c r="K229" i="4"/>
  <c r="O229" i="4" s="1"/>
  <c r="D229" i="4"/>
  <c r="H229" i="4" s="1"/>
  <c r="R228" i="4"/>
  <c r="V228" i="4" s="1"/>
  <c r="K228" i="4"/>
  <c r="O228" i="4" s="1"/>
  <c r="D228" i="4"/>
  <c r="R227" i="4"/>
  <c r="K227" i="4"/>
  <c r="O227" i="4" s="1"/>
  <c r="D227" i="4"/>
  <c r="H227" i="4" s="1"/>
  <c r="R226" i="4"/>
  <c r="V226" i="4" s="1"/>
  <c r="K226" i="4"/>
  <c r="O226" i="4" s="1"/>
  <c r="D226" i="4"/>
  <c r="H226" i="4" s="1"/>
  <c r="R225" i="4"/>
  <c r="V225" i="4" s="1"/>
  <c r="K225" i="4"/>
  <c r="O225" i="4" s="1"/>
  <c r="D225" i="4"/>
  <c r="R224" i="4"/>
  <c r="K224" i="4"/>
  <c r="O224" i="4" s="1"/>
  <c r="D224" i="4"/>
  <c r="H224" i="4" s="1"/>
  <c r="R223" i="4"/>
  <c r="K223" i="4"/>
  <c r="O223" i="4" s="1"/>
  <c r="D223" i="4"/>
  <c r="R222" i="4"/>
  <c r="K222" i="4"/>
  <c r="O222" i="4" s="1"/>
  <c r="D222" i="4"/>
  <c r="H222" i="4" s="1"/>
  <c r="R221" i="4"/>
  <c r="V221" i="4" s="1"/>
  <c r="K221" i="4"/>
  <c r="D221" i="4"/>
  <c r="R220" i="4"/>
  <c r="V220" i="4" s="1"/>
  <c r="K220" i="4"/>
  <c r="O220" i="4" s="1"/>
  <c r="D220" i="4"/>
  <c r="H220" i="4" s="1"/>
  <c r="R219" i="4"/>
  <c r="V219" i="4" s="1"/>
  <c r="K219" i="4"/>
  <c r="O219" i="4" s="1"/>
  <c r="D219" i="4"/>
  <c r="H219" i="4" s="1"/>
  <c r="R218" i="4"/>
  <c r="V218" i="4" s="1"/>
  <c r="K218" i="4"/>
  <c r="D218" i="4"/>
  <c r="H218" i="4" s="1"/>
  <c r="R217" i="4"/>
  <c r="K217" i="4"/>
  <c r="O217" i="4" s="1"/>
  <c r="D217" i="4"/>
  <c r="H217" i="4" s="1"/>
  <c r="R216" i="4"/>
  <c r="V216" i="4" s="1"/>
  <c r="K216" i="4"/>
  <c r="O216" i="4" s="1"/>
  <c r="D216" i="4"/>
  <c r="H216" i="4" s="1"/>
  <c r="R215" i="4"/>
  <c r="K215" i="4"/>
  <c r="O215" i="4" s="1"/>
  <c r="D215" i="4"/>
  <c r="R214" i="4"/>
  <c r="V214" i="4" s="1"/>
  <c r="K214" i="4"/>
  <c r="O214" i="4" s="1"/>
  <c r="D214" i="4"/>
  <c r="H214" i="4" s="1"/>
  <c r="R213" i="4"/>
  <c r="V213" i="4" s="1"/>
  <c r="K213" i="4"/>
  <c r="O213" i="4" s="1"/>
  <c r="D213" i="4"/>
  <c r="H213" i="4" s="1"/>
  <c r="R212" i="4"/>
  <c r="V212" i="4" s="1"/>
  <c r="K212" i="4"/>
  <c r="O212" i="4" s="1"/>
  <c r="D212" i="4"/>
  <c r="H212" i="4" s="1"/>
  <c r="R211" i="4"/>
  <c r="V211" i="4" s="1"/>
  <c r="K211" i="4"/>
  <c r="D211" i="4"/>
  <c r="H211" i="4" s="1"/>
  <c r="R210" i="4"/>
  <c r="K210" i="4"/>
  <c r="O210" i="4" s="1"/>
  <c r="D210" i="4"/>
  <c r="H210" i="4" s="1"/>
  <c r="R209" i="4"/>
  <c r="V209" i="4" s="1"/>
  <c r="K209" i="4"/>
  <c r="O209" i="4" s="1"/>
  <c r="D209" i="4"/>
  <c r="H209" i="4" s="1"/>
  <c r="R208" i="4"/>
  <c r="V208" i="4" s="1"/>
  <c r="K208" i="4"/>
  <c r="O208" i="4" s="1"/>
  <c r="D208" i="4"/>
  <c r="H208" i="4" s="1"/>
  <c r="R207" i="4"/>
  <c r="V207" i="4" s="1"/>
  <c r="K207" i="4"/>
  <c r="O207" i="4" s="1"/>
  <c r="D207" i="4"/>
  <c r="H207" i="4" s="1"/>
  <c r="R206" i="4"/>
  <c r="V206" i="4" s="1"/>
  <c r="K206" i="4"/>
  <c r="O206" i="4" s="1"/>
  <c r="D206" i="4"/>
  <c r="H206" i="4" s="1"/>
  <c r="R205" i="4"/>
  <c r="V205" i="4" s="1"/>
  <c r="K205" i="4"/>
  <c r="O205" i="4" s="1"/>
  <c r="D205" i="4"/>
  <c r="R204" i="4"/>
  <c r="V204" i="4" s="1"/>
  <c r="K204" i="4"/>
  <c r="O204" i="4" s="1"/>
  <c r="D204" i="4"/>
  <c r="H204" i="4" s="1"/>
  <c r="R203" i="4"/>
  <c r="K203" i="4"/>
  <c r="O203" i="4" s="1"/>
  <c r="D203" i="4"/>
  <c r="R202" i="4"/>
  <c r="K202" i="4"/>
  <c r="O202" i="4" s="1"/>
  <c r="D202" i="4"/>
  <c r="H202" i="4" s="1"/>
  <c r="R201" i="4"/>
  <c r="U201" i="4" s="1"/>
  <c r="K201" i="4"/>
  <c r="O201" i="4" s="1"/>
  <c r="D201" i="4"/>
  <c r="H201" i="4" s="1"/>
  <c r="R200" i="4"/>
  <c r="V200" i="4" s="1"/>
  <c r="K200" i="4"/>
  <c r="O200" i="4" s="1"/>
  <c r="D200" i="4"/>
  <c r="H200" i="4" s="1"/>
  <c r="R199" i="4"/>
  <c r="K199" i="4"/>
  <c r="O199" i="4" s="1"/>
  <c r="D199" i="4"/>
  <c r="H199" i="4" s="1"/>
  <c r="R198" i="4"/>
  <c r="V198" i="4" s="1"/>
  <c r="K198" i="4"/>
  <c r="O198" i="4" s="1"/>
  <c r="D198" i="4"/>
  <c r="R197" i="4"/>
  <c r="V197" i="4" s="1"/>
  <c r="K197" i="4"/>
  <c r="O197" i="4" s="1"/>
  <c r="D197" i="4"/>
  <c r="H197" i="4" s="1"/>
  <c r="R196" i="4"/>
  <c r="V196" i="4" s="1"/>
  <c r="K196" i="4"/>
  <c r="O196" i="4" s="1"/>
  <c r="D196" i="4"/>
  <c r="R195" i="4"/>
  <c r="V195" i="4" s="1"/>
  <c r="K195" i="4"/>
  <c r="D195" i="4"/>
  <c r="H195" i="4" s="1"/>
  <c r="R194" i="4"/>
  <c r="V194" i="4" s="1"/>
  <c r="K194" i="4"/>
  <c r="O194" i="4" s="1"/>
  <c r="D194" i="4"/>
  <c r="H194" i="4" s="1"/>
  <c r="R193" i="4"/>
  <c r="V193" i="4" s="1"/>
  <c r="K193" i="4"/>
  <c r="O193" i="4" s="1"/>
  <c r="D193" i="4"/>
  <c r="H193" i="4" s="1"/>
  <c r="R192" i="4"/>
  <c r="K192" i="4"/>
  <c r="O192" i="4" s="1"/>
  <c r="D192" i="4"/>
  <c r="H192" i="4" s="1"/>
  <c r="R191" i="4"/>
  <c r="K191" i="4"/>
  <c r="O191" i="4" s="1"/>
  <c r="D191" i="4"/>
  <c r="R190" i="4"/>
  <c r="K190" i="4"/>
  <c r="D190" i="4"/>
  <c r="H190" i="4" s="1"/>
  <c r="R189" i="4"/>
  <c r="V189" i="4" s="1"/>
  <c r="K189" i="4"/>
  <c r="O189" i="4" s="1"/>
  <c r="D189" i="4"/>
  <c r="R188" i="4"/>
  <c r="V188" i="4" s="1"/>
  <c r="K188" i="4"/>
  <c r="D188" i="4"/>
  <c r="H188" i="4" s="1"/>
  <c r="R187" i="4"/>
  <c r="V187" i="4" s="1"/>
  <c r="K187" i="4"/>
  <c r="O187" i="4" s="1"/>
  <c r="D187" i="4"/>
  <c r="H187" i="4" s="1"/>
  <c r="R186" i="4"/>
  <c r="V186" i="4" s="1"/>
  <c r="K186" i="4"/>
  <c r="O186" i="4" s="1"/>
  <c r="D186" i="4"/>
  <c r="H186" i="4" s="1"/>
  <c r="R185" i="4"/>
  <c r="V185" i="4" s="1"/>
  <c r="K185" i="4"/>
  <c r="O185" i="4" s="1"/>
  <c r="D185" i="4"/>
  <c r="H185" i="4" s="1"/>
  <c r="R184" i="4"/>
  <c r="V184" i="4" s="1"/>
  <c r="K184" i="4"/>
  <c r="O184" i="4" s="1"/>
  <c r="D184" i="4"/>
  <c r="H184" i="4" s="1"/>
  <c r="R183" i="4"/>
  <c r="V183" i="4" s="1"/>
  <c r="K183" i="4"/>
  <c r="O183" i="4" s="1"/>
  <c r="D183" i="4"/>
  <c r="H183" i="4" s="1"/>
  <c r="R182" i="4"/>
  <c r="K182" i="4"/>
  <c r="O182" i="4" s="1"/>
  <c r="D182" i="4"/>
  <c r="H182" i="4" s="1"/>
  <c r="R181" i="4"/>
  <c r="V181" i="4" s="1"/>
  <c r="K181" i="4"/>
  <c r="O181" i="4" s="1"/>
  <c r="D181" i="4"/>
  <c r="H181" i="4" s="1"/>
  <c r="R180" i="4"/>
  <c r="V180" i="4" s="1"/>
  <c r="K180" i="4"/>
  <c r="O180" i="4" s="1"/>
  <c r="D180" i="4"/>
  <c r="H180" i="4" s="1"/>
  <c r="R179" i="4"/>
  <c r="K179" i="4"/>
  <c r="D179" i="4"/>
  <c r="H179" i="4" s="1"/>
  <c r="R178" i="4"/>
  <c r="V178" i="4" s="1"/>
  <c r="K178" i="4"/>
  <c r="O178" i="4" s="1"/>
  <c r="D178" i="4"/>
  <c r="H178" i="4" s="1"/>
  <c r="R177" i="4"/>
  <c r="K177" i="4"/>
  <c r="D177" i="4"/>
  <c r="H177" i="4" s="1"/>
  <c r="R176" i="4"/>
  <c r="V176" i="4" s="1"/>
  <c r="K176" i="4"/>
  <c r="O176" i="4" s="1"/>
  <c r="D176" i="4"/>
  <c r="H176" i="4" s="1"/>
  <c r="R175" i="4"/>
  <c r="V175" i="4" s="1"/>
  <c r="K175" i="4"/>
  <c r="O175" i="4" s="1"/>
  <c r="D175" i="4"/>
  <c r="H175" i="4" s="1"/>
  <c r="R174" i="4"/>
  <c r="V174" i="4" s="1"/>
  <c r="K174" i="4"/>
  <c r="O174" i="4" s="1"/>
  <c r="D174" i="4"/>
  <c r="H174" i="4" s="1"/>
  <c r="R173" i="4"/>
  <c r="K173" i="4"/>
  <c r="O173" i="4" s="1"/>
  <c r="D173" i="4"/>
  <c r="H173" i="4" s="1"/>
  <c r="R172" i="4"/>
  <c r="V172" i="4" s="1"/>
  <c r="K172" i="4"/>
  <c r="O172" i="4" s="1"/>
  <c r="D172" i="4"/>
  <c r="R171" i="4"/>
  <c r="V171" i="4" s="1"/>
  <c r="K171" i="4"/>
  <c r="O171" i="4" s="1"/>
  <c r="D171" i="4"/>
  <c r="R170" i="4"/>
  <c r="V170" i="4" s="1"/>
  <c r="K170" i="4"/>
  <c r="O170" i="4" s="1"/>
  <c r="D170" i="4"/>
  <c r="H170" i="4" s="1"/>
  <c r="R169" i="4"/>
  <c r="V169" i="4" s="1"/>
  <c r="K169" i="4"/>
  <c r="D169" i="4"/>
  <c r="H169" i="4" s="1"/>
  <c r="R168" i="4"/>
  <c r="V168" i="4" s="1"/>
  <c r="K168" i="4"/>
  <c r="O168" i="4" s="1"/>
  <c r="D168" i="4"/>
  <c r="H168" i="4" s="1"/>
  <c r="R167" i="4"/>
  <c r="V167" i="4" s="1"/>
  <c r="K167" i="4"/>
  <c r="D167" i="4"/>
  <c r="R166" i="4"/>
  <c r="K166" i="4"/>
  <c r="O166" i="4" s="1"/>
  <c r="D166" i="4"/>
  <c r="H166" i="4" s="1"/>
  <c r="R165" i="4"/>
  <c r="V165" i="4" s="1"/>
  <c r="K165" i="4"/>
  <c r="O165" i="4" s="1"/>
  <c r="D165" i="4"/>
  <c r="H165" i="4" s="1"/>
  <c r="R164" i="4"/>
  <c r="V164" i="4" s="1"/>
  <c r="K164" i="4"/>
  <c r="O164" i="4" s="1"/>
  <c r="D164" i="4"/>
  <c r="H164" i="4" s="1"/>
  <c r="R163" i="4"/>
  <c r="U163" i="4" s="1"/>
  <c r="K163" i="4"/>
  <c r="O163" i="4" s="1"/>
  <c r="D163" i="4"/>
  <c r="H163" i="4" s="1"/>
  <c r="R162" i="4"/>
  <c r="K162" i="4"/>
  <c r="O162" i="4" s="1"/>
  <c r="D162" i="4"/>
  <c r="H162" i="4" s="1"/>
  <c r="R161" i="4"/>
  <c r="U161" i="4" s="1"/>
  <c r="K161" i="4"/>
  <c r="O161" i="4" s="1"/>
  <c r="D161" i="4"/>
  <c r="H161" i="4" s="1"/>
  <c r="R160" i="4"/>
  <c r="K160" i="4"/>
  <c r="O160" i="4" s="1"/>
  <c r="D160" i="4"/>
  <c r="R159" i="4"/>
  <c r="S159" i="4" s="1"/>
  <c r="AF159" i="4" s="1"/>
  <c r="K159" i="4"/>
  <c r="O159" i="4" s="1"/>
  <c r="D159" i="4"/>
  <c r="H159" i="4" s="1"/>
  <c r="R158" i="4"/>
  <c r="V158" i="4" s="1"/>
  <c r="K158" i="4"/>
  <c r="O158" i="4" s="1"/>
  <c r="D158" i="4"/>
  <c r="H158" i="4" s="1"/>
  <c r="R157" i="4"/>
  <c r="V157" i="4" s="1"/>
  <c r="K157" i="4"/>
  <c r="O157" i="4" s="1"/>
  <c r="D157" i="4"/>
  <c r="H157" i="4" s="1"/>
  <c r="R156" i="4"/>
  <c r="V156" i="4" s="1"/>
  <c r="K156" i="4"/>
  <c r="O156" i="4" s="1"/>
  <c r="D156" i="4"/>
  <c r="R155" i="4"/>
  <c r="U155" i="4" s="1"/>
  <c r="K155" i="4"/>
  <c r="O155" i="4" s="1"/>
  <c r="D155" i="4"/>
  <c r="H155" i="4" s="1"/>
  <c r="R154" i="4"/>
  <c r="V154" i="4" s="1"/>
  <c r="K154" i="4"/>
  <c r="O154" i="4" s="1"/>
  <c r="D154" i="4"/>
  <c r="H154" i="4" s="1"/>
  <c r="R153" i="4"/>
  <c r="S153" i="4" s="1"/>
  <c r="AF153" i="4" s="1"/>
  <c r="K153" i="4"/>
  <c r="O153" i="4" s="1"/>
  <c r="D153" i="4"/>
  <c r="R152" i="4"/>
  <c r="U152" i="4" s="1"/>
  <c r="K152" i="4"/>
  <c r="O152" i="4" s="1"/>
  <c r="D152" i="4"/>
  <c r="H152" i="4" s="1"/>
  <c r="R151" i="4"/>
  <c r="S151" i="4" s="1"/>
  <c r="AF151" i="4" s="1"/>
  <c r="K151" i="4"/>
  <c r="O151" i="4" s="1"/>
  <c r="D151" i="4"/>
  <c r="H151" i="4" s="1"/>
  <c r="R150" i="4"/>
  <c r="V150" i="4" s="1"/>
  <c r="K150" i="4"/>
  <c r="O150" i="4" s="1"/>
  <c r="D150" i="4"/>
  <c r="H150" i="4" s="1"/>
  <c r="R149" i="4"/>
  <c r="V149" i="4" s="1"/>
  <c r="K149" i="4"/>
  <c r="O149" i="4" s="1"/>
  <c r="D149" i="4"/>
  <c r="H149" i="4" s="1"/>
  <c r="R148" i="4"/>
  <c r="U148" i="4" s="1"/>
  <c r="K148" i="4"/>
  <c r="O148" i="4" s="1"/>
  <c r="D148" i="4"/>
  <c r="H148" i="4" s="1"/>
  <c r="R147" i="4"/>
  <c r="K147" i="4"/>
  <c r="O147" i="4" s="1"/>
  <c r="D147" i="4"/>
  <c r="H147" i="4" s="1"/>
  <c r="R146" i="4"/>
  <c r="S146" i="4" s="1"/>
  <c r="AF146" i="4" s="1"/>
  <c r="K146" i="4"/>
  <c r="O146" i="4" s="1"/>
  <c r="D146" i="4"/>
  <c r="H146" i="4" s="1"/>
  <c r="R145" i="4"/>
  <c r="V145" i="4" s="1"/>
  <c r="K145" i="4"/>
  <c r="O145" i="4" s="1"/>
  <c r="D145" i="4"/>
  <c r="R144" i="4"/>
  <c r="V144" i="4" s="1"/>
  <c r="K144" i="4"/>
  <c r="O144" i="4" s="1"/>
  <c r="D144" i="4"/>
  <c r="H144" i="4" s="1"/>
  <c r="R143" i="4"/>
  <c r="V143" i="4" s="1"/>
  <c r="K143" i="4"/>
  <c r="D143" i="4"/>
  <c r="R142" i="4"/>
  <c r="S142" i="4" s="1"/>
  <c r="AF142" i="4" s="1"/>
  <c r="K142" i="4"/>
  <c r="O142" i="4" s="1"/>
  <c r="D142" i="4"/>
  <c r="H142" i="4" s="1"/>
  <c r="R141" i="4"/>
  <c r="V141" i="4" s="1"/>
  <c r="K141" i="4"/>
  <c r="O141" i="4" s="1"/>
  <c r="D141" i="4"/>
  <c r="H141" i="4" s="1"/>
  <c r="R140" i="4"/>
  <c r="V140" i="4" s="1"/>
  <c r="K140" i="4"/>
  <c r="D140" i="4"/>
  <c r="H140" i="4" s="1"/>
  <c r="R139" i="4"/>
  <c r="K139" i="4"/>
  <c r="O139" i="4" s="1"/>
  <c r="D139" i="4"/>
  <c r="G139" i="4" s="1"/>
  <c r="R138" i="4"/>
  <c r="V138" i="4" s="1"/>
  <c r="K138" i="4"/>
  <c r="O138" i="4" s="1"/>
  <c r="D138" i="4"/>
  <c r="R137" i="4"/>
  <c r="V137" i="4" s="1"/>
  <c r="K137" i="4"/>
  <c r="O137" i="4" s="1"/>
  <c r="D137" i="4"/>
  <c r="H137" i="4" s="1"/>
  <c r="R136" i="4"/>
  <c r="V136" i="4" s="1"/>
  <c r="K136" i="4"/>
  <c r="D136" i="4"/>
  <c r="H136" i="4" s="1"/>
  <c r="R135" i="4"/>
  <c r="V135" i="4" s="1"/>
  <c r="K135" i="4"/>
  <c r="O135" i="4" s="1"/>
  <c r="D135" i="4"/>
  <c r="H135" i="4" s="1"/>
  <c r="R134" i="4"/>
  <c r="V134" i="4" s="1"/>
  <c r="K134" i="4"/>
  <c r="O134" i="4" s="1"/>
  <c r="D134" i="4"/>
  <c r="H134" i="4" s="1"/>
  <c r="R133" i="4"/>
  <c r="V133" i="4" s="1"/>
  <c r="K133" i="4"/>
  <c r="O133" i="4" s="1"/>
  <c r="D133" i="4"/>
  <c r="H133" i="4" s="1"/>
  <c r="R132" i="4"/>
  <c r="V132" i="4" s="1"/>
  <c r="K132" i="4"/>
  <c r="D132" i="4"/>
  <c r="H132" i="4" s="1"/>
  <c r="R131" i="4"/>
  <c r="V131" i="4" s="1"/>
  <c r="K131" i="4"/>
  <c r="O131" i="4" s="1"/>
  <c r="D131" i="4"/>
  <c r="H131" i="4" s="1"/>
  <c r="R130" i="4"/>
  <c r="V130" i="4" s="1"/>
  <c r="K130" i="4"/>
  <c r="O130" i="4" s="1"/>
  <c r="D130" i="4"/>
  <c r="H130" i="4" s="1"/>
  <c r="R129" i="4"/>
  <c r="V129" i="4" s="1"/>
  <c r="K129" i="4"/>
  <c r="O129" i="4" s="1"/>
  <c r="D129" i="4"/>
  <c r="H129" i="4" s="1"/>
  <c r="R128" i="4"/>
  <c r="V128" i="4" s="1"/>
  <c r="K128" i="4"/>
  <c r="O128" i="4" s="1"/>
  <c r="D128" i="4"/>
  <c r="H128" i="4" s="1"/>
  <c r="R127" i="4"/>
  <c r="V127" i="4" s="1"/>
  <c r="K127" i="4"/>
  <c r="O127" i="4" s="1"/>
  <c r="D127" i="4"/>
  <c r="H127" i="4" s="1"/>
  <c r="R126" i="4"/>
  <c r="V126" i="4" s="1"/>
  <c r="K126" i="4"/>
  <c r="D126" i="4"/>
  <c r="H126" i="4" s="1"/>
  <c r="R125" i="4"/>
  <c r="V125" i="4" s="1"/>
  <c r="K125" i="4"/>
  <c r="O125" i="4" s="1"/>
  <c r="D125" i="4"/>
  <c r="H125" i="4" s="1"/>
  <c r="R124" i="4"/>
  <c r="V124" i="4" s="1"/>
  <c r="K124" i="4"/>
  <c r="D124" i="4"/>
  <c r="H124" i="4" s="1"/>
  <c r="R123" i="4"/>
  <c r="V123" i="4" s="1"/>
  <c r="K123" i="4"/>
  <c r="O123" i="4" s="1"/>
  <c r="D123" i="4"/>
  <c r="H123" i="4" s="1"/>
  <c r="R122" i="4"/>
  <c r="V122" i="4" s="1"/>
  <c r="K122" i="4"/>
  <c r="O122" i="4" s="1"/>
  <c r="D122" i="4"/>
  <c r="R121" i="4"/>
  <c r="V121" i="4" s="1"/>
  <c r="K121" i="4"/>
  <c r="O121" i="4" s="1"/>
  <c r="D121" i="4"/>
  <c r="H121" i="4" s="1"/>
  <c r="R120" i="4"/>
  <c r="V120" i="4" s="1"/>
  <c r="K120" i="4"/>
  <c r="O120" i="4" s="1"/>
  <c r="D120" i="4"/>
  <c r="R119" i="4"/>
  <c r="V119" i="4" s="1"/>
  <c r="K119" i="4"/>
  <c r="O119" i="4" s="1"/>
  <c r="D119" i="4"/>
  <c r="H119" i="4" s="1"/>
  <c r="R118" i="4"/>
  <c r="V118" i="4" s="1"/>
  <c r="K118" i="4"/>
  <c r="D118" i="4"/>
  <c r="H118" i="4" s="1"/>
  <c r="R117" i="4"/>
  <c r="V117" i="4" s="1"/>
  <c r="K117" i="4"/>
  <c r="D117" i="4"/>
  <c r="H117" i="4" s="1"/>
  <c r="R116" i="4"/>
  <c r="V116" i="4" s="1"/>
  <c r="K116" i="4"/>
  <c r="O116" i="4" s="1"/>
  <c r="D116" i="4"/>
  <c r="H116" i="4" s="1"/>
  <c r="R115" i="4"/>
  <c r="V115" i="4" s="1"/>
  <c r="K115" i="4"/>
  <c r="O115" i="4" s="1"/>
  <c r="D115" i="4"/>
  <c r="H115" i="4" s="1"/>
  <c r="R114" i="4"/>
  <c r="V114" i="4" s="1"/>
  <c r="K114" i="4"/>
  <c r="O114" i="4" s="1"/>
  <c r="D114" i="4"/>
  <c r="R113" i="4"/>
  <c r="V113" i="4" s="1"/>
  <c r="K113" i="4"/>
  <c r="D113" i="4"/>
  <c r="R112" i="4"/>
  <c r="V112" i="4" s="1"/>
  <c r="K112" i="4"/>
  <c r="D112" i="4"/>
  <c r="H112" i="4" s="1"/>
  <c r="R111" i="4"/>
  <c r="V111" i="4" s="1"/>
  <c r="K111" i="4"/>
  <c r="D111" i="4"/>
  <c r="H111" i="4" s="1"/>
  <c r="R110" i="4"/>
  <c r="V110" i="4" s="1"/>
  <c r="K110" i="4"/>
  <c r="D110" i="4"/>
  <c r="H110" i="4" s="1"/>
  <c r="R109" i="4"/>
  <c r="V109" i="4" s="1"/>
  <c r="K109" i="4"/>
  <c r="O109" i="4" s="1"/>
  <c r="D109" i="4"/>
  <c r="H109" i="4" s="1"/>
  <c r="R108" i="4"/>
  <c r="V108" i="4" s="1"/>
  <c r="K108" i="4"/>
  <c r="O108" i="4" s="1"/>
  <c r="D108" i="4"/>
  <c r="H108" i="4" s="1"/>
  <c r="R107" i="4"/>
  <c r="V107" i="4" s="1"/>
  <c r="K107" i="4"/>
  <c r="O107" i="4" s="1"/>
  <c r="D107" i="4"/>
  <c r="R106" i="4"/>
  <c r="V106" i="4" s="1"/>
  <c r="K106" i="4"/>
  <c r="O106" i="4" s="1"/>
  <c r="D106" i="4"/>
  <c r="H106" i="4" s="1"/>
  <c r="R105" i="4"/>
  <c r="V105" i="4" s="1"/>
  <c r="K105" i="4"/>
  <c r="O105" i="4" s="1"/>
  <c r="D105" i="4"/>
  <c r="H105" i="4" s="1"/>
  <c r="R104" i="4"/>
  <c r="V104" i="4" s="1"/>
  <c r="K104" i="4"/>
  <c r="O104" i="4" s="1"/>
  <c r="D104" i="4"/>
  <c r="H104" i="4" s="1"/>
  <c r="R103" i="4"/>
  <c r="V103" i="4" s="1"/>
  <c r="K103" i="4"/>
  <c r="O103" i="4" s="1"/>
  <c r="D103" i="4"/>
  <c r="H103" i="4" s="1"/>
  <c r="R102" i="4"/>
  <c r="V102" i="4" s="1"/>
  <c r="K102" i="4"/>
  <c r="D102" i="4"/>
  <c r="R101" i="4"/>
  <c r="V101" i="4" s="1"/>
  <c r="K101" i="4"/>
  <c r="O101" i="4" s="1"/>
  <c r="D101" i="4"/>
  <c r="H101" i="4" s="1"/>
  <c r="R100" i="4"/>
  <c r="V100" i="4" s="1"/>
  <c r="K100" i="4"/>
  <c r="O100" i="4" s="1"/>
  <c r="D100" i="4"/>
  <c r="H100" i="4" s="1"/>
  <c r="R99" i="4"/>
  <c r="V99" i="4" s="1"/>
  <c r="K99" i="4"/>
  <c r="O99" i="4" s="1"/>
  <c r="D99" i="4"/>
  <c r="H99" i="4" s="1"/>
  <c r="R98" i="4"/>
  <c r="V98" i="4" s="1"/>
  <c r="K98" i="4"/>
  <c r="D98" i="4"/>
  <c r="H98" i="4" s="1"/>
  <c r="R97" i="4"/>
  <c r="V97" i="4" s="1"/>
  <c r="K97" i="4"/>
  <c r="O97" i="4" s="1"/>
  <c r="D97" i="4"/>
  <c r="R96" i="4"/>
  <c r="V96" i="4" s="1"/>
  <c r="K96" i="4"/>
  <c r="O96" i="4" s="1"/>
  <c r="D96" i="4"/>
  <c r="R95" i="4"/>
  <c r="V95" i="4" s="1"/>
  <c r="K95" i="4"/>
  <c r="O95" i="4" s="1"/>
  <c r="D95" i="4"/>
  <c r="H95" i="4" s="1"/>
  <c r="R94" i="4"/>
  <c r="V94" i="4" s="1"/>
  <c r="K94" i="4"/>
  <c r="O94" i="4" s="1"/>
  <c r="D94" i="4"/>
  <c r="H94" i="4" s="1"/>
  <c r="R93" i="4"/>
  <c r="V93" i="4" s="1"/>
  <c r="K93" i="4"/>
  <c r="O93" i="4" s="1"/>
  <c r="D93" i="4"/>
  <c r="H93" i="4" s="1"/>
  <c r="R92" i="4"/>
  <c r="V92" i="4" s="1"/>
  <c r="K92" i="4"/>
  <c r="O92" i="4" s="1"/>
  <c r="D92" i="4"/>
  <c r="R91" i="4"/>
  <c r="V91" i="4" s="1"/>
  <c r="K91" i="4"/>
  <c r="O91" i="4" s="1"/>
  <c r="D91" i="4"/>
  <c r="H91" i="4" s="1"/>
  <c r="R90" i="4"/>
  <c r="V90" i="4" s="1"/>
  <c r="K90" i="4"/>
  <c r="O90" i="4" s="1"/>
  <c r="D90" i="4"/>
  <c r="H90" i="4" s="1"/>
  <c r="R89" i="4"/>
  <c r="V89" i="4" s="1"/>
  <c r="K89" i="4"/>
  <c r="D89" i="4"/>
  <c r="H89" i="4" s="1"/>
  <c r="R88" i="4"/>
  <c r="V88" i="4" s="1"/>
  <c r="K88" i="4"/>
  <c r="O88" i="4" s="1"/>
  <c r="D88" i="4"/>
  <c r="H88" i="4" s="1"/>
  <c r="R87" i="4"/>
  <c r="V87" i="4" s="1"/>
  <c r="K87" i="4"/>
  <c r="O87" i="4" s="1"/>
  <c r="D87" i="4"/>
  <c r="H87" i="4" s="1"/>
  <c r="R86" i="4"/>
  <c r="V86" i="4" s="1"/>
  <c r="K86" i="4"/>
  <c r="O86" i="4" s="1"/>
  <c r="D86" i="4"/>
  <c r="H86" i="4" s="1"/>
  <c r="R85" i="4"/>
  <c r="V85" i="4" s="1"/>
  <c r="K85" i="4"/>
  <c r="O85" i="4" s="1"/>
  <c r="D85" i="4"/>
  <c r="H85" i="4" s="1"/>
  <c r="R84" i="4"/>
  <c r="V84" i="4" s="1"/>
  <c r="K84" i="4"/>
  <c r="O84" i="4" s="1"/>
  <c r="D84" i="4"/>
  <c r="H84" i="4" s="1"/>
  <c r="R83" i="4"/>
  <c r="V83" i="4" s="1"/>
  <c r="K83" i="4"/>
  <c r="O83" i="4" s="1"/>
  <c r="D83" i="4"/>
  <c r="H83" i="4" s="1"/>
  <c r="R82" i="4"/>
  <c r="V82" i="4" s="1"/>
  <c r="K82" i="4"/>
  <c r="O82" i="4" s="1"/>
  <c r="D82" i="4"/>
  <c r="H82" i="4" s="1"/>
  <c r="R81" i="4"/>
  <c r="V81" i="4" s="1"/>
  <c r="K81" i="4"/>
  <c r="O81" i="4" s="1"/>
  <c r="D81" i="4"/>
  <c r="H81" i="4" s="1"/>
  <c r="R80" i="4"/>
  <c r="V80" i="4" s="1"/>
  <c r="K80" i="4"/>
  <c r="O80" i="4" s="1"/>
  <c r="D80" i="4"/>
  <c r="R79" i="4"/>
  <c r="V79" i="4" s="1"/>
  <c r="K79" i="4"/>
  <c r="D79" i="4"/>
  <c r="H79" i="4" s="1"/>
  <c r="R78" i="4"/>
  <c r="V78" i="4" s="1"/>
  <c r="K78" i="4"/>
  <c r="O78" i="4" s="1"/>
  <c r="D78" i="4"/>
  <c r="H78" i="4" s="1"/>
  <c r="R77" i="4"/>
  <c r="V77" i="4" s="1"/>
  <c r="K77" i="4"/>
  <c r="O77" i="4" s="1"/>
  <c r="D77" i="4"/>
  <c r="H77" i="4" s="1"/>
  <c r="R76" i="4"/>
  <c r="V76" i="4" s="1"/>
  <c r="K76" i="4"/>
  <c r="O76" i="4" s="1"/>
  <c r="D76" i="4"/>
  <c r="H76" i="4" s="1"/>
  <c r="R75" i="4"/>
  <c r="V75" i="4" s="1"/>
  <c r="K75" i="4"/>
  <c r="O75" i="4" s="1"/>
  <c r="D75" i="4"/>
  <c r="H75" i="4" s="1"/>
  <c r="R74" i="4"/>
  <c r="V74" i="4" s="1"/>
  <c r="K74" i="4"/>
  <c r="O74" i="4" s="1"/>
  <c r="D74" i="4"/>
  <c r="H74" i="4" s="1"/>
  <c r="R73" i="4"/>
  <c r="V73" i="4" s="1"/>
  <c r="K73" i="4"/>
  <c r="D73" i="4"/>
  <c r="H73" i="4" s="1"/>
  <c r="R72" i="4"/>
  <c r="V72" i="4" s="1"/>
  <c r="K72" i="4"/>
  <c r="O72" i="4" s="1"/>
  <c r="D72" i="4"/>
  <c r="H72" i="4" s="1"/>
  <c r="R71" i="4"/>
  <c r="V71" i="4" s="1"/>
  <c r="K71" i="4"/>
  <c r="O71" i="4" s="1"/>
  <c r="D71" i="4"/>
  <c r="H71" i="4" s="1"/>
  <c r="R70" i="4"/>
  <c r="V70" i="4" s="1"/>
  <c r="K70" i="4"/>
  <c r="O70" i="4" s="1"/>
  <c r="D70" i="4"/>
  <c r="H70" i="4" s="1"/>
  <c r="R69" i="4"/>
  <c r="V69" i="4" s="1"/>
  <c r="K69" i="4"/>
  <c r="O69" i="4" s="1"/>
  <c r="D69" i="4"/>
  <c r="H69" i="4" s="1"/>
  <c r="R68" i="4"/>
  <c r="V68" i="4" s="1"/>
  <c r="K68" i="4"/>
  <c r="O68" i="4" s="1"/>
  <c r="D68" i="4"/>
  <c r="H68" i="4" s="1"/>
  <c r="R67" i="4"/>
  <c r="V67" i="4" s="1"/>
  <c r="K67" i="4"/>
  <c r="O67" i="4" s="1"/>
  <c r="D67" i="4"/>
  <c r="H67" i="4" s="1"/>
  <c r="R66" i="4"/>
  <c r="V66" i="4" s="1"/>
  <c r="K66" i="4"/>
  <c r="O66" i="4" s="1"/>
  <c r="D66" i="4"/>
  <c r="H66" i="4" s="1"/>
  <c r="R65" i="4"/>
  <c r="V65" i="4" s="1"/>
  <c r="K65" i="4"/>
  <c r="O65" i="4" s="1"/>
  <c r="D65" i="4"/>
  <c r="H65" i="4" s="1"/>
  <c r="R64" i="4"/>
  <c r="V64" i="4" s="1"/>
  <c r="K64" i="4"/>
  <c r="O64" i="4" s="1"/>
  <c r="D64" i="4"/>
  <c r="H64" i="4" s="1"/>
  <c r="R63" i="4"/>
  <c r="V63" i="4" s="1"/>
  <c r="K63" i="4"/>
  <c r="O63" i="4" s="1"/>
  <c r="D63" i="4"/>
  <c r="H63" i="4" s="1"/>
  <c r="R62" i="4"/>
  <c r="V62" i="4" s="1"/>
  <c r="K62" i="4"/>
  <c r="O62" i="4" s="1"/>
  <c r="D62" i="4"/>
  <c r="H62" i="4" s="1"/>
  <c r="R61" i="4"/>
  <c r="V61" i="4" s="1"/>
  <c r="K61" i="4"/>
  <c r="O61" i="4" s="1"/>
  <c r="D61" i="4"/>
  <c r="H61" i="4" s="1"/>
  <c r="R60" i="4"/>
  <c r="V60" i="4" s="1"/>
  <c r="K60" i="4"/>
  <c r="O60" i="4" s="1"/>
  <c r="D60" i="4"/>
  <c r="H60" i="4" s="1"/>
  <c r="R59" i="4"/>
  <c r="V59" i="4" s="1"/>
  <c r="K59" i="4"/>
  <c r="O59" i="4" s="1"/>
  <c r="D59" i="4"/>
  <c r="H59" i="4" s="1"/>
  <c r="R58" i="4"/>
  <c r="V58" i="4" s="1"/>
  <c r="K58" i="4"/>
  <c r="O58" i="4" s="1"/>
  <c r="D58" i="4"/>
  <c r="H58" i="4" s="1"/>
  <c r="R57" i="4"/>
  <c r="V57" i="4" s="1"/>
  <c r="K57" i="4"/>
  <c r="O57" i="4" s="1"/>
  <c r="D57" i="4"/>
  <c r="H57" i="4" s="1"/>
  <c r="R56" i="4"/>
  <c r="V56" i="4" s="1"/>
  <c r="K56" i="4"/>
  <c r="O56" i="4" s="1"/>
  <c r="D56" i="4"/>
  <c r="H56" i="4" s="1"/>
  <c r="R55" i="4"/>
  <c r="V55" i="4" s="1"/>
  <c r="K55" i="4"/>
  <c r="O55" i="4" s="1"/>
  <c r="D55" i="4"/>
  <c r="H55" i="4" s="1"/>
  <c r="R54" i="4"/>
  <c r="V54" i="4" s="1"/>
  <c r="K54" i="4"/>
  <c r="O54" i="4" s="1"/>
  <c r="D54" i="4"/>
  <c r="H54" i="4" s="1"/>
  <c r="R53" i="4"/>
  <c r="V53" i="4" s="1"/>
  <c r="K53" i="4"/>
  <c r="D53" i="4"/>
  <c r="H53" i="4" s="1"/>
  <c r="R52" i="4"/>
  <c r="V52" i="4" s="1"/>
  <c r="K52" i="4"/>
  <c r="O52" i="4" s="1"/>
  <c r="D52" i="4"/>
  <c r="H52" i="4" s="1"/>
  <c r="R51" i="4"/>
  <c r="V51" i="4" s="1"/>
  <c r="K51" i="4"/>
  <c r="O51" i="4" s="1"/>
  <c r="D51" i="4"/>
  <c r="H51" i="4" s="1"/>
  <c r="R50" i="4"/>
  <c r="V50" i="4" s="1"/>
  <c r="K50" i="4"/>
  <c r="O50" i="4" s="1"/>
  <c r="D50" i="4"/>
  <c r="H50" i="4" s="1"/>
  <c r="R49" i="4"/>
  <c r="V49" i="4" s="1"/>
  <c r="K49" i="4"/>
  <c r="O49" i="4" s="1"/>
  <c r="D49" i="4"/>
  <c r="H49" i="4" s="1"/>
  <c r="R48" i="4"/>
  <c r="V48" i="4" s="1"/>
  <c r="K48" i="4"/>
  <c r="O48" i="4" s="1"/>
  <c r="D48" i="4"/>
  <c r="H48" i="4" s="1"/>
  <c r="R47" i="4"/>
  <c r="V47" i="4" s="1"/>
  <c r="K47" i="4"/>
  <c r="O47" i="4" s="1"/>
  <c r="D47" i="4"/>
  <c r="R46" i="4"/>
  <c r="V46" i="4" s="1"/>
  <c r="K46" i="4"/>
  <c r="O46" i="4" s="1"/>
  <c r="D46" i="4"/>
  <c r="H46" i="4" s="1"/>
  <c r="R45" i="4"/>
  <c r="V45" i="4" s="1"/>
  <c r="K45" i="4"/>
  <c r="O45" i="4" s="1"/>
  <c r="D45" i="4"/>
  <c r="H45" i="4" s="1"/>
  <c r="R44" i="4"/>
  <c r="V44" i="4" s="1"/>
  <c r="K44" i="4"/>
  <c r="O44" i="4" s="1"/>
  <c r="D44" i="4"/>
  <c r="H44" i="4" s="1"/>
  <c r="R43" i="4"/>
  <c r="V43" i="4" s="1"/>
  <c r="K43" i="4"/>
  <c r="O43" i="4" s="1"/>
  <c r="D43" i="4"/>
  <c r="H43" i="4" s="1"/>
  <c r="R42" i="4"/>
  <c r="V42" i="4" s="1"/>
  <c r="K42" i="4"/>
  <c r="O42" i="4" s="1"/>
  <c r="D42" i="4"/>
  <c r="R41" i="4"/>
  <c r="V41" i="4" s="1"/>
  <c r="K41" i="4"/>
  <c r="O41" i="4" s="1"/>
  <c r="D41" i="4"/>
  <c r="H41" i="4" s="1"/>
  <c r="R40" i="4"/>
  <c r="V40" i="4" s="1"/>
  <c r="K40" i="4"/>
  <c r="O40" i="4" s="1"/>
  <c r="D40" i="4"/>
  <c r="H40" i="4" s="1"/>
  <c r="R39" i="4"/>
  <c r="V39" i="4" s="1"/>
  <c r="K39" i="4"/>
  <c r="O39" i="4" s="1"/>
  <c r="D39" i="4"/>
  <c r="H39" i="4" s="1"/>
  <c r="R38" i="4"/>
  <c r="V38" i="4" s="1"/>
  <c r="K38" i="4"/>
  <c r="O38" i="4" s="1"/>
  <c r="D38" i="4"/>
  <c r="H38" i="4" s="1"/>
  <c r="R37" i="4"/>
  <c r="V37" i="4" s="1"/>
  <c r="K37" i="4"/>
  <c r="O37" i="4" s="1"/>
  <c r="D37" i="4"/>
  <c r="H37" i="4" s="1"/>
  <c r="R36" i="4"/>
  <c r="V36" i="4" s="1"/>
  <c r="K36" i="4"/>
  <c r="O36" i="4" s="1"/>
  <c r="D36" i="4"/>
  <c r="H36" i="4" s="1"/>
  <c r="R35" i="4"/>
  <c r="V35" i="4" s="1"/>
  <c r="K35" i="4"/>
  <c r="O35" i="4" s="1"/>
  <c r="D35" i="4"/>
  <c r="H35" i="4" s="1"/>
  <c r="R34" i="4"/>
  <c r="V34" i="4" s="1"/>
  <c r="K34" i="4"/>
  <c r="O34" i="4" s="1"/>
  <c r="D34" i="4"/>
  <c r="H34" i="4" s="1"/>
  <c r="R33" i="4"/>
  <c r="V33" i="4" s="1"/>
  <c r="K33" i="4"/>
  <c r="O33" i="4" s="1"/>
  <c r="D33" i="4"/>
  <c r="H33" i="4" s="1"/>
  <c r="R32" i="4"/>
  <c r="V32" i="4" s="1"/>
  <c r="K32" i="4"/>
  <c r="O32" i="4" s="1"/>
  <c r="D32" i="4"/>
  <c r="H32" i="4" s="1"/>
  <c r="R31" i="4"/>
  <c r="V31" i="4" s="1"/>
  <c r="K31" i="4"/>
  <c r="O31" i="4" s="1"/>
  <c r="D31" i="4"/>
  <c r="H31" i="4" s="1"/>
  <c r="R30" i="4"/>
  <c r="V30" i="4" s="1"/>
  <c r="K30" i="4"/>
  <c r="O30" i="4" s="1"/>
  <c r="D30" i="4"/>
  <c r="H30" i="4" s="1"/>
  <c r="R29" i="4"/>
  <c r="V29" i="4" s="1"/>
  <c r="K29" i="4"/>
  <c r="O29" i="4" s="1"/>
  <c r="D29" i="4"/>
  <c r="H29" i="4" s="1"/>
  <c r="R28" i="4"/>
  <c r="V28" i="4" s="1"/>
  <c r="K28" i="4"/>
  <c r="O28" i="4" s="1"/>
  <c r="D28" i="4"/>
  <c r="H28" i="4" s="1"/>
  <c r="R27" i="4"/>
  <c r="V27" i="4" s="1"/>
  <c r="K27" i="4"/>
  <c r="O27" i="4" s="1"/>
  <c r="D27" i="4"/>
  <c r="H27" i="4" s="1"/>
  <c r="R26" i="4"/>
  <c r="V26" i="4" s="1"/>
  <c r="K26" i="4"/>
  <c r="O26" i="4" s="1"/>
  <c r="D26" i="4"/>
  <c r="H26" i="4" s="1"/>
  <c r="R25" i="4"/>
  <c r="V25" i="4" s="1"/>
  <c r="K25" i="4"/>
  <c r="O25" i="4" s="1"/>
  <c r="D25" i="4"/>
  <c r="H25" i="4" s="1"/>
  <c r="R24" i="4"/>
  <c r="V24" i="4" s="1"/>
  <c r="K24" i="4"/>
  <c r="O24" i="4" s="1"/>
  <c r="D24" i="4"/>
  <c r="H24" i="4" s="1"/>
  <c r="R23" i="4"/>
  <c r="V23" i="4" s="1"/>
  <c r="K23" i="4"/>
  <c r="D23" i="4"/>
  <c r="H23" i="4" s="1"/>
  <c r="R22" i="4"/>
  <c r="V22" i="4" s="1"/>
  <c r="K22" i="4"/>
  <c r="O22" i="4" s="1"/>
  <c r="D22" i="4"/>
  <c r="H22" i="4" s="1"/>
  <c r="R21" i="4"/>
  <c r="V21" i="4" s="1"/>
  <c r="K21" i="4"/>
  <c r="D21" i="4"/>
  <c r="H21" i="4" s="1"/>
  <c r="R20" i="4"/>
  <c r="V20" i="4" s="1"/>
  <c r="K20" i="4"/>
  <c r="O20" i="4" s="1"/>
  <c r="D20" i="4"/>
  <c r="H20" i="4" s="1"/>
  <c r="R19" i="4"/>
  <c r="V19" i="4" s="1"/>
  <c r="K19" i="4"/>
  <c r="O19" i="4" s="1"/>
  <c r="D19" i="4"/>
  <c r="H19" i="4" s="1"/>
  <c r="R18" i="4"/>
  <c r="V18" i="4" s="1"/>
  <c r="K18" i="4"/>
  <c r="O18" i="4" s="1"/>
  <c r="D18" i="4"/>
  <c r="H18" i="4" s="1"/>
  <c r="R17" i="4"/>
  <c r="V17" i="4" s="1"/>
  <c r="K17" i="4"/>
  <c r="O17" i="4" s="1"/>
  <c r="D17" i="4"/>
  <c r="H17" i="4" s="1"/>
  <c r="R16" i="4"/>
  <c r="V16" i="4" s="1"/>
  <c r="K16" i="4"/>
  <c r="O16" i="4" s="1"/>
  <c r="D16" i="4"/>
  <c r="H16" i="4" s="1"/>
  <c r="R15" i="4"/>
  <c r="V15" i="4" s="1"/>
  <c r="K15" i="4"/>
  <c r="O15" i="4" s="1"/>
  <c r="D15" i="4"/>
  <c r="R14" i="4"/>
  <c r="V14" i="4" s="1"/>
  <c r="K14" i="4"/>
  <c r="O14" i="4" s="1"/>
  <c r="D14" i="4"/>
  <c r="H14" i="4" s="1"/>
  <c r="R13" i="4"/>
  <c r="V13" i="4" s="1"/>
  <c r="K13" i="4"/>
  <c r="O13" i="4" s="1"/>
  <c r="D13" i="4"/>
  <c r="H13" i="4" s="1"/>
  <c r="R12" i="4"/>
  <c r="V12" i="4" s="1"/>
  <c r="K12" i="4"/>
  <c r="O12" i="4" s="1"/>
  <c r="D12" i="4"/>
  <c r="H12" i="4" s="1"/>
  <c r="R11" i="4"/>
  <c r="V11" i="4" s="1"/>
  <c r="K11" i="4"/>
  <c r="O11" i="4" s="1"/>
  <c r="D11" i="4"/>
  <c r="R10" i="4"/>
  <c r="V10" i="4" s="1"/>
  <c r="K10" i="4"/>
  <c r="O10" i="4" s="1"/>
  <c r="D10" i="4"/>
  <c r="H10" i="4" s="1"/>
  <c r="R9" i="4"/>
  <c r="V9" i="4" s="1"/>
  <c r="K9" i="4"/>
  <c r="O9" i="4" s="1"/>
  <c r="D9" i="4"/>
  <c r="H9" i="4" s="1"/>
  <c r="R8" i="4"/>
  <c r="V8" i="4" s="1"/>
  <c r="K8" i="4"/>
  <c r="O8" i="4" s="1"/>
  <c r="D8" i="4"/>
  <c r="H8" i="4" s="1"/>
  <c r="R7" i="4"/>
  <c r="V7" i="4" s="1"/>
  <c r="K7" i="4"/>
  <c r="O7" i="4" s="1"/>
  <c r="D7" i="4"/>
  <c r="H7" i="4" s="1"/>
  <c r="R6" i="4"/>
  <c r="V6" i="4" s="1"/>
  <c r="K6" i="4"/>
  <c r="O6" i="4" s="1"/>
  <c r="D6" i="4"/>
  <c r="H6" i="4" s="1"/>
  <c r="R5" i="4"/>
  <c r="V5" i="4" s="1"/>
  <c r="K5" i="4"/>
  <c r="O5" i="4" s="1"/>
  <c r="D5" i="4"/>
  <c r="H5" i="4" s="1"/>
  <c r="R4" i="4"/>
  <c r="V4" i="4" s="1"/>
  <c r="K4" i="4"/>
  <c r="O4" i="4" s="1"/>
  <c r="D4" i="4"/>
  <c r="H4" i="4" s="1"/>
  <c r="R3" i="4"/>
  <c r="V3" i="4" s="1"/>
  <c r="K3" i="4"/>
  <c r="O3" i="4" s="1"/>
  <c r="D3" i="4"/>
  <c r="H3" i="4" s="1"/>
  <c r="K367" i="2"/>
  <c r="N367" i="2" s="1"/>
  <c r="D367" i="2"/>
  <c r="G367" i="2" s="1"/>
  <c r="K366" i="2"/>
  <c r="N366" i="2" s="1"/>
  <c r="D366" i="2"/>
  <c r="G366" i="2" s="1"/>
  <c r="K365" i="2"/>
  <c r="N365" i="2" s="1"/>
  <c r="D365" i="2"/>
  <c r="K364" i="2"/>
  <c r="N364" i="2" s="1"/>
  <c r="D364" i="2"/>
  <c r="K363" i="2"/>
  <c r="N363" i="2" s="1"/>
  <c r="D363" i="2"/>
  <c r="K362" i="2"/>
  <c r="N362" i="2" s="1"/>
  <c r="D362" i="2"/>
  <c r="G362" i="2" s="1"/>
  <c r="K361" i="2"/>
  <c r="D361" i="2"/>
  <c r="K360" i="2"/>
  <c r="D360" i="2"/>
  <c r="K359" i="2"/>
  <c r="D359" i="2"/>
  <c r="G359" i="2" s="1"/>
  <c r="K358" i="2"/>
  <c r="N358" i="2" s="1"/>
  <c r="D358" i="2"/>
  <c r="K357" i="2"/>
  <c r="D357" i="2"/>
  <c r="K356" i="2"/>
  <c r="D356" i="2"/>
  <c r="K355" i="2"/>
  <c r="N355" i="2" s="1"/>
  <c r="D355" i="2"/>
  <c r="G355" i="2" s="1"/>
  <c r="K354" i="2"/>
  <c r="N354" i="2" s="1"/>
  <c r="D354" i="2"/>
  <c r="K353" i="2"/>
  <c r="N353" i="2" s="1"/>
  <c r="D353" i="2"/>
  <c r="K352" i="2"/>
  <c r="N352" i="2" s="1"/>
  <c r="D352" i="2"/>
  <c r="K351" i="2"/>
  <c r="N351" i="2" s="1"/>
  <c r="D351" i="2"/>
  <c r="K350" i="2"/>
  <c r="N350" i="2" s="1"/>
  <c r="D350" i="2"/>
  <c r="G350" i="2" s="1"/>
  <c r="K349" i="2"/>
  <c r="D349" i="2"/>
  <c r="K348" i="2"/>
  <c r="D348" i="2"/>
  <c r="K347" i="2"/>
  <c r="D347" i="2"/>
  <c r="G347" i="2" s="1"/>
  <c r="K346" i="2"/>
  <c r="N346" i="2" s="1"/>
  <c r="D346" i="2"/>
  <c r="K345" i="2"/>
  <c r="D345" i="2"/>
  <c r="K344" i="2"/>
  <c r="D344" i="2"/>
  <c r="K343" i="2"/>
  <c r="N343" i="2" s="1"/>
  <c r="D343" i="2"/>
  <c r="G343" i="2" s="1"/>
  <c r="K342" i="2"/>
  <c r="N342" i="2" s="1"/>
  <c r="D342" i="2"/>
  <c r="K341" i="2"/>
  <c r="N341" i="2" s="1"/>
  <c r="D341" i="2"/>
  <c r="K340" i="2"/>
  <c r="N340" i="2" s="1"/>
  <c r="D340" i="2"/>
  <c r="K339" i="2"/>
  <c r="N339" i="2" s="1"/>
  <c r="D339" i="2"/>
  <c r="K338" i="2"/>
  <c r="N338" i="2" s="1"/>
  <c r="D338" i="2"/>
  <c r="G338" i="2" s="1"/>
  <c r="K337" i="2"/>
  <c r="D337" i="2"/>
  <c r="K336" i="2"/>
  <c r="D336" i="2"/>
  <c r="K335" i="2"/>
  <c r="D335" i="2"/>
  <c r="G335" i="2" s="1"/>
  <c r="K334" i="2"/>
  <c r="N334" i="2" s="1"/>
  <c r="D334" i="2"/>
  <c r="K333" i="2"/>
  <c r="D333" i="2"/>
  <c r="K332" i="2"/>
  <c r="D332" i="2"/>
  <c r="K331" i="2"/>
  <c r="N331" i="2" s="1"/>
  <c r="D331" i="2"/>
  <c r="G331" i="2" s="1"/>
  <c r="K330" i="2"/>
  <c r="N330" i="2" s="1"/>
  <c r="D330" i="2"/>
  <c r="K329" i="2"/>
  <c r="N329" i="2" s="1"/>
  <c r="D329" i="2"/>
  <c r="K328" i="2"/>
  <c r="D328" i="2"/>
  <c r="K327" i="2"/>
  <c r="D327" i="2"/>
  <c r="K326" i="2"/>
  <c r="N326" i="2" s="1"/>
  <c r="D326" i="2"/>
  <c r="K325" i="2"/>
  <c r="D325" i="2"/>
  <c r="K324" i="2"/>
  <c r="D324" i="2"/>
  <c r="K323" i="2"/>
  <c r="N323" i="2" s="1"/>
  <c r="D323" i="2"/>
  <c r="K322" i="2"/>
  <c r="D322" i="2"/>
  <c r="K321" i="2"/>
  <c r="D321" i="2"/>
  <c r="K320" i="2"/>
  <c r="N320" i="2" s="1"/>
  <c r="D320" i="2"/>
  <c r="K319" i="2"/>
  <c r="D319" i="2"/>
  <c r="K318" i="2"/>
  <c r="D318" i="2"/>
  <c r="K317" i="2"/>
  <c r="N317" i="2" s="1"/>
  <c r="D317" i="2"/>
  <c r="K316" i="2"/>
  <c r="D316" i="2"/>
  <c r="K315" i="2"/>
  <c r="D315" i="2"/>
  <c r="K314" i="2"/>
  <c r="N314" i="2" s="1"/>
  <c r="D314" i="2"/>
  <c r="K313" i="2"/>
  <c r="D313" i="2"/>
  <c r="K312" i="2"/>
  <c r="D312" i="2"/>
  <c r="K311" i="2"/>
  <c r="N311" i="2" s="1"/>
  <c r="D311" i="2"/>
  <c r="K310" i="2"/>
  <c r="D310" i="2"/>
  <c r="K309" i="2"/>
  <c r="D309" i="2"/>
  <c r="K308" i="2"/>
  <c r="N308" i="2" s="1"/>
  <c r="D308" i="2"/>
  <c r="K307" i="2"/>
  <c r="D307" i="2"/>
  <c r="K306" i="2"/>
  <c r="D306" i="2"/>
  <c r="K305" i="2"/>
  <c r="N305" i="2" s="1"/>
  <c r="D305" i="2"/>
  <c r="K304" i="2"/>
  <c r="D304" i="2"/>
  <c r="K303" i="2"/>
  <c r="D303" i="2"/>
  <c r="H303" i="2" s="1"/>
  <c r="K302" i="2"/>
  <c r="D302" i="2"/>
  <c r="H302" i="2" s="1"/>
  <c r="K301" i="2"/>
  <c r="N301" i="2" s="1"/>
  <c r="D301" i="2"/>
  <c r="K300" i="2"/>
  <c r="D300" i="2"/>
  <c r="K299" i="2"/>
  <c r="D299" i="2"/>
  <c r="H299" i="2" s="1"/>
  <c r="K298" i="2"/>
  <c r="D298" i="2"/>
  <c r="K297" i="2"/>
  <c r="D297" i="2"/>
  <c r="H297" i="2" s="1"/>
  <c r="K296" i="2"/>
  <c r="D296" i="2"/>
  <c r="H296" i="2" s="1"/>
  <c r="K295" i="2"/>
  <c r="D295" i="2"/>
  <c r="K294" i="2"/>
  <c r="D294" i="2"/>
  <c r="G294" i="2" s="1"/>
  <c r="K293" i="2"/>
  <c r="D293" i="2"/>
  <c r="K292" i="2"/>
  <c r="D292" i="2"/>
  <c r="K291" i="2"/>
  <c r="D291" i="2"/>
  <c r="K290" i="2"/>
  <c r="D290" i="2"/>
  <c r="H290" i="2" s="1"/>
  <c r="K289" i="2"/>
  <c r="D289" i="2"/>
  <c r="K288" i="2"/>
  <c r="D288" i="2"/>
  <c r="K287" i="2"/>
  <c r="D287" i="2"/>
  <c r="K286" i="2"/>
  <c r="D286" i="2"/>
  <c r="K285" i="2"/>
  <c r="D285" i="2"/>
  <c r="K284" i="2"/>
  <c r="D284" i="2"/>
  <c r="K283" i="2"/>
  <c r="D283" i="2"/>
  <c r="K282" i="2"/>
  <c r="D282" i="2"/>
  <c r="K281" i="2"/>
  <c r="D281" i="2"/>
  <c r="K280" i="2"/>
  <c r="D280" i="2"/>
  <c r="K279" i="2"/>
  <c r="D279" i="2"/>
  <c r="K278" i="2"/>
  <c r="D278" i="2"/>
  <c r="K277" i="2"/>
  <c r="D277" i="2"/>
  <c r="K276" i="2"/>
  <c r="D276" i="2"/>
  <c r="K275" i="2"/>
  <c r="D275" i="2"/>
  <c r="K274" i="2"/>
  <c r="D274" i="2"/>
  <c r="K273" i="2"/>
  <c r="D273" i="2"/>
  <c r="K272" i="2"/>
  <c r="D272" i="2"/>
  <c r="K271" i="2"/>
  <c r="D271" i="2"/>
  <c r="K270" i="2"/>
  <c r="D270" i="2"/>
  <c r="K269" i="2"/>
  <c r="D269" i="2"/>
  <c r="K268" i="2"/>
  <c r="D268" i="2"/>
  <c r="K267" i="2"/>
  <c r="D267" i="2"/>
  <c r="K266" i="2"/>
  <c r="D266" i="2"/>
  <c r="K265" i="2"/>
  <c r="D265" i="2"/>
  <c r="K264" i="2"/>
  <c r="D264" i="2"/>
  <c r="K263" i="2"/>
  <c r="D263" i="2"/>
  <c r="K262" i="2"/>
  <c r="D262" i="2"/>
  <c r="K261" i="2"/>
  <c r="D261" i="2"/>
  <c r="K260" i="2"/>
  <c r="D260" i="2"/>
  <c r="K259" i="2"/>
  <c r="D259" i="2"/>
  <c r="K258" i="2"/>
  <c r="D258" i="2"/>
  <c r="K257" i="2"/>
  <c r="D257" i="2"/>
  <c r="K256" i="2"/>
  <c r="D256" i="2"/>
  <c r="K255" i="2"/>
  <c r="D255" i="2"/>
  <c r="K254" i="2"/>
  <c r="D254" i="2"/>
  <c r="K253" i="2"/>
  <c r="D253" i="2"/>
  <c r="E253" i="2" s="1"/>
  <c r="K252" i="2"/>
  <c r="D252" i="2"/>
  <c r="K251" i="2"/>
  <c r="D251" i="2"/>
  <c r="E251" i="2" s="1"/>
  <c r="AD251" i="2" s="1"/>
  <c r="K250" i="2"/>
  <c r="D250" i="2"/>
  <c r="E250" i="2" s="1"/>
  <c r="K249" i="2"/>
  <c r="D249" i="2"/>
  <c r="E249" i="2" s="1"/>
  <c r="AD249" i="2" s="1"/>
  <c r="K248" i="2"/>
  <c r="D248" i="2"/>
  <c r="K247" i="2"/>
  <c r="L247" i="2" s="1"/>
  <c r="D247" i="2"/>
  <c r="E247" i="2" s="1"/>
  <c r="AD247" i="2" s="1"/>
  <c r="K246" i="2"/>
  <c r="D246" i="2"/>
  <c r="E246" i="2" s="1"/>
  <c r="K245" i="2"/>
  <c r="D245" i="2"/>
  <c r="E245" i="2" s="1"/>
  <c r="AD245" i="2" s="1"/>
  <c r="K244" i="2"/>
  <c r="D244" i="2"/>
  <c r="H244" i="2" s="1"/>
  <c r="K243" i="2"/>
  <c r="D243" i="2"/>
  <c r="K242" i="2"/>
  <c r="D242" i="2"/>
  <c r="H242" i="2" s="1"/>
  <c r="K241" i="2"/>
  <c r="D241" i="2"/>
  <c r="H241" i="2" s="1"/>
  <c r="K240" i="2"/>
  <c r="D240" i="2"/>
  <c r="H240" i="2" s="1"/>
  <c r="K239" i="2"/>
  <c r="D239" i="2"/>
  <c r="H239" i="2" s="1"/>
  <c r="K238" i="2"/>
  <c r="D238" i="2"/>
  <c r="H238" i="2" s="1"/>
  <c r="K237" i="2"/>
  <c r="D237" i="2"/>
  <c r="H237" i="2" s="1"/>
  <c r="K236" i="2"/>
  <c r="D236" i="2"/>
  <c r="K235" i="2"/>
  <c r="D235" i="2"/>
  <c r="H235" i="2" s="1"/>
  <c r="K234" i="2"/>
  <c r="D234" i="2"/>
  <c r="H234" i="2" s="1"/>
  <c r="K233" i="2"/>
  <c r="D233" i="2"/>
  <c r="K232" i="2"/>
  <c r="D232" i="2"/>
  <c r="K231" i="2"/>
  <c r="D231" i="2"/>
  <c r="K230" i="2"/>
  <c r="D230" i="2"/>
  <c r="K229" i="2"/>
  <c r="D229" i="2"/>
  <c r="K228" i="2"/>
  <c r="D228" i="2"/>
  <c r="K227" i="2"/>
  <c r="D227" i="2"/>
  <c r="K226" i="2"/>
  <c r="D226" i="2"/>
  <c r="K225" i="2"/>
  <c r="D225" i="2"/>
  <c r="K224" i="2"/>
  <c r="D224" i="2"/>
  <c r="K223" i="2"/>
  <c r="D223" i="2"/>
  <c r="K222" i="2"/>
  <c r="D222" i="2"/>
  <c r="K221" i="2"/>
  <c r="D221" i="2"/>
  <c r="K220" i="2"/>
  <c r="D220" i="2"/>
  <c r="K219" i="2"/>
  <c r="D219" i="2"/>
  <c r="K218" i="2"/>
  <c r="D218" i="2"/>
  <c r="K217" i="2"/>
  <c r="D217" i="2"/>
  <c r="K216" i="2"/>
  <c r="D216" i="2"/>
  <c r="K215" i="2"/>
  <c r="D215" i="2"/>
  <c r="K214" i="2"/>
  <c r="D214" i="2"/>
  <c r="K213" i="2"/>
  <c r="D213" i="2"/>
  <c r="K212" i="2"/>
  <c r="D212" i="2"/>
  <c r="K211" i="2"/>
  <c r="D211" i="2"/>
  <c r="K210" i="2"/>
  <c r="D210" i="2"/>
  <c r="K209" i="2"/>
  <c r="D209" i="2"/>
  <c r="K208" i="2"/>
  <c r="D208" i="2"/>
  <c r="K207" i="2"/>
  <c r="D207" i="2"/>
  <c r="K206" i="2"/>
  <c r="D206" i="2"/>
  <c r="K205" i="2"/>
  <c r="D205" i="2"/>
  <c r="K204" i="2"/>
  <c r="D204" i="2"/>
  <c r="K203" i="2"/>
  <c r="D203" i="2"/>
  <c r="K202" i="2"/>
  <c r="D202" i="2"/>
  <c r="K201" i="2"/>
  <c r="D201" i="2"/>
  <c r="K200" i="2"/>
  <c r="D200" i="2"/>
  <c r="K199" i="2"/>
  <c r="D199" i="2"/>
  <c r="K198" i="2"/>
  <c r="D198" i="2"/>
  <c r="K197" i="2"/>
  <c r="D197" i="2"/>
  <c r="K196" i="2"/>
  <c r="D196" i="2"/>
  <c r="K195" i="2"/>
  <c r="D195" i="2"/>
  <c r="K194" i="2"/>
  <c r="D194" i="2"/>
  <c r="K193" i="2"/>
  <c r="D193" i="2"/>
  <c r="K192" i="2"/>
  <c r="D192" i="2"/>
  <c r="K191" i="2"/>
  <c r="D191" i="2"/>
  <c r="K190" i="2"/>
  <c r="D190" i="2"/>
  <c r="K189" i="2"/>
  <c r="D189" i="2"/>
  <c r="K188" i="2"/>
  <c r="L188" i="2" s="1"/>
  <c r="AE188" i="2" s="1"/>
  <c r="D188" i="2"/>
  <c r="K187" i="2"/>
  <c r="L187" i="2" s="1"/>
  <c r="D187" i="2"/>
  <c r="K186" i="2"/>
  <c r="D186" i="2"/>
  <c r="K185" i="2"/>
  <c r="L185" i="2" s="1"/>
  <c r="AE185" i="2" s="1"/>
  <c r="D185" i="2"/>
  <c r="K184" i="2"/>
  <c r="L184" i="2" s="1"/>
  <c r="D184" i="2"/>
  <c r="K183" i="2"/>
  <c r="D183" i="2"/>
  <c r="K182" i="2"/>
  <c r="L182" i="2" s="1"/>
  <c r="AE182" i="2" s="1"/>
  <c r="D182" i="2"/>
  <c r="K181" i="2"/>
  <c r="L181" i="2" s="1"/>
  <c r="D181" i="2"/>
  <c r="K180" i="2"/>
  <c r="D180" i="2"/>
  <c r="K179" i="2"/>
  <c r="L179" i="2" s="1"/>
  <c r="AE179" i="2" s="1"/>
  <c r="D179" i="2"/>
  <c r="K178" i="2"/>
  <c r="L178" i="2" s="1"/>
  <c r="D178" i="2"/>
  <c r="K177" i="2"/>
  <c r="D177" i="2"/>
  <c r="K176" i="2"/>
  <c r="L176" i="2" s="1"/>
  <c r="AE176" i="2" s="1"/>
  <c r="D176" i="2"/>
  <c r="K175" i="2"/>
  <c r="L175" i="2" s="1"/>
  <c r="D175" i="2"/>
  <c r="E175" i="2" s="1"/>
  <c r="K174" i="2"/>
  <c r="D174" i="2"/>
  <c r="E174" i="2" s="1"/>
  <c r="AD174" i="2" s="1"/>
  <c r="K173" i="2"/>
  <c r="L173" i="2" s="1"/>
  <c r="D173" i="2"/>
  <c r="E173" i="2" s="1"/>
  <c r="AD173" i="2" s="1"/>
  <c r="K172" i="2"/>
  <c r="D172" i="2"/>
  <c r="H172" i="2" s="1"/>
  <c r="K171" i="2"/>
  <c r="D171" i="2"/>
  <c r="H171" i="2" s="1"/>
  <c r="K170" i="2"/>
  <c r="O170" i="2" s="1"/>
  <c r="D170" i="2"/>
  <c r="H170" i="2" s="1"/>
  <c r="K169" i="2"/>
  <c r="O169" i="2" s="1"/>
  <c r="D169" i="2"/>
  <c r="K168" i="2"/>
  <c r="O168" i="2" s="1"/>
  <c r="D168" i="2"/>
  <c r="H168" i="2" s="1"/>
  <c r="K167" i="2"/>
  <c r="O167" i="2" s="1"/>
  <c r="D167" i="2"/>
  <c r="H167" i="2" s="1"/>
  <c r="K166" i="2"/>
  <c r="D166" i="2"/>
  <c r="K165" i="2"/>
  <c r="O165" i="2" s="1"/>
  <c r="D165" i="2"/>
  <c r="E165" i="2" s="1"/>
  <c r="K164" i="2"/>
  <c r="O164" i="2" s="1"/>
  <c r="D164" i="2"/>
  <c r="K163" i="2"/>
  <c r="O163" i="2" s="1"/>
  <c r="D163" i="2"/>
  <c r="G163" i="2" s="1"/>
  <c r="K162" i="2"/>
  <c r="O162" i="2" s="1"/>
  <c r="D162" i="2"/>
  <c r="K161" i="2"/>
  <c r="O161" i="2" s="1"/>
  <c r="D161" i="2"/>
  <c r="H161" i="2" s="1"/>
  <c r="K160" i="2"/>
  <c r="D160" i="2"/>
  <c r="K159" i="2"/>
  <c r="O159" i="2" s="1"/>
  <c r="D159" i="2"/>
  <c r="E159" i="2" s="1"/>
  <c r="K158" i="2"/>
  <c r="O158" i="2" s="1"/>
  <c r="D158" i="2"/>
  <c r="K157" i="2"/>
  <c r="O157" i="2" s="1"/>
  <c r="D157" i="2"/>
  <c r="K156" i="2"/>
  <c r="O156" i="2" s="1"/>
  <c r="D156" i="2"/>
  <c r="K155" i="2"/>
  <c r="O155" i="2" s="1"/>
  <c r="D155" i="2"/>
  <c r="K154" i="2"/>
  <c r="O154" i="2" s="1"/>
  <c r="D154" i="2"/>
  <c r="K153" i="2"/>
  <c r="O153" i="2" s="1"/>
  <c r="D153" i="2"/>
  <c r="K152" i="2"/>
  <c r="O152" i="2" s="1"/>
  <c r="D152" i="2"/>
  <c r="K151" i="2"/>
  <c r="O151" i="2" s="1"/>
  <c r="D151" i="2"/>
  <c r="K150" i="2"/>
  <c r="O150" i="2" s="1"/>
  <c r="D150" i="2"/>
  <c r="K149" i="2"/>
  <c r="O149" i="2" s="1"/>
  <c r="D149" i="2"/>
  <c r="K148" i="2"/>
  <c r="O148" i="2" s="1"/>
  <c r="D148" i="2"/>
  <c r="K147" i="2"/>
  <c r="O147" i="2" s="1"/>
  <c r="D147" i="2"/>
  <c r="K146" i="2"/>
  <c r="O146" i="2" s="1"/>
  <c r="D146" i="2"/>
  <c r="K145" i="2"/>
  <c r="O145" i="2" s="1"/>
  <c r="D145" i="2"/>
  <c r="K144" i="2"/>
  <c r="O144" i="2" s="1"/>
  <c r="D144" i="2"/>
  <c r="K143" i="2"/>
  <c r="O143" i="2" s="1"/>
  <c r="D143" i="2"/>
  <c r="N142" i="2"/>
  <c r="K142" i="2"/>
  <c r="O142" i="2" s="1"/>
  <c r="D142" i="2"/>
  <c r="K141" i="2"/>
  <c r="O141" i="2" s="1"/>
  <c r="D141" i="2"/>
  <c r="K140" i="2"/>
  <c r="O140" i="2" s="1"/>
  <c r="D140" i="2"/>
  <c r="K139" i="2"/>
  <c r="N139" i="2" s="1"/>
  <c r="D139" i="2"/>
  <c r="K138" i="2"/>
  <c r="N138" i="2" s="1"/>
  <c r="D138" i="2"/>
  <c r="K137" i="2"/>
  <c r="N137" i="2" s="1"/>
  <c r="D137" i="2"/>
  <c r="K136" i="2"/>
  <c r="N136" i="2" s="1"/>
  <c r="D136" i="2"/>
  <c r="K135" i="2"/>
  <c r="D135" i="2"/>
  <c r="N134" i="2"/>
  <c r="K134" i="2"/>
  <c r="D134" i="2"/>
  <c r="K133" i="2"/>
  <c r="N133" i="2" s="1"/>
  <c r="D133" i="2"/>
  <c r="K132" i="2"/>
  <c r="N132" i="2" s="1"/>
  <c r="D132" i="2"/>
  <c r="K131" i="2"/>
  <c r="N131" i="2" s="1"/>
  <c r="D131" i="2"/>
  <c r="K130" i="2"/>
  <c r="N130" i="2" s="1"/>
  <c r="D130" i="2"/>
  <c r="K129" i="2"/>
  <c r="N129" i="2" s="1"/>
  <c r="D129" i="2"/>
  <c r="K128" i="2"/>
  <c r="N128" i="2" s="1"/>
  <c r="D128" i="2"/>
  <c r="K127" i="2"/>
  <c r="N127" i="2" s="1"/>
  <c r="D127" i="2"/>
  <c r="K126" i="2"/>
  <c r="N126" i="2" s="1"/>
  <c r="D126" i="2"/>
  <c r="K125" i="2"/>
  <c r="N125" i="2" s="1"/>
  <c r="D125" i="2"/>
  <c r="K124" i="2"/>
  <c r="N124" i="2" s="1"/>
  <c r="D124" i="2"/>
  <c r="K123" i="2"/>
  <c r="D123" i="2"/>
  <c r="K122" i="2"/>
  <c r="N122" i="2" s="1"/>
  <c r="D122" i="2"/>
  <c r="K121" i="2"/>
  <c r="N121" i="2" s="1"/>
  <c r="D121" i="2"/>
  <c r="K120" i="2"/>
  <c r="N120" i="2" s="1"/>
  <c r="D120" i="2"/>
  <c r="K119" i="2"/>
  <c r="N119" i="2" s="1"/>
  <c r="D119" i="2"/>
  <c r="K118" i="2"/>
  <c r="N118" i="2" s="1"/>
  <c r="D118" i="2"/>
  <c r="K117" i="2"/>
  <c r="N117" i="2" s="1"/>
  <c r="D117" i="2"/>
  <c r="K116" i="2"/>
  <c r="N116" i="2" s="1"/>
  <c r="D116" i="2"/>
  <c r="K115" i="2"/>
  <c r="N115" i="2" s="1"/>
  <c r="D115" i="2"/>
  <c r="K114" i="2"/>
  <c r="N114" i="2" s="1"/>
  <c r="D114" i="2"/>
  <c r="K113" i="2"/>
  <c r="N113" i="2" s="1"/>
  <c r="D113" i="2"/>
  <c r="K112" i="2"/>
  <c r="N112" i="2" s="1"/>
  <c r="D112" i="2"/>
  <c r="K111" i="2"/>
  <c r="D111" i="2"/>
  <c r="K110" i="2"/>
  <c r="N110" i="2" s="1"/>
  <c r="D110" i="2"/>
  <c r="K109" i="2"/>
  <c r="N109" i="2" s="1"/>
  <c r="D109" i="2"/>
  <c r="K108" i="2"/>
  <c r="N108" i="2" s="1"/>
  <c r="D108" i="2"/>
  <c r="N107" i="2"/>
  <c r="K107" i="2"/>
  <c r="D107" i="2"/>
  <c r="K106" i="2"/>
  <c r="N106" i="2" s="1"/>
  <c r="D106" i="2"/>
  <c r="K105" i="2"/>
  <c r="D105" i="2"/>
  <c r="K104" i="2"/>
  <c r="N104" i="2" s="1"/>
  <c r="D104" i="2"/>
  <c r="K103" i="2"/>
  <c r="N103" i="2" s="1"/>
  <c r="D103" i="2"/>
  <c r="K102" i="2"/>
  <c r="N102" i="2" s="1"/>
  <c r="D102" i="2"/>
  <c r="K101" i="2"/>
  <c r="N101" i="2" s="1"/>
  <c r="D101" i="2"/>
  <c r="K100" i="2"/>
  <c r="N100" i="2" s="1"/>
  <c r="D100" i="2"/>
  <c r="K99" i="2"/>
  <c r="D99" i="2"/>
  <c r="K98" i="2"/>
  <c r="N98" i="2" s="1"/>
  <c r="D98" i="2"/>
  <c r="K97" i="2"/>
  <c r="N97" i="2" s="1"/>
  <c r="D97" i="2"/>
  <c r="K96" i="2"/>
  <c r="N96" i="2" s="1"/>
  <c r="D96" i="2"/>
  <c r="K95" i="2"/>
  <c r="N95" i="2" s="1"/>
  <c r="D95" i="2"/>
  <c r="K94" i="2"/>
  <c r="N94" i="2" s="1"/>
  <c r="D94" i="2"/>
  <c r="K93" i="2"/>
  <c r="N93" i="2" s="1"/>
  <c r="D93" i="2"/>
  <c r="K92" i="2"/>
  <c r="N92" i="2" s="1"/>
  <c r="D92" i="2"/>
  <c r="K91" i="2"/>
  <c r="N91" i="2" s="1"/>
  <c r="D91" i="2"/>
  <c r="K90" i="2"/>
  <c r="D90" i="2"/>
  <c r="K89" i="2"/>
  <c r="N89" i="2" s="1"/>
  <c r="D89" i="2"/>
  <c r="K88" i="2"/>
  <c r="N88" i="2" s="1"/>
  <c r="D88" i="2"/>
  <c r="K87" i="2"/>
  <c r="N87" i="2" s="1"/>
  <c r="D87" i="2"/>
  <c r="K86" i="2"/>
  <c r="N86" i="2" s="1"/>
  <c r="D86" i="2"/>
  <c r="K85" i="2"/>
  <c r="N85" i="2" s="1"/>
  <c r="D85" i="2"/>
  <c r="K84" i="2"/>
  <c r="D84" i="2"/>
  <c r="K83" i="2"/>
  <c r="N83" i="2" s="1"/>
  <c r="D83" i="2"/>
  <c r="K82" i="2"/>
  <c r="D82" i="2"/>
  <c r="K81" i="2"/>
  <c r="N81" i="2" s="1"/>
  <c r="D81" i="2"/>
  <c r="K80" i="2"/>
  <c r="D80" i="2"/>
  <c r="K79" i="2"/>
  <c r="N79" i="2" s="1"/>
  <c r="D79" i="2"/>
  <c r="K78" i="2"/>
  <c r="N78" i="2" s="1"/>
  <c r="D78" i="2"/>
  <c r="K77" i="2"/>
  <c r="N77" i="2" s="1"/>
  <c r="D77" i="2"/>
  <c r="K76" i="2"/>
  <c r="D76" i="2"/>
  <c r="E76" i="2" s="1"/>
  <c r="K75" i="2"/>
  <c r="D75" i="2"/>
  <c r="E75" i="2" s="1"/>
  <c r="K74" i="2"/>
  <c r="D74" i="2"/>
  <c r="E74" i="2" s="1"/>
  <c r="K73" i="2"/>
  <c r="N73" i="2" s="1"/>
  <c r="D73" i="2"/>
  <c r="E73" i="2" s="1"/>
  <c r="K72" i="2"/>
  <c r="D72" i="2"/>
  <c r="E72" i="2" s="1"/>
  <c r="K71" i="2"/>
  <c r="N71" i="2" s="1"/>
  <c r="D71" i="2"/>
  <c r="E71" i="2" s="1"/>
  <c r="K70" i="2"/>
  <c r="D70" i="2"/>
  <c r="E70" i="2" s="1"/>
  <c r="K69" i="2"/>
  <c r="D69" i="2"/>
  <c r="E69" i="2" s="1"/>
  <c r="K68" i="2"/>
  <c r="D68" i="2"/>
  <c r="E68" i="2" s="1"/>
  <c r="K67" i="2"/>
  <c r="N67" i="2" s="1"/>
  <c r="D67" i="2"/>
  <c r="E67" i="2" s="1"/>
  <c r="K66" i="2"/>
  <c r="D66" i="2"/>
  <c r="E66" i="2" s="1"/>
  <c r="K65" i="2"/>
  <c r="N65" i="2" s="1"/>
  <c r="D65" i="2"/>
  <c r="E65" i="2" s="1"/>
  <c r="K64" i="2"/>
  <c r="D64" i="2"/>
  <c r="E64" i="2" s="1"/>
  <c r="K63" i="2"/>
  <c r="N63" i="2" s="1"/>
  <c r="D63" i="2"/>
  <c r="E63" i="2" s="1"/>
  <c r="K62" i="2"/>
  <c r="D62" i="2"/>
  <c r="E62" i="2" s="1"/>
  <c r="K61" i="2"/>
  <c r="D61" i="2"/>
  <c r="E61" i="2" s="1"/>
  <c r="K60" i="2"/>
  <c r="D60" i="2"/>
  <c r="E60" i="2" s="1"/>
  <c r="K59" i="2"/>
  <c r="N59" i="2" s="1"/>
  <c r="D59" i="2"/>
  <c r="E59" i="2" s="1"/>
  <c r="K58" i="2"/>
  <c r="D58" i="2"/>
  <c r="E58" i="2" s="1"/>
  <c r="K57" i="2"/>
  <c r="D57" i="2"/>
  <c r="E57" i="2" s="1"/>
  <c r="K56" i="2"/>
  <c r="N56" i="2" s="1"/>
  <c r="D56" i="2"/>
  <c r="K55" i="2"/>
  <c r="D55" i="2"/>
  <c r="E55" i="2" s="1"/>
  <c r="AD55" i="2" s="1"/>
  <c r="K54" i="2"/>
  <c r="N54" i="2" s="1"/>
  <c r="D54" i="2"/>
  <c r="E54" i="2" s="1"/>
  <c r="K53" i="2"/>
  <c r="N53" i="2" s="1"/>
  <c r="D53" i="2"/>
  <c r="K52" i="2"/>
  <c r="N52" i="2" s="1"/>
  <c r="D52" i="2"/>
  <c r="K51" i="2"/>
  <c r="D51" i="2"/>
  <c r="E51" i="2" s="1"/>
  <c r="K50" i="2"/>
  <c r="N50" i="2" s="1"/>
  <c r="D50" i="2"/>
  <c r="E50" i="2" s="1"/>
  <c r="AD50" i="2" s="1"/>
  <c r="K49" i="2"/>
  <c r="N49" i="2" s="1"/>
  <c r="D49" i="2"/>
  <c r="E49" i="2" s="1"/>
  <c r="AD49" i="2" s="1"/>
  <c r="K48" i="2"/>
  <c r="N48" i="2" s="1"/>
  <c r="D48" i="2"/>
  <c r="K47" i="2"/>
  <c r="D47" i="2"/>
  <c r="E47" i="2" s="1"/>
  <c r="AD47" i="2" s="1"/>
  <c r="K46" i="2"/>
  <c r="N46" i="2" s="1"/>
  <c r="D46" i="2"/>
  <c r="E46" i="2" s="1"/>
  <c r="K45" i="2"/>
  <c r="D45" i="2"/>
  <c r="H45" i="2" s="1"/>
  <c r="K44" i="2"/>
  <c r="N44" i="2" s="1"/>
  <c r="D44" i="2"/>
  <c r="H44" i="2" s="1"/>
  <c r="K43" i="2"/>
  <c r="D43" i="2"/>
  <c r="H43" i="2" s="1"/>
  <c r="K42" i="2"/>
  <c r="N42" i="2" s="1"/>
  <c r="D42" i="2"/>
  <c r="H42" i="2" s="1"/>
  <c r="K41" i="2"/>
  <c r="N41" i="2" s="1"/>
  <c r="D41" i="2"/>
  <c r="H41" i="2" s="1"/>
  <c r="K40" i="2"/>
  <c r="N40" i="2" s="1"/>
  <c r="D40" i="2"/>
  <c r="H40" i="2" s="1"/>
  <c r="K39" i="2"/>
  <c r="D39" i="2"/>
  <c r="H39" i="2" s="1"/>
  <c r="K38" i="2"/>
  <c r="N38" i="2" s="1"/>
  <c r="D38" i="2"/>
  <c r="H38" i="2" s="1"/>
  <c r="K37" i="2"/>
  <c r="N37" i="2" s="1"/>
  <c r="D37" i="2"/>
  <c r="H37" i="2" s="1"/>
  <c r="K36" i="2"/>
  <c r="D36" i="2"/>
  <c r="H36" i="2" s="1"/>
  <c r="K35" i="2"/>
  <c r="N35" i="2" s="1"/>
  <c r="D35" i="2"/>
  <c r="H35" i="2" s="1"/>
  <c r="K34" i="2"/>
  <c r="D34" i="2"/>
  <c r="H34" i="2" s="1"/>
  <c r="K33" i="2"/>
  <c r="D33" i="2"/>
  <c r="H33" i="2" s="1"/>
  <c r="K32" i="2"/>
  <c r="D32" i="2"/>
  <c r="H32" i="2" s="1"/>
  <c r="K31" i="2"/>
  <c r="D31" i="2"/>
  <c r="H31" i="2" s="1"/>
  <c r="K30" i="2"/>
  <c r="O30" i="2" s="1"/>
  <c r="D30" i="2"/>
  <c r="K29" i="2"/>
  <c r="O29" i="2" s="1"/>
  <c r="D29" i="2"/>
  <c r="K28" i="2"/>
  <c r="O28" i="2" s="1"/>
  <c r="D28" i="2"/>
  <c r="K27" i="2"/>
  <c r="O27" i="2" s="1"/>
  <c r="D27" i="2"/>
  <c r="K26" i="2"/>
  <c r="O26" i="2" s="1"/>
  <c r="D26" i="2"/>
  <c r="K25" i="2"/>
  <c r="O25" i="2" s="1"/>
  <c r="D25" i="2"/>
  <c r="K24" i="2"/>
  <c r="O24" i="2" s="1"/>
  <c r="D24" i="2"/>
  <c r="K23" i="2"/>
  <c r="O23" i="2" s="1"/>
  <c r="D23" i="2"/>
  <c r="K22" i="2"/>
  <c r="O22" i="2" s="1"/>
  <c r="D22" i="2"/>
  <c r="K21" i="2"/>
  <c r="O21" i="2" s="1"/>
  <c r="D21" i="2"/>
  <c r="K20" i="2"/>
  <c r="O20" i="2" s="1"/>
  <c r="D20" i="2"/>
  <c r="K19" i="2"/>
  <c r="O19" i="2" s="1"/>
  <c r="D19" i="2"/>
  <c r="K18" i="2"/>
  <c r="O18" i="2" s="1"/>
  <c r="D18" i="2"/>
  <c r="K17" i="2"/>
  <c r="O17" i="2" s="1"/>
  <c r="D17" i="2"/>
  <c r="K16" i="2"/>
  <c r="O16" i="2" s="1"/>
  <c r="D16" i="2"/>
  <c r="K15" i="2"/>
  <c r="O15" i="2" s="1"/>
  <c r="D15" i="2"/>
  <c r="K14" i="2"/>
  <c r="O14" i="2" s="1"/>
  <c r="D14" i="2"/>
  <c r="K13" i="2"/>
  <c r="O13" i="2" s="1"/>
  <c r="D13" i="2"/>
  <c r="K12" i="2"/>
  <c r="O12" i="2" s="1"/>
  <c r="D12" i="2"/>
  <c r="K11" i="2"/>
  <c r="O11" i="2" s="1"/>
  <c r="D11" i="2"/>
  <c r="K10" i="2"/>
  <c r="O10" i="2" s="1"/>
  <c r="D10" i="2"/>
  <c r="K9" i="2"/>
  <c r="O9" i="2" s="1"/>
  <c r="D9" i="2"/>
  <c r="K8" i="2"/>
  <c r="O8" i="2" s="1"/>
  <c r="D8" i="2"/>
  <c r="K7" i="2"/>
  <c r="O7" i="2" s="1"/>
  <c r="D7" i="2"/>
  <c r="K6" i="2"/>
  <c r="O6" i="2" s="1"/>
  <c r="D6" i="2"/>
  <c r="K5" i="2"/>
  <c r="O5" i="2" s="1"/>
  <c r="D5" i="2"/>
  <c r="K4" i="2"/>
  <c r="O4" i="2" s="1"/>
  <c r="D4" i="2"/>
  <c r="N3" i="2"/>
  <c r="L3" i="2"/>
  <c r="AE3" i="2" s="1"/>
  <c r="D3" i="2"/>
  <c r="H3" i="2" s="1"/>
  <c r="N161" i="2" l="1"/>
  <c r="G290" i="2"/>
  <c r="S67" i="5"/>
  <c r="U67" i="5" s="1"/>
  <c r="E299" i="2"/>
  <c r="AD299" i="2" s="1"/>
  <c r="Q165" i="5"/>
  <c r="U183" i="5"/>
  <c r="U245" i="5"/>
  <c r="N150" i="2"/>
  <c r="S47" i="5"/>
  <c r="U47" i="5" s="1"/>
  <c r="U304" i="5"/>
  <c r="E41" i="2"/>
  <c r="AD41" i="2" s="1"/>
  <c r="N170" i="2"/>
  <c r="G37" i="2"/>
  <c r="N154" i="2"/>
  <c r="N146" i="2"/>
  <c r="N29" i="2"/>
  <c r="E240" i="2"/>
  <c r="G34" i="2"/>
  <c r="N157" i="2"/>
  <c r="E40" i="2"/>
  <c r="G237" i="2"/>
  <c r="E242" i="2"/>
  <c r="N165" i="2"/>
  <c r="N156" i="2"/>
  <c r="U176" i="4"/>
  <c r="E292" i="4"/>
  <c r="AD292" i="4" s="1"/>
  <c r="U331" i="4"/>
  <c r="U41" i="4"/>
  <c r="U118" i="4"/>
  <c r="S266" i="4"/>
  <c r="AF266" i="4" s="1"/>
  <c r="S154" i="4"/>
  <c r="AF154" i="4" s="1"/>
  <c r="S213" i="4"/>
  <c r="AF213" i="4" s="1"/>
  <c r="U198" i="4"/>
  <c r="U278" i="4"/>
  <c r="U26" i="4"/>
  <c r="U99" i="4"/>
  <c r="S130" i="4"/>
  <c r="AF130" i="4" s="1"/>
  <c r="S301" i="4"/>
  <c r="AF301" i="4" s="1"/>
  <c r="U154" i="4"/>
  <c r="U197" i="4"/>
  <c r="N69" i="4"/>
  <c r="S194" i="4"/>
  <c r="AF194" i="4" s="1"/>
  <c r="S205" i="4"/>
  <c r="AF205" i="4" s="1"/>
  <c r="U62" i="4"/>
  <c r="AJ62" i="4" s="1"/>
  <c r="AN62" i="4" s="1"/>
  <c r="U113" i="4"/>
  <c r="S221" i="4"/>
  <c r="AF221" i="4" s="1"/>
  <c r="N257" i="4"/>
  <c r="S303" i="4"/>
  <c r="AF303" i="4" s="1"/>
  <c r="U206" i="4"/>
  <c r="U303" i="4"/>
  <c r="U44" i="4"/>
  <c r="S70" i="4"/>
  <c r="AF70" i="4" s="1"/>
  <c r="AJ70" i="4" s="1"/>
  <c r="AN70" i="4" s="1"/>
  <c r="U70" i="4"/>
  <c r="U90" i="4"/>
  <c r="U128" i="4"/>
  <c r="G132" i="4"/>
  <c r="U320" i="4"/>
  <c r="N250" i="4"/>
  <c r="S16" i="4"/>
  <c r="AF16" i="4" s="1"/>
  <c r="U31" i="4"/>
  <c r="G58" i="4"/>
  <c r="U208" i="4"/>
  <c r="U219" i="4"/>
  <c r="S254" i="4"/>
  <c r="AF254" i="4" s="1"/>
  <c r="U16" i="4"/>
  <c r="U39" i="4"/>
  <c r="S61" i="4"/>
  <c r="AF61" i="4" s="1"/>
  <c r="G111" i="4"/>
  <c r="U254" i="4"/>
  <c r="S307" i="4"/>
  <c r="AF307" i="4" s="1"/>
  <c r="S318" i="4"/>
  <c r="AF318" i="4" s="1"/>
  <c r="U281" i="4"/>
  <c r="U307" i="4"/>
  <c r="U318" i="4"/>
  <c r="U141" i="4"/>
  <c r="L6" i="4"/>
  <c r="U96" i="4"/>
  <c r="G184" i="4"/>
  <c r="U209" i="4"/>
  <c r="L312" i="4"/>
  <c r="AE312" i="4" s="1"/>
  <c r="S44" i="4"/>
  <c r="AF44" i="4" s="1"/>
  <c r="S59" i="4"/>
  <c r="AF59" i="4" s="1"/>
  <c r="U157" i="4"/>
  <c r="L165" i="4"/>
  <c r="AE165" i="4" s="1"/>
  <c r="S169" i="4"/>
  <c r="AF169" i="4" s="1"/>
  <c r="G173" i="4"/>
  <c r="U185" i="4"/>
  <c r="S198" i="4"/>
  <c r="AF198" i="4" s="1"/>
  <c r="S208" i="4"/>
  <c r="AF208" i="4" s="1"/>
  <c r="AJ208" i="4" s="1"/>
  <c r="AN208" i="4" s="1"/>
  <c r="U214" i="4"/>
  <c r="S241" i="4"/>
  <c r="AF241" i="4" s="1"/>
  <c r="S258" i="4"/>
  <c r="AF258" i="4" s="1"/>
  <c r="U261" i="4"/>
  <c r="U271" i="4"/>
  <c r="U284" i="4"/>
  <c r="U291" i="4"/>
  <c r="N298" i="4"/>
  <c r="U301" i="4"/>
  <c r="AJ301" i="4" s="1"/>
  <c r="AN301" i="4" s="1"/>
  <c r="S320" i="4"/>
  <c r="AF320" i="4" s="1"/>
  <c r="U338" i="4"/>
  <c r="U367" i="4"/>
  <c r="U238" i="4"/>
  <c r="N256" i="4"/>
  <c r="N318" i="4"/>
  <c r="S349" i="4"/>
  <c r="AF349" i="4" s="1"/>
  <c r="U6" i="4"/>
  <c r="S20" i="4"/>
  <c r="AF20" i="4" s="1"/>
  <c r="AJ20" i="4" s="1"/>
  <c r="AN20" i="4" s="1"/>
  <c r="S55" i="4"/>
  <c r="AF55" i="4" s="1"/>
  <c r="U61" i="4"/>
  <c r="S64" i="4"/>
  <c r="AF64" i="4" s="1"/>
  <c r="U103" i="4"/>
  <c r="U144" i="4"/>
  <c r="S167" i="4"/>
  <c r="AF167" i="4" s="1"/>
  <c r="S180" i="4"/>
  <c r="AF180" i="4" s="1"/>
  <c r="S193" i="4"/>
  <c r="AF193" i="4" s="1"/>
  <c r="U212" i="4"/>
  <c r="S225" i="4"/>
  <c r="AF225" i="4" s="1"/>
  <c r="U228" i="4"/>
  <c r="E250" i="4"/>
  <c r="G292" i="4"/>
  <c r="U324" i="4"/>
  <c r="U346" i="4"/>
  <c r="U10" i="4"/>
  <c r="S31" i="4"/>
  <c r="AF31" i="4" s="1"/>
  <c r="U48" i="4"/>
  <c r="U55" i="4"/>
  <c r="U64" i="4"/>
  <c r="S107" i="4"/>
  <c r="AF107" i="4" s="1"/>
  <c r="E111" i="4"/>
  <c r="S128" i="4"/>
  <c r="AF128" i="4" s="1"/>
  <c r="L131" i="4"/>
  <c r="S134" i="4"/>
  <c r="AF134" i="4" s="1"/>
  <c r="S141" i="4"/>
  <c r="AF141" i="4" s="1"/>
  <c r="N161" i="4"/>
  <c r="S164" i="4"/>
  <c r="AF164" i="4" s="1"/>
  <c r="U167" i="4"/>
  <c r="AJ167" i="4" s="1"/>
  <c r="AN167" i="4" s="1"/>
  <c r="U170" i="4"/>
  <c r="U180" i="4"/>
  <c r="U186" i="4"/>
  <c r="S219" i="4"/>
  <c r="AF219" i="4" s="1"/>
  <c r="U246" i="4"/>
  <c r="U256" i="4"/>
  <c r="U272" i="4"/>
  <c r="U305" i="4"/>
  <c r="S353" i="4"/>
  <c r="AF353" i="4" s="1"/>
  <c r="E312" i="4"/>
  <c r="U42" i="4"/>
  <c r="U45" i="4"/>
  <c r="U71" i="4"/>
  <c r="S94" i="4"/>
  <c r="AF94" i="4" s="1"/>
  <c r="AJ94" i="4" s="1"/>
  <c r="AN94" i="4" s="1"/>
  <c r="S138" i="4"/>
  <c r="AF138" i="4" s="1"/>
  <c r="S158" i="4"/>
  <c r="AF158" i="4" s="1"/>
  <c r="S197" i="4"/>
  <c r="AF197" i="4" s="1"/>
  <c r="AJ197" i="4" s="1"/>
  <c r="AN197" i="4" s="1"/>
  <c r="S232" i="4"/>
  <c r="AF232" i="4" s="1"/>
  <c r="G306" i="4"/>
  <c r="U308" i="4"/>
  <c r="L340" i="4"/>
  <c r="AE340" i="4" s="1"/>
  <c r="S350" i="4"/>
  <c r="AF350" i="4" s="1"/>
  <c r="S53" i="4"/>
  <c r="AF53" i="4" s="1"/>
  <c r="U149" i="4"/>
  <c r="U168" i="4"/>
  <c r="AJ168" i="4" s="1"/>
  <c r="AN168" i="4" s="1"/>
  <c r="U181" i="4"/>
  <c r="U200" i="4"/>
  <c r="E237" i="4"/>
  <c r="L280" i="4"/>
  <c r="AE280" i="4" s="1"/>
  <c r="S322" i="4"/>
  <c r="AF322" i="4" s="1"/>
  <c r="U36" i="4"/>
  <c r="S69" i="4"/>
  <c r="AF69" i="4" s="1"/>
  <c r="S98" i="4"/>
  <c r="AF98" i="4" s="1"/>
  <c r="U115" i="4"/>
  <c r="U122" i="4"/>
  <c r="U129" i="4"/>
  <c r="S156" i="4"/>
  <c r="AF156" i="4" s="1"/>
  <c r="S175" i="4"/>
  <c r="AF175" i="4" s="1"/>
  <c r="U204" i="4"/>
  <c r="U220" i="4"/>
  <c r="E224" i="4"/>
  <c r="AD224" i="4" s="1"/>
  <c r="L227" i="4"/>
  <c r="AE227" i="4" s="1"/>
  <c r="N261" i="4"/>
  <c r="U267" i="4"/>
  <c r="S277" i="4"/>
  <c r="AF277" i="4" s="1"/>
  <c r="U297" i="4"/>
  <c r="S306" i="4"/>
  <c r="AF306" i="4" s="1"/>
  <c r="S22" i="4"/>
  <c r="AF22" i="4" s="1"/>
  <c r="U84" i="4"/>
  <c r="U95" i="4"/>
  <c r="U98" i="4"/>
  <c r="U175" i="4"/>
  <c r="G182" i="4"/>
  <c r="N198" i="4"/>
  <c r="N227" i="4"/>
  <c r="S230" i="4"/>
  <c r="AF230" i="4" s="1"/>
  <c r="S264" i="4"/>
  <c r="AF264" i="4" s="1"/>
  <c r="L274" i="4"/>
  <c r="AE274" i="4" s="1"/>
  <c r="U277" i="4"/>
  <c r="E304" i="4"/>
  <c r="AD304" i="4" s="1"/>
  <c r="N341" i="4"/>
  <c r="U12" i="4"/>
  <c r="N16" i="4"/>
  <c r="S26" i="4"/>
  <c r="AF26" i="4" s="1"/>
  <c r="U57" i="4"/>
  <c r="S63" i="4"/>
  <c r="AF63" i="4" s="1"/>
  <c r="U109" i="4"/>
  <c r="U119" i="4"/>
  <c r="S136" i="4"/>
  <c r="AF136" i="4" s="1"/>
  <c r="N150" i="4"/>
  <c r="E157" i="4"/>
  <c r="AD157" i="4" s="1"/>
  <c r="S185" i="4"/>
  <c r="AF185" i="4" s="1"/>
  <c r="S188" i="4"/>
  <c r="AF188" i="4" s="1"/>
  <c r="S195" i="4"/>
  <c r="AF195" i="4" s="1"/>
  <c r="S214" i="4"/>
  <c r="AF214" i="4" s="1"/>
  <c r="U230" i="4"/>
  <c r="S261" i="4"/>
  <c r="AF261" i="4" s="1"/>
  <c r="G268" i="4"/>
  <c r="S271" i="4"/>
  <c r="AF271" i="4" s="1"/>
  <c r="S284" i="4"/>
  <c r="AF284" i="4" s="1"/>
  <c r="G288" i="4"/>
  <c r="S291" i="4"/>
  <c r="AF291" i="4" s="1"/>
  <c r="U334" i="4"/>
  <c r="E349" i="4"/>
  <c r="U355" i="4"/>
  <c r="S4" i="4"/>
  <c r="AF4" i="4" s="1"/>
  <c r="AJ4" i="4" s="1"/>
  <c r="AN4" i="4" s="1"/>
  <c r="S32" i="4"/>
  <c r="AF32" i="4" s="1"/>
  <c r="U58" i="4"/>
  <c r="AJ58" i="4" s="1"/>
  <c r="AN58" i="4" s="1"/>
  <c r="U63" i="4"/>
  <c r="U69" i="4"/>
  <c r="S86" i="4"/>
  <c r="AF86" i="4" s="1"/>
  <c r="S89" i="4"/>
  <c r="AF89" i="4" s="1"/>
  <c r="S92" i="4"/>
  <c r="AF92" i="4" s="1"/>
  <c r="U130" i="4"/>
  <c r="U133" i="4"/>
  <c r="S150" i="4"/>
  <c r="AF150" i="4" s="1"/>
  <c r="U158" i="4"/>
  <c r="U164" i="4"/>
  <c r="S172" i="4"/>
  <c r="AF172" i="4" s="1"/>
  <c r="S183" i="4"/>
  <c r="AF183" i="4" s="1"/>
  <c r="U194" i="4"/>
  <c r="U213" i="4"/>
  <c r="S216" i="4"/>
  <c r="AF216" i="4" s="1"/>
  <c r="S250" i="4"/>
  <c r="AF250" i="4" s="1"/>
  <c r="S255" i="4"/>
  <c r="AF255" i="4" s="1"/>
  <c r="U257" i="4"/>
  <c r="S285" i="4"/>
  <c r="AF285" i="4" s="1"/>
  <c r="S302" i="4"/>
  <c r="AF302" i="4" s="1"/>
  <c r="S313" i="4"/>
  <c r="AF313" i="4" s="1"/>
  <c r="S316" i="4"/>
  <c r="AF316" i="4" s="1"/>
  <c r="S321" i="4"/>
  <c r="AF321" i="4" s="1"/>
  <c r="S327" i="4"/>
  <c r="AF327" i="4" s="1"/>
  <c r="S336" i="4"/>
  <c r="AF336" i="4" s="1"/>
  <c r="S341" i="4"/>
  <c r="AF341" i="4" s="1"/>
  <c r="S344" i="4"/>
  <c r="AF344" i="4" s="1"/>
  <c r="U349" i="4"/>
  <c r="S352" i="4"/>
  <c r="AF352" i="4" s="1"/>
  <c r="U4" i="4"/>
  <c r="U32" i="4"/>
  <c r="U86" i="4"/>
  <c r="U150" i="4"/>
  <c r="U172" i="4"/>
  <c r="U183" i="4"/>
  <c r="U216" i="4"/>
  <c r="U250" i="4"/>
  <c r="U255" i="4"/>
  <c r="U285" i="4"/>
  <c r="U313" i="4"/>
  <c r="U316" i="4"/>
  <c r="U327" i="4"/>
  <c r="U336" i="4"/>
  <c r="U341" i="4"/>
  <c r="U344" i="4"/>
  <c r="S7" i="4"/>
  <c r="AF7" i="4" s="1"/>
  <c r="S47" i="4"/>
  <c r="AF47" i="4" s="1"/>
  <c r="S110" i="4"/>
  <c r="AF110" i="4" s="1"/>
  <c r="S145" i="4"/>
  <c r="AF145" i="4" s="1"/>
  <c r="S178" i="4"/>
  <c r="AF178" i="4" s="1"/>
  <c r="S211" i="4"/>
  <c r="AF211" i="4" s="1"/>
  <c r="S236" i="4"/>
  <c r="AF236" i="4" s="1"/>
  <c r="S253" i="4"/>
  <c r="AF253" i="4" s="1"/>
  <c r="S280" i="4"/>
  <c r="AF280" i="4" s="1"/>
  <c r="S283" i="4"/>
  <c r="AF283" i="4" s="1"/>
  <c r="S300" i="4"/>
  <c r="AF300" i="4" s="1"/>
  <c r="U311" i="4"/>
  <c r="S339" i="4"/>
  <c r="AF339" i="4" s="1"/>
  <c r="S30" i="4"/>
  <c r="AF30" i="4" s="1"/>
  <c r="S36" i="4"/>
  <c r="AF36" i="4" s="1"/>
  <c r="S42" i="4"/>
  <c r="AF42" i="4" s="1"/>
  <c r="S67" i="4"/>
  <c r="AF67" i="4" s="1"/>
  <c r="S84" i="4"/>
  <c r="AF84" i="4" s="1"/>
  <c r="S96" i="4"/>
  <c r="AF96" i="4" s="1"/>
  <c r="U110" i="4"/>
  <c r="S113" i="4"/>
  <c r="AF113" i="4" s="1"/>
  <c r="S119" i="4"/>
  <c r="AF119" i="4" s="1"/>
  <c r="S122" i="4"/>
  <c r="AF122" i="4" s="1"/>
  <c r="U145" i="4"/>
  <c r="S170" i="4"/>
  <c r="AF170" i="4" s="1"/>
  <c r="U178" i="4"/>
  <c r="S181" i="4"/>
  <c r="AF181" i="4" s="1"/>
  <c r="AJ181" i="4" s="1"/>
  <c r="AN181" i="4" s="1"/>
  <c r="S186" i="4"/>
  <c r="AF186" i="4" s="1"/>
  <c r="S200" i="4"/>
  <c r="AF200" i="4" s="1"/>
  <c r="S206" i="4"/>
  <c r="AF206" i="4" s="1"/>
  <c r="S228" i="4"/>
  <c r="AF228" i="4" s="1"/>
  <c r="U236" i="4"/>
  <c r="S245" i="4"/>
  <c r="AF245" i="4" s="1"/>
  <c r="U253" i="4"/>
  <c r="S267" i="4"/>
  <c r="AF267" i="4" s="1"/>
  <c r="S272" i="4"/>
  <c r="AF272" i="4" s="1"/>
  <c r="S278" i="4"/>
  <c r="AF278" i="4" s="1"/>
  <c r="U283" i="4"/>
  <c r="S288" i="4"/>
  <c r="AF288" i="4" s="1"/>
  <c r="U300" i="4"/>
  <c r="S308" i="4"/>
  <c r="AF308" i="4" s="1"/>
  <c r="S319" i="4"/>
  <c r="AF319" i="4" s="1"/>
  <c r="S331" i="4"/>
  <c r="AF331" i="4" s="1"/>
  <c r="S334" i="4"/>
  <c r="AF334" i="4" s="1"/>
  <c r="U339" i="4"/>
  <c r="S359" i="4"/>
  <c r="AF359" i="4" s="1"/>
  <c r="S362" i="4"/>
  <c r="AF362" i="4" s="1"/>
  <c r="AJ362" i="4" s="1"/>
  <c r="AN362" i="4" s="1"/>
  <c r="U365" i="4"/>
  <c r="U359" i="4"/>
  <c r="U362" i="4"/>
  <c r="S11" i="4"/>
  <c r="AF11" i="4" s="1"/>
  <c r="U33" i="4"/>
  <c r="S54" i="4"/>
  <c r="AF54" i="4" s="1"/>
  <c r="S81" i="4"/>
  <c r="AF81" i="4" s="1"/>
  <c r="S102" i="4"/>
  <c r="AF102" i="4" s="1"/>
  <c r="S105" i="4"/>
  <c r="AF105" i="4" s="1"/>
  <c r="U108" i="4"/>
  <c r="S137" i="4"/>
  <c r="AF137" i="4" s="1"/>
  <c r="S140" i="4"/>
  <c r="AF140" i="4" s="1"/>
  <c r="S165" i="4"/>
  <c r="AF165" i="4" s="1"/>
  <c r="S189" i="4"/>
  <c r="AF189" i="4" s="1"/>
  <c r="S226" i="4"/>
  <c r="AF226" i="4" s="1"/>
  <c r="S234" i="4"/>
  <c r="AF234" i="4" s="1"/>
  <c r="S239" i="4"/>
  <c r="AF239" i="4" s="1"/>
  <c r="U242" i="4"/>
  <c r="S249" i="4"/>
  <c r="AF249" i="4" s="1"/>
  <c r="U251" i="4"/>
  <c r="S270" i="4"/>
  <c r="AF270" i="4" s="1"/>
  <c r="S286" i="4"/>
  <c r="AF286" i="4" s="1"/>
  <c r="U314" i="4"/>
  <c r="S317" i="4"/>
  <c r="AF317" i="4" s="1"/>
  <c r="U322" i="4"/>
  <c r="S337" i="4"/>
  <c r="AF337" i="4" s="1"/>
  <c r="S345" i="4"/>
  <c r="AF345" i="4" s="1"/>
  <c r="S348" i="4"/>
  <c r="AF348" i="4" s="1"/>
  <c r="U353" i="4"/>
  <c r="S356" i="4"/>
  <c r="AF356" i="4" s="1"/>
  <c r="U8" i="4"/>
  <c r="S24" i="4"/>
  <c r="AF24" i="4" s="1"/>
  <c r="S45" i="4"/>
  <c r="AF45" i="4" s="1"/>
  <c r="S48" i="4"/>
  <c r="AF48" i="4" s="1"/>
  <c r="U54" i="4"/>
  <c r="S57" i="4"/>
  <c r="AF57" i="4" s="1"/>
  <c r="S62" i="4"/>
  <c r="AF62" i="4" s="1"/>
  <c r="S99" i="4"/>
  <c r="AF99" i="4" s="1"/>
  <c r="U102" i="4"/>
  <c r="U105" i="4"/>
  <c r="S129" i="4"/>
  <c r="AF129" i="4" s="1"/>
  <c r="U137" i="4"/>
  <c r="U140" i="4"/>
  <c r="S149" i="4"/>
  <c r="AF149" i="4" s="1"/>
  <c r="S157" i="4"/>
  <c r="AF157" i="4" s="1"/>
  <c r="U165" i="4"/>
  <c r="S168" i="4"/>
  <c r="AF168" i="4" s="1"/>
  <c r="S176" i="4"/>
  <c r="AF176" i="4" s="1"/>
  <c r="S184" i="4"/>
  <c r="AF184" i="4" s="1"/>
  <c r="U189" i="4"/>
  <c r="S204" i="4"/>
  <c r="AF204" i="4" s="1"/>
  <c r="AJ204" i="4" s="1"/>
  <c r="AN204" i="4" s="1"/>
  <c r="S209" i="4"/>
  <c r="AF209" i="4" s="1"/>
  <c r="S212" i="4"/>
  <c r="AF212" i="4" s="1"/>
  <c r="S220" i="4"/>
  <c r="AF220" i="4" s="1"/>
  <c r="AJ220" i="4" s="1"/>
  <c r="AN220" i="4" s="1"/>
  <c r="U226" i="4"/>
  <c r="S231" i="4"/>
  <c r="AF231" i="4" s="1"/>
  <c r="U249" i="4"/>
  <c r="S256" i="4"/>
  <c r="AF256" i="4" s="1"/>
  <c r="U270" i="4"/>
  <c r="S281" i="4"/>
  <c r="AF281" i="4" s="1"/>
  <c r="U348" i="4"/>
  <c r="AJ348" i="4" s="1"/>
  <c r="AN348" i="4" s="1"/>
  <c r="U366" i="4"/>
  <c r="S15" i="4"/>
  <c r="AF15" i="4" s="1"/>
  <c r="S37" i="4"/>
  <c r="AF37" i="4" s="1"/>
  <c r="S43" i="4"/>
  <c r="AF43" i="4" s="1"/>
  <c r="S52" i="4"/>
  <c r="AF52" i="4" s="1"/>
  <c r="S60" i="4"/>
  <c r="AF60" i="4" s="1"/>
  <c r="U85" i="4"/>
  <c r="S88" i="4"/>
  <c r="AF88" i="4" s="1"/>
  <c r="S91" i="4"/>
  <c r="AF91" i="4" s="1"/>
  <c r="S97" i="4"/>
  <c r="AF97" i="4" s="1"/>
  <c r="S120" i="4"/>
  <c r="AF120" i="4" s="1"/>
  <c r="S127" i="4"/>
  <c r="AF127" i="4" s="1"/>
  <c r="S135" i="4"/>
  <c r="AF135" i="4" s="1"/>
  <c r="S171" i="4"/>
  <c r="AF171" i="4" s="1"/>
  <c r="S187" i="4"/>
  <c r="AF187" i="4" s="1"/>
  <c r="S196" i="4"/>
  <c r="AF196" i="4" s="1"/>
  <c r="S207" i="4"/>
  <c r="AF207" i="4" s="1"/>
  <c r="S218" i="4"/>
  <c r="AF218" i="4" s="1"/>
  <c r="S229" i="4"/>
  <c r="AF229" i="4" s="1"/>
  <c r="S237" i="4"/>
  <c r="AF237" i="4" s="1"/>
  <c r="S259" i="4"/>
  <c r="AF259" i="4" s="1"/>
  <c r="S273" i="4"/>
  <c r="AF273" i="4" s="1"/>
  <c r="S279" i="4"/>
  <c r="AF279" i="4" s="1"/>
  <c r="U292" i="4"/>
  <c r="U312" i="4"/>
  <c r="S326" i="4"/>
  <c r="AF326" i="4" s="1"/>
  <c r="S329" i="4"/>
  <c r="AF329" i="4" s="1"/>
  <c r="S332" i="4"/>
  <c r="AF332" i="4" s="1"/>
  <c r="S335" i="4"/>
  <c r="AF335" i="4" s="1"/>
  <c r="S343" i="4"/>
  <c r="AF343" i="4" s="1"/>
  <c r="U351" i="4"/>
  <c r="U360" i="4"/>
  <c r="S363" i="4"/>
  <c r="AF363" i="4" s="1"/>
  <c r="S6" i="4"/>
  <c r="AF6" i="4" s="1"/>
  <c r="S12" i="4"/>
  <c r="AF12" i="4" s="1"/>
  <c r="S18" i="4"/>
  <c r="AF18" i="4" s="1"/>
  <c r="U37" i="4"/>
  <c r="U43" i="4"/>
  <c r="U52" i="4"/>
  <c r="U60" i="4"/>
  <c r="S71" i="4"/>
  <c r="AF71" i="4" s="1"/>
  <c r="U97" i="4"/>
  <c r="S109" i="4"/>
  <c r="AF109" i="4" s="1"/>
  <c r="S114" i="4"/>
  <c r="AF114" i="4" s="1"/>
  <c r="U127" i="4"/>
  <c r="U135" i="4"/>
  <c r="S144" i="4"/>
  <c r="AF144" i="4" s="1"/>
  <c r="AJ144" i="4" s="1"/>
  <c r="AN144" i="4" s="1"/>
  <c r="S174" i="4"/>
  <c r="AF174" i="4" s="1"/>
  <c r="U187" i="4"/>
  <c r="U196" i="4"/>
  <c r="U207" i="4"/>
  <c r="U218" i="4"/>
  <c r="U229" i="4"/>
  <c r="S235" i="4"/>
  <c r="AF235" i="4" s="1"/>
  <c r="U237" i="4"/>
  <c r="S240" i="4"/>
  <c r="AF240" i="4" s="1"/>
  <c r="S252" i="4"/>
  <c r="AF252" i="4" s="1"/>
  <c r="S262" i="4"/>
  <c r="AF262" i="4" s="1"/>
  <c r="S268" i="4"/>
  <c r="AF268" i="4" s="1"/>
  <c r="U279" i="4"/>
  <c r="S287" i="4"/>
  <c r="AF287" i="4" s="1"/>
  <c r="S296" i="4"/>
  <c r="AF296" i="4" s="1"/>
  <c r="S299" i="4"/>
  <c r="AF299" i="4" s="1"/>
  <c r="AJ299" i="4" s="1"/>
  <c r="AN299" i="4" s="1"/>
  <c r="S323" i="4"/>
  <c r="AF323" i="4" s="1"/>
  <c r="S338" i="4"/>
  <c r="AF338" i="4" s="1"/>
  <c r="AJ338" i="4" s="1"/>
  <c r="AN338" i="4" s="1"/>
  <c r="S346" i="4"/>
  <c r="AF346" i="4" s="1"/>
  <c r="S354" i="4"/>
  <c r="AF354" i="4" s="1"/>
  <c r="U235" i="4"/>
  <c r="U252" i="4"/>
  <c r="U268" i="4"/>
  <c r="U287" i="4"/>
  <c r="U299" i="4"/>
  <c r="L170" i="4"/>
  <c r="AE170" i="4" s="1"/>
  <c r="L213" i="4"/>
  <c r="L273" i="4"/>
  <c r="L281" i="4"/>
  <c r="AE281" i="4" s="1"/>
  <c r="L322" i="4"/>
  <c r="AE322" i="4" s="1"/>
  <c r="N334" i="4"/>
  <c r="N213" i="4"/>
  <c r="N281" i="4"/>
  <c r="N76" i="4"/>
  <c r="N152" i="4"/>
  <c r="N200" i="4"/>
  <c r="L353" i="4"/>
  <c r="AE353" i="4" s="1"/>
  <c r="N141" i="4"/>
  <c r="L163" i="4"/>
  <c r="L52" i="4"/>
  <c r="N133" i="4"/>
  <c r="N155" i="4"/>
  <c r="L46" i="4"/>
  <c r="AE46" i="4" s="1"/>
  <c r="L65" i="4"/>
  <c r="AE65" i="4" s="1"/>
  <c r="L74" i="4"/>
  <c r="AE74" i="4" s="1"/>
  <c r="L90" i="4"/>
  <c r="AE90" i="4" s="1"/>
  <c r="N119" i="4"/>
  <c r="L204" i="4"/>
  <c r="N228" i="4"/>
  <c r="N274" i="4"/>
  <c r="L88" i="4"/>
  <c r="AE88" i="4" s="1"/>
  <c r="L75" i="4"/>
  <c r="AE75" i="4" s="1"/>
  <c r="N172" i="4"/>
  <c r="G264" i="4"/>
  <c r="G284" i="4"/>
  <c r="E71" i="4"/>
  <c r="E295" i="4"/>
  <c r="E311" i="4"/>
  <c r="AD311" i="4" s="1"/>
  <c r="E19" i="4"/>
  <c r="AD19" i="4" s="1"/>
  <c r="E363" i="4"/>
  <c r="AD363" i="4" s="1"/>
  <c r="E136" i="4"/>
  <c r="E146" i="4"/>
  <c r="AD146" i="4" s="1"/>
  <c r="E151" i="4"/>
  <c r="E169" i="4"/>
  <c r="E214" i="4"/>
  <c r="AD214" i="4" s="1"/>
  <c r="E340" i="4"/>
  <c r="AD340" i="4" s="1"/>
  <c r="G342" i="4"/>
  <c r="E361" i="4"/>
  <c r="AD361" i="4" s="1"/>
  <c r="E12" i="4"/>
  <c r="G17" i="4"/>
  <c r="E132" i="4"/>
  <c r="E230" i="4"/>
  <c r="AD230" i="4" s="1"/>
  <c r="G7" i="4"/>
  <c r="E213" i="4"/>
  <c r="AD213" i="4" s="1"/>
  <c r="AI3" i="2"/>
  <c r="AM3" i="2" s="1"/>
  <c r="N28" i="2"/>
  <c r="L158" i="2"/>
  <c r="AE158" i="2" s="1"/>
  <c r="N162" i="2"/>
  <c r="L169" i="2"/>
  <c r="AE169" i="2" s="1"/>
  <c r="N169" i="2"/>
  <c r="N143" i="2"/>
  <c r="N147" i="2"/>
  <c r="N151" i="2"/>
  <c r="N155" i="2"/>
  <c r="N30" i="2"/>
  <c r="N159" i="2"/>
  <c r="L163" i="2"/>
  <c r="N167" i="2"/>
  <c r="L170" i="2"/>
  <c r="AE170" i="2" s="1"/>
  <c r="N140" i="2"/>
  <c r="N144" i="2"/>
  <c r="N148" i="2"/>
  <c r="N152" i="2"/>
  <c r="N163" i="2"/>
  <c r="L168" i="2"/>
  <c r="AE168" i="2" s="1"/>
  <c r="N141" i="2"/>
  <c r="N145" i="2"/>
  <c r="N149" i="2"/>
  <c r="N153" i="2"/>
  <c r="L157" i="2"/>
  <c r="AI157" i="2" s="1"/>
  <c r="AM157" i="2" s="1"/>
  <c r="L164" i="2"/>
  <c r="N168" i="2"/>
  <c r="E35" i="2"/>
  <c r="G40" i="2"/>
  <c r="AH40" i="2" s="1"/>
  <c r="AL40" i="2" s="1"/>
  <c r="E45" i="2"/>
  <c r="AD45" i="2" s="1"/>
  <c r="E234" i="2"/>
  <c r="AD234" i="2" s="1"/>
  <c r="E32" i="2"/>
  <c r="G35" i="2"/>
  <c r="G45" i="2"/>
  <c r="G234" i="2"/>
  <c r="G32" i="2"/>
  <c r="G43" i="2"/>
  <c r="E172" i="2"/>
  <c r="AD172" i="2" s="1"/>
  <c r="G238" i="2"/>
  <c r="G242" i="2"/>
  <c r="AH242" i="2" s="1"/>
  <c r="AL242" i="2" s="1"/>
  <c r="G172" i="2"/>
  <c r="G302" i="2"/>
  <c r="AD242" i="2"/>
  <c r="E36" i="2"/>
  <c r="G41" i="2"/>
  <c r="E44" i="2"/>
  <c r="E170" i="2"/>
  <c r="AD170" i="2" s="1"/>
  <c r="G36" i="2"/>
  <c r="G39" i="2"/>
  <c r="G44" i="2"/>
  <c r="G170" i="2"/>
  <c r="E34" i="2"/>
  <c r="G296" i="2"/>
  <c r="E237" i="2"/>
  <c r="E244" i="2"/>
  <c r="AD244" i="2" s="1"/>
  <c r="E37" i="2"/>
  <c r="AD37" i="2" s="1"/>
  <c r="O124" i="4"/>
  <c r="N124" i="4"/>
  <c r="L124" i="4"/>
  <c r="AE124" i="4" s="1"/>
  <c r="O79" i="4"/>
  <c r="N79" i="4"/>
  <c r="H122" i="4"/>
  <c r="E122" i="4"/>
  <c r="AD122" i="4" s="1"/>
  <c r="H143" i="4"/>
  <c r="G143" i="4"/>
  <c r="H15" i="4"/>
  <c r="G15" i="4"/>
  <c r="O73" i="4"/>
  <c r="N73" i="4"/>
  <c r="H96" i="4"/>
  <c r="G96" i="4"/>
  <c r="O98" i="4"/>
  <c r="N98" i="4"/>
  <c r="L98" i="4"/>
  <c r="AE98" i="4" s="1"/>
  <c r="H80" i="4"/>
  <c r="G80" i="4"/>
  <c r="H114" i="4"/>
  <c r="E114" i="4"/>
  <c r="G114" i="4"/>
  <c r="O117" i="4"/>
  <c r="L117" i="4"/>
  <c r="O21" i="4"/>
  <c r="N21" i="4"/>
  <c r="H42" i="4"/>
  <c r="G42" i="4"/>
  <c r="O111" i="4"/>
  <c r="L111" i="4"/>
  <c r="AE111" i="4" s="1"/>
  <c r="H153" i="4"/>
  <c r="G153" i="4"/>
  <c r="H107" i="4"/>
  <c r="G107" i="4"/>
  <c r="E107" i="4"/>
  <c r="H120" i="4"/>
  <c r="G120" i="4"/>
  <c r="H11" i="4"/>
  <c r="G11" i="4"/>
  <c r="O126" i="4"/>
  <c r="N126" i="4"/>
  <c r="H138" i="4"/>
  <c r="E138" i="4"/>
  <c r="AD138" i="4" s="1"/>
  <c r="H97" i="4"/>
  <c r="E97" i="4"/>
  <c r="AD97" i="4" s="1"/>
  <c r="O112" i="4"/>
  <c r="N112" i="4"/>
  <c r="O118" i="4"/>
  <c r="L118" i="4"/>
  <c r="AE118" i="4" s="1"/>
  <c r="H47" i="4"/>
  <c r="G47" i="4"/>
  <c r="H102" i="4"/>
  <c r="G102" i="4"/>
  <c r="O110" i="4"/>
  <c r="L110" i="4"/>
  <c r="AE110" i="4" s="1"/>
  <c r="N110" i="4"/>
  <c r="O23" i="4"/>
  <c r="N23" i="4"/>
  <c r="O89" i="4"/>
  <c r="N89" i="4"/>
  <c r="O102" i="4"/>
  <c r="N102" i="4"/>
  <c r="L102" i="4"/>
  <c r="H113" i="4"/>
  <c r="G113" i="4"/>
  <c r="H92" i="4"/>
  <c r="G92" i="4"/>
  <c r="E92" i="4"/>
  <c r="AD92" i="4" s="1"/>
  <c r="O53" i="4"/>
  <c r="N53" i="4"/>
  <c r="O113" i="4"/>
  <c r="N113" i="4"/>
  <c r="L113" i="4"/>
  <c r="H171" i="4"/>
  <c r="G171" i="4"/>
  <c r="O232" i="4"/>
  <c r="N232" i="4"/>
  <c r="H290" i="4"/>
  <c r="E290" i="4"/>
  <c r="AD290" i="4" s="1"/>
  <c r="O360" i="4"/>
  <c r="L360" i="4"/>
  <c r="AE360" i="4" s="1"/>
  <c r="S27" i="4"/>
  <c r="AF27" i="4" s="1"/>
  <c r="L57" i="4"/>
  <c r="S80" i="4"/>
  <c r="AF80" i="4" s="1"/>
  <c r="E125" i="4"/>
  <c r="H303" i="4"/>
  <c r="E303" i="4"/>
  <c r="L327" i="4"/>
  <c r="H341" i="4"/>
  <c r="G341" i="4"/>
  <c r="U3" i="4"/>
  <c r="U5" i="4"/>
  <c r="S14" i="4"/>
  <c r="AF14" i="4" s="1"/>
  <c r="U17" i="4"/>
  <c r="U19" i="4"/>
  <c r="S21" i="4"/>
  <c r="AF21" i="4" s="1"/>
  <c r="S23" i="4"/>
  <c r="AF23" i="4" s="1"/>
  <c r="U25" i="4"/>
  <c r="U27" i="4"/>
  <c r="U29" i="4"/>
  <c r="AJ29" i="4" s="1"/>
  <c r="AN29" i="4" s="1"/>
  <c r="U35" i="4"/>
  <c r="E40" i="4"/>
  <c r="AD40" i="4" s="1"/>
  <c r="S49" i="4"/>
  <c r="AF49" i="4" s="1"/>
  <c r="S51" i="4"/>
  <c r="AF51" i="4" s="1"/>
  <c r="S66" i="4"/>
  <c r="AF66" i="4" s="1"/>
  <c r="S68" i="4"/>
  <c r="AF68" i="4" s="1"/>
  <c r="L72" i="4"/>
  <c r="AE72" i="4" s="1"/>
  <c r="U73" i="4"/>
  <c r="S75" i="4"/>
  <c r="AF75" i="4" s="1"/>
  <c r="S77" i="4"/>
  <c r="AF77" i="4" s="1"/>
  <c r="U80" i="4"/>
  <c r="S82" i="4"/>
  <c r="AF82" i="4" s="1"/>
  <c r="U87" i="4"/>
  <c r="U100" i="4"/>
  <c r="U111" i="4"/>
  <c r="U117" i="4"/>
  <c r="N120" i="4"/>
  <c r="U123" i="4"/>
  <c r="G125" i="4"/>
  <c r="U126" i="4"/>
  <c r="L146" i="4"/>
  <c r="AE146" i="4" s="1"/>
  <c r="V148" i="4"/>
  <c r="S148" i="4"/>
  <c r="AF148" i="4" s="1"/>
  <c r="AJ148" i="4" s="1"/>
  <c r="E154" i="4"/>
  <c r="O169" i="4"/>
  <c r="N169" i="4"/>
  <c r="O211" i="4"/>
  <c r="N211" i="4"/>
  <c r="H215" i="4"/>
  <c r="G215" i="4"/>
  <c r="O218" i="4"/>
  <c r="N218" i="4"/>
  <c r="V223" i="4"/>
  <c r="U223" i="4"/>
  <c r="S223" i="4"/>
  <c r="AF223" i="4" s="1"/>
  <c r="V248" i="4"/>
  <c r="U248" i="4"/>
  <c r="S248" i="4"/>
  <c r="AF248" i="4" s="1"/>
  <c r="H255" i="4"/>
  <c r="G255" i="4"/>
  <c r="E255" i="4"/>
  <c r="V298" i="4"/>
  <c r="U298" i="4"/>
  <c r="S298" i="4"/>
  <c r="AF298" i="4" s="1"/>
  <c r="V315" i="4"/>
  <c r="U315" i="4"/>
  <c r="S315" i="4"/>
  <c r="AF315" i="4" s="1"/>
  <c r="H350" i="4"/>
  <c r="G350" i="4"/>
  <c r="V357" i="4"/>
  <c r="U357" i="4"/>
  <c r="S357" i="4"/>
  <c r="AF357" i="4" s="1"/>
  <c r="V217" i="4"/>
  <c r="U217" i="4"/>
  <c r="S217" i="4"/>
  <c r="AF217" i="4" s="1"/>
  <c r="O354" i="4"/>
  <c r="L354" i="4"/>
  <c r="AE354" i="4" s="1"/>
  <c r="S5" i="4"/>
  <c r="AF5" i="4" s="1"/>
  <c r="S29" i="4"/>
  <c r="AF29" i="4" s="1"/>
  <c r="N84" i="4"/>
  <c r="S87" i="4"/>
  <c r="AF87" i="4" s="1"/>
  <c r="S100" i="4"/>
  <c r="AF100" i="4" s="1"/>
  <c r="S111" i="4"/>
  <c r="AF111" i="4" s="1"/>
  <c r="S117" i="4"/>
  <c r="AF117" i="4" s="1"/>
  <c r="O305" i="4"/>
  <c r="N305" i="4"/>
  <c r="U14" i="4"/>
  <c r="U21" i="4"/>
  <c r="U23" i="4"/>
  <c r="U49" i="4"/>
  <c r="U51" i="4"/>
  <c r="U66" i="4"/>
  <c r="U68" i="4"/>
  <c r="N72" i="4"/>
  <c r="U75" i="4"/>
  <c r="U77" i="4"/>
  <c r="U82" i="4"/>
  <c r="O132" i="4"/>
  <c r="L132" i="4"/>
  <c r="AE132" i="4" s="1"/>
  <c r="V146" i="4"/>
  <c r="U146" i="4"/>
  <c r="AJ146" i="4" s="1"/>
  <c r="V163" i="4"/>
  <c r="S163" i="4"/>
  <c r="AF163" i="4" s="1"/>
  <c r="V173" i="4"/>
  <c r="U173" i="4"/>
  <c r="S173" i="4"/>
  <c r="AF173" i="4" s="1"/>
  <c r="V192" i="4"/>
  <c r="U192" i="4"/>
  <c r="S192" i="4"/>
  <c r="AF192" i="4" s="1"/>
  <c r="V201" i="4"/>
  <c r="S201" i="4"/>
  <c r="AF201" i="4" s="1"/>
  <c r="AJ201" i="4" s="1"/>
  <c r="H257" i="4"/>
  <c r="G257" i="4"/>
  <c r="E257" i="4"/>
  <c r="O335" i="4"/>
  <c r="L335" i="4"/>
  <c r="AE335" i="4" s="1"/>
  <c r="V139" i="4"/>
  <c r="U139" i="4"/>
  <c r="H172" i="4"/>
  <c r="E172" i="4"/>
  <c r="AD172" i="4" s="1"/>
  <c r="O195" i="4"/>
  <c r="L195" i="4"/>
  <c r="V199" i="4"/>
  <c r="S199" i="4"/>
  <c r="AF199" i="4" s="1"/>
  <c r="V215" i="4"/>
  <c r="U215" i="4"/>
  <c r="S215" i="4"/>
  <c r="AF215" i="4" s="1"/>
  <c r="AJ215" i="4" s="1"/>
  <c r="H221" i="4"/>
  <c r="G221" i="4"/>
  <c r="E221" i="4"/>
  <c r="AD221" i="4" s="1"/>
  <c r="V274" i="4"/>
  <c r="U274" i="4"/>
  <c r="S274" i="4"/>
  <c r="AF274" i="4" s="1"/>
  <c r="H286" i="4"/>
  <c r="E286" i="4"/>
  <c r="O296" i="4"/>
  <c r="N296" i="4"/>
  <c r="O330" i="4"/>
  <c r="N330" i="4"/>
  <c r="V160" i="4"/>
  <c r="U160" i="4"/>
  <c r="S25" i="4"/>
  <c r="AF25" i="4" s="1"/>
  <c r="G6" i="4"/>
  <c r="U7" i="4"/>
  <c r="S9" i="4"/>
  <c r="AF9" i="4" s="1"/>
  <c r="G28" i="4"/>
  <c r="S34" i="4"/>
  <c r="AF34" i="4" s="1"/>
  <c r="S38" i="4"/>
  <c r="AF38" i="4" s="1"/>
  <c r="S40" i="4"/>
  <c r="AF40" i="4" s="1"/>
  <c r="U47" i="4"/>
  <c r="U53" i="4"/>
  <c r="L59" i="4"/>
  <c r="AE59" i="4" s="1"/>
  <c r="S72" i="4"/>
  <c r="AF72" i="4" s="1"/>
  <c r="S79" i="4"/>
  <c r="AF79" i="4" s="1"/>
  <c r="U89" i="4"/>
  <c r="L91" i="4"/>
  <c r="AE91" i="4" s="1"/>
  <c r="U92" i="4"/>
  <c r="U94" i="4"/>
  <c r="E101" i="4"/>
  <c r="S104" i="4"/>
  <c r="AF104" i="4" s="1"/>
  <c r="L106" i="4"/>
  <c r="AE106" i="4" s="1"/>
  <c r="U107" i="4"/>
  <c r="U114" i="4"/>
  <c r="AJ114" i="4" s="1"/>
  <c r="AN114" i="4" s="1"/>
  <c r="S116" i="4"/>
  <c r="AF116" i="4" s="1"/>
  <c r="E118" i="4"/>
  <c r="AD118" i="4" s="1"/>
  <c r="U120" i="4"/>
  <c r="S125" i="4"/>
  <c r="AF125" i="4" s="1"/>
  <c r="S132" i="4"/>
  <c r="AF132" i="4" s="1"/>
  <c r="U134" i="4"/>
  <c r="G136" i="4"/>
  <c r="S139" i="4"/>
  <c r="AF139" i="4" s="1"/>
  <c r="H145" i="4"/>
  <c r="E145" i="4"/>
  <c r="AD145" i="4" s="1"/>
  <c r="V152" i="4"/>
  <c r="S152" i="4"/>
  <c r="AF152" i="4" s="1"/>
  <c r="AJ152" i="4" s="1"/>
  <c r="U156" i="4"/>
  <c r="V161" i="4"/>
  <c r="S161" i="4"/>
  <c r="AF161" i="4" s="1"/>
  <c r="AJ161" i="4" s="1"/>
  <c r="E168" i="4"/>
  <c r="AD168" i="4" s="1"/>
  <c r="U199" i="4"/>
  <c r="O221" i="4"/>
  <c r="N221" i="4"/>
  <c r="V233" i="4"/>
  <c r="U233" i="4"/>
  <c r="S233" i="4"/>
  <c r="AF233" i="4" s="1"/>
  <c r="O243" i="4"/>
  <c r="N243" i="4"/>
  <c r="L243" i="4"/>
  <c r="AE243" i="4" s="1"/>
  <c r="L299" i="4"/>
  <c r="AE299" i="4" s="1"/>
  <c r="N355" i="4"/>
  <c r="O167" i="4"/>
  <c r="L167" i="4"/>
  <c r="AE167" i="4" s="1"/>
  <c r="V191" i="4"/>
  <c r="U191" i="4"/>
  <c r="S191" i="4"/>
  <c r="AF191" i="4" s="1"/>
  <c r="H305" i="4"/>
  <c r="G305" i="4"/>
  <c r="S3" i="4"/>
  <c r="AF3" i="4" s="1"/>
  <c r="S17" i="4"/>
  <c r="AF17" i="4" s="1"/>
  <c r="S73" i="4"/>
  <c r="AF73" i="4" s="1"/>
  <c r="L120" i="4"/>
  <c r="AE120" i="4" s="1"/>
  <c r="U9" i="4"/>
  <c r="U34" i="4"/>
  <c r="U38" i="4"/>
  <c r="U40" i="4"/>
  <c r="U72" i="4"/>
  <c r="U79" i="4"/>
  <c r="U104" i="4"/>
  <c r="N106" i="4"/>
  <c r="U116" i="4"/>
  <c r="G118" i="4"/>
  <c r="U125" i="4"/>
  <c r="U132" i="4"/>
  <c r="O179" i="4"/>
  <c r="N179" i="4"/>
  <c r="V265" i="4"/>
  <c r="U265" i="4"/>
  <c r="S265" i="4"/>
  <c r="AF265" i="4" s="1"/>
  <c r="V293" i="4"/>
  <c r="U293" i="4"/>
  <c r="S293" i="4"/>
  <c r="AF293" i="4" s="1"/>
  <c r="V325" i="4"/>
  <c r="U325" i="4"/>
  <c r="S325" i="4"/>
  <c r="AF325" i="4" s="1"/>
  <c r="V333" i="4"/>
  <c r="U333" i="4"/>
  <c r="S333" i="4"/>
  <c r="AF333" i="4" s="1"/>
  <c r="S19" i="4"/>
  <c r="AF19" i="4" s="1"/>
  <c r="E150" i="4"/>
  <c r="O136" i="4"/>
  <c r="L136" i="4"/>
  <c r="AE136" i="4" s="1"/>
  <c r="O143" i="4"/>
  <c r="L143" i="4"/>
  <c r="AE143" i="4" s="1"/>
  <c r="V179" i="4"/>
  <c r="U179" i="4"/>
  <c r="S179" i="4"/>
  <c r="AF179" i="4" s="1"/>
  <c r="O190" i="4"/>
  <c r="N190" i="4"/>
  <c r="H198" i="4"/>
  <c r="E198" i="4"/>
  <c r="H205" i="4"/>
  <c r="G205" i="4"/>
  <c r="V224" i="4"/>
  <c r="U224" i="4"/>
  <c r="S224" i="4"/>
  <c r="AF224" i="4" s="1"/>
  <c r="V275" i="4"/>
  <c r="U275" i="4"/>
  <c r="S275" i="4"/>
  <c r="AF275" i="4" s="1"/>
  <c r="H294" i="4"/>
  <c r="G294" i="4"/>
  <c r="H321" i="4"/>
  <c r="E321" i="4"/>
  <c r="AD321" i="4" s="1"/>
  <c r="O323" i="4"/>
  <c r="N323" i="4"/>
  <c r="O338" i="4"/>
  <c r="L338" i="4"/>
  <c r="AE338" i="4" s="1"/>
  <c r="O351" i="4"/>
  <c r="N351" i="4"/>
  <c r="H364" i="4"/>
  <c r="G364" i="4"/>
  <c r="V182" i="4"/>
  <c r="U182" i="4"/>
  <c r="S182" i="4"/>
  <c r="AF182" i="4" s="1"/>
  <c r="H267" i="4"/>
  <c r="E267" i="4"/>
  <c r="AD267" i="4" s="1"/>
  <c r="V342" i="4"/>
  <c r="U342" i="4"/>
  <c r="S342" i="4"/>
  <c r="AF342" i="4" s="1"/>
  <c r="N55" i="4"/>
  <c r="S126" i="4"/>
  <c r="AF126" i="4" s="1"/>
  <c r="L144" i="4"/>
  <c r="AE144" i="4" s="1"/>
  <c r="H156" i="4"/>
  <c r="G156" i="4"/>
  <c r="O310" i="4"/>
  <c r="L310" i="4"/>
  <c r="AE310" i="4" s="1"/>
  <c r="G3" i="4"/>
  <c r="G8" i="4"/>
  <c r="U11" i="4"/>
  <c r="S13" i="4"/>
  <c r="AF13" i="4" s="1"/>
  <c r="U18" i="4"/>
  <c r="AJ18" i="4" s="1"/>
  <c r="AN18" i="4" s="1"/>
  <c r="U20" i="4"/>
  <c r="U22" i="4"/>
  <c r="U24" i="4"/>
  <c r="S28" i="4"/>
  <c r="AF28" i="4" s="1"/>
  <c r="U30" i="4"/>
  <c r="S46" i="4"/>
  <c r="AF46" i="4" s="1"/>
  <c r="S50" i="4"/>
  <c r="AF50" i="4" s="1"/>
  <c r="S56" i="4"/>
  <c r="AF56" i="4" s="1"/>
  <c r="U59" i="4"/>
  <c r="S65" i="4"/>
  <c r="AF65" i="4" s="1"/>
  <c r="U67" i="4"/>
  <c r="S74" i="4"/>
  <c r="AF74" i="4" s="1"/>
  <c r="S76" i="4"/>
  <c r="AF76" i="4" s="1"/>
  <c r="L78" i="4"/>
  <c r="U81" i="4"/>
  <c r="S83" i="4"/>
  <c r="AF83" i="4" s="1"/>
  <c r="L85" i="4"/>
  <c r="U91" i="4"/>
  <c r="L93" i="4"/>
  <c r="AE93" i="4" s="1"/>
  <c r="S101" i="4"/>
  <c r="AF101" i="4" s="1"/>
  <c r="S106" i="4"/>
  <c r="AF106" i="4" s="1"/>
  <c r="S112" i="4"/>
  <c r="AF112" i="4" s="1"/>
  <c r="S131" i="4"/>
  <c r="AF131" i="4" s="1"/>
  <c r="N147" i="4"/>
  <c r="V159" i="4"/>
  <c r="U159" i="4"/>
  <c r="AJ159" i="4" s="1"/>
  <c r="N168" i="4"/>
  <c r="O188" i="4"/>
  <c r="N188" i="4"/>
  <c r="V190" i="4"/>
  <c r="U190" i="4"/>
  <c r="S190" i="4"/>
  <c r="AF190" i="4" s="1"/>
  <c r="H196" i="4"/>
  <c r="G196" i="4"/>
  <c r="V202" i="4"/>
  <c r="U202" i="4"/>
  <c r="S202" i="4"/>
  <c r="AF202" i="4" s="1"/>
  <c r="AJ202" i="4" s="1"/>
  <c r="V260" i="4"/>
  <c r="U260" i="4"/>
  <c r="S260" i="4"/>
  <c r="AF260" i="4" s="1"/>
  <c r="H266" i="4"/>
  <c r="G266" i="4"/>
  <c r="E266" i="4"/>
  <c r="AD266" i="4" s="1"/>
  <c r="V282" i="4"/>
  <c r="U282" i="4"/>
  <c r="S282" i="4"/>
  <c r="AF282" i="4" s="1"/>
  <c r="O297" i="4"/>
  <c r="N297" i="4"/>
  <c r="V328" i="4"/>
  <c r="U328" i="4"/>
  <c r="S328" i="4"/>
  <c r="AF328" i="4" s="1"/>
  <c r="N336" i="4"/>
  <c r="E16" i="4"/>
  <c r="AD16" i="4" s="1"/>
  <c r="S35" i="4"/>
  <c r="AF35" i="4" s="1"/>
  <c r="U13" i="4"/>
  <c r="U28" i="4"/>
  <c r="U46" i="4"/>
  <c r="U50" i="4"/>
  <c r="U56" i="4"/>
  <c r="U65" i="4"/>
  <c r="U74" i="4"/>
  <c r="U76" i="4"/>
  <c r="U83" i="4"/>
  <c r="N85" i="4"/>
  <c r="U101" i="4"/>
  <c r="U106" i="4"/>
  <c r="E110" i="4"/>
  <c r="AD110" i="4" s="1"/>
  <c r="U112" i="4"/>
  <c r="S124" i="4"/>
  <c r="AF124" i="4" s="1"/>
  <c r="U131" i="4"/>
  <c r="S143" i="4"/>
  <c r="AF143" i="4" s="1"/>
  <c r="V147" i="4"/>
  <c r="S147" i="4"/>
  <c r="AF147" i="4" s="1"/>
  <c r="V162" i="4"/>
  <c r="U162" i="4"/>
  <c r="V166" i="4"/>
  <c r="S166" i="4"/>
  <c r="AF166" i="4" s="1"/>
  <c r="O177" i="4"/>
  <c r="N177" i="4"/>
  <c r="H203" i="4"/>
  <c r="G203" i="4"/>
  <c r="H225" i="4"/>
  <c r="E225" i="4"/>
  <c r="AD225" i="4" s="1"/>
  <c r="V244" i="4"/>
  <c r="U244" i="4"/>
  <c r="S244" i="4"/>
  <c r="AF244" i="4" s="1"/>
  <c r="O254" i="4"/>
  <c r="N254" i="4"/>
  <c r="L254" i="4"/>
  <c r="H271" i="4"/>
  <c r="G271" i="4"/>
  <c r="H276" i="4"/>
  <c r="G276" i="4"/>
  <c r="V294" i="4"/>
  <c r="U294" i="4"/>
  <c r="S294" i="4"/>
  <c r="AF294" i="4" s="1"/>
  <c r="H302" i="4"/>
  <c r="G302" i="4"/>
  <c r="H329" i="4"/>
  <c r="E329" i="4"/>
  <c r="AD329" i="4" s="1"/>
  <c r="E362" i="4"/>
  <c r="AD362" i="4" s="1"/>
  <c r="V364" i="4"/>
  <c r="U364" i="4"/>
  <c r="S364" i="4"/>
  <c r="AF364" i="4" s="1"/>
  <c r="H223" i="4"/>
  <c r="E223" i="4"/>
  <c r="AD223" i="4" s="1"/>
  <c r="H332" i="4"/>
  <c r="E332" i="4"/>
  <c r="AD332" i="4" s="1"/>
  <c r="N12" i="4"/>
  <c r="S123" i="4"/>
  <c r="AF123" i="4" s="1"/>
  <c r="V142" i="4"/>
  <c r="U142" i="4"/>
  <c r="AJ142" i="4" s="1"/>
  <c r="S160" i="4"/>
  <c r="AF160" i="4" s="1"/>
  <c r="E68" i="4"/>
  <c r="S78" i="4"/>
  <c r="AF78" i="4" s="1"/>
  <c r="L87" i="4"/>
  <c r="U88" i="4"/>
  <c r="AJ88" i="4" s="1"/>
  <c r="AN88" i="4" s="1"/>
  <c r="S93" i="4"/>
  <c r="AF93" i="4" s="1"/>
  <c r="S121" i="4"/>
  <c r="AF121" i="4" s="1"/>
  <c r="U124" i="4"/>
  <c r="L135" i="4"/>
  <c r="AE135" i="4" s="1"/>
  <c r="U136" i="4"/>
  <c r="U138" i="4"/>
  <c r="O140" i="4"/>
  <c r="N140" i="4"/>
  <c r="G142" i="4"/>
  <c r="U143" i="4"/>
  <c r="U147" i="4"/>
  <c r="H160" i="4"/>
  <c r="E160" i="4"/>
  <c r="S162" i="4"/>
  <c r="AF162" i="4" s="1"/>
  <c r="U166" i="4"/>
  <c r="V177" i="4"/>
  <c r="U177" i="4"/>
  <c r="S177" i="4"/>
  <c r="AF177" i="4" s="1"/>
  <c r="H191" i="4"/>
  <c r="G191" i="4"/>
  <c r="V227" i="4"/>
  <c r="U227" i="4"/>
  <c r="S227" i="4"/>
  <c r="AF227" i="4" s="1"/>
  <c r="H248" i="4"/>
  <c r="G248" i="4"/>
  <c r="V263" i="4"/>
  <c r="U263" i="4"/>
  <c r="S263" i="4"/>
  <c r="AF263" i="4" s="1"/>
  <c r="H285" i="4"/>
  <c r="E285" i="4"/>
  <c r="AD285" i="4" s="1"/>
  <c r="L367" i="4"/>
  <c r="AE367" i="4" s="1"/>
  <c r="H139" i="4"/>
  <c r="E139" i="4"/>
  <c r="V151" i="4"/>
  <c r="U151" i="4"/>
  <c r="V210" i="4"/>
  <c r="U210" i="4"/>
  <c r="S210" i="4"/>
  <c r="AF210" i="4" s="1"/>
  <c r="N3" i="4"/>
  <c r="L5" i="4"/>
  <c r="AE5" i="4" s="1"/>
  <c r="S8" i="4"/>
  <c r="AF8" i="4" s="1"/>
  <c r="S10" i="4"/>
  <c r="AF10" i="4" s="1"/>
  <c r="U15" i="4"/>
  <c r="AJ15" i="4" s="1"/>
  <c r="AN15" i="4" s="1"/>
  <c r="L27" i="4"/>
  <c r="AE27" i="4" s="1"/>
  <c r="S33" i="4"/>
  <c r="AF33" i="4" s="1"/>
  <c r="N35" i="4"/>
  <c r="S39" i="4"/>
  <c r="AF39" i="4" s="1"/>
  <c r="AJ39" i="4" s="1"/>
  <c r="AN39" i="4" s="1"/>
  <c r="S41" i="4"/>
  <c r="AF41" i="4" s="1"/>
  <c r="E51" i="4"/>
  <c r="S58" i="4"/>
  <c r="AF58" i="4" s="1"/>
  <c r="G68" i="4"/>
  <c r="U78" i="4"/>
  <c r="S85" i="4"/>
  <c r="AF85" i="4" s="1"/>
  <c r="N87" i="4"/>
  <c r="S90" i="4"/>
  <c r="AF90" i="4" s="1"/>
  <c r="U93" i="4"/>
  <c r="S95" i="4"/>
  <c r="AF95" i="4" s="1"/>
  <c r="S103" i="4"/>
  <c r="AF103" i="4" s="1"/>
  <c r="S108" i="4"/>
  <c r="AF108" i="4" s="1"/>
  <c r="S115" i="4"/>
  <c r="AF115" i="4" s="1"/>
  <c r="S118" i="4"/>
  <c r="AF118" i="4" s="1"/>
  <c r="U121" i="4"/>
  <c r="S133" i="4"/>
  <c r="AF133" i="4" s="1"/>
  <c r="V153" i="4"/>
  <c r="U153" i="4"/>
  <c r="AJ153" i="4" s="1"/>
  <c r="V155" i="4"/>
  <c r="S155" i="4"/>
  <c r="AF155" i="4" s="1"/>
  <c r="AJ155" i="4" s="1"/>
  <c r="H167" i="4"/>
  <c r="E167" i="4"/>
  <c r="AD167" i="4" s="1"/>
  <c r="H189" i="4"/>
  <c r="G189" i="4"/>
  <c r="V203" i="4"/>
  <c r="U203" i="4"/>
  <c r="S203" i="4"/>
  <c r="AF203" i="4" s="1"/>
  <c r="AJ203" i="4" s="1"/>
  <c r="AN203" i="4" s="1"/>
  <c r="V222" i="4"/>
  <c r="U222" i="4"/>
  <c r="S222" i="4"/>
  <c r="AF222" i="4" s="1"/>
  <c r="H228" i="4"/>
  <c r="G228" i="4"/>
  <c r="H232" i="4"/>
  <c r="E232" i="4"/>
  <c r="AH232" i="4" s="1"/>
  <c r="G232" i="4"/>
  <c r="O245" i="4"/>
  <c r="N245" i="4"/>
  <c r="E248" i="4"/>
  <c r="AD248" i="4" s="1"/>
  <c r="V289" i="4"/>
  <c r="U289" i="4"/>
  <c r="S289" i="4"/>
  <c r="AF289" i="4" s="1"/>
  <c r="V304" i="4"/>
  <c r="U304" i="4"/>
  <c r="S304" i="4"/>
  <c r="AF304" i="4" s="1"/>
  <c r="V309" i="4"/>
  <c r="U309" i="4"/>
  <c r="S309" i="4"/>
  <c r="AF309" i="4" s="1"/>
  <c r="O317" i="4"/>
  <c r="L317" i="4"/>
  <c r="AE317" i="4" s="1"/>
  <c r="H322" i="4"/>
  <c r="E322" i="4"/>
  <c r="AD322" i="4" s="1"/>
  <c r="AJ185" i="4"/>
  <c r="AN185" i="4" s="1"/>
  <c r="S311" i="4"/>
  <c r="AF311" i="4" s="1"/>
  <c r="G313" i="4"/>
  <c r="G330" i="4"/>
  <c r="U205" i="4"/>
  <c r="U211" i="4"/>
  <c r="U225" i="4"/>
  <c r="U239" i="4"/>
  <c r="U241" i="4"/>
  <c r="G250" i="4"/>
  <c r="AH250" i="4" s="1"/>
  <c r="AL250" i="4" s="1"/>
  <c r="U258" i="4"/>
  <c r="U286" i="4"/>
  <c r="AJ286" i="4" s="1"/>
  <c r="AN286" i="4" s="1"/>
  <c r="U296" i="4"/>
  <c r="AJ296" i="4" s="1"/>
  <c r="AN296" i="4" s="1"/>
  <c r="U323" i="4"/>
  <c r="U350" i="4"/>
  <c r="U352" i="4"/>
  <c r="S366" i="4"/>
  <c r="AF366" i="4" s="1"/>
  <c r="U169" i="4"/>
  <c r="U174" i="4"/>
  <c r="AJ174" i="4" s="1"/>
  <c r="AN174" i="4" s="1"/>
  <c r="U193" i="4"/>
  <c r="U195" i="4"/>
  <c r="AJ195" i="4" s="1"/>
  <c r="AN195" i="4" s="1"/>
  <c r="U232" i="4"/>
  <c r="U234" i="4"/>
  <c r="L238" i="4"/>
  <c r="S243" i="4"/>
  <c r="AF243" i="4" s="1"/>
  <c r="U245" i="4"/>
  <c r="AJ245" i="4" s="1"/>
  <c r="AN245" i="4" s="1"/>
  <c r="S247" i="4"/>
  <c r="AF247" i="4" s="1"/>
  <c r="U262" i="4"/>
  <c r="AJ262" i="4" s="1"/>
  <c r="AN262" i="4" s="1"/>
  <c r="U264" i="4"/>
  <c r="S269" i="4"/>
  <c r="AF269" i="4" s="1"/>
  <c r="N273" i="4"/>
  <c r="AI273" i="4" s="1"/>
  <c r="AM273" i="4" s="1"/>
  <c r="S276" i="4"/>
  <c r="AF276" i="4" s="1"/>
  <c r="N280" i="4"/>
  <c r="G287" i="4"/>
  <c r="U288" i="4"/>
  <c r="S290" i="4"/>
  <c r="AF290" i="4" s="1"/>
  <c r="S295" i="4"/>
  <c r="AF295" i="4" s="1"/>
  <c r="E299" i="4"/>
  <c r="AD299" i="4" s="1"/>
  <c r="U306" i="4"/>
  <c r="S310" i="4"/>
  <c r="AF310" i="4" s="1"/>
  <c r="U317" i="4"/>
  <c r="U319" i="4"/>
  <c r="G324" i="4"/>
  <c r="L329" i="4"/>
  <c r="AE329" i="4" s="1"/>
  <c r="S330" i="4"/>
  <c r="AF330" i="4" s="1"/>
  <c r="E334" i="4"/>
  <c r="AD334" i="4" s="1"/>
  <c r="U335" i="4"/>
  <c r="U337" i="4"/>
  <c r="E339" i="4"/>
  <c r="AD339" i="4" s="1"/>
  <c r="S340" i="4"/>
  <c r="AF340" i="4" s="1"/>
  <c r="U343" i="4"/>
  <c r="U345" i="4"/>
  <c r="AJ345" i="4" s="1"/>
  <c r="AN345" i="4" s="1"/>
  <c r="S347" i="4"/>
  <c r="AF347" i="4" s="1"/>
  <c r="U354" i="4"/>
  <c r="U356" i="4"/>
  <c r="S358" i="4"/>
  <c r="AF358" i="4" s="1"/>
  <c r="S361" i="4"/>
  <c r="AF361" i="4" s="1"/>
  <c r="N238" i="4"/>
  <c r="U243" i="4"/>
  <c r="U247" i="4"/>
  <c r="U269" i="4"/>
  <c r="U276" i="4"/>
  <c r="U290" i="4"/>
  <c r="U295" i="4"/>
  <c r="G299" i="4"/>
  <c r="U310" i="4"/>
  <c r="U330" i="4"/>
  <c r="U340" i="4"/>
  <c r="U347" i="4"/>
  <c r="U358" i="4"/>
  <c r="U361" i="4"/>
  <c r="U171" i="4"/>
  <c r="AJ171" i="4" s="1"/>
  <c r="AN171" i="4" s="1"/>
  <c r="U184" i="4"/>
  <c r="AJ184" i="4" s="1"/>
  <c r="AN184" i="4" s="1"/>
  <c r="U188" i="4"/>
  <c r="AJ188" i="4" s="1"/>
  <c r="AN188" i="4" s="1"/>
  <c r="G214" i="4"/>
  <c r="U221" i="4"/>
  <c r="G230" i="4"/>
  <c r="U231" i="4"/>
  <c r="G237" i="4"/>
  <c r="AH237" i="4" s="1"/>
  <c r="AL237" i="4" s="1"/>
  <c r="S238" i="4"/>
  <c r="AF238" i="4" s="1"/>
  <c r="U240" i="4"/>
  <c r="S242" i="4"/>
  <c r="AF242" i="4" s="1"/>
  <c r="G246" i="4"/>
  <c r="L256" i="4"/>
  <c r="S257" i="4"/>
  <c r="AF257" i="4" s="1"/>
  <c r="U259" i="4"/>
  <c r="L261" i="4"/>
  <c r="N263" i="4"/>
  <c r="U266" i="4"/>
  <c r="AJ266" i="4" s="1"/>
  <c r="AN266" i="4" s="1"/>
  <c r="E268" i="4"/>
  <c r="U273" i="4"/>
  <c r="AJ273" i="4" s="1"/>
  <c r="AN273" i="4" s="1"/>
  <c r="U280" i="4"/>
  <c r="AJ280" i="4" s="1"/>
  <c r="AN280" i="4" s="1"/>
  <c r="N282" i="4"/>
  <c r="L289" i="4"/>
  <c r="AE289" i="4" s="1"/>
  <c r="S292" i="4"/>
  <c r="AF292" i="4" s="1"/>
  <c r="S297" i="4"/>
  <c r="AF297" i="4" s="1"/>
  <c r="AJ297" i="4" s="1"/>
  <c r="AN297" i="4" s="1"/>
  <c r="U302" i="4"/>
  <c r="S305" i="4"/>
  <c r="AF305" i="4" s="1"/>
  <c r="S312" i="4"/>
  <c r="AF312" i="4" s="1"/>
  <c r="S314" i="4"/>
  <c r="AF314" i="4" s="1"/>
  <c r="AJ314" i="4" s="1"/>
  <c r="AN314" i="4" s="1"/>
  <c r="U321" i="4"/>
  <c r="AJ321" i="4" s="1"/>
  <c r="AN321" i="4" s="1"/>
  <c r="G323" i="4"/>
  <c r="S324" i="4"/>
  <c r="AF324" i="4" s="1"/>
  <c r="U326" i="4"/>
  <c r="AJ326" i="4" s="1"/>
  <c r="AN326" i="4" s="1"/>
  <c r="L328" i="4"/>
  <c r="AE328" i="4" s="1"/>
  <c r="U329" i="4"/>
  <c r="U332" i="4"/>
  <c r="G346" i="4"/>
  <c r="S351" i="4"/>
  <c r="AF351" i="4" s="1"/>
  <c r="S360" i="4"/>
  <c r="AF360" i="4" s="1"/>
  <c r="AJ360" i="4" s="1"/>
  <c r="AN360" i="4" s="1"/>
  <c r="U363" i="4"/>
  <c r="S365" i="4"/>
  <c r="AF365" i="4" s="1"/>
  <c r="S246" i="4"/>
  <c r="AF246" i="4" s="1"/>
  <c r="S251" i="4"/>
  <c r="AF251" i="4" s="1"/>
  <c r="S355" i="4"/>
  <c r="AF355" i="4" s="1"/>
  <c r="AJ355" i="4" s="1"/>
  <c r="AN355" i="4" s="1"/>
  <c r="S367" i="4"/>
  <c r="AF367" i="4" s="1"/>
  <c r="AJ367" i="4" s="1"/>
  <c r="AN367" i="4" s="1"/>
  <c r="AJ175" i="4"/>
  <c r="AN175" i="4" s="1"/>
  <c r="AJ170" i="4"/>
  <c r="AN170" i="4" s="1"/>
  <c r="AJ270" i="4"/>
  <c r="AN270" i="4" s="1"/>
  <c r="AJ22" i="4"/>
  <c r="AN22" i="4" s="1"/>
  <c r="H28" i="2"/>
  <c r="E28" i="2"/>
  <c r="G28" i="2"/>
  <c r="O31" i="2"/>
  <c r="L31" i="2"/>
  <c r="N31" i="2"/>
  <c r="H8" i="2"/>
  <c r="E8" i="2"/>
  <c r="G8" i="2"/>
  <c r="H24" i="2"/>
  <c r="E24" i="2"/>
  <c r="G24" i="2"/>
  <c r="H20" i="2"/>
  <c r="E20" i="2"/>
  <c r="G20" i="2"/>
  <c r="H9" i="2"/>
  <c r="E9" i="2"/>
  <c r="G9" i="2"/>
  <c r="H17" i="2"/>
  <c r="E17" i="2"/>
  <c r="G17" i="2"/>
  <c r="H21" i="2"/>
  <c r="E21" i="2"/>
  <c r="G21" i="2"/>
  <c r="H25" i="2"/>
  <c r="E25" i="2"/>
  <c r="G25" i="2"/>
  <c r="O34" i="2"/>
  <c r="L34" i="2"/>
  <c r="N34" i="2"/>
  <c r="H5" i="2"/>
  <c r="E5" i="2"/>
  <c r="G5" i="2"/>
  <c r="H13" i="2"/>
  <c r="E13" i="2"/>
  <c r="G13" i="2"/>
  <c r="H29" i="2"/>
  <c r="E29" i="2"/>
  <c r="G29" i="2"/>
  <c r="O32" i="2"/>
  <c r="L32" i="2"/>
  <c r="N32" i="2"/>
  <c r="H6" i="2"/>
  <c r="E6" i="2"/>
  <c r="G6" i="2"/>
  <c r="H10" i="2"/>
  <c r="E10" i="2"/>
  <c r="G10" i="2"/>
  <c r="H14" i="2"/>
  <c r="E14" i="2"/>
  <c r="G14" i="2"/>
  <c r="H18" i="2"/>
  <c r="E18" i="2"/>
  <c r="G18" i="2"/>
  <c r="H22" i="2"/>
  <c r="E22" i="2"/>
  <c r="G22" i="2"/>
  <c r="H26" i="2"/>
  <c r="E26" i="2"/>
  <c r="G26" i="2"/>
  <c r="AD54" i="2"/>
  <c r="H4" i="2"/>
  <c r="E4" i="2"/>
  <c r="G4" i="2"/>
  <c r="H16" i="2"/>
  <c r="E16" i="2"/>
  <c r="G16" i="2"/>
  <c r="AD165" i="2"/>
  <c r="H30" i="2"/>
  <c r="E30" i="2"/>
  <c r="G30" i="2"/>
  <c r="H12" i="2"/>
  <c r="E12" i="2"/>
  <c r="G12" i="2"/>
  <c r="H15" i="2"/>
  <c r="E15" i="2"/>
  <c r="G15" i="2"/>
  <c r="H23" i="2"/>
  <c r="E23" i="2"/>
  <c r="G23" i="2"/>
  <c r="H27" i="2"/>
  <c r="E27" i="2"/>
  <c r="G27" i="2"/>
  <c r="H7" i="2"/>
  <c r="E7" i="2"/>
  <c r="G7" i="2"/>
  <c r="H11" i="2"/>
  <c r="E11" i="2"/>
  <c r="G11" i="2"/>
  <c r="H19" i="2"/>
  <c r="E19" i="2"/>
  <c r="G19" i="2"/>
  <c r="O36" i="2"/>
  <c r="L36" i="2"/>
  <c r="N36" i="2"/>
  <c r="O45" i="2"/>
  <c r="L45" i="2"/>
  <c r="O57" i="2"/>
  <c r="L57" i="2"/>
  <c r="O61" i="2"/>
  <c r="L61" i="2"/>
  <c r="O69" i="2"/>
  <c r="L69" i="2"/>
  <c r="O75" i="2"/>
  <c r="L75" i="2"/>
  <c r="O82" i="2"/>
  <c r="L82" i="2"/>
  <c r="O90" i="2"/>
  <c r="L90" i="2"/>
  <c r="O99" i="2"/>
  <c r="L99" i="2"/>
  <c r="O105" i="2"/>
  <c r="L105" i="2"/>
  <c r="O111" i="2"/>
  <c r="L111" i="2"/>
  <c r="O123" i="2"/>
  <c r="L123" i="2"/>
  <c r="O135" i="2"/>
  <c r="L135" i="2"/>
  <c r="H162" i="2"/>
  <c r="G162" i="2"/>
  <c r="E162" i="2"/>
  <c r="G202" i="4"/>
  <c r="E202" i="4"/>
  <c r="G256" i="4"/>
  <c r="E256" i="4"/>
  <c r="E3" i="2"/>
  <c r="AD32" i="2"/>
  <c r="N45" i="2"/>
  <c r="H49" i="2"/>
  <c r="G49" i="2"/>
  <c r="AH49" i="2" s="1"/>
  <c r="O52" i="2"/>
  <c r="L52" i="2"/>
  <c r="N57" i="2"/>
  <c r="N61" i="2"/>
  <c r="N69" i="2"/>
  <c r="N75" i="2"/>
  <c r="N82" i="2"/>
  <c r="H85" i="2"/>
  <c r="G85" i="2"/>
  <c r="E85" i="2"/>
  <c r="N90" i="2"/>
  <c r="N99" i="2"/>
  <c r="N105" i="2"/>
  <c r="N111" i="2"/>
  <c r="N123" i="2"/>
  <c r="N135" i="2"/>
  <c r="O71" i="2"/>
  <c r="L71" i="2"/>
  <c r="O132" i="2"/>
  <c r="L132" i="2"/>
  <c r="O47" i="2"/>
  <c r="L47" i="2"/>
  <c r="H56" i="2"/>
  <c r="G56" i="2"/>
  <c r="H78" i="2"/>
  <c r="G78" i="2"/>
  <c r="E78" i="2"/>
  <c r="O80" i="2"/>
  <c r="L80" i="2"/>
  <c r="H88" i="2"/>
  <c r="G88" i="2"/>
  <c r="E88" i="2"/>
  <c r="H91" i="2"/>
  <c r="G91" i="2"/>
  <c r="E91" i="2"/>
  <c r="H94" i="2"/>
  <c r="G94" i="2"/>
  <c r="E94" i="2"/>
  <c r="H97" i="2"/>
  <c r="G97" i="2"/>
  <c r="E97" i="2"/>
  <c r="H100" i="2"/>
  <c r="G100" i="2"/>
  <c r="E100" i="2"/>
  <c r="H103" i="2"/>
  <c r="G103" i="2"/>
  <c r="E103" i="2"/>
  <c r="H106" i="2"/>
  <c r="G106" i="2"/>
  <c r="E106" i="2"/>
  <c r="H109" i="2"/>
  <c r="G109" i="2"/>
  <c r="E109" i="2"/>
  <c r="H112" i="2"/>
  <c r="G112" i="2"/>
  <c r="E112" i="2"/>
  <c r="H115" i="2"/>
  <c r="G115" i="2"/>
  <c r="E115" i="2"/>
  <c r="H118" i="2"/>
  <c r="G118" i="2"/>
  <c r="E118" i="2"/>
  <c r="H121" i="2"/>
  <c r="G121" i="2"/>
  <c r="E121" i="2"/>
  <c r="H124" i="2"/>
  <c r="G124" i="2"/>
  <c r="E124" i="2"/>
  <c r="H127" i="2"/>
  <c r="G127" i="2"/>
  <c r="E127" i="2"/>
  <c r="H130" i="2"/>
  <c r="G130" i="2"/>
  <c r="E130" i="2"/>
  <c r="H133" i="2"/>
  <c r="G133" i="2"/>
  <c r="E133" i="2"/>
  <c r="H136" i="2"/>
  <c r="G136" i="2"/>
  <c r="E136" i="2"/>
  <c r="H139" i="2"/>
  <c r="G139" i="2"/>
  <c r="E139" i="2"/>
  <c r="H142" i="2"/>
  <c r="G142" i="2"/>
  <c r="E142" i="2"/>
  <c r="H145" i="2"/>
  <c r="G145" i="2"/>
  <c r="E145" i="2"/>
  <c r="H148" i="2"/>
  <c r="G148" i="2"/>
  <c r="E148" i="2"/>
  <c r="H151" i="2"/>
  <c r="G151" i="2"/>
  <c r="E151" i="2"/>
  <c r="H154" i="2"/>
  <c r="G154" i="2"/>
  <c r="E154" i="2"/>
  <c r="H80" i="2"/>
  <c r="G80" i="2"/>
  <c r="E80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E39" i="2"/>
  <c r="O40" i="2"/>
  <c r="L40" i="2"/>
  <c r="E43" i="2"/>
  <c r="O44" i="2"/>
  <c r="L44" i="2"/>
  <c r="N47" i="2"/>
  <c r="H51" i="2"/>
  <c r="G51" i="2"/>
  <c r="AH51" i="2" s="1"/>
  <c r="O54" i="2"/>
  <c r="L54" i="2"/>
  <c r="E56" i="2"/>
  <c r="H58" i="2"/>
  <c r="G58" i="2"/>
  <c r="AH58" i="2" s="1"/>
  <c r="H60" i="2"/>
  <c r="G60" i="2"/>
  <c r="H62" i="2"/>
  <c r="G62" i="2"/>
  <c r="AH62" i="2" s="1"/>
  <c r="H64" i="2"/>
  <c r="G64" i="2"/>
  <c r="AH64" i="2" s="1"/>
  <c r="H66" i="2"/>
  <c r="G66" i="2"/>
  <c r="AH66" i="2" s="1"/>
  <c r="H68" i="2"/>
  <c r="G68" i="2"/>
  <c r="AH68" i="2" s="1"/>
  <c r="H70" i="2"/>
  <c r="G70" i="2"/>
  <c r="AH70" i="2" s="1"/>
  <c r="H72" i="2"/>
  <c r="G72" i="2"/>
  <c r="AH72" i="2" s="1"/>
  <c r="AL72" i="2" s="1"/>
  <c r="H74" i="2"/>
  <c r="G74" i="2"/>
  <c r="AH74" i="2" s="1"/>
  <c r="H76" i="2"/>
  <c r="G76" i="2"/>
  <c r="AH76" i="2" s="1"/>
  <c r="N80" i="2"/>
  <c r="H83" i="2"/>
  <c r="G83" i="2"/>
  <c r="E83" i="2"/>
  <c r="O85" i="2"/>
  <c r="L85" i="2"/>
  <c r="H157" i="2"/>
  <c r="E157" i="2"/>
  <c r="AD159" i="2"/>
  <c r="AE173" i="2"/>
  <c r="AE181" i="2"/>
  <c r="H191" i="2"/>
  <c r="G191" i="2"/>
  <c r="E191" i="2"/>
  <c r="H203" i="2"/>
  <c r="G203" i="2"/>
  <c r="E203" i="2"/>
  <c r="H215" i="2"/>
  <c r="G215" i="2"/>
  <c r="E215" i="2"/>
  <c r="H227" i="2"/>
  <c r="G227" i="2"/>
  <c r="E227" i="2"/>
  <c r="O37" i="2"/>
  <c r="L37" i="2"/>
  <c r="O117" i="2"/>
  <c r="L117" i="2"/>
  <c r="G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H46" i="2"/>
  <c r="G46" i="2"/>
  <c r="AH46" i="2" s="1"/>
  <c r="AL46" i="2" s="1"/>
  <c r="O49" i="2"/>
  <c r="L49" i="2"/>
  <c r="AD58" i="2"/>
  <c r="AH60" i="2"/>
  <c r="AD60" i="2"/>
  <c r="AD62" i="2"/>
  <c r="AD64" i="2"/>
  <c r="AD66" i="2"/>
  <c r="AD68" i="2"/>
  <c r="AD70" i="2"/>
  <c r="AD72" i="2"/>
  <c r="AD74" i="2"/>
  <c r="AD76" i="2"/>
  <c r="O78" i="2"/>
  <c r="L78" i="2"/>
  <c r="O88" i="2"/>
  <c r="L88" i="2"/>
  <c r="O91" i="2"/>
  <c r="L91" i="2"/>
  <c r="O94" i="2"/>
  <c r="L94" i="2"/>
  <c r="O97" i="2"/>
  <c r="L97" i="2"/>
  <c r="O100" i="2"/>
  <c r="L100" i="2"/>
  <c r="O103" i="2"/>
  <c r="L103" i="2"/>
  <c r="O106" i="2"/>
  <c r="L106" i="2"/>
  <c r="O109" i="2"/>
  <c r="L109" i="2"/>
  <c r="O112" i="2"/>
  <c r="L112" i="2"/>
  <c r="O115" i="2"/>
  <c r="L115" i="2"/>
  <c r="O118" i="2"/>
  <c r="L118" i="2"/>
  <c r="O121" i="2"/>
  <c r="L121" i="2"/>
  <c r="O124" i="2"/>
  <c r="L124" i="2"/>
  <c r="O127" i="2"/>
  <c r="L127" i="2"/>
  <c r="O130" i="2"/>
  <c r="L130" i="2"/>
  <c r="O133" i="2"/>
  <c r="L133" i="2"/>
  <c r="O136" i="2"/>
  <c r="L136" i="2"/>
  <c r="O139" i="2"/>
  <c r="L139" i="2"/>
  <c r="G157" i="2"/>
  <c r="H160" i="2"/>
  <c r="G160" i="2"/>
  <c r="E160" i="2"/>
  <c r="H163" i="2"/>
  <c r="E163" i="2"/>
  <c r="O262" i="2"/>
  <c r="N262" i="2"/>
  <c r="L262" i="2"/>
  <c r="H81" i="2"/>
  <c r="G81" i="2"/>
  <c r="E81" i="2"/>
  <c r="O160" i="2"/>
  <c r="N160" i="2"/>
  <c r="L160" i="2"/>
  <c r="H166" i="2"/>
  <c r="G166" i="2"/>
  <c r="E166" i="2"/>
  <c r="O239" i="2"/>
  <c r="N239" i="2"/>
  <c r="L239" i="2"/>
  <c r="H54" i="2"/>
  <c r="G54" i="2"/>
  <c r="AH54" i="2" s="1"/>
  <c r="AL54" i="2" s="1"/>
  <c r="O96" i="2"/>
  <c r="L96" i="2"/>
  <c r="AD40" i="2"/>
  <c r="H53" i="2"/>
  <c r="G53" i="2"/>
  <c r="E33" i="2"/>
  <c r="E38" i="2"/>
  <c r="O39" i="2"/>
  <c r="L39" i="2"/>
  <c r="E42" i="2"/>
  <c r="O43" i="2"/>
  <c r="L43" i="2"/>
  <c r="H48" i="2"/>
  <c r="G48" i="2"/>
  <c r="O51" i="2"/>
  <c r="L51" i="2"/>
  <c r="E53" i="2"/>
  <c r="O58" i="2"/>
  <c r="L58" i="2"/>
  <c r="O60" i="2"/>
  <c r="L60" i="2"/>
  <c r="O62" i="2"/>
  <c r="L62" i="2"/>
  <c r="O64" i="2"/>
  <c r="L64" i="2"/>
  <c r="O66" i="2"/>
  <c r="L66" i="2"/>
  <c r="O68" i="2"/>
  <c r="L68" i="2"/>
  <c r="O70" i="2"/>
  <c r="L70" i="2"/>
  <c r="O72" i="2"/>
  <c r="L72" i="2"/>
  <c r="O74" i="2"/>
  <c r="L74" i="2"/>
  <c r="O76" i="2"/>
  <c r="L76" i="2"/>
  <c r="H86" i="2"/>
  <c r="G86" i="2"/>
  <c r="E86" i="2"/>
  <c r="H89" i="2"/>
  <c r="G89" i="2"/>
  <c r="E89" i="2"/>
  <c r="H92" i="2"/>
  <c r="G92" i="2"/>
  <c r="E92" i="2"/>
  <c r="H95" i="2"/>
  <c r="G95" i="2"/>
  <c r="E95" i="2"/>
  <c r="H98" i="2"/>
  <c r="G98" i="2"/>
  <c r="E98" i="2"/>
  <c r="H101" i="2"/>
  <c r="G101" i="2"/>
  <c r="E101" i="2"/>
  <c r="H104" i="2"/>
  <c r="G104" i="2"/>
  <c r="E104" i="2"/>
  <c r="H107" i="2"/>
  <c r="G107" i="2"/>
  <c r="E107" i="2"/>
  <c r="H110" i="2"/>
  <c r="G110" i="2"/>
  <c r="E110" i="2"/>
  <c r="H113" i="2"/>
  <c r="G113" i="2"/>
  <c r="E113" i="2"/>
  <c r="H116" i="2"/>
  <c r="G116" i="2"/>
  <c r="E116" i="2"/>
  <c r="H119" i="2"/>
  <c r="G119" i="2"/>
  <c r="E119" i="2"/>
  <c r="H122" i="2"/>
  <c r="G122" i="2"/>
  <c r="E122" i="2"/>
  <c r="H125" i="2"/>
  <c r="G125" i="2"/>
  <c r="E125" i="2"/>
  <c r="H128" i="2"/>
  <c r="G128" i="2"/>
  <c r="E128" i="2"/>
  <c r="H131" i="2"/>
  <c r="G131" i="2"/>
  <c r="E131" i="2"/>
  <c r="H134" i="2"/>
  <c r="G134" i="2"/>
  <c r="E134" i="2"/>
  <c r="H137" i="2"/>
  <c r="G137" i="2"/>
  <c r="E137" i="2"/>
  <c r="H140" i="2"/>
  <c r="G140" i="2"/>
  <c r="E140" i="2"/>
  <c r="H143" i="2"/>
  <c r="G143" i="2"/>
  <c r="E143" i="2"/>
  <c r="H146" i="2"/>
  <c r="G146" i="2"/>
  <c r="E146" i="2"/>
  <c r="H149" i="2"/>
  <c r="G149" i="2"/>
  <c r="E149" i="2"/>
  <c r="H152" i="2"/>
  <c r="G152" i="2"/>
  <c r="E152" i="2"/>
  <c r="H155" i="2"/>
  <c r="G155" i="2"/>
  <c r="E155" i="2"/>
  <c r="O166" i="2"/>
  <c r="N166" i="2"/>
  <c r="L166" i="2"/>
  <c r="H169" i="2"/>
  <c r="G169" i="2"/>
  <c r="E169" i="2"/>
  <c r="O41" i="2"/>
  <c r="L41" i="2"/>
  <c r="O59" i="2"/>
  <c r="L59" i="2"/>
  <c r="O63" i="2"/>
  <c r="L63" i="2"/>
  <c r="O73" i="2"/>
  <c r="L73" i="2"/>
  <c r="O93" i="2"/>
  <c r="L93" i="2"/>
  <c r="O102" i="2"/>
  <c r="L102" i="2"/>
  <c r="O108" i="2"/>
  <c r="L108" i="2"/>
  <c r="O114" i="2"/>
  <c r="L114" i="2"/>
  <c r="O126" i="2"/>
  <c r="L126" i="2"/>
  <c r="O138" i="2"/>
  <c r="L138" i="2"/>
  <c r="H165" i="2"/>
  <c r="G165" i="2"/>
  <c r="AH165" i="2" s="1"/>
  <c r="AL165" i="2" s="1"/>
  <c r="AD44" i="2"/>
  <c r="O56" i="2"/>
  <c r="L56" i="2"/>
  <c r="O83" i="2"/>
  <c r="L83" i="2"/>
  <c r="G33" i="2"/>
  <c r="G38" i="2"/>
  <c r="N39" i="2"/>
  <c r="G42" i="2"/>
  <c r="N43" i="2"/>
  <c r="O46" i="2"/>
  <c r="L46" i="2"/>
  <c r="E48" i="2"/>
  <c r="N51" i="2"/>
  <c r="H55" i="2"/>
  <c r="G55" i="2"/>
  <c r="AH55" i="2" s="1"/>
  <c r="N58" i="2"/>
  <c r="N60" i="2"/>
  <c r="N62" i="2"/>
  <c r="N64" i="2"/>
  <c r="N66" i="2"/>
  <c r="N68" i="2"/>
  <c r="N70" i="2"/>
  <c r="N72" i="2"/>
  <c r="N74" i="2"/>
  <c r="N76" i="2"/>
  <c r="H79" i="2"/>
  <c r="G79" i="2"/>
  <c r="E79" i="2"/>
  <c r="O81" i="2"/>
  <c r="L81" i="2"/>
  <c r="AE178" i="2"/>
  <c r="AE187" i="2"/>
  <c r="H199" i="2"/>
  <c r="G199" i="2"/>
  <c r="E199" i="2"/>
  <c r="H211" i="2"/>
  <c r="G211" i="2"/>
  <c r="E211" i="2"/>
  <c r="H223" i="2"/>
  <c r="G223" i="2"/>
  <c r="E223" i="2"/>
  <c r="AH237" i="2"/>
  <c r="AL237" i="2" s="1"/>
  <c r="AD237" i="2"/>
  <c r="O65" i="2"/>
  <c r="L65" i="2"/>
  <c r="O120" i="2"/>
  <c r="L120" i="2"/>
  <c r="H50" i="2"/>
  <c r="G50" i="2"/>
  <c r="AH50" i="2" s="1"/>
  <c r="AD51" i="2"/>
  <c r="O53" i="2"/>
  <c r="L53" i="2"/>
  <c r="H84" i="2"/>
  <c r="G84" i="2"/>
  <c r="E84" i="2"/>
  <c r="O86" i="2"/>
  <c r="L86" i="2"/>
  <c r="O89" i="2"/>
  <c r="L89" i="2"/>
  <c r="O92" i="2"/>
  <c r="L92" i="2"/>
  <c r="O95" i="2"/>
  <c r="L95" i="2"/>
  <c r="O98" i="2"/>
  <c r="L98" i="2"/>
  <c r="O101" i="2"/>
  <c r="L101" i="2"/>
  <c r="O104" i="2"/>
  <c r="L104" i="2"/>
  <c r="O107" i="2"/>
  <c r="L107" i="2"/>
  <c r="O110" i="2"/>
  <c r="L110" i="2"/>
  <c r="O113" i="2"/>
  <c r="L113" i="2"/>
  <c r="O116" i="2"/>
  <c r="L116" i="2"/>
  <c r="O119" i="2"/>
  <c r="L119" i="2"/>
  <c r="O122" i="2"/>
  <c r="L122" i="2"/>
  <c r="O125" i="2"/>
  <c r="L125" i="2"/>
  <c r="O128" i="2"/>
  <c r="L128" i="2"/>
  <c r="O131" i="2"/>
  <c r="L131" i="2"/>
  <c r="O134" i="2"/>
  <c r="L134" i="2"/>
  <c r="O137" i="2"/>
  <c r="L137" i="2"/>
  <c r="H158" i="2"/>
  <c r="G158" i="2"/>
  <c r="E158" i="2"/>
  <c r="H256" i="2"/>
  <c r="G256" i="2"/>
  <c r="E256" i="2"/>
  <c r="O67" i="2"/>
  <c r="L67" i="2"/>
  <c r="AD246" i="2"/>
  <c r="O33" i="2"/>
  <c r="L33" i="2"/>
  <c r="AD34" i="2"/>
  <c r="AH37" i="2"/>
  <c r="AL37" i="2" s="1"/>
  <c r="O38" i="2"/>
  <c r="L38" i="2"/>
  <c r="AH41" i="2"/>
  <c r="AL41" i="2" s="1"/>
  <c r="O42" i="2"/>
  <c r="L42" i="2"/>
  <c r="AD46" i="2"/>
  <c r="O48" i="2"/>
  <c r="L48" i="2"/>
  <c r="H57" i="2"/>
  <c r="G57" i="2"/>
  <c r="AH57" i="2" s="1"/>
  <c r="H59" i="2"/>
  <c r="G59" i="2"/>
  <c r="AH59" i="2" s="1"/>
  <c r="H61" i="2"/>
  <c r="G61" i="2"/>
  <c r="AH61" i="2" s="1"/>
  <c r="H63" i="2"/>
  <c r="G63" i="2"/>
  <c r="AH63" i="2" s="1"/>
  <c r="H65" i="2"/>
  <c r="G65" i="2"/>
  <c r="AH65" i="2" s="1"/>
  <c r="H67" i="2"/>
  <c r="G67" i="2"/>
  <c r="AH67" i="2" s="1"/>
  <c r="AL67" i="2" s="1"/>
  <c r="H69" i="2"/>
  <c r="G69" i="2"/>
  <c r="AH69" i="2" s="1"/>
  <c r="H71" i="2"/>
  <c r="G71" i="2"/>
  <c r="AH71" i="2" s="1"/>
  <c r="H73" i="2"/>
  <c r="G73" i="2"/>
  <c r="AH73" i="2" s="1"/>
  <c r="AL73" i="2" s="1"/>
  <c r="H75" i="2"/>
  <c r="G75" i="2"/>
  <c r="AH75" i="2" s="1"/>
  <c r="H77" i="2"/>
  <c r="G77" i="2"/>
  <c r="E77" i="2"/>
  <c r="O79" i="2"/>
  <c r="L79" i="2"/>
  <c r="H164" i="2"/>
  <c r="G164" i="2"/>
  <c r="E164" i="2"/>
  <c r="O129" i="2"/>
  <c r="L129" i="2"/>
  <c r="O35" i="2"/>
  <c r="L35" i="2"/>
  <c r="E31" i="2"/>
  <c r="N33" i="2"/>
  <c r="H52" i="2"/>
  <c r="G52" i="2"/>
  <c r="O55" i="2"/>
  <c r="L55" i="2"/>
  <c r="AD57" i="2"/>
  <c r="AD59" i="2"/>
  <c r="AD61" i="2"/>
  <c r="AD63" i="2"/>
  <c r="AD65" i="2"/>
  <c r="AD67" i="2"/>
  <c r="AD69" i="2"/>
  <c r="AD71" i="2"/>
  <c r="AD73" i="2"/>
  <c r="AD75" i="2"/>
  <c r="H82" i="2"/>
  <c r="G82" i="2"/>
  <c r="E82" i="2"/>
  <c r="O84" i="2"/>
  <c r="L84" i="2"/>
  <c r="H87" i="2"/>
  <c r="G87" i="2"/>
  <c r="E87" i="2"/>
  <c r="H90" i="2"/>
  <c r="G90" i="2"/>
  <c r="E90" i="2"/>
  <c r="H93" i="2"/>
  <c r="G93" i="2"/>
  <c r="E93" i="2"/>
  <c r="H96" i="2"/>
  <c r="G96" i="2"/>
  <c r="E96" i="2"/>
  <c r="H99" i="2"/>
  <c r="G99" i="2"/>
  <c r="E99" i="2"/>
  <c r="H102" i="2"/>
  <c r="G102" i="2"/>
  <c r="E102" i="2"/>
  <c r="H105" i="2"/>
  <c r="G105" i="2"/>
  <c r="E105" i="2"/>
  <c r="H108" i="2"/>
  <c r="G108" i="2"/>
  <c r="E108" i="2"/>
  <c r="H111" i="2"/>
  <c r="G111" i="2"/>
  <c r="E111" i="2"/>
  <c r="H114" i="2"/>
  <c r="G114" i="2"/>
  <c r="E114" i="2"/>
  <c r="H117" i="2"/>
  <c r="G117" i="2"/>
  <c r="E117" i="2"/>
  <c r="H120" i="2"/>
  <c r="G120" i="2"/>
  <c r="E120" i="2"/>
  <c r="H123" i="2"/>
  <c r="G123" i="2"/>
  <c r="E123" i="2"/>
  <c r="H126" i="2"/>
  <c r="G126" i="2"/>
  <c r="E126" i="2"/>
  <c r="H129" i="2"/>
  <c r="G129" i="2"/>
  <c r="E129" i="2"/>
  <c r="H132" i="2"/>
  <c r="G132" i="2"/>
  <c r="E132" i="2"/>
  <c r="H135" i="2"/>
  <c r="G135" i="2"/>
  <c r="E135" i="2"/>
  <c r="H138" i="2"/>
  <c r="G138" i="2"/>
  <c r="E138" i="2"/>
  <c r="H141" i="2"/>
  <c r="G141" i="2"/>
  <c r="E141" i="2"/>
  <c r="H144" i="2"/>
  <c r="G144" i="2"/>
  <c r="E144" i="2"/>
  <c r="H147" i="2"/>
  <c r="G147" i="2"/>
  <c r="E147" i="2"/>
  <c r="H150" i="2"/>
  <c r="G150" i="2"/>
  <c r="E150" i="2"/>
  <c r="H153" i="2"/>
  <c r="G153" i="2"/>
  <c r="E153" i="2"/>
  <c r="O87" i="2"/>
  <c r="L87" i="2"/>
  <c r="AD36" i="2"/>
  <c r="G31" i="2"/>
  <c r="H47" i="2"/>
  <c r="G47" i="2"/>
  <c r="AH47" i="2" s="1"/>
  <c r="AL47" i="2" s="1"/>
  <c r="O50" i="2"/>
  <c r="L50" i="2"/>
  <c r="E52" i="2"/>
  <c r="N55" i="2"/>
  <c r="O77" i="2"/>
  <c r="L77" i="2"/>
  <c r="N84" i="2"/>
  <c r="H156" i="2"/>
  <c r="G156" i="2"/>
  <c r="E156" i="2"/>
  <c r="H159" i="2"/>
  <c r="G159" i="2"/>
  <c r="AH159" i="2" s="1"/>
  <c r="AE164" i="2"/>
  <c r="AE175" i="2"/>
  <c r="AE184" i="2"/>
  <c r="H195" i="2"/>
  <c r="G195" i="2"/>
  <c r="E195" i="2"/>
  <c r="H207" i="2"/>
  <c r="G207" i="2"/>
  <c r="E207" i="2"/>
  <c r="H219" i="2"/>
  <c r="G219" i="2"/>
  <c r="E219" i="2"/>
  <c r="H231" i="2"/>
  <c r="G231" i="2"/>
  <c r="E231" i="2"/>
  <c r="O191" i="2"/>
  <c r="N191" i="2"/>
  <c r="L191" i="2"/>
  <c r="O195" i="2"/>
  <c r="N195" i="2"/>
  <c r="L195" i="2"/>
  <c r="O199" i="2"/>
  <c r="N199" i="2"/>
  <c r="L199" i="2"/>
  <c r="O203" i="2"/>
  <c r="N203" i="2"/>
  <c r="L203" i="2"/>
  <c r="O207" i="2"/>
  <c r="N207" i="2"/>
  <c r="L207" i="2"/>
  <c r="O211" i="2"/>
  <c r="N211" i="2"/>
  <c r="L211" i="2"/>
  <c r="O215" i="2"/>
  <c r="N215" i="2"/>
  <c r="L215" i="2"/>
  <c r="O219" i="2"/>
  <c r="N219" i="2"/>
  <c r="L219" i="2"/>
  <c r="O223" i="2"/>
  <c r="N223" i="2"/>
  <c r="L223" i="2"/>
  <c r="O227" i="2"/>
  <c r="N227" i="2"/>
  <c r="L227" i="2"/>
  <c r="O231" i="2"/>
  <c r="N231" i="2"/>
  <c r="L231" i="2"/>
  <c r="O234" i="2"/>
  <c r="N234" i="2"/>
  <c r="L234" i="2"/>
  <c r="O246" i="2"/>
  <c r="N246" i="2"/>
  <c r="L246" i="2"/>
  <c r="O256" i="2"/>
  <c r="N256" i="2"/>
  <c r="L256" i="2"/>
  <c r="O265" i="2"/>
  <c r="N265" i="2"/>
  <c r="L265" i="2"/>
  <c r="H176" i="2"/>
  <c r="G176" i="2"/>
  <c r="E176" i="2"/>
  <c r="H179" i="2"/>
  <c r="G179" i="2"/>
  <c r="E179" i="2"/>
  <c r="H182" i="2"/>
  <c r="G182" i="2"/>
  <c r="E182" i="2"/>
  <c r="H185" i="2"/>
  <c r="G185" i="2"/>
  <c r="E185" i="2"/>
  <c r="H188" i="2"/>
  <c r="G188" i="2"/>
  <c r="E188" i="2"/>
  <c r="O244" i="2"/>
  <c r="N244" i="2"/>
  <c r="L244" i="2"/>
  <c r="O253" i="2"/>
  <c r="N253" i="2"/>
  <c r="L253" i="2"/>
  <c r="O259" i="2"/>
  <c r="N259" i="2"/>
  <c r="H336" i="2"/>
  <c r="E336" i="2"/>
  <c r="G336" i="2"/>
  <c r="H339" i="2"/>
  <c r="E339" i="2"/>
  <c r="G339" i="2"/>
  <c r="L159" i="2"/>
  <c r="L165" i="2"/>
  <c r="H174" i="2"/>
  <c r="G174" i="2"/>
  <c r="AH174" i="2" s="1"/>
  <c r="O176" i="2"/>
  <c r="N176" i="2"/>
  <c r="AI176" i="2" s="1"/>
  <c r="O179" i="2"/>
  <c r="N179" i="2"/>
  <c r="AI179" i="2" s="1"/>
  <c r="O182" i="2"/>
  <c r="N182" i="2"/>
  <c r="AI182" i="2" s="1"/>
  <c r="O185" i="2"/>
  <c r="N185" i="2"/>
  <c r="AI185" i="2" s="1"/>
  <c r="O188" i="2"/>
  <c r="N188" i="2"/>
  <c r="AI188" i="2" s="1"/>
  <c r="H192" i="2"/>
  <c r="G192" i="2"/>
  <c r="E192" i="2"/>
  <c r="H196" i="2"/>
  <c r="G196" i="2"/>
  <c r="E196" i="2"/>
  <c r="H200" i="2"/>
  <c r="G200" i="2"/>
  <c r="E200" i="2"/>
  <c r="H204" i="2"/>
  <c r="G204" i="2"/>
  <c r="E204" i="2"/>
  <c r="H208" i="2"/>
  <c r="G208" i="2"/>
  <c r="E208" i="2"/>
  <c r="H212" i="2"/>
  <c r="G212" i="2"/>
  <c r="E212" i="2"/>
  <c r="H216" i="2"/>
  <c r="G216" i="2"/>
  <c r="E216" i="2"/>
  <c r="H220" i="2"/>
  <c r="G220" i="2"/>
  <c r="E220" i="2"/>
  <c r="H224" i="2"/>
  <c r="G224" i="2"/>
  <c r="E224" i="2"/>
  <c r="H228" i="2"/>
  <c r="G228" i="2"/>
  <c r="E228" i="2"/>
  <c r="H232" i="2"/>
  <c r="G232" i="2"/>
  <c r="E232" i="2"/>
  <c r="O251" i="2"/>
  <c r="N251" i="2"/>
  <c r="L259" i="2"/>
  <c r="H269" i="2"/>
  <c r="G269" i="2"/>
  <c r="E269" i="2"/>
  <c r="N63" i="4"/>
  <c r="L63" i="4"/>
  <c r="O192" i="2"/>
  <c r="N192" i="2"/>
  <c r="L192" i="2"/>
  <c r="O196" i="2"/>
  <c r="N196" i="2"/>
  <c r="L196" i="2"/>
  <c r="O200" i="2"/>
  <c r="N200" i="2"/>
  <c r="L200" i="2"/>
  <c r="O204" i="2"/>
  <c r="N204" i="2"/>
  <c r="L204" i="2"/>
  <c r="O208" i="2"/>
  <c r="N208" i="2"/>
  <c r="L208" i="2"/>
  <c r="O212" i="2"/>
  <c r="N212" i="2"/>
  <c r="L212" i="2"/>
  <c r="O216" i="2"/>
  <c r="N216" i="2"/>
  <c r="L216" i="2"/>
  <c r="O220" i="2"/>
  <c r="N220" i="2"/>
  <c r="L220" i="2"/>
  <c r="O224" i="2"/>
  <c r="N224" i="2"/>
  <c r="L224" i="2"/>
  <c r="O228" i="2"/>
  <c r="N228" i="2"/>
  <c r="L228" i="2"/>
  <c r="O232" i="2"/>
  <c r="N232" i="2"/>
  <c r="L232" i="2"/>
  <c r="O242" i="2"/>
  <c r="N242" i="2"/>
  <c r="L242" i="2"/>
  <c r="L251" i="2"/>
  <c r="H309" i="2"/>
  <c r="E309" i="2"/>
  <c r="G309" i="2"/>
  <c r="O315" i="2"/>
  <c r="L315" i="2"/>
  <c r="N315" i="2"/>
  <c r="H322" i="2"/>
  <c r="E322" i="2"/>
  <c r="G322" i="2"/>
  <c r="O172" i="2"/>
  <c r="N172" i="2"/>
  <c r="O174" i="2"/>
  <c r="N174" i="2"/>
  <c r="O235" i="2"/>
  <c r="N235" i="2"/>
  <c r="L235" i="2"/>
  <c r="O249" i="2"/>
  <c r="N249" i="2"/>
  <c r="L249" i="2"/>
  <c r="O266" i="2"/>
  <c r="N266" i="2"/>
  <c r="L266" i="2"/>
  <c r="G45" i="4"/>
  <c r="E45" i="4"/>
  <c r="N158" i="2"/>
  <c r="AI158" i="2" s="1"/>
  <c r="AM158" i="2" s="1"/>
  <c r="N164" i="2"/>
  <c r="AI164" i="2" s="1"/>
  <c r="AM164" i="2" s="1"/>
  <c r="E168" i="2"/>
  <c r="AI170" i="2"/>
  <c r="AM170" i="2" s="1"/>
  <c r="L172" i="2"/>
  <c r="L174" i="2"/>
  <c r="H177" i="2"/>
  <c r="G177" i="2"/>
  <c r="E177" i="2"/>
  <c r="H180" i="2"/>
  <c r="G180" i="2"/>
  <c r="E180" i="2"/>
  <c r="H183" i="2"/>
  <c r="G183" i="2"/>
  <c r="E183" i="2"/>
  <c r="H186" i="2"/>
  <c r="G186" i="2"/>
  <c r="E186" i="2"/>
  <c r="H189" i="2"/>
  <c r="G189" i="2"/>
  <c r="E189" i="2"/>
  <c r="H193" i="2"/>
  <c r="G193" i="2"/>
  <c r="E193" i="2"/>
  <c r="H197" i="2"/>
  <c r="G197" i="2"/>
  <c r="E197" i="2"/>
  <c r="H201" i="2"/>
  <c r="G201" i="2"/>
  <c r="E201" i="2"/>
  <c r="H205" i="2"/>
  <c r="G205" i="2"/>
  <c r="E205" i="2"/>
  <c r="H209" i="2"/>
  <c r="G209" i="2"/>
  <c r="E209" i="2"/>
  <c r="H213" i="2"/>
  <c r="G213" i="2"/>
  <c r="E213" i="2"/>
  <c r="H217" i="2"/>
  <c r="G217" i="2"/>
  <c r="E217" i="2"/>
  <c r="H221" i="2"/>
  <c r="G221" i="2"/>
  <c r="E221" i="2"/>
  <c r="H225" i="2"/>
  <c r="G225" i="2"/>
  <c r="E225" i="2"/>
  <c r="H229" i="2"/>
  <c r="G229" i="2"/>
  <c r="E229" i="2"/>
  <c r="H233" i="2"/>
  <c r="G233" i="2"/>
  <c r="E233" i="2"/>
  <c r="O240" i="2"/>
  <c r="N240" i="2"/>
  <c r="L240" i="2"/>
  <c r="O247" i="2"/>
  <c r="N247" i="2"/>
  <c r="AI247" i="2" s="1"/>
  <c r="O254" i="2"/>
  <c r="N254" i="2"/>
  <c r="L254" i="2"/>
  <c r="O260" i="2"/>
  <c r="N260" i="2"/>
  <c r="L260" i="2"/>
  <c r="G168" i="2"/>
  <c r="O177" i="2"/>
  <c r="N177" i="2"/>
  <c r="O180" i="2"/>
  <c r="N180" i="2"/>
  <c r="O183" i="2"/>
  <c r="N183" i="2"/>
  <c r="O186" i="2"/>
  <c r="N186" i="2"/>
  <c r="O189" i="2"/>
  <c r="N189" i="2"/>
  <c r="L189" i="2"/>
  <c r="O193" i="2"/>
  <c r="N193" i="2"/>
  <c r="L193" i="2"/>
  <c r="O197" i="2"/>
  <c r="N197" i="2"/>
  <c r="L197" i="2"/>
  <c r="O201" i="2"/>
  <c r="N201" i="2"/>
  <c r="L201" i="2"/>
  <c r="O205" i="2"/>
  <c r="N205" i="2"/>
  <c r="L205" i="2"/>
  <c r="O209" i="2"/>
  <c r="N209" i="2"/>
  <c r="L209" i="2"/>
  <c r="O213" i="2"/>
  <c r="N213" i="2"/>
  <c r="L213" i="2"/>
  <c r="O217" i="2"/>
  <c r="N217" i="2"/>
  <c r="L217" i="2"/>
  <c r="O221" i="2"/>
  <c r="N221" i="2"/>
  <c r="L221" i="2"/>
  <c r="O225" i="2"/>
  <c r="N225" i="2"/>
  <c r="L225" i="2"/>
  <c r="O229" i="2"/>
  <c r="N229" i="2"/>
  <c r="L229" i="2"/>
  <c r="O233" i="2"/>
  <c r="N233" i="2"/>
  <c r="L233" i="2"/>
  <c r="H236" i="2"/>
  <c r="G236" i="2"/>
  <c r="E236" i="2"/>
  <c r="H243" i="2"/>
  <c r="G243" i="2"/>
  <c r="E243" i="2"/>
  <c r="AE247" i="2"/>
  <c r="H252" i="2"/>
  <c r="G252" i="2"/>
  <c r="E252" i="2"/>
  <c r="H267" i="2"/>
  <c r="G267" i="2"/>
  <c r="E267" i="2"/>
  <c r="E161" i="2"/>
  <c r="E167" i="2"/>
  <c r="E171" i="2"/>
  <c r="L177" i="2"/>
  <c r="L180" i="2"/>
  <c r="L183" i="2"/>
  <c r="L186" i="2"/>
  <c r="O236" i="2"/>
  <c r="N236" i="2"/>
  <c r="O238" i="2"/>
  <c r="N238" i="2"/>
  <c r="L238" i="2"/>
  <c r="O245" i="2"/>
  <c r="N245" i="2"/>
  <c r="L245" i="2"/>
  <c r="O252" i="2"/>
  <c r="N252" i="2"/>
  <c r="L252" i="2"/>
  <c r="H255" i="2"/>
  <c r="G255" i="2"/>
  <c r="E255" i="2"/>
  <c r="O264" i="2"/>
  <c r="N264" i="2"/>
  <c r="L264" i="2"/>
  <c r="H365" i="2"/>
  <c r="E365" i="2"/>
  <c r="G365" i="2"/>
  <c r="L156" i="2"/>
  <c r="G161" i="2"/>
  <c r="L162" i="2"/>
  <c r="G167" i="2"/>
  <c r="G171" i="2"/>
  <c r="H173" i="2"/>
  <c r="G173" i="2"/>
  <c r="H175" i="2"/>
  <c r="G175" i="2"/>
  <c r="AH175" i="2" s="1"/>
  <c r="H190" i="2"/>
  <c r="G190" i="2"/>
  <c r="E190" i="2"/>
  <c r="H194" i="2"/>
  <c r="G194" i="2"/>
  <c r="E194" i="2"/>
  <c r="H198" i="2"/>
  <c r="G198" i="2"/>
  <c r="E198" i="2"/>
  <c r="H202" i="2"/>
  <c r="G202" i="2"/>
  <c r="E202" i="2"/>
  <c r="H206" i="2"/>
  <c r="G206" i="2"/>
  <c r="E206" i="2"/>
  <c r="H210" i="2"/>
  <c r="G210" i="2"/>
  <c r="E210" i="2"/>
  <c r="H214" i="2"/>
  <c r="G214" i="2"/>
  <c r="E214" i="2"/>
  <c r="H218" i="2"/>
  <c r="G218" i="2"/>
  <c r="E218" i="2"/>
  <c r="H222" i="2"/>
  <c r="G222" i="2"/>
  <c r="E222" i="2"/>
  <c r="H226" i="2"/>
  <c r="G226" i="2"/>
  <c r="E226" i="2"/>
  <c r="H230" i="2"/>
  <c r="G230" i="2"/>
  <c r="E230" i="2"/>
  <c r="L236" i="2"/>
  <c r="AD250" i="2"/>
  <c r="O261" i="2"/>
  <c r="N261" i="2"/>
  <c r="L261" i="2"/>
  <c r="AE157" i="2"/>
  <c r="O171" i="2"/>
  <c r="N171" i="2"/>
  <c r="AH173" i="2"/>
  <c r="AL173" i="2" s="1"/>
  <c r="AD175" i="2"/>
  <c r="H178" i="2"/>
  <c r="G178" i="2"/>
  <c r="E178" i="2"/>
  <c r="H181" i="2"/>
  <c r="G181" i="2"/>
  <c r="E181" i="2"/>
  <c r="H184" i="2"/>
  <c r="G184" i="2"/>
  <c r="E184" i="2"/>
  <c r="H187" i="2"/>
  <c r="G187" i="2"/>
  <c r="E187" i="2"/>
  <c r="O190" i="2"/>
  <c r="N190" i="2"/>
  <c r="L190" i="2"/>
  <c r="O194" i="2"/>
  <c r="N194" i="2"/>
  <c r="L194" i="2"/>
  <c r="O198" i="2"/>
  <c r="N198" i="2"/>
  <c r="L198" i="2"/>
  <c r="O202" i="2"/>
  <c r="N202" i="2"/>
  <c r="L202" i="2"/>
  <c r="O206" i="2"/>
  <c r="N206" i="2"/>
  <c r="L206" i="2"/>
  <c r="O210" i="2"/>
  <c r="N210" i="2"/>
  <c r="L210" i="2"/>
  <c r="O214" i="2"/>
  <c r="N214" i="2"/>
  <c r="L214" i="2"/>
  <c r="O218" i="2"/>
  <c r="N218" i="2"/>
  <c r="L218" i="2"/>
  <c r="O222" i="2"/>
  <c r="N222" i="2"/>
  <c r="L222" i="2"/>
  <c r="O226" i="2"/>
  <c r="N226" i="2"/>
  <c r="L226" i="2"/>
  <c r="O230" i="2"/>
  <c r="N230" i="2"/>
  <c r="L230" i="2"/>
  <c r="O241" i="2"/>
  <c r="N241" i="2"/>
  <c r="H248" i="2"/>
  <c r="G248" i="2"/>
  <c r="E248" i="2"/>
  <c r="O250" i="2"/>
  <c r="N250" i="2"/>
  <c r="L250" i="2"/>
  <c r="O258" i="2"/>
  <c r="N258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61" i="2"/>
  <c r="L167" i="2"/>
  <c r="L171" i="2"/>
  <c r="O173" i="2"/>
  <c r="N173" i="2"/>
  <c r="AI173" i="2" s="1"/>
  <c r="O175" i="2"/>
  <c r="N175" i="2"/>
  <c r="AI175" i="2" s="1"/>
  <c r="O178" i="2"/>
  <c r="N178" i="2"/>
  <c r="AI178" i="2" s="1"/>
  <c r="O181" i="2"/>
  <c r="N181" i="2"/>
  <c r="AI181" i="2" s="1"/>
  <c r="O184" i="2"/>
  <c r="N184" i="2"/>
  <c r="AI184" i="2" s="1"/>
  <c r="O187" i="2"/>
  <c r="N187" i="2"/>
  <c r="AI187" i="2" s="1"/>
  <c r="L241" i="2"/>
  <c r="O248" i="2"/>
  <c r="N248" i="2"/>
  <c r="L248" i="2"/>
  <c r="L258" i="2"/>
  <c r="H271" i="2"/>
  <c r="G271" i="2"/>
  <c r="E271" i="2"/>
  <c r="H263" i="2"/>
  <c r="G263" i="2"/>
  <c r="E263" i="2"/>
  <c r="O268" i="2"/>
  <c r="N268" i="2"/>
  <c r="O270" i="2"/>
  <c r="N270" i="2"/>
  <c r="O272" i="2"/>
  <c r="N272" i="2"/>
  <c r="O274" i="2"/>
  <c r="N274" i="2"/>
  <c r="O276" i="2"/>
  <c r="N276" i="2"/>
  <c r="O278" i="2"/>
  <c r="N278" i="2"/>
  <c r="O280" i="2"/>
  <c r="N280" i="2"/>
  <c r="O282" i="2"/>
  <c r="N282" i="2"/>
  <c r="O284" i="2"/>
  <c r="N284" i="2"/>
  <c r="O286" i="2"/>
  <c r="N286" i="2"/>
  <c r="O288" i="2"/>
  <c r="N288" i="2"/>
  <c r="O290" i="2"/>
  <c r="L290" i="2"/>
  <c r="N290" i="2"/>
  <c r="H295" i="2"/>
  <c r="G295" i="2"/>
  <c r="E295" i="2"/>
  <c r="H300" i="2"/>
  <c r="G300" i="2"/>
  <c r="E300" i="2"/>
  <c r="H306" i="2"/>
  <c r="E306" i="2"/>
  <c r="G306" i="2"/>
  <c r="O312" i="2"/>
  <c r="L312" i="2"/>
  <c r="N312" i="2"/>
  <c r="H319" i="2"/>
  <c r="E319" i="2"/>
  <c r="G319" i="2"/>
  <c r="H329" i="2"/>
  <c r="E329" i="2"/>
  <c r="G329" i="2"/>
  <c r="H334" i="2"/>
  <c r="E334" i="2"/>
  <c r="G334" i="2"/>
  <c r="O349" i="2"/>
  <c r="L349" i="2"/>
  <c r="N349" i="2"/>
  <c r="H352" i="2"/>
  <c r="E352" i="2"/>
  <c r="G352" i="2"/>
  <c r="N9" i="4"/>
  <c r="L9" i="4"/>
  <c r="G18" i="4"/>
  <c r="E18" i="4"/>
  <c r="E235" i="2"/>
  <c r="AD240" i="2"/>
  <c r="H245" i="2"/>
  <c r="G245" i="2"/>
  <c r="AH245" i="2" s="1"/>
  <c r="H249" i="2"/>
  <c r="G249" i="2"/>
  <c r="AH249" i="2" s="1"/>
  <c r="AL249" i="2" s="1"/>
  <c r="H253" i="2"/>
  <c r="G253" i="2"/>
  <c r="H258" i="2"/>
  <c r="G258" i="2"/>
  <c r="E258" i="2"/>
  <c r="L268" i="2"/>
  <c r="L270" i="2"/>
  <c r="L272" i="2"/>
  <c r="L274" i="2"/>
  <c r="L276" i="2"/>
  <c r="L278" i="2"/>
  <c r="L280" i="2"/>
  <c r="L282" i="2"/>
  <c r="L284" i="2"/>
  <c r="L286" i="2"/>
  <c r="L288" i="2"/>
  <c r="O297" i="2"/>
  <c r="L297" i="2"/>
  <c r="N297" i="2"/>
  <c r="O300" i="2"/>
  <c r="L300" i="2"/>
  <c r="N300" i="2"/>
  <c r="O309" i="2"/>
  <c r="L309" i="2"/>
  <c r="N309" i="2"/>
  <c r="H316" i="2"/>
  <c r="E316" i="2"/>
  <c r="G316" i="2"/>
  <c r="H326" i="2"/>
  <c r="E326" i="2"/>
  <c r="G326" i="2"/>
  <c r="O336" i="2"/>
  <c r="L336" i="2"/>
  <c r="N336" i="2"/>
  <c r="G235" i="2"/>
  <c r="O237" i="2"/>
  <c r="N237" i="2"/>
  <c r="AH253" i="2"/>
  <c r="AD253" i="2"/>
  <c r="O263" i="2"/>
  <c r="N263" i="2"/>
  <c r="H265" i="2"/>
  <c r="G265" i="2"/>
  <c r="E265" i="2"/>
  <c r="H293" i="2"/>
  <c r="G293" i="2"/>
  <c r="O295" i="2"/>
  <c r="L295" i="2"/>
  <c r="H298" i="2"/>
  <c r="G298" i="2"/>
  <c r="E298" i="2"/>
  <c r="O306" i="2"/>
  <c r="L306" i="2"/>
  <c r="N306" i="2"/>
  <c r="H313" i="2"/>
  <c r="E313" i="2"/>
  <c r="G313" i="2"/>
  <c r="H323" i="2"/>
  <c r="E323" i="2"/>
  <c r="G323" i="2"/>
  <c r="H337" i="2"/>
  <c r="E337" i="2"/>
  <c r="G337" i="2"/>
  <c r="H360" i="2"/>
  <c r="E360" i="2"/>
  <c r="G360" i="2"/>
  <c r="H363" i="2"/>
  <c r="E363" i="2"/>
  <c r="L237" i="2"/>
  <c r="H260" i="2"/>
  <c r="G260" i="2"/>
  <c r="E260" i="2"/>
  <c r="L263" i="2"/>
  <c r="E293" i="2"/>
  <c r="N295" i="2"/>
  <c r="H301" i="2"/>
  <c r="G301" i="2"/>
  <c r="E301" i="2"/>
  <c r="O303" i="2"/>
  <c r="L303" i="2"/>
  <c r="N303" i="2"/>
  <c r="H310" i="2"/>
  <c r="E310" i="2"/>
  <c r="G310" i="2"/>
  <c r="H320" i="2"/>
  <c r="E320" i="2"/>
  <c r="G320" i="2"/>
  <c r="G363" i="2"/>
  <c r="H273" i="2"/>
  <c r="G273" i="2"/>
  <c r="E273" i="2"/>
  <c r="H275" i="2"/>
  <c r="G275" i="2"/>
  <c r="E275" i="2"/>
  <c r="H277" i="2"/>
  <c r="G277" i="2"/>
  <c r="E277" i="2"/>
  <c r="H279" i="2"/>
  <c r="G279" i="2"/>
  <c r="E279" i="2"/>
  <c r="H281" i="2"/>
  <c r="G281" i="2"/>
  <c r="E281" i="2"/>
  <c r="H283" i="2"/>
  <c r="G283" i="2"/>
  <c r="E283" i="2"/>
  <c r="H285" i="2"/>
  <c r="G285" i="2"/>
  <c r="E285" i="2"/>
  <c r="H287" i="2"/>
  <c r="G287" i="2"/>
  <c r="E287" i="2"/>
  <c r="H289" i="2"/>
  <c r="G289" i="2"/>
  <c r="E289" i="2"/>
  <c r="H291" i="2"/>
  <c r="G291" i="2"/>
  <c r="E291" i="2"/>
  <c r="H307" i="2"/>
  <c r="E307" i="2"/>
  <c r="G307" i="2"/>
  <c r="H317" i="2"/>
  <c r="E317" i="2"/>
  <c r="G317" i="2"/>
  <c r="O337" i="2"/>
  <c r="L337" i="2"/>
  <c r="N337" i="2"/>
  <c r="H340" i="2"/>
  <c r="E340" i="2"/>
  <c r="G340" i="2"/>
  <c r="H345" i="2"/>
  <c r="E345" i="2"/>
  <c r="G345" i="2"/>
  <c r="H353" i="2"/>
  <c r="E353" i="2"/>
  <c r="G353" i="2"/>
  <c r="H358" i="2"/>
  <c r="E358" i="2"/>
  <c r="G358" i="2"/>
  <c r="G244" i="2"/>
  <c r="AH244" i="2" s="1"/>
  <c r="AL244" i="2" s="1"/>
  <c r="H262" i="2"/>
  <c r="G262" i="2"/>
  <c r="E262" i="2"/>
  <c r="O293" i="2"/>
  <c r="L293" i="2"/>
  <c r="N293" i="2"/>
  <c r="H304" i="2"/>
  <c r="E304" i="2"/>
  <c r="G304" i="2"/>
  <c r="H314" i="2"/>
  <c r="E314" i="2"/>
  <c r="G314" i="2"/>
  <c r="H327" i="2"/>
  <c r="E327" i="2"/>
  <c r="G327" i="2"/>
  <c r="H361" i="2"/>
  <c r="E361" i="2"/>
  <c r="G361" i="2"/>
  <c r="O255" i="2"/>
  <c r="N255" i="2"/>
  <c r="H257" i="2"/>
  <c r="G257" i="2"/>
  <c r="E257" i="2"/>
  <c r="O267" i="2"/>
  <c r="N267" i="2"/>
  <c r="O269" i="2"/>
  <c r="N269" i="2"/>
  <c r="O271" i="2"/>
  <c r="N271" i="2"/>
  <c r="O273" i="2"/>
  <c r="N273" i="2"/>
  <c r="O275" i="2"/>
  <c r="N275" i="2"/>
  <c r="O277" i="2"/>
  <c r="N277" i="2"/>
  <c r="O279" i="2"/>
  <c r="N279" i="2"/>
  <c r="O281" i="2"/>
  <c r="N281" i="2"/>
  <c r="O283" i="2"/>
  <c r="N283" i="2"/>
  <c r="O285" i="2"/>
  <c r="N285" i="2"/>
  <c r="O287" i="2"/>
  <c r="N287" i="2"/>
  <c r="O289" i="2"/>
  <c r="L289" i="2"/>
  <c r="O291" i="2"/>
  <c r="L291" i="2"/>
  <c r="N291" i="2"/>
  <c r="H311" i="2"/>
  <c r="E311" i="2"/>
  <c r="G311" i="2"/>
  <c r="H324" i="2"/>
  <c r="E324" i="2"/>
  <c r="G324" i="2"/>
  <c r="G25" i="4"/>
  <c r="E25" i="4"/>
  <c r="E241" i="2"/>
  <c r="H247" i="2"/>
  <c r="G247" i="2"/>
  <c r="AH247" i="2" s="1"/>
  <c r="AL247" i="2" s="1"/>
  <c r="H251" i="2"/>
  <c r="G251" i="2"/>
  <c r="AH251" i="2" s="1"/>
  <c r="L255" i="2"/>
  <c r="H264" i="2"/>
  <c r="G264" i="2"/>
  <c r="E264" i="2"/>
  <c r="L267" i="2"/>
  <c r="L269" i="2"/>
  <c r="L271" i="2"/>
  <c r="L273" i="2"/>
  <c r="L275" i="2"/>
  <c r="L277" i="2"/>
  <c r="L279" i="2"/>
  <c r="L281" i="2"/>
  <c r="L283" i="2"/>
  <c r="L285" i="2"/>
  <c r="L287" i="2"/>
  <c r="N289" i="2"/>
  <c r="H294" i="2"/>
  <c r="E294" i="2"/>
  <c r="H308" i="2"/>
  <c r="E308" i="2"/>
  <c r="G308" i="2"/>
  <c r="H321" i="2"/>
  <c r="E321" i="2"/>
  <c r="G321" i="2"/>
  <c r="O327" i="2"/>
  <c r="L327" i="2"/>
  <c r="N327" i="2"/>
  <c r="H348" i="2"/>
  <c r="E348" i="2"/>
  <c r="G348" i="2"/>
  <c r="H351" i="2"/>
  <c r="E351" i="2"/>
  <c r="O361" i="2"/>
  <c r="L361" i="2"/>
  <c r="N361" i="2"/>
  <c r="H364" i="2"/>
  <c r="E364" i="2"/>
  <c r="G364" i="2"/>
  <c r="AD12" i="4"/>
  <c r="G241" i="2"/>
  <c r="O243" i="2"/>
  <c r="N243" i="2"/>
  <c r="O257" i="2"/>
  <c r="N257" i="2"/>
  <c r="H259" i="2"/>
  <c r="G259" i="2"/>
  <c r="E259" i="2"/>
  <c r="H292" i="2"/>
  <c r="E292" i="2"/>
  <c r="O296" i="2"/>
  <c r="L296" i="2"/>
  <c r="N296" i="2"/>
  <c r="H305" i="2"/>
  <c r="E305" i="2"/>
  <c r="G305" i="2"/>
  <c r="H318" i="2"/>
  <c r="E318" i="2"/>
  <c r="G318" i="2"/>
  <c r="O324" i="2"/>
  <c r="L324" i="2"/>
  <c r="N324" i="2"/>
  <c r="H333" i="2"/>
  <c r="E333" i="2"/>
  <c r="G333" i="2"/>
  <c r="H341" i="2"/>
  <c r="E341" i="2"/>
  <c r="G341" i="2"/>
  <c r="H346" i="2"/>
  <c r="E346" i="2"/>
  <c r="G346" i="2"/>
  <c r="G351" i="2"/>
  <c r="G35" i="4"/>
  <c r="E35" i="4"/>
  <c r="E239" i="2"/>
  <c r="G240" i="2"/>
  <c r="L243" i="2"/>
  <c r="H254" i="2"/>
  <c r="G254" i="2"/>
  <c r="E254" i="2"/>
  <c r="L257" i="2"/>
  <c r="H266" i="2"/>
  <c r="G266" i="2"/>
  <c r="E266" i="2"/>
  <c r="G292" i="2"/>
  <c r="O294" i="2"/>
  <c r="L294" i="2"/>
  <c r="N294" i="2"/>
  <c r="H315" i="2"/>
  <c r="E315" i="2"/>
  <c r="G315" i="2"/>
  <c r="O321" i="2"/>
  <c r="L321" i="2"/>
  <c r="N321" i="2"/>
  <c r="H328" i="2"/>
  <c r="E328" i="2"/>
  <c r="G328" i="2"/>
  <c r="O348" i="2"/>
  <c r="L348" i="2"/>
  <c r="N348" i="2"/>
  <c r="L68" i="4"/>
  <c r="N68" i="4"/>
  <c r="E238" i="2"/>
  <c r="G239" i="2"/>
  <c r="H246" i="2"/>
  <c r="G246" i="2"/>
  <c r="AH246" i="2" s="1"/>
  <c r="H250" i="2"/>
  <c r="G250" i="2"/>
  <c r="AH250" i="2" s="1"/>
  <c r="H261" i="2"/>
  <c r="G261" i="2"/>
  <c r="E261" i="2"/>
  <c r="H268" i="2"/>
  <c r="G268" i="2"/>
  <c r="E268" i="2"/>
  <c r="H270" i="2"/>
  <c r="G270" i="2"/>
  <c r="E270" i="2"/>
  <c r="H272" i="2"/>
  <c r="G272" i="2"/>
  <c r="E272" i="2"/>
  <c r="H274" i="2"/>
  <c r="G274" i="2"/>
  <c r="E274" i="2"/>
  <c r="H276" i="2"/>
  <c r="G276" i="2"/>
  <c r="E276" i="2"/>
  <c r="H278" i="2"/>
  <c r="G278" i="2"/>
  <c r="E278" i="2"/>
  <c r="H280" i="2"/>
  <c r="G280" i="2"/>
  <c r="E280" i="2"/>
  <c r="H282" i="2"/>
  <c r="G282" i="2"/>
  <c r="E282" i="2"/>
  <c r="H284" i="2"/>
  <c r="G284" i="2"/>
  <c r="E284" i="2"/>
  <c r="H286" i="2"/>
  <c r="G286" i="2"/>
  <c r="E286" i="2"/>
  <c r="H288" i="2"/>
  <c r="G288" i="2"/>
  <c r="E288" i="2"/>
  <c r="O302" i="2"/>
  <c r="L302" i="2"/>
  <c r="N302" i="2"/>
  <c r="H312" i="2"/>
  <c r="E312" i="2"/>
  <c r="G312" i="2"/>
  <c r="O318" i="2"/>
  <c r="L318" i="2"/>
  <c r="N318" i="2"/>
  <c r="H325" i="2"/>
  <c r="E325" i="2"/>
  <c r="G325" i="2"/>
  <c r="H349" i="2"/>
  <c r="E349" i="2"/>
  <c r="G349" i="2"/>
  <c r="L48" i="4"/>
  <c r="N48" i="4"/>
  <c r="O332" i="2"/>
  <c r="L332" i="2"/>
  <c r="O344" i="2"/>
  <c r="L344" i="2"/>
  <c r="O356" i="2"/>
  <c r="L356" i="2"/>
  <c r="G4" i="4"/>
  <c r="N28" i="4"/>
  <c r="L28" i="4"/>
  <c r="G32" i="4"/>
  <c r="E32" i="4"/>
  <c r="N40" i="4"/>
  <c r="L40" i="4"/>
  <c r="N50" i="4"/>
  <c r="L50" i="4"/>
  <c r="N70" i="4"/>
  <c r="L70" i="4"/>
  <c r="G72" i="4"/>
  <c r="E72" i="4"/>
  <c r="E75" i="4"/>
  <c r="G75" i="4"/>
  <c r="E83" i="4"/>
  <c r="G83" i="4"/>
  <c r="E94" i="4"/>
  <c r="G94" i="4"/>
  <c r="G186" i="4"/>
  <c r="E186" i="4"/>
  <c r="N332" i="2"/>
  <c r="O339" i="2"/>
  <c r="L339" i="2"/>
  <c r="N344" i="2"/>
  <c r="O351" i="2"/>
  <c r="L351" i="2"/>
  <c r="N356" i="2"/>
  <c r="O363" i="2"/>
  <c r="L363" i="2"/>
  <c r="O367" i="2"/>
  <c r="L367" i="2"/>
  <c r="E4" i="4"/>
  <c r="E7" i="4"/>
  <c r="E8" i="4"/>
  <c r="N18" i="4"/>
  <c r="L18" i="4"/>
  <c r="G20" i="4"/>
  <c r="E20" i="4"/>
  <c r="N25" i="4"/>
  <c r="L25" i="4"/>
  <c r="G30" i="4"/>
  <c r="E30" i="4"/>
  <c r="N45" i="4"/>
  <c r="L45" i="4"/>
  <c r="G55" i="4"/>
  <c r="E55" i="4"/>
  <c r="E60" i="4"/>
  <c r="H331" i="2"/>
  <c r="E331" i="2"/>
  <c r="O334" i="2"/>
  <c r="L334" i="2"/>
  <c r="H343" i="2"/>
  <c r="E343" i="2"/>
  <c r="O346" i="2"/>
  <c r="L346" i="2"/>
  <c r="H355" i="2"/>
  <c r="E355" i="2"/>
  <c r="O358" i="2"/>
  <c r="L358" i="2"/>
  <c r="O365" i="2"/>
  <c r="L365" i="2"/>
  <c r="N4" i="4"/>
  <c r="L4" i="4"/>
  <c r="E11" i="4"/>
  <c r="N15" i="4"/>
  <c r="L15" i="4"/>
  <c r="N30" i="4"/>
  <c r="L30" i="4"/>
  <c r="N32" i="4"/>
  <c r="L32" i="4"/>
  <c r="N52" i="4"/>
  <c r="AI52" i="4" s="1"/>
  <c r="AM52" i="4" s="1"/>
  <c r="L55" i="4"/>
  <c r="G57" i="4"/>
  <c r="E57" i="4"/>
  <c r="G60" i="4"/>
  <c r="G67" i="4"/>
  <c r="E67" i="4"/>
  <c r="G85" i="4"/>
  <c r="E85" i="4"/>
  <c r="G104" i="4"/>
  <c r="E104" i="4"/>
  <c r="O301" i="2"/>
  <c r="L301" i="2"/>
  <c r="O305" i="2"/>
  <c r="L305" i="2"/>
  <c r="O308" i="2"/>
  <c r="L308" i="2"/>
  <c r="O311" i="2"/>
  <c r="L311" i="2"/>
  <c r="O314" i="2"/>
  <c r="L314" i="2"/>
  <c r="O317" i="2"/>
  <c r="L317" i="2"/>
  <c r="O320" i="2"/>
  <c r="L320" i="2"/>
  <c r="O323" i="2"/>
  <c r="L323" i="2"/>
  <c r="O326" i="2"/>
  <c r="L326" i="2"/>
  <c r="O329" i="2"/>
  <c r="L329" i="2"/>
  <c r="H338" i="2"/>
  <c r="E338" i="2"/>
  <c r="O341" i="2"/>
  <c r="L341" i="2"/>
  <c r="H350" i="2"/>
  <c r="E350" i="2"/>
  <c r="O353" i="2"/>
  <c r="L353" i="2"/>
  <c r="H362" i="2"/>
  <c r="E362" i="2"/>
  <c r="E3" i="4"/>
  <c r="N8" i="4"/>
  <c r="L8" i="4"/>
  <c r="G14" i="4"/>
  <c r="E14" i="4"/>
  <c r="N20" i="4"/>
  <c r="L20" i="4"/>
  <c r="N27" i="4"/>
  <c r="G37" i="4"/>
  <c r="E37" i="4"/>
  <c r="G39" i="4"/>
  <c r="E39" i="4"/>
  <c r="AE52" i="4"/>
  <c r="N57" i="4"/>
  <c r="AI57" i="4" s="1"/>
  <c r="AM57" i="4" s="1"/>
  <c r="N60" i="4"/>
  <c r="L60" i="4"/>
  <c r="G64" i="4"/>
  <c r="E64" i="4"/>
  <c r="H357" i="2"/>
  <c r="E357" i="2"/>
  <c r="O360" i="2"/>
  <c r="L360" i="2"/>
  <c r="L7" i="4"/>
  <c r="G10" i="4"/>
  <c r="N14" i="4"/>
  <c r="G22" i="4"/>
  <c r="E22" i="4"/>
  <c r="N34" i="4"/>
  <c r="N37" i="4"/>
  <c r="L37" i="4"/>
  <c r="N39" i="4"/>
  <c r="N42" i="4"/>
  <c r="L42" i="4"/>
  <c r="AE57" i="4"/>
  <c r="N77" i="4"/>
  <c r="L77" i="4"/>
  <c r="G79" i="4"/>
  <c r="E79" i="4"/>
  <c r="G299" i="2"/>
  <c r="AH299" i="2" s="1"/>
  <c r="AL299" i="2" s="1"/>
  <c r="O331" i="2"/>
  <c r="L331" i="2"/>
  <c r="O343" i="2"/>
  <c r="L343" i="2"/>
  <c r="O355" i="2"/>
  <c r="L355" i="2"/>
  <c r="G357" i="2"/>
  <c r="N360" i="2"/>
  <c r="H366" i="2"/>
  <c r="E366" i="2"/>
  <c r="N7" i="4"/>
  <c r="E10" i="4"/>
  <c r="N11" i="4"/>
  <c r="L11" i="4"/>
  <c r="L14" i="4"/>
  <c r="N22" i="4"/>
  <c r="L22" i="4"/>
  <c r="L34" i="4"/>
  <c r="L39" i="4"/>
  <c r="G44" i="4"/>
  <c r="E44" i="4"/>
  <c r="G49" i="4"/>
  <c r="E49" i="4"/>
  <c r="G51" i="4"/>
  <c r="AH51" i="4" s="1"/>
  <c r="AL51" i="4" s="1"/>
  <c r="N62" i="4"/>
  <c r="L62" i="4"/>
  <c r="L69" i="4"/>
  <c r="G71" i="4"/>
  <c r="N129" i="4"/>
  <c r="L129" i="4"/>
  <c r="H335" i="2"/>
  <c r="E335" i="2"/>
  <c r="O338" i="2"/>
  <c r="L338" i="2"/>
  <c r="H347" i="2"/>
  <c r="E347" i="2"/>
  <c r="O350" i="2"/>
  <c r="L350" i="2"/>
  <c r="H359" i="2"/>
  <c r="E359" i="2"/>
  <c r="O362" i="2"/>
  <c r="L362" i="2"/>
  <c r="L3" i="4"/>
  <c r="G16" i="4"/>
  <c r="G19" i="4"/>
  <c r="AH19" i="4" s="1"/>
  <c r="AL19" i="4" s="1"/>
  <c r="G24" i="4"/>
  <c r="E24" i="4"/>
  <c r="G26" i="4"/>
  <c r="G29" i="4"/>
  <c r="E29" i="4"/>
  <c r="N44" i="4"/>
  <c r="L44" i="4"/>
  <c r="N49" i="4"/>
  <c r="L49" i="4"/>
  <c r="AD51" i="4"/>
  <c r="G54" i="4"/>
  <c r="E54" i="4"/>
  <c r="E66" i="4"/>
  <c r="G66" i="4"/>
  <c r="AD71" i="4"/>
  <c r="G84" i="4"/>
  <c r="E84" i="4"/>
  <c r="E93" i="4"/>
  <c r="G93" i="4"/>
  <c r="O299" i="2"/>
  <c r="L299" i="2"/>
  <c r="O304" i="2"/>
  <c r="L304" i="2"/>
  <c r="O307" i="2"/>
  <c r="L307" i="2"/>
  <c r="O310" i="2"/>
  <c r="L310" i="2"/>
  <c r="O313" i="2"/>
  <c r="L313" i="2"/>
  <c r="O316" i="2"/>
  <c r="L316" i="2"/>
  <c r="O319" i="2"/>
  <c r="L319" i="2"/>
  <c r="O322" i="2"/>
  <c r="L322" i="2"/>
  <c r="O325" i="2"/>
  <c r="L325" i="2"/>
  <c r="O328" i="2"/>
  <c r="L328" i="2"/>
  <c r="H330" i="2"/>
  <c r="E330" i="2"/>
  <c r="O333" i="2"/>
  <c r="L333" i="2"/>
  <c r="H342" i="2"/>
  <c r="E342" i="2"/>
  <c r="O345" i="2"/>
  <c r="L345" i="2"/>
  <c r="H354" i="2"/>
  <c r="E354" i="2"/>
  <c r="O357" i="2"/>
  <c r="L357" i="2"/>
  <c r="L10" i="4"/>
  <c r="N17" i="4"/>
  <c r="L17" i="4"/>
  <c r="G21" i="4"/>
  <c r="N24" i="4"/>
  <c r="L24" i="4"/>
  <c r="E26" i="4"/>
  <c r="N29" i="4"/>
  <c r="L29" i="4"/>
  <c r="G31" i="4"/>
  <c r="E31" i="4"/>
  <c r="G33" i="4"/>
  <c r="N41" i="4"/>
  <c r="G46" i="4"/>
  <c r="E46" i="4"/>
  <c r="N51" i="4"/>
  <c r="L51" i="4"/>
  <c r="N54" i="4"/>
  <c r="L54" i="4"/>
  <c r="L71" i="4"/>
  <c r="N71" i="4"/>
  <c r="E297" i="2"/>
  <c r="N299" i="2"/>
  <c r="E303" i="2"/>
  <c r="N304" i="2"/>
  <c r="N307" i="2"/>
  <c r="N310" i="2"/>
  <c r="N313" i="2"/>
  <c r="N316" i="2"/>
  <c r="N319" i="2"/>
  <c r="N322" i="2"/>
  <c r="N325" i="2"/>
  <c r="N328" i="2"/>
  <c r="G330" i="2"/>
  <c r="N333" i="2"/>
  <c r="O340" i="2"/>
  <c r="L340" i="2"/>
  <c r="G342" i="2"/>
  <c r="N345" i="2"/>
  <c r="O352" i="2"/>
  <c r="L352" i="2"/>
  <c r="G354" i="2"/>
  <c r="N357" i="2"/>
  <c r="O364" i="2"/>
  <c r="L364" i="2"/>
  <c r="O366" i="2"/>
  <c r="L366" i="2"/>
  <c r="N6" i="4"/>
  <c r="AI6" i="4" s="1"/>
  <c r="AM6" i="4" s="1"/>
  <c r="N10" i="4"/>
  <c r="G13" i="4"/>
  <c r="E13" i="4"/>
  <c r="N19" i="4"/>
  <c r="L19" i="4"/>
  <c r="E21" i="4"/>
  <c r="N26" i="4"/>
  <c r="L26" i="4"/>
  <c r="N31" i="4"/>
  <c r="L31" i="4"/>
  <c r="E33" i="4"/>
  <c r="G36" i="4"/>
  <c r="E36" i="4"/>
  <c r="L41" i="4"/>
  <c r="G43" i="4"/>
  <c r="E43" i="4"/>
  <c r="N46" i="4"/>
  <c r="G56" i="4"/>
  <c r="E56" i="4"/>
  <c r="N59" i="4"/>
  <c r="E73" i="4"/>
  <c r="G73" i="4"/>
  <c r="G89" i="4"/>
  <c r="E89" i="4"/>
  <c r="G95" i="4"/>
  <c r="E95" i="4"/>
  <c r="O292" i="2"/>
  <c r="L292" i="2"/>
  <c r="G297" i="2"/>
  <c r="O298" i="2"/>
  <c r="L298" i="2"/>
  <c r="G303" i="2"/>
  <c r="H332" i="2"/>
  <c r="E332" i="2"/>
  <c r="O335" i="2"/>
  <c r="L335" i="2"/>
  <c r="H344" i="2"/>
  <c r="E344" i="2"/>
  <c r="O347" i="2"/>
  <c r="L347" i="2"/>
  <c r="H356" i="2"/>
  <c r="E356" i="2"/>
  <c r="O359" i="2"/>
  <c r="L359" i="2"/>
  <c r="G5" i="4"/>
  <c r="E5" i="4"/>
  <c r="AE6" i="4"/>
  <c r="G9" i="4"/>
  <c r="E9" i="4"/>
  <c r="N13" i="4"/>
  <c r="L13" i="4"/>
  <c r="N33" i="4"/>
  <c r="L33" i="4"/>
  <c r="N36" i="4"/>
  <c r="L36" i="4"/>
  <c r="G38" i="4"/>
  <c r="E38" i="4"/>
  <c r="G53" i="4"/>
  <c r="N56" i="4"/>
  <c r="L56" i="4"/>
  <c r="G61" i="4"/>
  <c r="E61" i="4"/>
  <c r="G63" i="4"/>
  <c r="E63" i="4"/>
  <c r="G78" i="4"/>
  <c r="E78" i="4"/>
  <c r="N95" i="4"/>
  <c r="L95" i="4"/>
  <c r="N103" i="4"/>
  <c r="L103" i="4"/>
  <c r="E290" i="2"/>
  <c r="N292" i="2"/>
  <c r="E296" i="2"/>
  <c r="N298" i="2"/>
  <c r="E302" i="2"/>
  <c r="O330" i="2"/>
  <c r="L330" i="2"/>
  <c r="G332" i="2"/>
  <c r="N335" i="2"/>
  <c r="O342" i="2"/>
  <c r="L342" i="2"/>
  <c r="G344" i="2"/>
  <c r="N347" i="2"/>
  <c r="O354" i="2"/>
  <c r="L354" i="2"/>
  <c r="G356" i="2"/>
  <c r="N359" i="2"/>
  <c r="H367" i="2"/>
  <c r="E367" i="2"/>
  <c r="N5" i="4"/>
  <c r="G12" i="4"/>
  <c r="AH12" i="4" s="1"/>
  <c r="AL12" i="4" s="1"/>
  <c r="G23" i="4"/>
  <c r="E23" i="4"/>
  <c r="N38" i="4"/>
  <c r="L38" i="4"/>
  <c r="G40" i="4"/>
  <c r="N43" i="4"/>
  <c r="L43" i="4"/>
  <c r="G48" i="4"/>
  <c r="E48" i="4"/>
  <c r="G50" i="4"/>
  <c r="E50" i="4"/>
  <c r="E53" i="4"/>
  <c r="N61" i="4"/>
  <c r="L61" i="4"/>
  <c r="G76" i="4"/>
  <c r="E77" i="4"/>
  <c r="G87" i="4"/>
  <c r="E88" i="4"/>
  <c r="E91" i="4"/>
  <c r="N97" i="4"/>
  <c r="G131" i="4"/>
  <c r="E131" i="4"/>
  <c r="L64" i="4"/>
  <c r="E65" i="4"/>
  <c r="E74" i="4"/>
  <c r="E76" i="4"/>
  <c r="G77" i="4"/>
  <c r="E80" i="4"/>
  <c r="E81" i="4"/>
  <c r="E86" i="4"/>
  <c r="E87" i="4"/>
  <c r="G88" i="4"/>
  <c r="G90" i="4"/>
  <c r="G91" i="4"/>
  <c r="N96" i="4"/>
  <c r="L97" i="4"/>
  <c r="G105" i="4"/>
  <c r="E105" i="4"/>
  <c r="N109" i="4"/>
  <c r="L109" i="4"/>
  <c r="G112" i="4"/>
  <c r="E112" i="4"/>
  <c r="N114" i="4"/>
  <c r="L114" i="4"/>
  <c r="G116" i="4"/>
  <c r="E116" i="4"/>
  <c r="G119" i="4"/>
  <c r="E119" i="4"/>
  <c r="G126" i="4"/>
  <c r="E126" i="4"/>
  <c r="N64" i="4"/>
  <c r="G65" i="4"/>
  <c r="AD68" i="4"/>
  <c r="G74" i="4"/>
  <c r="G81" i="4"/>
  <c r="E82" i="4"/>
  <c r="G86" i="4"/>
  <c r="E90" i="4"/>
  <c r="L96" i="4"/>
  <c r="G100" i="4"/>
  <c r="N101" i="4"/>
  <c r="N116" i="4"/>
  <c r="L116" i="4"/>
  <c r="N123" i="4"/>
  <c r="L123" i="4"/>
  <c r="G128" i="4"/>
  <c r="E128" i="4"/>
  <c r="G134" i="4"/>
  <c r="E134" i="4"/>
  <c r="G137" i="4"/>
  <c r="E137" i="4"/>
  <c r="E15" i="4"/>
  <c r="L21" i="4"/>
  <c r="L35" i="4"/>
  <c r="E47" i="4"/>
  <c r="L53" i="4"/>
  <c r="E58" i="4"/>
  <c r="L73" i="4"/>
  <c r="N75" i="4"/>
  <c r="L76" i="4"/>
  <c r="N78" i="4"/>
  <c r="AI78" i="4" s="1"/>
  <c r="AM78" i="4" s="1"/>
  <c r="L79" i="4"/>
  <c r="G82" i="4"/>
  <c r="L84" i="4"/>
  <c r="N88" i="4"/>
  <c r="AI88" i="4" s="1"/>
  <c r="AM88" i="4" s="1"/>
  <c r="L89" i="4"/>
  <c r="N90" i="4"/>
  <c r="N93" i="4"/>
  <c r="N94" i="4"/>
  <c r="L94" i="4"/>
  <c r="E100" i="4"/>
  <c r="L101" i="4"/>
  <c r="N105" i="4"/>
  <c r="L105" i="4"/>
  <c r="AE131" i="4"/>
  <c r="N134" i="4"/>
  <c r="L134" i="4"/>
  <c r="L137" i="4"/>
  <c r="N137" i="4"/>
  <c r="L81" i="4"/>
  <c r="N82" i="4"/>
  <c r="L83" i="4"/>
  <c r="L86" i="4"/>
  <c r="G108" i="4"/>
  <c r="E108" i="4"/>
  <c r="N128" i="4"/>
  <c r="L128" i="4"/>
  <c r="L162" i="4"/>
  <c r="N162" i="4"/>
  <c r="N197" i="4"/>
  <c r="L197" i="4"/>
  <c r="E62" i="4"/>
  <c r="N65" i="4"/>
  <c r="L66" i="4"/>
  <c r="N74" i="4"/>
  <c r="AI74" i="4" s="1"/>
  <c r="AM74" i="4" s="1"/>
  <c r="L80" i="4"/>
  <c r="N81" i="4"/>
  <c r="L82" i="4"/>
  <c r="N83" i="4"/>
  <c r="N86" i="4"/>
  <c r="N91" i="4"/>
  <c r="L92" i="4"/>
  <c r="N100" i="4"/>
  <c r="L100" i="4"/>
  <c r="AJ105" i="4"/>
  <c r="AN105" i="4" s="1"/>
  <c r="N108" i="4"/>
  <c r="L108" i="4"/>
  <c r="G110" i="4"/>
  <c r="G62" i="4"/>
  <c r="N66" i="4"/>
  <c r="G69" i="4"/>
  <c r="N80" i="4"/>
  <c r="N92" i="4"/>
  <c r="G99" i="4"/>
  <c r="E99" i="4"/>
  <c r="N104" i="4"/>
  <c r="L104" i="4"/>
  <c r="G124" i="4"/>
  <c r="G133" i="4"/>
  <c r="E133" i="4"/>
  <c r="N194" i="4"/>
  <c r="L194" i="4"/>
  <c r="E27" i="4"/>
  <c r="E34" i="4"/>
  <c r="E41" i="4"/>
  <c r="AJ45" i="4"/>
  <c r="AN45" i="4" s="1"/>
  <c r="L47" i="4"/>
  <c r="E52" i="4"/>
  <c r="L58" i="4"/>
  <c r="E59" i="4"/>
  <c r="L67" i="4"/>
  <c r="E69" i="4"/>
  <c r="AD101" i="4"/>
  <c r="G115" i="4"/>
  <c r="E115" i="4"/>
  <c r="G117" i="4"/>
  <c r="E117" i="4"/>
  <c r="G121" i="4"/>
  <c r="E121" i="4"/>
  <c r="E124" i="4"/>
  <c r="N130" i="4"/>
  <c r="L130" i="4"/>
  <c r="G152" i="4"/>
  <c r="E152" i="4"/>
  <c r="E166" i="4"/>
  <c r="G166" i="4"/>
  <c r="G174" i="4"/>
  <c r="E174" i="4"/>
  <c r="G180" i="4"/>
  <c r="E180" i="4"/>
  <c r="G27" i="4"/>
  <c r="G34" i="4"/>
  <c r="G41" i="4"/>
  <c r="N47" i="4"/>
  <c r="G52" i="4"/>
  <c r="N58" i="4"/>
  <c r="G59" i="4"/>
  <c r="N67" i="4"/>
  <c r="AE78" i="4"/>
  <c r="E98" i="4"/>
  <c r="N99" i="4"/>
  <c r="L99" i="4"/>
  <c r="G103" i="4"/>
  <c r="E103" i="4"/>
  <c r="G106" i="4"/>
  <c r="N115" i="4"/>
  <c r="L115" i="4"/>
  <c r="N125" i="4"/>
  <c r="L125" i="4"/>
  <c r="G135" i="4"/>
  <c r="E135" i="4"/>
  <c r="E144" i="4"/>
  <c r="G144" i="4"/>
  <c r="G161" i="4"/>
  <c r="E161" i="4"/>
  <c r="E70" i="4"/>
  <c r="AE87" i="4"/>
  <c r="G98" i="4"/>
  <c r="E106" i="4"/>
  <c r="N121" i="4"/>
  <c r="L121" i="4"/>
  <c r="G127" i="4"/>
  <c r="E127" i="4"/>
  <c r="E6" i="4"/>
  <c r="L12" i="4"/>
  <c r="L16" i="4"/>
  <c r="E17" i="4"/>
  <c r="L23" i="4"/>
  <c r="E28" i="4"/>
  <c r="E42" i="4"/>
  <c r="G70" i="4"/>
  <c r="E96" i="4"/>
  <c r="N107" i="4"/>
  <c r="L107" i="4"/>
  <c r="AE117" i="4"/>
  <c r="N127" i="4"/>
  <c r="L127" i="4"/>
  <c r="G129" i="4"/>
  <c r="E129" i="4"/>
  <c r="AH132" i="4"/>
  <c r="AL132" i="4" s="1"/>
  <c r="N138" i="4"/>
  <c r="L138" i="4"/>
  <c r="G188" i="4"/>
  <c r="E188" i="4"/>
  <c r="AD132" i="4"/>
  <c r="AD136" i="4"/>
  <c r="L157" i="4"/>
  <c r="N180" i="4"/>
  <c r="L180" i="4"/>
  <c r="G183" i="4"/>
  <c r="E183" i="4"/>
  <c r="N186" i="4"/>
  <c r="L186" i="4"/>
  <c r="N202" i="4"/>
  <c r="N253" i="4"/>
  <c r="L253" i="4"/>
  <c r="N153" i="4"/>
  <c r="L153" i="4"/>
  <c r="E156" i="4"/>
  <c r="N157" i="4"/>
  <c r="N166" i="4"/>
  <c r="G170" i="4"/>
  <c r="E170" i="4"/>
  <c r="N171" i="4"/>
  <c r="L171" i="4"/>
  <c r="L174" i="4"/>
  <c r="G179" i="4"/>
  <c r="N183" i="4"/>
  <c r="L202" i="4"/>
  <c r="N205" i="4"/>
  <c r="L205" i="4"/>
  <c r="G229" i="4"/>
  <c r="E229" i="4"/>
  <c r="N241" i="4"/>
  <c r="L241" i="4"/>
  <c r="G151" i="4"/>
  <c r="AH151" i="4" s="1"/>
  <c r="AL151" i="4" s="1"/>
  <c r="L152" i="4"/>
  <c r="G160" i="4"/>
  <c r="AH160" i="4" s="1"/>
  <c r="AL160" i="4" s="1"/>
  <c r="L161" i="4"/>
  <c r="G165" i="4"/>
  <c r="E165" i="4"/>
  <c r="L166" i="4"/>
  <c r="N170" i="4"/>
  <c r="N174" i="4"/>
  <c r="G176" i="4"/>
  <c r="E176" i="4"/>
  <c r="E179" i="4"/>
  <c r="L183" i="4"/>
  <c r="G211" i="4"/>
  <c r="E211" i="4"/>
  <c r="G150" i="4"/>
  <c r="AH150" i="4" s="1"/>
  <c r="AL150" i="4" s="1"/>
  <c r="N165" i="4"/>
  <c r="G169" i="4"/>
  <c r="AH169" i="4" s="1"/>
  <c r="AL169" i="4" s="1"/>
  <c r="N191" i="4"/>
  <c r="L191" i="4"/>
  <c r="G199" i="4"/>
  <c r="E199" i="4"/>
  <c r="L216" i="4"/>
  <c r="N216" i="4"/>
  <c r="E220" i="4"/>
  <c r="G220" i="4"/>
  <c r="L226" i="4"/>
  <c r="N226" i="4"/>
  <c r="G234" i="4"/>
  <c r="E234" i="4"/>
  <c r="L300" i="4"/>
  <c r="N300" i="4"/>
  <c r="G148" i="4"/>
  <c r="G149" i="4"/>
  <c r="AD150" i="4"/>
  <c r="N151" i="4"/>
  <c r="G155" i="4"/>
  <c r="L156" i="4"/>
  <c r="G159" i="4"/>
  <c r="N160" i="4"/>
  <c r="E164" i="4"/>
  <c r="N176" i="4"/>
  <c r="L176" i="4"/>
  <c r="G185" i="4"/>
  <c r="E185" i="4"/>
  <c r="G190" i="4"/>
  <c r="E190" i="4"/>
  <c r="G193" i="4"/>
  <c r="E193" i="4"/>
  <c r="G195" i="4"/>
  <c r="E195" i="4"/>
  <c r="N199" i="4"/>
  <c r="L199" i="4"/>
  <c r="G245" i="4"/>
  <c r="E245" i="4"/>
  <c r="N265" i="4"/>
  <c r="L265" i="4"/>
  <c r="N117" i="4"/>
  <c r="AI117" i="4" s="1"/>
  <c r="AM117" i="4" s="1"/>
  <c r="G122" i="4"/>
  <c r="N131" i="4"/>
  <c r="AI131" i="4" s="1"/>
  <c r="AM131" i="4" s="1"/>
  <c r="N135" i="4"/>
  <c r="G138" i="4"/>
  <c r="G145" i="4"/>
  <c r="G146" i="4"/>
  <c r="E147" i="4"/>
  <c r="E148" i="4"/>
  <c r="E149" i="4"/>
  <c r="L151" i="4"/>
  <c r="E155" i="4"/>
  <c r="N156" i="4"/>
  <c r="E159" i="4"/>
  <c r="L160" i="4"/>
  <c r="G164" i="4"/>
  <c r="G168" i="4"/>
  <c r="L169" i="4"/>
  <c r="N182" i="4"/>
  <c r="L182" i="4"/>
  <c r="N185" i="4"/>
  <c r="L185" i="4"/>
  <c r="G187" i="4"/>
  <c r="E187" i="4"/>
  <c r="N193" i="4"/>
  <c r="L193" i="4"/>
  <c r="N195" i="4"/>
  <c r="AI195" i="4" s="1"/>
  <c r="G201" i="4"/>
  <c r="E201" i="4"/>
  <c r="N204" i="4"/>
  <c r="AI204" i="4" s="1"/>
  <c r="AM204" i="4" s="1"/>
  <c r="AJ106" i="4"/>
  <c r="AN106" i="4" s="1"/>
  <c r="E142" i="4"/>
  <c r="E143" i="4"/>
  <c r="G147" i="4"/>
  <c r="L150" i="4"/>
  <c r="G154" i="4"/>
  <c r="AH154" i="4" s="1"/>
  <c r="AL154" i="4" s="1"/>
  <c r="L155" i="4"/>
  <c r="G172" i="4"/>
  <c r="G178" i="4"/>
  <c r="E178" i="4"/>
  <c r="G181" i="4"/>
  <c r="E181" i="4"/>
  <c r="AE195" i="4"/>
  <c r="G198" i="4"/>
  <c r="AH198" i="4" s="1"/>
  <c r="N201" i="4"/>
  <c r="L201" i="4"/>
  <c r="AE204" i="4"/>
  <c r="G140" i="4"/>
  <c r="E141" i="4"/>
  <c r="L148" i="4"/>
  <c r="N149" i="4"/>
  <c r="AD154" i="4"/>
  <c r="L159" i="4"/>
  <c r="G163" i="4"/>
  <c r="E163" i="4"/>
  <c r="N164" i="4"/>
  <c r="L164" i="4"/>
  <c r="N173" i="4"/>
  <c r="L173" i="4"/>
  <c r="G175" i="4"/>
  <c r="N178" i="4"/>
  <c r="N181" i="4"/>
  <c r="N187" i="4"/>
  <c r="L187" i="4"/>
  <c r="AD198" i="4"/>
  <c r="G206" i="4"/>
  <c r="E206" i="4"/>
  <c r="N231" i="4"/>
  <c r="L231" i="4"/>
  <c r="AE238" i="4"/>
  <c r="N247" i="4"/>
  <c r="L247" i="4"/>
  <c r="N260" i="4"/>
  <c r="L260" i="4"/>
  <c r="G97" i="4"/>
  <c r="G101" i="4"/>
  <c r="AH101" i="4" s="1"/>
  <c r="AL101" i="4" s="1"/>
  <c r="AE102" i="4"/>
  <c r="E109" i="4"/>
  <c r="N111" i="4"/>
  <c r="N118" i="4"/>
  <c r="L122" i="4"/>
  <c r="E123" i="4"/>
  <c r="E130" i="4"/>
  <c r="N132" i="4"/>
  <c r="AI132" i="4" s="1"/>
  <c r="AM132" i="4" s="1"/>
  <c r="N136" i="4"/>
  <c r="E140" i="4"/>
  <c r="G141" i="4"/>
  <c r="N143" i="4"/>
  <c r="N144" i="4"/>
  <c r="L145" i="4"/>
  <c r="N146" i="4"/>
  <c r="L147" i="4"/>
  <c r="N148" i="4"/>
  <c r="L149" i="4"/>
  <c r="G158" i="4"/>
  <c r="E158" i="4"/>
  <c r="N159" i="4"/>
  <c r="N163" i="4"/>
  <c r="AI163" i="4" s="1"/>
  <c r="AM163" i="4" s="1"/>
  <c r="G167" i="4"/>
  <c r="AH167" i="4" s="1"/>
  <c r="L168" i="4"/>
  <c r="E175" i="4"/>
  <c r="L178" i="4"/>
  <c r="L181" i="4"/>
  <c r="N206" i="4"/>
  <c r="L206" i="4"/>
  <c r="G109" i="4"/>
  <c r="N122" i="4"/>
  <c r="G123" i="4"/>
  <c r="G130" i="4"/>
  <c r="N139" i="4"/>
  <c r="L142" i="4"/>
  <c r="N145" i="4"/>
  <c r="AD151" i="4"/>
  <c r="L154" i="4"/>
  <c r="N158" i="4"/>
  <c r="AD160" i="4"/>
  <c r="G162" i="4"/>
  <c r="AE163" i="4"/>
  <c r="N175" i="4"/>
  <c r="L175" i="4"/>
  <c r="G177" i="4"/>
  <c r="G192" i="4"/>
  <c r="E192" i="4"/>
  <c r="G200" i="4"/>
  <c r="E200" i="4"/>
  <c r="L208" i="4"/>
  <c r="N208" i="4"/>
  <c r="N210" i="4"/>
  <c r="L210" i="4"/>
  <c r="G212" i="4"/>
  <c r="E212" i="4"/>
  <c r="L215" i="4"/>
  <c r="N215" i="4"/>
  <c r="N217" i="4"/>
  <c r="E227" i="4"/>
  <c r="G227" i="4"/>
  <c r="E102" i="4"/>
  <c r="L112" i="4"/>
  <c r="E113" i="4"/>
  <c r="AJ118" i="4"/>
  <c r="AN118" i="4" s="1"/>
  <c r="L119" i="4"/>
  <c r="E120" i="4"/>
  <c r="L126" i="4"/>
  <c r="L133" i="4"/>
  <c r="L139" i="4"/>
  <c r="L140" i="4"/>
  <c r="L141" i="4"/>
  <c r="N142" i="4"/>
  <c r="E153" i="4"/>
  <c r="N154" i="4"/>
  <c r="G157" i="4"/>
  <c r="L158" i="4"/>
  <c r="E162" i="4"/>
  <c r="N167" i="4"/>
  <c r="AD169" i="4"/>
  <c r="E171" i="4"/>
  <c r="E177" i="4"/>
  <c r="N184" i="4"/>
  <c r="L184" i="4"/>
  <c r="N192" i="4"/>
  <c r="L192" i="4"/>
  <c r="G194" i="4"/>
  <c r="E194" i="4"/>
  <c r="L217" i="4"/>
  <c r="AD257" i="4"/>
  <c r="AD237" i="4"/>
  <c r="E244" i="4"/>
  <c r="AD250" i="4"/>
  <c r="N271" i="4"/>
  <c r="L271" i="4"/>
  <c r="N365" i="4"/>
  <c r="L365" i="4"/>
  <c r="G367" i="4"/>
  <c r="E367" i="4"/>
  <c r="G224" i="4"/>
  <c r="G240" i="4"/>
  <c r="E240" i="4"/>
  <c r="G244" i="4"/>
  <c r="L257" i="4"/>
  <c r="E262" i="4"/>
  <c r="L276" i="4"/>
  <c r="N276" i="4"/>
  <c r="AD286" i="4"/>
  <c r="G307" i="4"/>
  <c r="E307" i="4"/>
  <c r="G314" i="4"/>
  <c r="E314" i="4"/>
  <c r="E210" i="4"/>
  <c r="N212" i="4"/>
  <c r="L214" i="4"/>
  <c r="E226" i="4"/>
  <c r="N229" i="4"/>
  <c r="N230" i="4"/>
  <c r="L230" i="4"/>
  <c r="L234" i="4"/>
  <c r="G236" i="4"/>
  <c r="E236" i="4"/>
  <c r="N244" i="4"/>
  <c r="L244" i="4"/>
  <c r="L250" i="4"/>
  <c r="G259" i="4"/>
  <c r="E259" i="4"/>
  <c r="G262" i="4"/>
  <c r="AJ176" i="4"/>
  <c r="AN176" i="4" s="1"/>
  <c r="L177" i="4"/>
  <c r="E182" i="4"/>
  <c r="L188" i="4"/>
  <c r="E189" i="4"/>
  <c r="E196" i="4"/>
  <c r="L198" i="4"/>
  <c r="E203" i="4"/>
  <c r="G210" i="4"/>
  <c r="L211" i="4"/>
  <c r="L212" i="4"/>
  <c r="N214" i="4"/>
  <c r="G226" i="4"/>
  <c r="E228" i="4"/>
  <c r="L229" i="4"/>
  <c r="N234" i="4"/>
  <c r="N240" i="4"/>
  <c r="L240" i="4"/>
  <c r="G243" i="4"/>
  <c r="E243" i="4"/>
  <c r="E246" i="4"/>
  <c r="G252" i="4"/>
  <c r="E252" i="4"/>
  <c r="N259" i="4"/>
  <c r="L259" i="4"/>
  <c r="N262" i="4"/>
  <c r="L262" i="4"/>
  <c r="E264" i="4"/>
  <c r="N268" i="4"/>
  <c r="L268" i="4"/>
  <c r="G270" i="4"/>
  <c r="E270" i="4"/>
  <c r="G283" i="4"/>
  <c r="E283" i="4"/>
  <c r="N309" i="4"/>
  <c r="L309" i="4"/>
  <c r="N316" i="4"/>
  <c r="L316" i="4"/>
  <c r="N359" i="4"/>
  <c r="L359" i="4"/>
  <c r="N362" i="4"/>
  <c r="L362" i="4"/>
  <c r="E208" i="4"/>
  <c r="G209" i="4"/>
  <c r="G222" i="4"/>
  <c r="E222" i="4"/>
  <c r="G233" i="4"/>
  <c r="E233" i="4"/>
  <c r="N236" i="4"/>
  <c r="L252" i="4"/>
  <c r="G254" i="4"/>
  <c r="E254" i="4"/>
  <c r="G261" i="4"/>
  <c r="E261" i="4"/>
  <c r="L270" i="4"/>
  <c r="G272" i="4"/>
  <c r="E272" i="4"/>
  <c r="G354" i="4"/>
  <c r="E354" i="4"/>
  <c r="E207" i="4"/>
  <c r="G208" i="4"/>
  <c r="E209" i="4"/>
  <c r="G223" i="4"/>
  <c r="AH223" i="4" s="1"/>
  <c r="AL223" i="4" s="1"/>
  <c r="L224" i="4"/>
  <c r="G225" i="4"/>
  <c r="L228" i="4"/>
  <c r="L236" i="4"/>
  <c r="N246" i="4"/>
  <c r="L246" i="4"/>
  <c r="N252" i="4"/>
  <c r="N264" i="4"/>
  <c r="L264" i="4"/>
  <c r="N270" i="4"/>
  <c r="G298" i="4"/>
  <c r="E298" i="4"/>
  <c r="G326" i="4"/>
  <c r="E326" i="4"/>
  <c r="G207" i="4"/>
  <c r="L209" i="4"/>
  <c r="N222" i="4"/>
  <c r="N224" i="4"/>
  <c r="N233" i="4"/>
  <c r="L233" i="4"/>
  <c r="E239" i="4"/>
  <c r="N249" i="4"/>
  <c r="L249" i="4"/>
  <c r="N267" i="4"/>
  <c r="L267" i="4"/>
  <c r="E274" i="4"/>
  <c r="G274" i="4"/>
  <c r="G277" i="4"/>
  <c r="E277" i="4"/>
  <c r="N288" i="4"/>
  <c r="L288" i="4"/>
  <c r="N324" i="4"/>
  <c r="L324" i="4"/>
  <c r="L189" i="4"/>
  <c r="L196" i="4"/>
  <c r="E197" i="4"/>
  <c r="L203" i="4"/>
  <c r="E204" i="4"/>
  <c r="N209" i="4"/>
  <c r="E218" i="4"/>
  <c r="E219" i="4"/>
  <c r="L222" i="4"/>
  <c r="N223" i="4"/>
  <c r="L223" i="4"/>
  <c r="L225" i="4"/>
  <c r="G239" i="4"/>
  <c r="G258" i="4"/>
  <c r="E258" i="4"/>
  <c r="AE261" i="4"/>
  <c r="G263" i="4"/>
  <c r="E263" i="4"/>
  <c r="L285" i="4"/>
  <c r="N285" i="4"/>
  <c r="N347" i="4"/>
  <c r="L347" i="4"/>
  <c r="AD349" i="4"/>
  <c r="N189" i="4"/>
  <c r="N196" i="4"/>
  <c r="G197" i="4"/>
  <c r="N203" i="4"/>
  <c r="G204" i="4"/>
  <c r="L207" i="4"/>
  <c r="AE213" i="4"/>
  <c r="G217" i="4"/>
  <c r="E217" i="4"/>
  <c r="G218" i="4"/>
  <c r="G219" i="4"/>
  <c r="L220" i="4"/>
  <c r="L221" i="4"/>
  <c r="N225" i="4"/>
  <c r="G238" i="4"/>
  <c r="E238" i="4"/>
  <c r="N239" i="4"/>
  <c r="L239" i="4"/>
  <c r="N242" i="4"/>
  <c r="L242" i="4"/>
  <c r="L245" i="4"/>
  <c r="G251" i="4"/>
  <c r="E251" i="4"/>
  <c r="N258" i="4"/>
  <c r="L258" i="4"/>
  <c r="L263" i="4"/>
  <c r="G269" i="4"/>
  <c r="E269" i="4"/>
  <c r="G282" i="4"/>
  <c r="E282" i="4"/>
  <c r="N207" i="4"/>
  <c r="G216" i="4"/>
  <c r="N219" i="4"/>
  <c r="N220" i="4"/>
  <c r="G231" i="4"/>
  <c r="E231" i="4"/>
  <c r="G235" i="4"/>
  <c r="E235" i="4"/>
  <c r="G241" i="4"/>
  <c r="G247" i="4"/>
  <c r="E247" i="4"/>
  <c r="N251" i="4"/>
  <c r="L251" i="4"/>
  <c r="G265" i="4"/>
  <c r="E265" i="4"/>
  <c r="N269" i="4"/>
  <c r="L269" i="4"/>
  <c r="L172" i="4"/>
  <c r="E173" i="4"/>
  <c r="L179" i="4"/>
  <c r="E184" i="4"/>
  <c r="L190" i="4"/>
  <c r="E191" i="4"/>
  <c r="L200" i="4"/>
  <c r="E205" i="4"/>
  <c r="G213" i="4"/>
  <c r="E215" i="4"/>
  <c r="E216" i="4"/>
  <c r="L218" i="4"/>
  <c r="L219" i="4"/>
  <c r="L232" i="4"/>
  <c r="N235" i="4"/>
  <c r="L235" i="4"/>
  <c r="E241" i="4"/>
  <c r="G253" i="4"/>
  <c r="E253" i="4"/>
  <c r="E279" i="4"/>
  <c r="G279" i="4"/>
  <c r="E289" i="4"/>
  <c r="G289" i="4"/>
  <c r="E297" i="4"/>
  <c r="G297" i="4"/>
  <c r="E281" i="4"/>
  <c r="N286" i="4"/>
  <c r="L287" i="4"/>
  <c r="AD303" i="4"/>
  <c r="G319" i="4"/>
  <c r="E319" i="4"/>
  <c r="N326" i="4"/>
  <c r="L326" i="4"/>
  <c r="N333" i="4"/>
  <c r="L333" i="4"/>
  <c r="E335" i="4"/>
  <c r="N342" i="4"/>
  <c r="L342" i="4"/>
  <c r="N349" i="4"/>
  <c r="L349" i="4"/>
  <c r="E273" i="4"/>
  <c r="E275" i="4"/>
  <c r="G278" i="4"/>
  <c r="E280" i="4"/>
  <c r="G281" i="4"/>
  <c r="N283" i="4"/>
  <c r="N284" i="4"/>
  <c r="L286" i="4"/>
  <c r="N287" i="4"/>
  <c r="G296" i="4"/>
  <c r="N319" i="4"/>
  <c r="L319" i="4"/>
  <c r="E328" i="4"/>
  <c r="G335" i="4"/>
  <c r="G356" i="4"/>
  <c r="E356" i="4"/>
  <c r="S153" i="5"/>
  <c r="U153" i="5" s="1"/>
  <c r="Q153" i="5"/>
  <c r="G273" i="4"/>
  <c r="G275" i="4"/>
  <c r="E276" i="4"/>
  <c r="E278" i="4"/>
  <c r="G280" i="4"/>
  <c r="L283" i="4"/>
  <c r="L284" i="4"/>
  <c r="G295" i="4"/>
  <c r="AH295" i="4" s="1"/>
  <c r="AL295" i="4" s="1"/>
  <c r="E296" i="4"/>
  <c r="L298" i="4"/>
  <c r="N306" i="4"/>
  <c r="L306" i="4"/>
  <c r="G312" i="4"/>
  <c r="AH312" i="4" s="1"/>
  <c r="AL312" i="4" s="1"/>
  <c r="N313" i="4"/>
  <c r="L313" i="4"/>
  <c r="G328" i="4"/>
  <c r="N329" i="4"/>
  <c r="N344" i="4"/>
  <c r="L344" i="4"/>
  <c r="G351" i="4"/>
  <c r="E351" i="4"/>
  <c r="N356" i="4"/>
  <c r="L356" i="4"/>
  <c r="L282" i="4"/>
  <c r="AD295" i="4"/>
  <c r="G308" i="4"/>
  <c r="E308" i="4"/>
  <c r="AD312" i="4"/>
  <c r="G315" i="4"/>
  <c r="E315" i="4"/>
  <c r="G318" i="4"/>
  <c r="E318" i="4"/>
  <c r="G321" i="4"/>
  <c r="AH321" i="4" s="1"/>
  <c r="N322" i="4"/>
  <c r="G337" i="4"/>
  <c r="E337" i="4"/>
  <c r="G353" i="4"/>
  <c r="E353" i="4"/>
  <c r="L275" i="4"/>
  <c r="L277" i="4"/>
  <c r="L278" i="4"/>
  <c r="E294" i="4"/>
  <c r="L296" i="4"/>
  <c r="L297" i="4"/>
  <c r="E302" i="4"/>
  <c r="G303" i="4"/>
  <c r="AH303" i="4" s="1"/>
  <c r="N308" i="4"/>
  <c r="L308" i="4"/>
  <c r="N315" i="4"/>
  <c r="L315" i="4"/>
  <c r="G334" i="4"/>
  <c r="N337" i="4"/>
  <c r="L337" i="4"/>
  <c r="N340" i="4"/>
  <c r="N346" i="4"/>
  <c r="L346" i="4"/>
  <c r="N358" i="4"/>
  <c r="L358" i="4"/>
  <c r="G360" i="4"/>
  <c r="E360" i="4"/>
  <c r="N364" i="4"/>
  <c r="L364" i="4"/>
  <c r="L272" i="4"/>
  <c r="N275" i="4"/>
  <c r="N277" i="4"/>
  <c r="N278" i="4"/>
  <c r="L279" i="4"/>
  <c r="E291" i="4"/>
  <c r="G293" i="4"/>
  <c r="L295" i="4"/>
  <c r="G325" i="4"/>
  <c r="E325" i="4"/>
  <c r="G327" i="4"/>
  <c r="E327" i="4"/>
  <c r="G331" i="4"/>
  <c r="E331" i="4"/>
  <c r="N272" i="4"/>
  <c r="N279" i="4"/>
  <c r="G290" i="4"/>
  <c r="G291" i="4"/>
  <c r="E293" i="4"/>
  <c r="N295" i="4"/>
  <c r="G301" i="4"/>
  <c r="N304" i="4"/>
  <c r="E310" i="4"/>
  <c r="N312" i="4"/>
  <c r="AI312" i="4" s="1"/>
  <c r="AM312" i="4" s="1"/>
  <c r="E317" i="4"/>
  <c r="G320" i="4"/>
  <c r="E320" i="4"/>
  <c r="N325" i="4"/>
  <c r="L325" i="4"/>
  <c r="L334" i="4"/>
  <c r="G345" i="4"/>
  <c r="N348" i="4"/>
  <c r="L348" i="4"/>
  <c r="G355" i="4"/>
  <c r="E355" i="4"/>
  <c r="G357" i="4"/>
  <c r="E357" i="4"/>
  <c r="G363" i="4"/>
  <c r="N366" i="4"/>
  <c r="L366" i="4"/>
  <c r="N292" i="4"/>
  <c r="N293" i="4"/>
  <c r="L294" i="4"/>
  <c r="E301" i="4"/>
  <c r="N302" i="4"/>
  <c r="L303" i="4"/>
  <c r="L304" i="4"/>
  <c r="G310" i="4"/>
  <c r="N311" i="4"/>
  <c r="G317" i="4"/>
  <c r="N331" i="4"/>
  <c r="L331" i="4"/>
  <c r="N343" i="4"/>
  <c r="L343" i="4"/>
  <c r="E345" i="4"/>
  <c r="L237" i="4"/>
  <c r="E242" i="4"/>
  <c r="L248" i="4"/>
  <c r="E249" i="4"/>
  <c r="L255" i="4"/>
  <c r="E260" i="4"/>
  <c r="L266" i="4"/>
  <c r="N290" i="4"/>
  <c r="N291" i="4"/>
  <c r="L292" i="4"/>
  <c r="L293" i="4"/>
  <c r="N294" i="4"/>
  <c r="E300" i="4"/>
  <c r="N301" i="4"/>
  <c r="L302" i="4"/>
  <c r="N303" i="4"/>
  <c r="L311" i="4"/>
  <c r="N320" i="4"/>
  <c r="AE327" i="4"/>
  <c r="G336" i="4"/>
  <c r="E336" i="4"/>
  <c r="N345" i="4"/>
  <c r="L345" i="4"/>
  <c r="N350" i="4"/>
  <c r="L350" i="4"/>
  <c r="N363" i="4"/>
  <c r="L363" i="4"/>
  <c r="N237" i="4"/>
  <c r="AJ240" i="4"/>
  <c r="AN240" i="4" s="1"/>
  <c r="G242" i="4"/>
  <c r="N248" i="4"/>
  <c r="G249" i="4"/>
  <c r="N255" i="4"/>
  <c r="G260" i="4"/>
  <c r="N266" i="4"/>
  <c r="G267" i="4"/>
  <c r="AH267" i="4" s="1"/>
  <c r="AL267" i="4" s="1"/>
  <c r="E271" i="4"/>
  <c r="AE273" i="4"/>
  <c r="E287" i="4"/>
  <c r="E288" i="4"/>
  <c r="L290" i="4"/>
  <c r="L291" i="4"/>
  <c r="G300" i="4"/>
  <c r="L301" i="4"/>
  <c r="N307" i="4"/>
  <c r="L307" i="4"/>
  <c r="G309" i="4"/>
  <c r="E309" i="4"/>
  <c r="N314" i="4"/>
  <c r="L314" i="4"/>
  <c r="G316" i="4"/>
  <c r="E316" i="4"/>
  <c r="L320" i="4"/>
  <c r="G338" i="4"/>
  <c r="E338" i="4"/>
  <c r="G352" i="4"/>
  <c r="E352" i="4"/>
  <c r="E284" i="4"/>
  <c r="G285" i="4"/>
  <c r="G286" i="4"/>
  <c r="N289" i="4"/>
  <c r="G349" i="4"/>
  <c r="AH349" i="4" s="1"/>
  <c r="AL349" i="4" s="1"/>
  <c r="N352" i="4"/>
  <c r="L352" i="4"/>
  <c r="S265" i="5"/>
  <c r="U265" i="5" s="1"/>
  <c r="Q265" i="5"/>
  <c r="U222" i="5"/>
  <c r="Q174" i="5"/>
  <c r="S174" i="5"/>
  <c r="U174" i="5" s="1"/>
  <c r="L305" i="4"/>
  <c r="E306" i="4"/>
  <c r="E313" i="4"/>
  <c r="L323" i="4"/>
  <c r="E324" i="4"/>
  <c r="L330" i="4"/>
  <c r="L341" i="4"/>
  <c r="E342" i="4"/>
  <c r="E346" i="4"/>
  <c r="E350" i="4"/>
  <c r="E364" i="4"/>
  <c r="S56" i="5"/>
  <c r="U56" i="5" s="1"/>
  <c r="Q56" i="5"/>
  <c r="S316" i="5"/>
  <c r="U316" i="5" s="1"/>
  <c r="Q316" i="5"/>
  <c r="S70" i="5"/>
  <c r="U70" i="5" s="1"/>
  <c r="Q70" i="5"/>
  <c r="N327" i="4"/>
  <c r="AI327" i="4" s="1"/>
  <c r="AM327" i="4" s="1"/>
  <c r="G332" i="4"/>
  <c r="N338" i="4"/>
  <c r="G339" i="4"/>
  <c r="E343" i="4"/>
  <c r="E347" i="4"/>
  <c r="N353" i="4"/>
  <c r="L357" i="4"/>
  <c r="E358" i="4"/>
  <c r="N360" i="4"/>
  <c r="G361" i="4"/>
  <c r="E365" i="4"/>
  <c r="N367" i="4"/>
  <c r="G343" i="4"/>
  <c r="G347" i="4"/>
  <c r="N357" i="4"/>
  <c r="G358" i="4"/>
  <c r="G365" i="4"/>
  <c r="Q41" i="5"/>
  <c r="S41" i="5"/>
  <c r="U41" i="5" s="1"/>
  <c r="S88" i="5"/>
  <c r="U88" i="5" s="1"/>
  <c r="Q88" i="5"/>
  <c r="N299" i="4"/>
  <c r="G304" i="4"/>
  <c r="AH304" i="4" s="1"/>
  <c r="AL304" i="4" s="1"/>
  <c r="N310" i="4"/>
  <c r="G311" i="4"/>
  <c r="N317" i="4"/>
  <c r="AI317" i="4" s="1"/>
  <c r="AM317" i="4" s="1"/>
  <c r="L321" i="4"/>
  <c r="G322" i="4"/>
  <c r="N328" i="4"/>
  <c r="AI328" i="4" s="1"/>
  <c r="AM328" i="4" s="1"/>
  <c r="G329" i="4"/>
  <c r="L332" i="4"/>
  <c r="E333" i="4"/>
  <c r="N335" i="4"/>
  <c r="L339" i="4"/>
  <c r="G340" i="4"/>
  <c r="E344" i="4"/>
  <c r="E348" i="4"/>
  <c r="N354" i="4"/>
  <c r="AI354" i="4" s="1"/>
  <c r="E359" i="4"/>
  <c r="L361" i="4"/>
  <c r="G362" i="4"/>
  <c r="E366" i="4"/>
  <c r="Q175" i="5"/>
  <c r="S175" i="5"/>
  <c r="U175" i="5" s="1"/>
  <c r="N321" i="4"/>
  <c r="N332" i="4"/>
  <c r="G333" i="4"/>
  <c r="N339" i="4"/>
  <c r="G344" i="4"/>
  <c r="G348" i="4"/>
  <c r="G359" i="4"/>
  <c r="N361" i="4"/>
  <c r="G366" i="4"/>
  <c r="E305" i="4"/>
  <c r="L318" i="4"/>
  <c r="E323" i="4"/>
  <c r="E330" i="4"/>
  <c r="L336" i="4"/>
  <c r="E341" i="4"/>
  <c r="L351" i="4"/>
  <c r="L355" i="4"/>
  <c r="S181" i="5"/>
  <c r="U181" i="5" s="1"/>
  <c r="Q181" i="5"/>
  <c r="AJ151" i="4"/>
  <c r="AJ327" i="4"/>
  <c r="AN327" i="4" s="1"/>
  <c r="AJ180" i="4"/>
  <c r="AN180" i="4" s="1"/>
  <c r="AJ288" i="4"/>
  <c r="AN288" i="4" s="1"/>
  <c r="AJ11" i="4"/>
  <c r="AN11" i="4" s="1"/>
  <c r="AJ243" i="4"/>
  <c r="AN243" i="4" s="1"/>
  <c r="AJ315" i="4"/>
  <c r="AJ41" i="4"/>
  <c r="AN41" i="4" s="1"/>
  <c r="AJ107" i="4"/>
  <c r="AN107" i="4" s="1"/>
  <c r="AJ309" i="4"/>
  <c r="AJ163" i="4"/>
  <c r="AN163" i="4" s="1"/>
  <c r="AJ157" i="4"/>
  <c r="AN157" i="4" s="1"/>
  <c r="AJ190" i="4"/>
  <c r="AJ223" i="4"/>
  <c r="AJ238" i="4"/>
  <c r="AN238" i="4" s="1"/>
  <c r="AJ265" i="4"/>
  <c r="AN265" i="4" s="1"/>
  <c r="AJ350" i="4"/>
  <c r="AN350" i="4" s="1"/>
  <c r="AJ12" i="4" l="1"/>
  <c r="AN12" i="4" s="1"/>
  <c r="AH136" i="4"/>
  <c r="AL136" i="4" s="1"/>
  <c r="AJ129" i="4"/>
  <c r="AN129" i="4" s="1"/>
  <c r="AJ329" i="4"/>
  <c r="AN329" i="4" s="1"/>
  <c r="AJ115" i="4"/>
  <c r="AN115" i="4" s="1"/>
  <c r="AI169" i="2"/>
  <c r="AM169" i="2" s="1"/>
  <c r="AJ214" i="4"/>
  <c r="AN214" i="4" s="1"/>
  <c r="AH363" i="4"/>
  <c r="AL363" i="4" s="1"/>
  <c r="AL61" i="2"/>
  <c r="AJ257" i="4"/>
  <c r="AN257" i="4" s="1"/>
  <c r="AJ95" i="4"/>
  <c r="AN95" i="4" s="1"/>
  <c r="AH34" i="2"/>
  <c r="AL34" i="2" s="1"/>
  <c r="AJ90" i="4"/>
  <c r="AN90" i="4" s="1"/>
  <c r="AJ212" i="4"/>
  <c r="AN212" i="4" s="1"/>
  <c r="AN151" i="4"/>
  <c r="AL60" i="2"/>
  <c r="AJ302" i="4"/>
  <c r="AN302" i="4" s="1"/>
  <c r="AH240" i="2"/>
  <c r="AL240" i="2" s="1"/>
  <c r="AI75" i="4"/>
  <c r="AM75" i="4" s="1"/>
  <c r="AH170" i="2"/>
  <c r="AL170" i="2" s="1"/>
  <c r="AJ71" i="4"/>
  <c r="AN71" i="4" s="1"/>
  <c r="AJ213" i="4"/>
  <c r="AN213" i="4" s="1"/>
  <c r="AJ292" i="4"/>
  <c r="AN292" i="4" s="1"/>
  <c r="AH230" i="4"/>
  <c r="AL230" i="4" s="1"/>
  <c r="AJ234" i="4"/>
  <c r="AN234" i="4" s="1"/>
  <c r="AJ156" i="4"/>
  <c r="AN156" i="4" s="1"/>
  <c r="AJ194" i="4"/>
  <c r="AN194" i="4" s="1"/>
  <c r="AH111" i="4"/>
  <c r="AL111" i="4" s="1"/>
  <c r="AH286" i="4"/>
  <c r="AL286" i="4" s="1"/>
  <c r="AD232" i="4"/>
  <c r="AI143" i="4"/>
  <c r="AL251" i="2"/>
  <c r="AL159" i="2"/>
  <c r="AH45" i="2"/>
  <c r="AL45" i="2" s="1"/>
  <c r="AJ258" i="4"/>
  <c r="AN258" i="4" s="1"/>
  <c r="AJ254" i="4"/>
  <c r="AN254" i="4" s="1"/>
  <c r="AN152" i="4"/>
  <c r="AH224" i="4"/>
  <c r="AL224" i="4" s="1"/>
  <c r="AJ101" i="4"/>
  <c r="AN101" i="4" s="1"/>
  <c r="AJ93" i="4"/>
  <c r="AN93" i="4" s="1"/>
  <c r="AJ196" i="4"/>
  <c r="AN196" i="4" s="1"/>
  <c r="AJ43" i="4"/>
  <c r="AN43" i="4" s="1"/>
  <c r="AJ239" i="4"/>
  <c r="AN239" i="4" s="1"/>
  <c r="AJ225" i="4"/>
  <c r="AN225" i="4" s="1"/>
  <c r="AJ198" i="4"/>
  <c r="AN198" i="4" s="1"/>
  <c r="AJ331" i="4"/>
  <c r="AN331" i="4" s="1"/>
  <c r="AJ96" i="4"/>
  <c r="AN96" i="4" s="1"/>
  <c r="AN309" i="4"/>
  <c r="AI335" i="4"/>
  <c r="AM335" i="4" s="1"/>
  <c r="AD111" i="4"/>
  <c r="AH16" i="4"/>
  <c r="AL16" i="4" s="1"/>
  <c r="AJ233" i="4"/>
  <c r="AN233" i="4" s="1"/>
  <c r="AN146" i="4"/>
  <c r="AI243" i="4"/>
  <c r="AM243" i="4" s="1"/>
  <c r="AJ332" i="4"/>
  <c r="AN332" i="4" s="1"/>
  <c r="AJ261" i="4"/>
  <c r="AN261" i="4" s="1"/>
  <c r="AI281" i="4"/>
  <c r="AM281" i="4" s="1"/>
  <c r="AI27" i="4"/>
  <c r="AM27" i="4" s="1"/>
  <c r="AJ341" i="4"/>
  <c r="AN341" i="4" s="1"/>
  <c r="AJ63" i="4"/>
  <c r="AN63" i="4" s="1"/>
  <c r="AJ322" i="4"/>
  <c r="AN322" i="4" s="1"/>
  <c r="AN159" i="4"/>
  <c r="AJ300" i="4"/>
  <c r="AN300" i="4" s="1"/>
  <c r="AJ278" i="4"/>
  <c r="AN278" i="4" s="1"/>
  <c r="AJ162" i="4"/>
  <c r="AN162" i="4" s="1"/>
  <c r="AJ160" i="4"/>
  <c r="AN160" i="4" s="1"/>
  <c r="AJ113" i="4"/>
  <c r="AN113" i="4" s="1"/>
  <c r="AJ6" i="4"/>
  <c r="AN6" i="4" s="1"/>
  <c r="AH285" i="4"/>
  <c r="AL285" i="4" s="1"/>
  <c r="AJ242" i="4"/>
  <c r="AN242" i="4" s="1"/>
  <c r="AJ323" i="4"/>
  <c r="AN323" i="4" s="1"/>
  <c r="AI322" i="4"/>
  <c r="AM322" i="4" s="1"/>
  <c r="AJ232" i="4"/>
  <c r="AN232" i="4" s="1"/>
  <c r="AJ67" i="4"/>
  <c r="AN67" i="4" s="1"/>
  <c r="AI144" i="4"/>
  <c r="AM144" i="4" s="1"/>
  <c r="AH268" i="4"/>
  <c r="AL268" i="4" s="1"/>
  <c r="AI280" i="4"/>
  <c r="AM280" i="4" s="1"/>
  <c r="AI59" i="4"/>
  <c r="AM59" i="4" s="1"/>
  <c r="AJ246" i="4"/>
  <c r="AN246" i="4" s="1"/>
  <c r="AJ59" i="4"/>
  <c r="AN59" i="4" s="1"/>
  <c r="AJ221" i="4"/>
  <c r="AN221" i="4" s="1"/>
  <c r="AH214" i="4"/>
  <c r="AL214" i="4" s="1"/>
  <c r="AJ33" i="4"/>
  <c r="AN33" i="4" s="1"/>
  <c r="AJ228" i="4"/>
  <c r="AN228" i="4" s="1"/>
  <c r="AJ304" i="4"/>
  <c r="AN155" i="4"/>
  <c r="AJ346" i="4"/>
  <c r="AN346" i="4" s="1"/>
  <c r="AJ84" i="4"/>
  <c r="AN84" i="4" s="1"/>
  <c r="AJ271" i="4"/>
  <c r="AN271" i="4" s="1"/>
  <c r="AL245" i="2"/>
  <c r="AL76" i="2"/>
  <c r="AL58" i="2"/>
  <c r="AH44" i="2"/>
  <c r="AL44" i="2" s="1"/>
  <c r="AL250" i="2"/>
  <c r="AJ349" i="4"/>
  <c r="AN349" i="4" s="1"/>
  <c r="AJ318" i="4"/>
  <c r="AN318" i="4" s="1"/>
  <c r="AJ143" i="4"/>
  <c r="AN143" i="4" s="1"/>
  <c r="AH257" i="4"/>
  <c r="AL257" i="4" s="1"/>
  <c r="AJ77" i="4"/>
  <c r="AN77" i="4" s="1"/>
  <c r="AI274" i="4"/>
  <c r="AM274" i="4" s="1"/>
  <c r="AJ135" i="4"/>
  <c r="AN135" i="4" s="1"/>
  <c r="AJ57" i="4"/>
  <c r="AN57" i="4" s="1"/>
  <c r="AL70" i="2"/>
  <c r="AM247" i="2"/>
  <c r="AL66" i="2"/>
  <c r="AL64" i="2"/>
  <c r="AL55" i="2"/>
  <c r="AL74" i="2"/>
  <c r="AL62" i="2"/>
  <c r="AI163" i="2"/>
  <c r="AM163" i="2" s="1"/>
  <c r="AL75" i="2"/>
  <c r="AL63" i="2"/>
  <c r="AL50" i="2"/>
  <c r="AL253" i="2"/>
  <c r="AJ104" i="4"/>
  <c r="AN104" i="4" s="1"/>
  <c r="AJ23" i="4"/>
  <c r="AN23" i="4" s="1"/>
  <c r="AJ293" i="4"/>
  <c r="AN293" i="4" s="1"/>
  <c r="AJ187" i="4"/>
  <c r="AN187" i="4" s="1"/>
  <c r="AJ183" i="4"/>
  <c r="AN183" i="4" s="1"/>
  <c r="AJ178" i="4"/>
  <c r="AN178" i="4" s="1"/>
  <c r="AJ64" i="4"/>
  <c r="AN64" i="4" s="1"/>
  <c r="AJ56" i="4"/>
  <c r="AN56" i="4" s="1"/>
  <c r="AJ16" i="4"/>
  <c r="AN16" i="4" s="1"/>
  <c r="AJ166" i="4"/>
  <c r="AN166" i="4" s="1"/>
  <c r="AJ121" i="4"/>
  <c r="AN121" i="4" s="1"/>
  <c r="AJ312" i="4"/>
  <c r="AN312" i="4" s="1"/>
  <c r="AJ366" i="4"/>
  <c r="AN366" i="4" s="1"/>
  <c r="AJ337" i="4"/>
  <c r="AN337" i="4" s="1"/>
  <c r="AJ189" i="4"/>
  <c r="AN189" i="4" s="1"/>
  <c r="AJ47" i="4"/>
  <c r="AN47" i="4" s="1"/>
  <c r="AJ172" i="4"/>
  <c r="AN172" i="4" s="1"/>
  <c r="AJ200" i="4"/>
  <c r="AN200" i="4" s="1"/>
  <c r="AJ186" i="4"/>
  <c r="AN186" i="4" s="1"/>
  <c r="AJ241" i="4"/>
  <c r="AN241" i="4" s="1"/>
  <c r="AJ209" i="4"/>
  <c r="AN209" i="4" s="1"/>
  <c r="AJ128" i="4"/>
  <c r="AN128" i="4" s="1"/>
  <c r="AJ205" i="4"/>
  <c r="AN205" i="4" s="1"/>
  <c r="AJ276" i="4"/>
  <c r="AN276" i="4" s="1"/>
  <c r="AN223" i="4"/>
  <c r="AI170" i="4"/>
  <c r="AM170" i="4" s="1"/>
  <c r="AJ295" i="4"/>
  <c r="AN295" i="4" s="1"/>
  <c r="AJ30" i="4"/>
  <c r="AN30" i="4" s="1"/>
  <c r="AJ97" i="4"/>
  <c r="AN97" i="4" s="1"/>
  <c r="AJ218" i="4"/>
  <c r="AN218" i="4" s="1"/>
  <c r="AJ250" i="4"/>
  <c r="AN250" i="4" s="1"/>
  <c r="AJ55" i="4"/>
  <c r="AN55" i="4" s="1"/>
  <c r="AN202" i="4"/>
  <c r="AN215" i="4"/>
  <c r="AH146" i="4"/>
  <c r="AL146" i="4" s="1"/>
  <c r="AJ138" i="4"/>
  <c r="AN138" i="4" s="1"/>
  <c r="AJ207" i="4"/>
  <c r="AN207" i="4" s="1"/>
  <c r="AJ52" i="4"/>
  <c r="AN52" i="4" s="1"/>
  <c r="AJ137" i="4"/>
  <c r="AN137" i="4" s="1"/>
  <c r="AJ216" i="4"/>
  <c r="AN216" i="4" s="1"/>
  <c r="AH145" i="4"/>
  <c r="AL145" i="4" s="1"/>
  <c r="AN315" i="4"/>
  <c r="AH322" i="4"/>
  <c r="AL322" i="4" s="1"/>
  <c r="AH225" i="4"/>
  <c r="AL225" i="4" s="1"/>
  <c r="AJ193" i="4"/>
  <c r="AN193" i="4" s="1"/>
  <c r="AL303" i="4"/>
  <c r="AH213" i="4"/>
  <c r="AL213" i="4" s="1"/>
  <c r="AI256" i="4"/>
  <c r="AM256" i="4" s="1"/>
  <c r="AJ72" i="4"/>
  <c r="AN72" i="4" s="1"/>
  <c r="AJ335" i="4"/>
  <c r="AN335" i="4" s="1"/>
  <c r="AJ356" i="4"/>
  <c r="AN356" i="4" s="1"/>
  <c r="AJ54" i="4"/>
  <c r="AN54" i="4" s="1"/>
  <c r="AJ211" i="4"/>
  <c r="AN211" i="4" s="1"/>
  <c r="AJ86" i="4"/>
  <c r="AN86" i="4" s="1"/>
  <c r="AI227" i="4"/>
  <c r="AM227" i="4" s="1"/>
  <c r="AI261" i="4"/>
  <c r="AM261" i="4" s="1"/>
  <c r="AJ36" i="4"/>
  <c r="AN36" i="4" s="1"/>
  <c r="AJ26" i="4"/>
  <c r="AN26" i="4" s="1"/>
  <c r="AI238" i="4"/>
  <c r="AM238" i="4" s="1"/>
  <c r="AJ19" i="4"/>
  <c r="AN19" i="4" s="1"/>
  <c r="AJ82" i="4"/>
  <c r="AN82" i="4" s="1"/>
  <c r="AJ256" i="4"/>
  <c r="AN256" i="4" s="1"/>
  <c r="AJ48" i="4"/>
  <c r="AN48" i="4" s="1"/>
  <c r="AI289" i="4"/>
  <c r="AM289" i="4" s="1"/>
  <c r="AJ35" i="4"/>
  <c r="AN35" i="4" s="1"/>
  <c r="AH266" i="4"/>
  <c r="AL266" i="4" s="1"/>
  <c r="AJ182" i="4"/>
  <c r="AN182" i="4" s="1"/>
  <c r="AJ7" i="4"/>
  <c r="AN7" i="4" s="1"/>
  <c r="AJ149" i="4"/>
  <c r="AN149" i="4" s="1"/>
  <c r="AJ330" i="4"/>
  <c r="AN330" i="4" s="1"/>
  <c r="AJ173" i="4"/>
  <c r="AN173" i="4" s="1"/>
  <c r="AJ99" i="4"/>
  <c r="AN99" i="4" s="1"/>
  <c r="AH122" i="4"/>
  <c r="AL122" i="4" s="1"/>
  <c r="AH339" i="4"/>
  <c r="AL339" i="4" s="1"/>
  <c r="AD268" i="4"/>
  <c r="AJ319" i="4"/>
  <c r="AN319" i="4" s="1"/>
  <c r="AN190" i="4"/>
  <c r="AH40" i="4"/>
  <c r="AL40" i="4" s="1"/>
  <c r="AH340" i="4"/>
  <c r="AL340" i="4" s="1"/>
  <c r="AI367" i="4"/>
  <c r="AM367" i="4" s="1"/>
  <c r="AI299" i="4"/>
  <c r="AM299" i="4" s="1"/>
  <c r="AJ272" i="4"/>
  <c r="AN272" i="4" s="1"/>
  <c r="AI111" i="4"/>
  <c r="AM111" i="4" s="1"/>
  <c r="AL198" i="4"/>
  <c r="AL321" i="4"/>
  <c r="AJ109" i="4"/>
  <c r="AN109" i="4" s="1"/>
  <c r="AH334" i="4"/>
  <c r="AL334" i="4" s="1"/>
  <c r="AJ75" i="4"/>
  <c r="AN75" i="4" s="1"/>
  <c r="AJ165" i="4"/>
  <c r="AN165" i="4" s="1"/>
  <c r="AJ127" i="4"/>
  <c r="AN127" i="4" s="1"/>
  <c r="AN161" i="4"/>
  <c r="AJ79" i="4"/>
  <c r="AN79" i="4" s="1"/>
  <c r="AJ25" i="4"/>
  <c r="AN25" i="4" s="1"/>
  <c r="AI72" i="4"/>
  <c r="AM72" i="4" s="1"/>
  <c r="AJ49" i="4"/>
  <c r="AN49" i="4" s="1"/>
  <c r="AJ3" i="4"/>
  <c r="AN3" i="4" s="1"/>
  <c r="AJ235" i="4"/>
  <c r="AN235" i="4" s="1"/>
  <c r="AJ60" i="4"/>
  <c r="AN60" i="4" s="1"/>
  <c r="AJ226" i="4"/>
  <c r="AN226" i="4" s="1"/>
  <c r="AJ140" i="4"/>
  <c r="AN140" i="4" s="1"/>
  <c r="AJ249" i="4"/>
  <c r="AN249" i="4" s="1"/>
  <c r="AJ81" i="4"/>
  <c r="AN81" i="4" s="1"/>
  <c r="AJ89" i="4"/>
  <c r="AN89" i="4" s="1"/>
  <c r="AJ284" i="4"/>
  <c r="AN284" i="4" s="1"/>
  <c r="AJ230" i="4"/>
  <c r="AN230" i="4" s="1"/>
  <c r="AJ267" i="4"/>
  <c r="AN267" i="4" s="1"/>
  <c r="AJ69" i="4"/>
  <c r="AN69" i="4" s="1"/>
  <c r="AJ308" i="4"/>
  <c r="AN308" i="4" s="1"/>
  <c r="AH292" i="4"/>
  <c r="AL292" i="4" s="1"/>
  <c r="AJ291" i="4"/>
  <c r="AN291" i="4" s="1"/>
  <c r="AJ31" i="4"/>
  <c r="AN31" i="4" s="1"/>
  <c r="AJ303" i="4"/>
  <c r="AN303" i="4" s="1"/>
  <c r="AH138" i="4"/>
  <c r="AL138" i="4" s="1"/>
  <c r="AH290" i="4"/>
  <c r="AL290" i="4" s="1"/>
  <c r="AI46" i="4"/>
  <c r="AM46" i="4" s="1"/>
  <c r="AI165" i="4"/>
  <c r="AM165" i="4" s="1"/>
  <c r="AJ305" i="4"/>
  <c r="AN305" i="4" s="1"/>
  <c r="AJ343" i="4"/>
  <c r="AN343" i="4" s="1"/>
  <c r="AJ281" i="4"/>
  <c r="AN281" i="4" s="1"/>
  <c r="AI329" i="4"/>
  <c r="AM329" i="4" s="1"/>
  <c r="AJ134" i="4"/>
  <c r="AN134" i="4" s="1"/>
  <c r="AJ119" i="4"/>
  <c r="AN119" i="4" s="1"/>
  <c r="AJ336" i="4"/>
  <c r="AN336" i="4" s="1"/>
  <c r="AJ320" i="4"/>
  <c r="AN320" i="4" s="1"/>
  <c r="AJ8" i="4"/>
  <c r="AN8" i="4" s="1"/>
  <c r="AJ111" i="4"/>
  <c r="AN111" i="4" s="1"/>
  <c r="AI110" i="4"/>
  <c r="AM110" i="4" s="1"/>
  <c r="AI213" i="4"/>
  <c r="AM213" i="4" s="1"/>
  <c r="AJ237" i="4"/>
  <c r="AN237" i="4" s="1"/>
  <c r="AJ236" i="4"/>
  <c r="AN236" i="4" s="1"/>
  <c r="AJ316" i="4"/>
  <c r="AN316" i="4" s="1"/>
  <c r="AJ61" i="4"/>
  <c r="AN61" i="4" s="1"/>
  <c r="AJ274" i="4"/>
  <c r="AN274" i="4" s="1"/>
  <c r="AJ124" i="4"/>
  <c r="AN124" i="4" s="1"/>
  <c r="AJ87" i="4"/>
  <c r="AN87" i="4" s="1"/>
  <c r="AJ290" i="4"/>
  <c r="AN290" i="4" s="1"/>
  <c r="AJ359" i="4"/>
  <c r="AN359" i="4" s="1"/>
  <c r="AJ32" i="4"/>
  <c r="AN32" i="4" s="1"/>
  <c r="AJ283" i="4"/>
  <c r="AN283" i="4" s="1"/>
  <c r="AJ5" i="4"/>
  <c r="AN5" i="4" s="1"/>
  <c r="AJ102" i="4"/>
  <c r="AN102" i="4" s="1"/>
  <c r="AJ110" i="4"/>
  <c r="AN110" i="4" s="1"/>
  <c r="AJ98" i="4"/>
  <c r="AN98" i="4" s="1"/>
  <c r="AJ51" i="4"/>
  <c r="AN51" i="4" s="1"/>
  <c r="AJ354" i="4"/>
  <c r="AN354" i="4" s="1"/>
  <c r="AJ351" i="4"/>
  <c r="AN351" i="4" s="1"/>
  <c r="AJ229" i="4"/>
  <c r="AN229" i="4" s="1"/>
  <c r="AJ231" i="4"/>
  <c r="AN231" i="4" s="1"/>
  <c r="AJ24" i="4"/>
  <c r="AN24" i="4" s="1"/>
  <c r="AJ255" i="4"/>
  <c r="AN255" i="4" s="1"/>
  <c r="AJ92" i="4"/>
  <c r="AN92" i="4" s="1"/>
  <c r="AJ353" i="4"/>
  <c r="AN353" i="4" s="1"/>
  <c r="AJ169" i="4"/>
  <c r="AN169" i="4" s="1"/>
  <c r="AJ307" i="4"/>
  <c r="AN307" i="4" s="1"/>
  <c r="AJ206" i="4"/>
  <c r="AN206" i="4" s="1"/>
  <c r="AJ130" i="4"/>
  <c r="AN130" i="4" s="1"/>
  <c r="AJ78" i="4"/>
  <c r="AN78" i="4" s="1"/>
  <c r="AJ147" i="4"/>
  <c r="AN147" i="4" s="1"/>
  <c r="AJ328" i="4"/>
  <c r="AN328" i="4" s="1"/>
  <c r="AJ28" i="4"/>
  <c r="AN28" i="4" s="1"/>
  <c r="AJ275" i="4"/>
  <c r="AN275" i="4" s="1"/>
  <c r="AJ179" i="4"/>
  <c r="AN179" i="4" s="1"/>
  <c r="AJ294" i="4"/>
  <c r="AN294" i="4" s="1"/>
  <c r="AJ342" i="4"/>
  <c r="AN342" i="4" s="1"/>
  <c r="AH332" i="4"/>
  <c r="AL332" i="4" s="1"/>
  <c r="AI340" i="4"/>
  <c r="AM340" i="4" s="1"/>
  <c r="AJ264" i="4"/>
  <c r="AN264" i="4" s="1"/>
  <c r="AH361" i="4"/>
  <c r="AL361" i="4" s="1"/>
  <c r="AI65" i="4"/>
  <c r="AM65" i="4" s="1"/>
  <c r="AJ251" i="4"/>
  <c r="AN251" i="4" s="1"/>
  <c r="AJ324" i="4"/>
  <c r="AN324" i="4" s="1"/>
  <c r="AJ352" i="4"/>
  <c r="AN352" i="4" s="1"/>
  <c r="AH71" i="4"/>
  <c r="AL71" i="4" s="1"/>
  <c r="AJ191" i="4"/>
  <c r="AN191" i="4" s="1"/>
  <c r="AN201" i="4"/>
  <c r="AJ217" i="4"/>
  <c r="AN217" i="4" s="1"/>
  <c r="AJ268" i="4"/>
  <c r="AN268" i="4" s="1"/>
  <c r="AJ344" i="4"/>
  <c r="AN344" i="4" s="1"/>
  <c r="AJ150" i="4"/>
  <c r="AN150" i="4" s="1"/>
  <c r="AJ85" i="4"/>
  <c r="AN85" i="4" s="1"/>
  <c r="AJ136" i="4"/>
  <c r="AN136" i="4" s="1"/>
  <c r="AJ83" i="4"/>
  <c r="AN83" i="4" s="1"/>
  <c r="AJ253" i="4"/>
  <c r="AN253" i="4" s="1"/>
  <c r="AJ285" i="4"/>
  <c r="AN285" i="4" s="1"/>
  <c r="AJ334" i="4"/>
  <c r="AN334" i="4" s="1"/>
  <c r="AJ277" i="4"/>
  <c r="AN277" i="4" s="1"/>
  <c r="AJ122" i="4"/>
  <c r="AN122" i="4" s="1"/>
  <c r="AJ141" i="4"/>
  <c r="AN141" i="4" s="1"/>
  <c r="AJ154" i="4"/>
  <c r="AN154" i="4" s="1"/>
  <c r="AJ260" i="4"/>
  <c r="AN260" i="4" s="1"/>
  <c r="AJ117" i="4"/>
  <c r="AN117" i="4" s="1"/>
  <c r="AJ269" i="4"/>
  <c r="AN269" i="4" s="1"/>
  <c r="AJ298" i="4"/>
  <c r="AN298" i="4" s="1"/>
  <c r="AJ80" i="4"/>
  <c r="AN80" i="4" s="1"/>
  <c r="AJ279" i="4"/>
  <c r="AN279" i="4" s="1"/>
  <c r="AJ145" i="4"/>
  <c r="AN145" i="4" s="1"/>
  <c r="AJ158" i="4"/>
  <c r="AN158" i="4" s="1"/>
  <c r="AJ333" i="4"/>
  <c r="AN333" i="4" s="1"/>
  <c r="AJ252" i="4"/>
  <c r="AN252" i="4" s="1"/>
  <c r="AJ363" i="4"/>
  <c r="AN363" i="4" s="1"/>
  <c r="AJ259" i="4"/>
  <c r="AN259" i="4" s="1"/>
  <c r="AJ108" i="4"/>
  <c r="AN108" i="4" s="1"/>
  <c r="AJ133" i="4"/>
  <c r="AN133" i="4" s="1"/>
  <c r="AJ53" i="4"/>
  <c r="AN53" i="4" s="1"/>
  <c r="AJ42" i="4"/>
  <c r="AN42" i="4" s="1"/>
  <c r="AJ164" i="4"/>
  <c r="AN164" i="4" s="1"/>
  <c r="AJ103" i="4"/>
  <c r="AN103" i="4" s="1"/>
  <c r="AJ219" i="4"/>
  <c r="AN219" i="4" s="1"/>
  <c r="AJ44" i="4"/>
  <c r="AN44" i="4" s="1"/>
  <c r="AH157" i="4"/>
  <c r="AL157" i="4" s="1"/>
  <c r="AM195" i="4"/>
  <c r="AJ306" i="4"/>
  <c r="AN306" i="4" s="1"/>
  <c r="AI90" i="4"/>
  <c r="AM90" i="4" s="1"/>
  <c r="AH311" i="4"/>
  <c r="AL311" i="4" s="1"/>
  <c r="AJ10" i="4"/>
  <c r="AN10" i="4" s="1"/>
  <c r="AJ91" i="4"/>
  <c r="AN91" i="4" s="1"/>
  <c r="AJ361" i="4"/>
  <c r="AN361" i="4" s="1"/>
  <c r="AJ310" i="4"/>
  <c r="AN310" i="4" s="1"/>
  <c r="AH118" i="4"/>
  <c r="AL118" i="4" s="1"/>
  <c r="AH92" i="4"/>
  <c r="AL92" i="4" s="1"/>
  <c r="AI106" i="4"/>
  <c r="AM106" i="4" s="1"/>
  <c r="AJ139" i="4"/>
  <c r="AN139" i="4" s="1"/>
  <c r="AJ34" i="4"/>
  <c r="AN34" i="4" s="1"/>
  <c r="AJ287" i="4"/>
  <c r="AN287" i="4" s="1"/>
  <c r="AJ313" i="4"/>
  <c r="AN313" i="4" s="1"/>
  <c r="AJ358" i="4"/>
  <c r="AN358" i="4" s="1"/>
  <c r="AH221" i="4"/>
  <c r="AL221" i="4" s="1"/>
  <c r="AJ340" i="4"/>
  <c r="AN340" i="4" s="1"/>
  <c r="AI87" i="4"/>
  <c r="AM87" i="4" s="1"/>
  <c r="AJ282" i="4"/>
  <c r="AN282" i="4" s="1"/>
  <c r="AN142" i="4"/>
  <c r="AI124" i="4"/>
  <c r="AM124" i="4" s="1"/>
  <c r="AJ126" i="4"/>
  <c r="AN126" i="4" s="1"/>
  <c r="AJ73" i="4"/>
  <c r="AN73" i="4" s="1"/>
  <c r="AJ120" i="4"/>
  <c r="AN120" i="4" s="1"/>
  <c r="AJ317" i="4"/>
  <c r="AN317" i="4" s="1"/>
  <c r="AJ365" i="4"/>
  <c r="AN365" i="4" s="1"/>
  <c r="AJ311" i="4"/>
  <c r="AN311" i="4" s="1"/>
  <c r="AJ289" i="4"/>
  <c r="AN289" i="4" s="1"/>
  <c r="AJ263" i="4"/>
  <c r="AN263" i="4" s="1"/>
  <c r="AJ244" i="4"/>
  <c r="AN244" i="4" s="1"/>
  <c r="AJ192" i="4"/>
  <c r="AN192" i="4" s="1"/>
  <c r="AH255" i="4"/>
  <c r="AL255" i="4" s="1"/>
  <c r="AJ68" i="4"/>
  <c r="AN68" i="4" s="1"/>
  <c r="AJ27" i="4"/>
  <c r="AN27" i="4" s="1"/>
  <c r="AJ247" i="4"/>
  <c r="AN247" i="4" s="1"/>
  <c r="AJ17" i="4"/>
  <c r="AN17" i="4" s="1"/>
  <c r="AJ132" i="4"/>
  <c r="AN132" i="4" s="1"/>
  <c r="AJ357" i="4"/>
  <c r="AN357" i="4" s="1"/>
  <c r="AJ66" i="4"/>
  <c r="AN66" i="4" s="1"/>
  <c r="AJ14" i="4"/>
  <c r="AN14" i="4" s="1"/>
  <c r="AJ125" i="4"/>
  <c r="AN125" i="4" s="1"/>
  <c r="AJ227" i="4"/>
  <c r="AN227" i="4" s="1"/>
  <c r="AJ364" i="4"/>
  <c r="AN364" i="4" s="1"/>
  <c r="AJ131" i="4"/>
  <c r="AN131" i="4" s="1"/>
  <c r="AJ74" i="4"/>
  <c r="AN74" i="4" s="1"/>
  <c r="AJ13" i="4"/>
  <c r="AN13" i="4" s="1"/>
  <c r="AJ37" i="4"/>
  <c r="AN37" i="4" s="1"/>
  <c r="AJ222" i="4"/>
  <c r="AN222" i="4" s="1"/>
  <c r="AN153" i="4"/>
  <c r="AJ177" i="4"/>
  <c r="AN177" i="4" s="1"/>
  <c r="AJ339" i="4"/>
  <c r="AN339" i="4" s="1"/>
  <c r="AI146" i="4"/>
  <c r="AM146" i="4" s="1"/>
  <c r="AI353" i="4"/>
  <c r="AM353" i="4" s="1"/>
  <c r="AM354" i="4"/>
  <c r="AI118" i="4"/>
  <c r="AM118" i="4" s="1"/>
  <c r="AI310" i="4"/>
  <c r="AM310" i="4" s="1"/>
  <c r="AE256" i="4"/>
  <c r="AI98" i="4"/>
  <c r="AM98" i="4" s="1"/>
  <c r="AI254" i="4"/>
  <c r="AM254" i="4" s="1"/>
  <c r="AI93" i="4"/>
  <c r="AM93" i="4" s="1"/>
  <c r="AH362" i="4"/>
  <c r="AL362" i="4" s="1"/>
  <c r="AL232" i="4"/>
  <c r="AL167" i="4"/>
  <c r="AM178" i="2"/>
  <c r="AE163" i="2"/>
  <c r="AM175" i="2"/>
  <c r="AM188" i="2"/>
  <c r="AM173" i="2"/>
  <c r="AM187" i="2"/>
  <c r="AM184" i="2"/>
  <c r="AM179" i="2"/>
  <c r="AI168" i="2"/>
  <c r="AM168" i="2" s="1"/>
  <c r="AM181" i="2"/>
  <c r="AM176" i="2"/>
  <c r="AL174" i="2"/>
  <c r="AH172" i="2"/>
  <c r="AL172" i="2" s="1"/>
  <c r="AL51" i="2"/>
  <c r="AH36" i="2"/>
  <c r="AL36" i="2" s="1"/>
  <c r="AL246" i="2"/>
  <c r="AL49" i="2"/>
  <c r="AH32" i="2"/>
  <c r="AL32" i="2" s="1"/>
  <c r="AL175" i="2"/>
  <c r="AH234" i="2"/>
  <c r="AL234" i="2" s="1"/>
  <c r="AD35" i="2"/>
  <c r="AH35" i="2"/>
  <c r="AL35" i="2" s="1"/>
  <c r="AJ347" i="4"/>
  <c r="AN347" i="4" s="1"/>
  <c r="AJ325" i="4"/>
  <c r="AN325" i="4" s="1"/>
  <c r="AJ224" i="4"/>
  <c r="AN224" i="4" s="1"/>
  <c r="AJ210" i="4"/>
  <c r="AN210" i="4" s="1"/>
  <c r="AJ199" i="4"/>
  <c r="AN199" i="4" s="1"/>
  <c r="AJ123" i="4"/>
  <c r="AN123" i="4" s="1"/>
  <c r="AJ9" i="4"/>
  <c r="AN9" i="4" s="1"/>
  <c r="AE254" i="4"/>
  <c r="AH97" i="4"/>
  <c r="AL97" i="4" s="1"/>
  <c r="AJ76" i="4"/>
  <c r="AN76" i="4" s="1"/>
  <c r="AH107" i="4"/>
  <c r="AL107" i="4" s="1"/>
  <c r="AD107" i="4"/>
  <c r="AN304" i="4"/>
  <c r="AH329" i="4"/>
  <c r="AL329" i="4" s="1"/>
  <c r="AI360" i="4"/>
  <c r="AM360" i="4" s="1"/>
  <c r="AH168" i="4"/>
  <c r="AL168" i="4" s="1"/>
  <c r="AJ112" i="4"/>
  <c r="AN112" i="4" s="1"/>
  <c r="AJ65" i="4"/>
  <c r="AN65" i="4" s="1"/>
  <c r="AH114" i="4"/>
  <c r="AL114" i="4" s="1"/>
  <c r="AD114" i="4"/>
  <c r="AI135" i="4"/>
  <c r="AM135" i="4" s="1"/>
  <c r="AI120" i="4"/>
  <c r="AM120" i="4" s="1"/>
  <c r="AJ100" i="4"/>
  <c r="AN100" i="4" s="1"/>
  <c r="AJ248" i="4"/>
  <c r="AN248" i="4" s="1"/>
  <c r="AH172" i="4"/>
  <c r="AL172" i="4" s="1"/>
  <c r="AH248" i="4"/>
  <c r="AL248" i="4" s="1"/>
  <c r="AJ116" i="4"/>
  <c r="AN116" i="4" s="1"/>
  <c r="AI338" i="4"/>
  <c r="AM338" i="4" s="1"/>
  <c r="AH299" i="4"/>
  <c r="AL299" i="4" s="1"/>
  <c r="AI91" i="4"/>
  <c r="AM91" i="4" s="1"/>
  <c r="AJ50" i="4"/>
  <c r="AN50" i="4" s="1"/>
  <c r="AI167" i="4"/>
  <c r="AM167" i="4" s="1"/>
  <c r="AJ46" i="4"/>
  <c r="AN46" i="4" s="1"/>
  <c r="AM143" i="4"/>
  <c r="AE85" i="4"/>
  <c r="AI85" i="4"/>
  <c r="AM85" i="4" s="1"/>
  <c r="AJ40" i="4"/>
  <c r="AN40" i="4" s="1"/>
  <c r="AN148" i="4"/>
  <c r="AI102" i="4"/>
  <c r="AM102" i="4" s="1"/>
  <c r="AD139" i="4"/>
  <c r="AH139" i="4"/>
  <c r="AL139" i="4" s="1"/>
  <c r="AH68" i="4"/>
  <c r="AL68" i="4" s="1"/>
  <c r="AJ38" i="4"/>
  <c r="AN38" i="4" s="1"/>
  <c r="AD255" i="4"/>
  <c r="AI5" i="4"/>
  <c r="AM5" i="4" s="1"/>
  <c r="AH125" i="4"/>
  <c r="AL125" i="4" s="1"/>
  <c r="AD125" i="4"/>
  <c r="AE113" i="4"/>
  <c r="AI113" i="4"/>
  <c r="AM113" i="4" s="1"/>
  <c r="AI136" i="4"/>
  <c r="AM136" i="4" s="1"/>
  <c r="AH110" i="4"/>
  <c r="AL110" i="4" s="1"/>
  <c r="AJ21" i="4"/>
  <c r="AN21" i="4" s="1"/>
  <c r="AH301" i="4"/>
  <c r="AL301" i="4" s="1"/>
  <c r="AD301" i="4"/>
  <c r="AE191" i="4"/>
  <c r="AI191" i="4"/>
  <c r="AM191" i="4" s="1"/>
  <c r="AH5" i="4"/>
  <c r="AD5" i="4"/>
  <c r="AD46" i="4"/>
  <c r="AH46" i="4"/>
  <c r="AL46" i="4" s="1"/>
  <c r="AH270" i="2"/>
  <c r="AL270" i="2" s="1"/>
  <c r="AD270" i="2"/>
  <c r="AI167" i="2"/>
  <c r="AM167" i="2" s="1"/>
  <c r="AE167" i="2"/>
  <c r="AH202" i="2"/>
  <c r="AL202" i="2" s="1"/>
  <c r="AD202" i="2"/>
  <c r="AE215" i="2"/>
  <c r="AI215" i="2"/>
  <c r="AM215" i="2" s="1"/>
  <c r="AH82" i="2"/>
  <c r="AL82" i="2" s="1"/>
  <c r="AD82" i="2"/>
  <c r="AE46" i="2"/>
  <c r="AI46" i="2"/>
  <c r="AM46" i="2" s="1"/>
  <c r="AD33" i="2"/>
  <c r="AH33" i="2"/>
  <c r="AL33" i="2" s="1"/>
  <c r="AH330" i="4"/>
  <c r="AL330" i="4" s="1"/>
  <c r="AD330" i="4"/>
  <c r="AH306" i="4"/>
  <c r="AL306" i="4" s="1"/>
  <c r="AD306" i="4"/>
  <c r="AH336" i="4"/>
  <c r="AL336" i="4" s="1"/>
  <c r="AD336" i="4"/>
  <c r="AH300" i="4"/>
  <c r="AL300" i="4" s="1"/>
  <c r="AD300" i="4"/>
  <c r="AH249" i="4"/>
  <c r="AL249" i="4" s="1"/>
  <c r="AD249" i="4"/>
  <c r="AI294" i="4"/>
  <c r="AM294" i="4" s="1"/>
  <c r="AE294" i="4"/>
  <c r="AE334" i="4"/>
  <c r="AI334" i="4"/>
  <c r="AM334" i="4" s="1"/>
  <c r="AI272" i="4"/>
  <c r="AM272" i="4" s="1"/>
  <c r="AE272" i="4"/>
  <c r="AH294" i="4"/>
  <c r="AD294" i="4"/>
  <c r="AH337" i="4"/>
  <c r="AD337" i="4"/>
  <c r="AH315" i="4"/>
  <c r="AL315" i="4" s="1"/>
  <c r="AD315" i="4"/>
  <c r="AI298" i="4"/>
  <c r="AM298" i="4" s="1"/>
  <c r="AE298" i="4"/>
  <c r="AH231" i="4"/>
  <c r="AL231" i="4" s="1"/>
  <c r="AD231" i="4"/>
  <c r="AE207" i="4"/>
  <c r="AI207" i="4"/>
  <c r="AM207" i="4" s="1"/>
  <c r="AI203" i="4"/>
  <c r="AM203" i="4" s="1"/>
  <c r="AE203" i="4"/>
  <c r="AI359" i="4"/>
  <c r="AM359" i="4" s="1"/>
  <c r="AE359" i="4"/>
  <c r="AH270" i="4"/>
  <c r="AL270" i="4" s="1"/>
  <c r="AD270" i="4"/>
  <c r="AI240" i="4"/>
  <c r="AM240" i="4" s="1"/>
  <c r="AE240" i="4"/>
  <c r="AH203" i="4"/>
  <c r="AL203" i="4" s="1"/>
  <c r="AD203" i="4"/>
  <c r="AH210" i="4"/>
  <c r="AL210" i="4" s="1"/>
  <c r="AD210" i="4"/>
  <c r="AI365" i="4"/>
  <c r="AM365" i="4" s="1"/>
  <c r="AE365" i="4"/>
  <c r="AH120" i="4"/>
  <c r="AD120" i="4"/>
  <c r="AI208" i="4"/>
  <c r="AM208" i="4" s="1"/>
  <c r="AE208" i="4"/>
  <c r="AI231" i="4"/>
  <c r="AM231" i="4" s="1"/>
  <c r="AE231" i="4"/>
  <c r="AH155" i="4"/>
  <c r="AL155" i="4" s="1"/>
  <c r="AD155" i="4"/>
  <c r="AD211" i="4"/>
  <c r="AH211" i="4"/>
  <c r="AL211" i="4" s="1"/>
  <c r="AH165" i="4"/>
  <c r="AD165" i="4"/>
  <c r="AD156" i="4"/>
  <c r="AH156" i="4"/>
  <c r="AL156" i="4" s="1"/>
  <c r="AI12" i="4"/>
  <c r="AE12" i="4"/>
  <c r="AD144" i="4"/>
  <c r="AH144" i="4"/>
  <c r="AL144" i="4" s="1"/>
  <c r="AI194" i="4"/>
  <c r="AM194" i="4" s="1"/>
  <c r="AE194" i="4"/>
  <c r="AI108" i="4"/>
  <c r="AM108" i="4" s="1"/>
  <c r="AE108" i="4"/>
  <c r="AI94" i="4"/>
  <c r="AM94" i="4" s="1"/>
  <c r="AE94" i="4"/>
  <c r="AE35" i="4"/>
  <c r="AI35" i="4"/>
  <c r="AM35" i="4" s="1"/>
  <c r="AE96" i="4"/>
  <c r="AI96" i="4"/>
  <c r="AM96" i="4" s="1"/>
  <c r="AH126" i="4"/>
  <c r="AL126" i="4" s="1"/>
  <c r="AD126" i="4"/>
  <c r="AH112" i="4"/>
  <c r="AL112" i="4" s="1"/>
  <c r="AD112" i="4"/>
  <c r="AH74" i="4"/>
  <c r="AD74" i="4"/>
  <c r="AH91" i="4"/>
  <c r="AD91" i="4"/>
  <c r="AD78" i="4"/>
  <c r="AH78" i="4"/>
  <c r="AE33" i="4"/>
  <c r="AI33" i="4"/>
  <c r="AM33" i="4" s="1"/>
  <c r="AD332" i="2"/>
  <c r="AH332" i="2"/>
  <c r="AL332" i="2" s="1"/>
  <c r="AD43" i="4"/>
  <c r="AH43" i="4"/>
  <c r="AL43" i="4" s="1"/>
  <c r="AI366" i="2"/>
  <c r="AM366" i="2" s="1"/>
  <c r="AE366" i="2"/>
  <c r="AH26" i="4"/>
  <c r="AL26" i="4" s="1"/>
  <c r="AD26" i="4"/>
  <c r="AI69" i="4"/>
  <c r="AM69" i="4" s="1"/>
  <c r="AE69" i="4"/>
  <c r="AH366" i="2"/>
  <c r="AL366" i="2" s="1"/>
  <c r="AD366" i="2"/>
  <c r="AI37" i="4"/>
  <c r="AM37" i="4" s="1"/>
  <c r="AE37" i="4"/>
  <c r="AD3" i="4"/>
  <c r="AH3" i="4"/>
  <c r="AL3" i="4" s="1"/>
  <c r="AI329" i="2"/>
  <c r="AM329" i="2" s="1"/>
  <c r="AE329" i="2"/>
  <c r="AI311" i="2"/>
  <c r="AM311" i="2" s="1"/>
  <c r="AE311" i="2"/>
  <c r="AD11" i="4"/>
  <c r="AH11" i="4"/>
  <c r="AL11" i="4" s="1"/>
  <c r="AI332" i="2"/>
  <c r="AM332" i="2" s="1"/>
  <c r="AE332" i="2"/>
  <c r="AI318" i="2"/>
  <c r="AM318" i="2" s="1"/>
  <c r="AE318" i="2"/>
  <c r="AI321" i="2"/>
  <c r="AM321" i="2" s="1"/>
  <c r="AE321" i="2"/>
  <c r="AE257" i="2"/>
  <c r="AI257" i="2"/>
  <c r="AM257" i="2" s="1"/>
  <c r="AD346" i="2"/>
  <c r="AH346" i="2"/>
  <c r="AL346" i="2" s="1"/>
  <c r="AH318" i="2"/>
  <c r="AL318" i="2" s="1"/>
  <c r="AD318" i="2"/>
  <c r="AI281" i="2"/>
  <c r="AM281" i="2" s="1"/>
  <c r="AE281" i="2"/>
  <c r="AH324" i="2"/>
  <c r="AL324" i="2" s="1"/>
  <c r="AD324" i="2"/>
  <c r="AD360" i="2"/>
  <c r="AH360" i="2"/>
  <c r="AL360" i="2" s="1"/>
  <c r="AI306" i="2"/>
  <c r="AM306" i="2" s="1"/>
  <c r="AE306" i="2"/>
  <c r="AI270" i="2"/>
  <c r="AM270" i="2" s="1"/>
  <c r="AE270" i="2"/>
  <c r="AH235" i="2"/>
  <c r="AL235" i="2" s="1"/>
  <c r="AD235" i="2"/>
  <c r="AI161" i="2"/>
  <c r="AM161" i="2" s="1"/>
  <c r="AE161" i="2"/>
  <c r="AI144" i="2"/>
  <c r="AM144" i="2" s="1"/>
  <c r="AE144" i="2"/>
  <c r="AE218" i="2"/>
  <c r="AI218" i="2"/>
  <c r="AM218" i="2" s="1"/>
  <c r="AE202" i="2"/>
  <c r="AI202" i="2"/>
  <c r="AM202" i="2" s="1"/>
  <c r="AH187" i="2"/>
  <c r="AL187" i="2" s="1"/>
  <c r="AD187" i="2"/>
  <c r="AH229" i="2"/>
  <c r="AL229" i="2" s="1"/>
  <c r="AD229" i="2"/>
  <c r="AH213" i="2"/>
  <c r="AL213" i="2" s="1"/>
  <c r="AD213" i="2"/>
  <c r="AH197" i="2"/>
  <c r="AL197" i="2" s="1"/>
  <c r="AD197" i="2"/>
  <c r="AH183" i="2"/>
  <c r="AL183" i="2" s="1"/>
  <c r="AD183" i="2"/>
  <c r="AH168" i="2"/>
  <c r="AL168" i="2" s="1"/>
  <c r="AD168" i="2"/>
  <c r="AI235" i="2"/>
  <c r="AM235" i="2" s="1"/>
  <c r="AE235" i="2"/>
  <c r="AE228" i="2"/>
  <c r="AI228" i="2"/>
  <c r="AM228" i="2" s="1"/>
  <c r="AE212" i="2"/>
  <c r="AI212" i="2"/>
  <c r="AM212" i="2" s="1"/>
  <c r="AE196" i="2"/>
  <c r="AI196" i="2"/>
  <c r="AM196" i="2" s="1"/>
  <c r="AI253" i="2"/>
  <c r="AM253" i="2" s="1"/>
  <c r="AE253" i="2"/>
  <c r="AH182" i="2"/>
  <c r="AL182" i="2" s="1"/>
  <c r="AD182" i="2"/>
  <c r="AE256" i="2"/>
  <c r="AI256" i="2"/>
  <c r="AM256" i="2" s="1"/>
  <c r="AH153" i="2"/>
  <c r="AL153" i="2" s="1"/>
  <c r="AD153" i="2"/>
  <c r="AH141" i="2"/>
  <c r="AL141" i="2" s="1"/>
  <c r="AD141" i="2"/>
  <c r="AH129" i="2"/>
  <c r="AL129" i="2" s="1"/>
  <c r="AD129" i="2"/>
  <c r="AH117" i="2"/>
  <c r="AL117" i="2" s="1"/>
  <c r="AD117" i="2"/>
  <c r="AH105" i="2"/>
  <c r="AL105" i="2" s="1"/>
  <c r="AD105" i="2"/>
  <c r="AH93" i="2"/>
  <c r="AL93" i="2" s="1"/>
  <c r="AD93" i="2"/>
  <c r="AE33" i="2"/>
  <c r="AI33" i="2"/>
  <c r="AM33" i="2" s="1"/>
  <c r="AI137" i="2"/>
  <c r="AM137" i="2" s="1"/>
  <c r="AE137" i="2"/>
  <c r="AI119" i="2"/>
  <c r="AM119" i="2" s="1"/>
  <c r="AE119" i="2"/>
  <c r="AI101" i="2"/>
  <c r="AM101" i="2" s="1"/>
  <c r="AE101" i="2"/>
  <c r="AH84" i="2"/>
  <c r="AL84" i="2" s="1"/>
  <c r="AD84" i="2"/>
  <c r="AE68" i="2"/>
  <c r="AI68" i="2"/>
  <c r="AM68" i="2" s="1"/>
  <c r="AH53" i="2"/>
  <c r="AL53" i="2" s="1"/>
  <c r="AD53" i="2"/>
  <c r="AI28" i="2"/>
  <c r="AM28" i="2" s="1"/>
  <c r="AE28" i="2"/>
  <c r="AI16" i="2"/>
  <c r="AM16" i="2" s="1"/>
  <c r="AE16" i="2"/>
  <c r="AI4" i="2"/>
  <c r="AM4" i="2" s="1"/>
  <c r="AE4" i="2"/>
  <c r="AH256" i="4"/>
  <c r="AL256" i="4" s="1"/>
  <c r="AD256" i="4"/>
  <c r="AI123" i="2"/>
  <c r="AM123" i="2" s="1"/>
  <c r="AE123" i="2"/>
  <c r="AE75" i="2"/>
  <c r="AI75" i="2"/>
  <c r="AM75" i="2" s="1"/>
  <c r="AH26" i="2"/>
  <c r="AL26" i="2" s="1"/>
  <c r="AD26" i="2"/>
  <c r="AD10" i="2"/>
  <c r="AH10" i="2"/>
  <c r="AL10" i="2" s="1"/>
  <c r="AH13" i="2"/>
  <c r="AL13" i="2" s="1"/>
  <c r="AD13" i="2"/>
  <c r="AH21" i="2"/>
  <c r="AL21" i="2" s="1"/>
  <c r="AD21" i="2"/>
  <c r="AD24" i="2"/>
  <c r="AH24" i="2"/>
  <c r="AL24" i="2" s="1"/>
  <c r="AH344" i="4"/>
  <c r="AL344" i="4" s="1"/>
  <c r="AD344" i="4"/>
  <c r="AI276" i="4"/>
  <c r="AM276" i="4" s="1"/>
  <c r="AE276" i="4"/>
  <c r="AE166" i="4"/>
  <c r="AI166" i="4"/>
  <c r="AM166" i="4" s="1"/>
  <c r="AD99" i="4"/>
  <c r="AH99" i="4"/>
  <c r="AL99" i="4" s="1"/>
  <c r="AH367" i="2"/>
  <c r="AL367" i="2" s="1"/>
  <c r="AD367" i="2"/>
  <c r="AI310" i="2"/>
  <c r="AM310" i="2" s="1"/>
  <c r="AE310" i="2"/>
  <c r="AH72" i="4"/>
  <c r="AD72" i="4"/>
  <c r="AI283" i="2"/>
  <c r="AM283" i="2" s="1"/>
  <c r="AE283" i="2"/>
  <c r="AD358" i="2"/>
  <c r="AH358" i="2"/>
  <c r="AL358" i="2" s="1"/>
  <c r="AI264" i="2"/>
  <c r="AM264" i="2" s="1"/>
  <c r="AE264" i="2"/>
  <c r="AH323" i="4"/>
  <c r="AL323" i="4" s="1"/>
  <c r="AD323" i="4"/>
  <c r="AI339" i="4"/>
  <c r="AE339" i="4"/>
  <c r="AE305" i="4"/>
  <c r="AI305" i="4"/>
  <c r="AM305" i="4" s="1"/>
  <c r="AD338" i="4"/>
  <c r="AH338" i="4"/>
  <c r="AL338" i="4" s="1"/>
  <c r="AI248" i="4"/>
  <c r="AE248" i="4"/>
  <c r="AD357" i="4"/>
  <c r="AH357" i="4"/>
  <c r="AL357" i="4" s="1"/>
  <c r="AI364" i="4"/>
  <c r="AM364" i="4" s="1"/>
  <c r="AE364" i="4"/>
  <c r="AI308" i="4"/>
  <c r="AM308" i="4" s="1"/>
  <c r="AE308" i="4"/>
  <c r="AD296" i="4"/>
  <c r="AH296" i="4"/>
  <c r="AL296" i="4" s="1"/>
  <c r="AH335" i="4"/>
  <c r="AD335" i="4"/>
  <c r="AE287" i="4"/>
  <c r="AI287" i="4"/>
  <c r="AM287" i="4" s="1"/>
  <c r="AE219" i="4"/>
  <c r="AI219" i="4"/>
  <c r="AM219" i="4" s="1"/>
  <c r="AH184" i="4"/>
  <c r="AL184" i="4" s="1"/>
  <c r="AD184" i="4"/>
  <c r="AI251" i="4"/>
  <c r="AM251" i="4" s="1"/>
  <c r="AE251" i="4"/>
  <c r="AI245" i="4"/>
  <c r="AM245" i="4" s="1"/>
  <c r="AE245" i="4"/>
  <c r="AE285" i="4"/>
  <c r="AI285" i="4"/>
  <c r="AH197" i="4"/>
  <c r="AL197" i="4" s="1"/>
  <c r="AD197" i="4"/>
  <c r="AD277" i="4"/>
  <c r="AH277" i="4"/>
  <c r="AL277" i="4" s="1"/>
  <c r="AI246" i="4"/>
  <c r="AM246" i="4" s="1"/>
  <c r="AE246" i="4"/>
  <c r="AD207" i="4"/>
  <c r="AH207" i="4"/>
  <c r="AL207" i="4" s="1"/>
  <c r="AD261" i="4"/>
  <c r="AH261" i="4"/>
  <c r="AE198" i="4"/>
  <c r="AI198" i="4"/>
  <c r="AE230" i="4"/>
  <c r="AI230" i="4"/>
  <c r="AE184" i="4"/>
  <c r="AI184" i="4"/>
  <c r="AM184" i="4" s="1"/>
  <c r="AI119" i="4"/>
  <c r="AM119" i="4" s="1"/>
  <c r="AE119" i="4"/>
  <c r="AE181" i="4"/>
  <c r="AI181" i="4"/>
  <c r="AM181" i="4" s="1"/>
  <c r="AH140" i="4"/>
  <c r="AL140" i="4" s="1"/>
  <c r="AD140" i="4"/>
  <c r="AI150" i="4"/>
  <c r="AM150" i="4" s="1"/>
  <c r="AE150" i="4"/>
  <c r="AE182" i="4"/>
  <c r="AI182" i="4"/>
  <c r="AM182" i="4" s="1"/>
  <c r="AI151" i="4"/>
  <c r="AM151" i="4" s="1"/>
  <c r="AE151" i="4"/>
  <c r="AD195" i="4"/>
  <c r="AH195" i="4"/>
  <c r="AI176" i="4"/>
  <c r="AM176" i="4" s="1"/>
  <c r="AE176" i="4"/>
  <c r="AI156" i="4"/>
  <c r="AM156" i="4" s="1"/>
  <c r="AE156" i="4"/>
  <c r="AH220" i="4"/>
  <c r="AL220" i="4" s="1"/>
  <c r="AD220" i="4"/>
  <c r="AI174" i="4"/>
  <c r="AM174" i="4" s="1"/>
  <c r="AE174" i="4"/>
  <c r="AI157" i="4"/>
  <c r="AM157" i="4" s="1"/>
  <c r="AE157" i="4"/>
  <c r="AI127" i="4"/>
  <c r="AM127" i="4" s="1"/>
  <c r="AE127" i="4"/>
  <c r="AH6" i="4"/>
  <c r="AL6" i="4" s="1"/>
  <c r="AD6" i="4"/>
  <c r="AD103" i="4"/>
  <c r="AH103" i="4"/>
  <c r="AL103" i="4" s="1"/>
  <c r="AI80" i="4"/>
  <c r="AM80" i="4" s="1"/>
  <c r="AE80" i="4"/>
  <c r="AE86" i="4"/>
  <c r="AI86" i="4"/>
  <c r="AM86" i="4" s="1"/>
  <c r="AI134" i="4"/>
  <c r="AM134" i="4" s="1"/>
  <c r="AE134" i="4"/>
  <c r="AE79" i="4"/>
  <c r="AI79" i="4"/>
  <c r="AM79" i="4" s="1"/>
  <c r="AE21" i="4"/>
  <c r="AI21" i="4"/>
  <c r="AM21" i="4" s="1"/>
  <c r="AI123" i="4"/>
  <c r="AM123" i="4" s="1"/>
  <c r="AE123" i="4"/>
  <c r="AH90" i="4"/>
  <c r="AD90" i="4"/>
  <c r="AH65" i="4"/>
  <c r="AD65" i="4"/>
  <c r="AH53" i="4"/>
  <c r="AL53" i="4" s="1"/>
  <c r="AD53" i="4"/>
  <c r="AI38" i="4"/>
  <c r="AM38" i="4" s="1"/>
  <c r="AE38" i="4"/>
  <c r="AH302" i="2"/>
  <c r="AL302" i="2" s="1"/>
  <c r="AD302" i="2"/>
  <c r="AH297" i="2"/>
  <c r="AL297" i="2" s="1"/>
  <c r="AD297" i="2"/>
  <c r="AI24" i="4"/>
  <c r="AM24" i="4" s="1"/>
  <c r="AE24" i="4"/>
  <c r="AD354" i="2"/>
  <c r="AH354" i="2"/>
  <c r="AL354" i="2" s="1"/>
  <c r="AI325" i="2"/>
  <c r="AM325" i="2" s="1"/>
  <c r="AE325" i="2"/>
  <c r="AI307" i="2"/>
  <c r="AM307" i="2" s="1"/>
  <c r="AE307" i="2"/>
  <c r="AD347" i="2"/>
  <c r="AH347" i="2"/>
  <c r="AL347" i="2" s="1"/>
  <c r="AE39" i="4"/>
  <c r="AI39" i="4"/>
  <c r="AM39" i="4" s="1"/>
  <c r="AH85" i="4"/>
  <c r="AD85" i="4"/>
  <c r="AD343" i="2"/>
  <c r="AH343" i="2"/>
  <c r="AL343" i="2" s="1"/>
  <c r="AI45" i="4"/>
  <c r="AM45" i="4" s="1"/>
  <c r="AE45" i="4"/>
  <c r="AI18" i="4"/>
  <c r="AM18" i="4" s="1"/>
  <c r="AE18" i="4"/>
  <c r="AH238" i="2"/>
  <c r="AL238" i="2" s="1"/>
  <c r="AD238" i="2"/>
  <c r="AH254" i="2"/>
  <c r="AL254" i="2" s="1"/>
  <c r="AD254" i="2"/>
  <c r="AH321" i="2"/>
  <c r="AL321" i="2" s="1"/>
  <c r="AD321" i="2"/>
  <c r="AI279" i="2"/>
  <c r="AM279" i="2" s="1"/>
  <c r="AE279" i="2"/>
  <c r="AH287" i="2"/>
  <c r="AL287" i="2" s="1"/>
  <c r="AD287" i="2"/>
  <c r="AH279" i="2"/>
  <c r="AL279" i="2" s="1"/>
  <c r="AD279" i="2"/>
  <c r="AH326" i="2"/>
  <c r="AL326" i="2" s="1"/>
  <c r="AD326" i="2"/>
  <c r="AI297" i="2"/>
  <c r="AM297" i="2" s="1"/>
  <c r="AE297" i="2"/>
  <c r="AI268" i="2"/>
  <c r="AM268" i="2" s="1"/>
  <c r="AE268" i="2"/>
  <c r="AD18" i="4"/>
  <c r="AH18" i="4"/>
  <c r="AL18" i="4" s="1"/>
  <c r="AI155" i="2"/>
  <c r="AM155" i="2" s="1"/>
  <c r="AE155" i="2"/>
  <c r="AI143" i="2"/>
  <c r="AM143" i="2" s="1"/>
  <c r="AE143" i="2"/>
  <c r="AI236" i="2"/>
  <c r="AM236" i="2" s="1"/>
  <c r="AE236" i="2"/>
  <c r="AE233" i="2"/>
  <c r="AI233" i="2"/>
  <c r="AM233" i="2" s="1"/>
  <c r="AE217" i="2"/>
  <c r="AI217" i="2"/>
  <c r="AM217" i="2" s="1"/>
  <c r="AE201" i="2"/>
  <c r="AI201" i="2"/>
  <c r="AM201" i="2" s="1"/>
  <c r="AI254" i="2"/>
  <c r="AM254" i="2" s="1"/>
  <c r="AE254" i="2"/>
  <c r="AI259" i="2"/>
  <c r="AM259" i="2" s="1"/>
  <c r="AE259" i="2"/>
  <c r="AH220" i="2"/>
  <c r="AL220" i="2" s="1"/>
  <c r="AD220" i="2"/>
  <c r="AH204" i="2"/>
  <c r="AL204" i="2" s="1"/>
  <c r="AD204" i="2"/>
  <c r="AH52" i="2"/>
  <c r="AL52" i="2" s="1"/>
  <c r="AD52" i="2"/>
  <c r="AL65" i="2"/>
  <c r="AH77" i="2"/>
  <c r="AL77" i="2" s="1"/>
  <c r="AD77" i="2"/>
  <c r="AE48" i="2"/>
  <c r="AI48" i="2"/>
  <c r="AM48" i="2" s="1"/>
  <c r="AI138" i="2"/>
  <c r="AM138" i="2" s="1"/>
  <c r="AE138" i="2"/>
  <c r="AE73" i="2"/>
  <c r="AI73" i="2"/>
  <c r="AM73" i="2" s="1"/>
  <c r="AE166" i="2"/>
  <c r="AI166" i="2"/>
  <c r="AM166" i="2" s="1"/>
  <c r="AH146" i="2"/>
  <c r="AL146" i="2" s="1"/>
  <c r="AD146" i="2"/>
  <c r="AH134" i="2"/>
  <c r="AL134" i="2" s="1"/>
  <c r="AD134" i="2"/>
  <c r="AH122" i="2"/>
  <c r="AL122" i="2" s="1"/>
  <c r="AD122" i="2"/>
  <c r="AH110" i="2"/>
  <c r="AL110" i="2" s="1"/>
  <c r="AD110" i="2"/>
  <c r="AH98" i="2"/>
  <c r="AL98" i="2" s="1"/>
  <c r="AD98" i="2"/>
  <c r="AH86" i="2"/>
  <c r="AL86" i="2" s="1"/>
  <c r="AD86" i="2"/>
  <c r="AE51" i="2"/>
  <c r="AI51" i="2"/>
  <c r="AM51" i="2" s="1"/>
  <c r="AH160" i="2"/>
  <c r="AL160" i="2" s="1"/>
  <c r="AD160" i="2"/>
  <c r="AI127" i="2"/>
  <c r="AM127" i="2" s="1"/>
  <c r="AE127" i="2"/>
  <c r="AI109" i="2"/>
  <c r="AM109" i="2" s="1"/>
  <c r="AE109" i="2"/>
  <c r="AI91" i="2"/>
  <c r="AM91" i="2" s="1"/>
  <c r="AE91" i="2"/>
  <c r="AH227" i="2"/>
  <c r="AL227" i="2" s="1"/>
  <c r="AD227" i="2"/>
  <c r="AI27" i="2"/>
  <c r="AM27" i="2" s="1"/>
  <c r="AE27" i="2"/>
  <c r="AI15" i="2"/>
  <c r="AM15" i="2" s="1"/>
  <c r="AE15" i="2"/>
  <c r="AH80" i="2"/>
  <c r="AL80" i="2" s="1"/>
  <c r="AD80" i="2"/>
  <c r="AH145" i="2"/>
  <c r="AL145" i="2" s="1"/>
  <c r="AD145" i="2"/>
  <c r="AH133" i="2"/>
  <c r="AL133" i="2" s="1"/>
  <c r="AD133" i="2"/>
  <c r="AH121" i="2"/>
  <c r="AL121" i="2" s="1"/>
  <c r="AD121" i="2"/>
  <c r="AH109" i="2"/>
  <c r="AL109" i="2" s="1"/>
  <c r="AD109" i="2"/>
  <c r="AH97" i="2"/>
  <c r="AL97" i="2" s="1"/>
  <c r="AD97" i="2"/>
  <c r="AE80" i="2"/>
  <c r="AI80" i="2"/>
  <c r="AM80" i="2" s="1"/>
  <c r="AE71" i="2"/>
  <c r="AI71" i="2"/>
  <c r="AM71" i="2" s="1"/>
  <c r="AD310" i="4"/>
  <c r="AH310" i="4"/>
  <c r="AL310" i="4" s="1"/>
  <c r="AH282" i="4"/>
  <c r="AL282" i="4" s="1"/>
  <c r="AD282" i="4"/>
  <c r="AE241" i="4"/>
  <c r="AI241" i="4"/>
  <c r="AM241" i="4" s="1"/>
  <c r="AH76" i="4"/>
  <c r="AL76" i="4" s="1"/>
  <c r="AD76" i="4"/>
  <c r="AI55" i="4"/>
  <c r="AM55" i="4" s="1"/>
  <c r="AE55" i="4"/>
  <c r="AH304" i="2"/>
  <c r="AL304" i="2" s="1"/>
  <c r="AD304" i="2"/>
  <c r="AH301" i="2"/>
  <c r="AL301" i="2" s="1"/>
  <c r="AD301" i="2"/>
  <c r="AI349" i="2"/>
  <c r="AM349" i="2" s="1"/>
  <c r="AE349" i="2"/>
  <c r="AI145" i="2"/>
  <c r="AM145" i="2" s="1"/>
  <c r="AE145" i="2"/>
  <c r="AI318" i="4"/>
  <c r="AM318" i="4" s="1"/>
  <c r="AE318" i="4"/>
  <c r="AH364" i="4"/>
  <c r="AL364" i="4" s="1"/>
  <c r="AD364" i="4"/>
  <c r="AI307" i="4"/>
  <c r="AM307" i="4" s="1"/>
  <c r="AE307" i="4"/>
  <c r="AH242" i="4"/>
  <c r="AL242" i="4" s="1"/>
  <c r="AD242" i="4"/>
  <c r="AI325" i="4"/>
  <c r="AM325" i="4" s="1"/>
  <c r="AE325" i="4"/>
  <c r="AE295" i="4"/>
  <c r="AI295" i="4"/>
  <c r="AM295" i="4" s="1"/>
  <c r="AI278" i="4"/>
  <c r="AM278" i="4" s="1"/>
  <c r="AE278" i="4"/>
  <c r="AD275" i="4"/>
  <c r="AH275" i="4"/>
  <c r="AL275" i="4" s="1"/>
  <c r="AD279" i="4"/>
  <c r="AH279" i="4"/>
  <c r="AL279" i="4" s="1"/>
  <c r="AE218" i="4"/>
  <c r="AI218" i="4"/>
  <c r="AM218" i="4" s="1"/>
  <c r="AI179" i="4"/>
  <c r="AM179" i="4" s="1"/>
  <c r="AE179" i="4"/>
  <c r="AH269" i="4"/>
  <c r="AL269" i="4" s="1"/>
  <c r="AD269" i="4"/>
  <c r="AE225" i="4"/>
  <c r="AI225" i="4"/>
  <c r="AE196" i="4"/>
  <c r="AI196" i="4"/>
  <c r="AM196" i="4" s="1"/>
  <c r="AH326" i="4"/>
  <c r="AL326" i="4" s="1"/>
  <c r="AD326" i="4"/>
  <c r="AH222" i="4"/>
  <c r="AL222" i="4" s="1"/>
  <c r="AD222" i="4"/>
  <c r="AH196" i="4"/>
  <c r="AL196" i="4" s="1"/>
  <c r="AD196" i="4"/>
  <c r="AH314" i="4"/>
  <c r="AL314" i="4" s="1"/>
  <c r="AD314" i="4"/>
  <c r="AH200" i="4"/>
  <c r="AL200" i="4" s="1"/>
  <c r="AD200" i="4"/>
  <c r="AI142" i="4"/>
  <c r="AM142" i="4" s="1"/>
  <c r="AE142" i="4"/>
  <c r="AI178" i="4"/>
  <c r="AM178" i="4" s="1"/>
  <c r="AE178" i="4"/>
  <c r="AE149" i="4"/>
  <c r="AI149" i="4"/>
  <c r="AM149" i="4" s="1"/>
  <c r="AI159" i="4"/>
  <c r="AM159" i="4" s="1"/>
  <c r="AE159" i="4"/>
  <c r="AH178" i="4"/>
  <c r="AD178" i="4"/>
  <c r="AH149" i="4"/>
  <c r="AD149" i="4"/>
  <c r="AD229" i="4"/>
  <c r="AH229" i="4"/>
  <c r="AL229" i="4" s="1"/>
  <c r="AI153" i="4"/>
  <c r="AM153" i="4" s="1"/>
  <c r="AE153" i="4"/>
  <c r="AD188" i="4"/>
  <c r="AH188" i="4"/>
  <c r="AL188" i="4" s="1"/>
  <c r="AD135" i="4"/>
  <c r="AH135" i="4"/>
  <c r="AL135" i="4" s="1"/>
  <c r="AD174" i="4"/>
  <c r="AH174" i="4"/>
  <c r="AH124" i="4"/>
  <c r="AD124" i="4"/>
  <c r="AH69" i="4"/>
  <c r="AD69" i="4"/>
  <c r="AH15" i="4"/>
  <c r="AL15" i="4" s="1"/>
  <c r="AD15" i="4"/>
  <c r="AI64" i="4"/>
  <c r="AM64" i="4" s="1"/>
  <c r="AE64" i="4"/>
  <c r="AH88" i="4"/>
  <c r="AD88" i="4"/>
  <c r="AD50" i="4"/>
  <c r="AH50" i="4"/>
  <c r="AL50" i="4" s="1"/>
  <c r="AI359" i="2"/>
  <c r="AM359" i="2" s="1"/>
  <c r="AE359" i="2"/>
  <c r="AH21" i="4"/>
  <c r="AL21" i="4" s="1"/>
  <c r="AD21" i="4"/>
  <c r="AI364" i="2"/>
  <c r="AM364" i="2" s="1"/>
  <c r="AE364" i="2"/>
  <c r="AI44" i="4"/>
  <c r="AM44" i="4" s="1"/>
  <c r="AE44" i="4"/>
  <c r="AI62" i="4"/>
  <c r="AM62" i="4" s="1"/>
  <c r="AE62" i="4"/>
  <c r="AI34" i="4"/>
  <c r="AM34" i="4" s="1"/>
  <c r="AE34" i="4"/>
  <c r="AE77" i="4"/>
  <c r="AI77" i="4"/>
  <c r="AM77" i="4" s="1"/>
  <c r="AE7" i="4"/>
  <c r="AI7" i="4"/>
  <c r="AM7" i="4" s="1"/>
  <c r="AI20" i="4"/>
  <c r="AM20" i="4" s="1"/>
  <c r="AE20" i="4"/>
  <c r="AD362" i="2"/>
  <c r="AH362" i="2"/>
  <c r="AL362" i="2" s="1"/>
  <c r="AI326" i="2"/>
  <c r="AM326" i="2" s="1"/>
  <c r="AE326" i="2"/>
  <c r="AI308" i="2"/>
  <c r="AM308" i="2" s="1"/>
  <c r="AE308" i="2"/>
  <c r="AI4" i="4"/>
  <c r="AM4" i="4" s="1"/>
  <c r="AE4" i="4"/>
  <c r="AI351" i="2"/>
  <c r="AM351" i="2" s="1"/>
  <c r="AE351" i="2"/>
  <c r="AH94" i="4"/>
  <c r="AD94" i="4"/>
  <c r="AE70" i="4"/>
  <c r="AI70" i="4"/>
  <c r="AM70" i="4" s="1"/>
  <c r="AE28" i="4"/>
  <c r="AI28" i="4"/>
  <c r="AM28" i="4" s="1"/>
  <c r="AH284" i="2"/>
  <c r="AL284" i="2" s="1"/>
  <c r="AD284" i="2"/>
  <c r="AH276" i="2"/>
  <c r="AL276" i="2" s="1"/>
  <c r="AD276" i="2"/>
  <c r="AH268" i="2"/>
  <c r="AL268" i="2" s="1"/>
  <c r="AD268" i="2"/>
  <c r="AI361" i="2"/>
  <c r="AM361" i="2" s="1"/>
  <c r="AE361" i="2"/>
  <c r="AI277" i="2"/>
  <c r="AM277" i="2" s="1"/>
  <c r="AE277" i="2"/>
  <c r="AD361" i="2"/>
  <c r="AH361" i="2"/>
  <c r="AL361" i="2" s="1"/>
  <c r="AI293" i="2"/>
  <c r="AM293" i="2" s="1"/>
  <c r="AE293" i="2"/>
  <c r="AD353" i="2"/>
  <c r="AH353" i="2"/>
  <c r="AL353" i="2" s="1"/>
  <c r="AH317" i="2"/>
  <c r="AL317" i="2" s="1"/>
  <c r="AD317" i="2"/>
  <c r="AH298" i="2"/>
  <c r="AL298" i="2" s="1"/>
  <c r="AD298" i="2"/>
  <c r="AH258" i="2"/>
  <c r="AL258" i="2" s="1"/>
  <c r="AD258" i="2"/>
  <c r="AD334" i="2"/>
  <c r="AH334" i="2"/>
  <c r="AL334" i="2" s="1"/>
  <c r="AH306" i="2"/>
  <c r="AL306" i="2" s="1"/>
  <c r="AD306" i="2"/>
  <c r="AH271" i="2"/>
  <c r="AL271" i="2" s="1"/>
  <c r="AD271" i="2"/>
  <c r="AI154" i="2"/>
  <c r="AM154" i="2" s="1"/>
  <c r="AE154" i="2"/>
  <c r="AI142" i="2"/>
  <c r="AM142" i="2" s="1"/>
  <c r="AE142" i="2"/>
  <c r="AH230" i="2"/>
  <c r="AL230" i="2" s="1"/>
  <c r="AD230" i="2"/>
  <c r="AH214" i="2"/>
  <c r="AL214" i="2" s="1"/>
  <c r="AD214" i="2"/>
  <c r="AH198" i="2"/>
  <c r="AL198" i="2" s="1"/>
  <c r="AD198" i="2"/>
  <c r="AH255" i="2"/>
  <c r="AL255" i="2" s="1"/>
  <c r="AD255" i="2"/>
  <c r="AH252" i="2"/>
  <c r="AL252" i="2" s="1"/>
  <c r="AD252" i="2"/>
  <c r="AH309" i="2"/>
  <c r="AL309" i="2" s="1"/>
  <c r="AD309" i="2"/>
  <c r="AI165" i="2"/>
  <c r="AM165" i="2" s="1"/>
  <c r="AE165" i="2"/>
  <c r="AE227" i="2"/>
  <c r="AI227" i="2"/>
  <c r="AM227" i="2" s="1"/>
  <c r="AE211" i="2"/>
  <c r="AI211" i="2"/>
  <c r="AM211" i="2" s="1"/>
  <c r="AE195" i="2"/>
  <c r="AI195" i="2"/>
  <c r="AM195" i="2" s="1"/>
  <c r="AH207" i="2"/>
  <c r="AL207" i="2" s="1"/>
  <c r="AD207" i="2"/>
  <c r="AE50" i="2"/>
  <c r="AI50" i="2"/>
  <c r="AM50" i="2" s="1"/>
  <c r="AI134" i="2"/>
  <c r="AM134" i="2" s="1"/>
  <c r="AE134" i="2"/>
  <c r="AI116" i="2"/>
  <c r="AM116" i="2" s="1"/>
  <c r="AE116" i="2"/>
  <c r="AI98" i="2"/>
  <c r="AM98" i="2" s="1"/>
  <c r="AE98" i="2"/>
  <c r="AE66" i="2"/>
  <c r="AI66" i="2"/>
  <c r="AM66" i="2" s="1"/>
  <c r="AE160" i="2"/>
  <c r="AI160" i="2"/>
  <c r="AM160" i="2" s="1"/>
  <c r="AI26" i="2"/>
  <c r="AM26" i="2" s="1"/>
  <c r="AE26" i="2"/>
  <c r="AI14" i="2"/>
  <c r="AM14" i="2" s="1"/>
  <c r="AE14" i="2"/>
  <c r="AI111" i="2"/>
  <c r="AM111" i="2" s="1"/>
  <c r="AE111" i="2"/>
  <c r="AE69" i="2"/>
  <c r="AI69" i="2"/>
  <c r="AM69" i="2" s="1"/>
  <c r="AH19" i="2"/>
  <c r="AL19" i="2" s="1"/>
  <c r="AD19" i="2"/>
  <c r="AD23" i="2"/>
  <c r="AH23" i="2"/>
  <c r="AL23" i="2" s="1"/>
  <c r="AD309" i="4"/>
  <c r="AH309" i="4"/>
  <c r="AL309" i="4" s="1"/>
  <c r="AH280" i="4"/>
  <c r="AD280" i="4"/>
  <c r="AI190" i="4"/>
  <c r="AM190" i="4" s="1"/>
  <c r="AE190" i="4"/>
  <c r="AH204" i="4"/>
  <c r="AD204" i="4"/>
  <c r="AH27" i="4"/>
  <c r="AD27" i="4"/>
  <c r="AI84" i="4"/>
  <c r="AM84" i="4" s="1"/>
  <c r="AE84" i="4"/>
  <c r="AI49" i="4"/>
  <c r="AM49" i="4" s="1"/>
  <c r="AE49" i="4"/>
  <c r="AI363" i="2"/>
  <c r="AM363" i="2" s="1"/>
  <c r="AE363" i="2"/>
  <c r="AI255" i="2"/>
  <c r="AM255" i="2" s="1"/>
  <c r="AE255" i="2"/>
  <c r="AH267" i="2"/>
  <c r="AL267" i="2" s="1"/>
  <c r="AD267" i="2"/>
  <c r="AE199" i="2"/>
  <c r="AI199" i="2"/>
  <c r="AM199" i="2" s="1"/>
  <c r="AI130" i="2"/>
  <c r="AM130" i="2" s="1"/>
  <c r="AE130" i="2"/>
  <c r="AH333" i="4"/>
  <c r="AL333" i="4" s="1"/>
  <c r="AD333" i="4"/>
  <c r="AH365" i="4"/>
  <c r="AL365" i="4" s="1"/>
  <c r="AD365" i="4"/>
  <c r="AH350" i="4"/>
  <c r="AL350" i="4" s="1"/>
  <c r="AD350" i="4"/>
  <c r="AH271" i="4"/>
  <c r="AL271" i="4" s="1"/>
  <c r="AD271" i="4"/>
  <c r="AE363" i="4"/>
  <c r="AI363" i="4"/>
  <c r="AE293" i="4"/>
  <c r="AI293" i="4"/>
  <c r="AM293" i="4" s="1"/>
  <c r="AE237" i="4"/>
  <c r="AI237" i="4"/>
  <c r="AM237" i="4" s="1"/>
  <c r="AI337" i="4"/>
  <c r="AM337" i="4" s="1"/>
  <c r="AE337" i="4"/>
  <c r="AI356" i="4"/>
  <c r="AM356" i="4" s="1"/>
  <c r="AE356" i="4"/>
  <c r="AH273" i="4"/>
  <c r="AD273" i="4"/>
  <c r="AI333" i="4"/>
  <c r="AM333" i="4" s="1"/>
  <c r="AE333" i="4"/>
  <c r="AD216" i="4"/>
  <c r="AH216" i="4"/>
  <c r="AL216" i="4" s="1"/>
  <c r="AH173" i="4"/>
  <c r="AL173" i="4" s="1"/>
  <c r="AD173" i="4"/>
  <c r="AI242" i="4"/>
  <c r="AM242" i="4" s="1"/>
  <c r="AE242" i="4"/>
  <c r="AE221" i="4"/>
  <c r="AI221" i="4"/>
  <c r="AH263" i="4"/>
  <c r="AL263" i="4" s="1"/>
  <c r="AD263" i="4"/>
  <c r="AE223" i="4"/>
  <c r="AI223" i="4"/>
  <c r="AM223" i="4" s="1"/>
  <c r="AI189" i="4"/>
  <c r="AM189" i="4" s="1"/>
  <c r="AE189" i="4"/>
  <c r="AH239" i="4"/>
  <c r="AL239" i="4" s="1"/>
  <c r="AD239" i="4"/>
  <c r="AE316" i="4"/>
  <c r="AI316" i="4"/>
  <c r="AM316" i="4" s="1"/>
  <c r="AE268" i="4"/>
  <c r="AI268" i="4"/>
  <c r="AH189" i="4"/>
  <c r="AL189" i="4" s="1"/>
  <c r="AD189" i="4"/>
  <c r="AE250" i="4"/>
  <c r="AI250" i="4"/>
  <c r="AM250" i="4" s="1"/>
  <c r="AD153" i="4"/>
  <c r="AH153" i="4"/>
  <c r="AH113" i="4"/>
  <c r="AD113" i="4"/>
  <c r="AI215" i="4"/>
  <c r="AM215" i="4" s="1"/>
  <c r="AE215" i="4"/>
  <c r="AD175" i="4"/>
  <c r="AH175" i="4"/>
  <c r="AL175" i="4" s="1"/>
  <c r="AH206" i="4"/>
  <c r="AL206" i="4" s="1"/>
  <c r="AD206" i="4"/>
  <c r="AH148" i="4"/>
  <c r="AL148" i="4" s="1"/>
  <c r="AD148" i="4"/>
  <c r="AI183" i="4"/>
  <c r="AM183" i="4" s="1"/>
  <c r="AE183" i="4"/>
  <c r="AI161" i="4"/>
  <c r="AM161" i="4" s="1"/>
  <c r="AE161" i="4"/>
  <c r="AI171" i="4"/>
  <c r="AM171" i="4" s="1"/>
  <c r="AE171" i="4"/>
  <c r="AH127" i="4"/>
  <c r="AL127" i="4" s="1"/>
  <c r="AD127" i="4"/>
  <c r="AD121" i="4"/>
  <c r="AH121" i="4"/>
  <c r="AI67" i="4"/>
  <c r="AM67" i="4" s="1"/>
  <c r="AE67" i="4"/>
  <c r="AH133" i="4"/>
  <c r="AL133" i="4" s="1"/>
  <c r="AD133" i="4"/>
  <c r="AI83" i="4"/>
  <c r="AM83" i="4" s="1"/>
  <c r="AE83" i="4"/>
  <c r="AD82" i="4"/>
  <c r="AH82" i="4"/>
  <c r="AL82" i="4" s="1"/>
  <c r="AH119" i="4"/>
  <c r="AL119" i="4" s="1"/>
  <c r="AD119" i="4"/>
  <c r="AI109" i="4"/>
  <c r="AM109" i="4" s="1"/>
  <c r="AE109" i="4"/>
  <c r="AI354" i="2"/>
  <c r="AM354" i="2" s="1"/>
  <c r="AE354" i="2"/>
  <c r="AH296" i="2"/>
  <c r="AL296" i="2" s="1"/>
  <c r="AD296" i="2"/>
  <c r="AH63" i="4"/>
  <c r="AL63" i="4" s="1"/>
  <c r="AD63" i="4"/>
  <c r="AI13" i="4"/>
  <c r="AM13" i="4" s="1"/>
  <c r="AE13" i="4"/>
  <c r="AI298" i="2"/>
  <c r="AM298" i="2" s="1"/>
  <c r="AE298" i="2"/>
  <c r="AH73" i="4"/>
  <c r="AL73" i="4" s="1"/>
  <c r="AD73" i="4"/>
  <c r="AI41" i="4"/>
  <c r="AM41" i="4" s="1"/>
  <c r="AE41" i="4"/>
  <c r="AI19" i="4"/>
  <c r="AE19" i="4"/>
  <c r="AI71" i="4"/>
  <c r="AM71" i="4" s="1"/>
  <c r="AE71" i="4"/>
  <c r="AI345" i="2"/>
  <c r="AM345" i="2" s="1"/>
  <c r="AE345" i="2"/>
  <c r="AI322" i="2"/>
  <c r="AM322" i="2" s="1"/>
  <c r="AE322" i="2"/>
  <c r="AI304" i="2"/>
  <c r="AM304" i="2" s="1"/>
  <c r="AE304" i="2"/>
  <c r="AI338" i="2"/>
  <c r="AM338" i="2" s="1"/>
  <c r="AE338" i="2"/>
  <c r="AI22" i="4"/>
  <c r="AM22" i="4" s="1"/>
  <c r="AE22" i="4"/>
  <c r="AI32" i="4"/>
  <c r="AM32" i="4" s="1"/>
  <c r="AE32" i="4"/>
  <c r="AI334" i="2"/>
  <c r="AM334" i="2" s="1"/>
  <c r="AE334" i="2"/>
  <c r="AI48" i="4"/>
  <c r="AM48" i="4" s="1"/>
  <c r="AE48" i="4"/>
  <c r="AH312" i="2"/>
  <c r="AL312" i="2" s="1"/>
  <c r="AD312" i="2"/>
  <c r="AI68" i="4"/>
  <c r="AE68" i="4"/>
  <c r="AH315" i="2"/>
  <c r="AL315" i="2" s="1"/>
  <c r="AD315" i="2"/>
  <c r="AD341" i="2"/>
  <c r="AH341" i="2"/>
  <c r="AL341" i="2" s="1"/>
  <c r="AH305" i="2"/>
  <c r="AL305" i="2" s="1"/>
  <c r="AD305" i="2"/>
  <c r="AI275" i="2"/>
  <c r="AM275" i="2" s="1"/>
  <c r="AE275" i="2"/>
  <c r="AH311" i="2"/>
  <c r="AL311" i="2" s="1"/>
  <c r="AD311" i="2"/>
  <c r="AH320" i="2"/>
  <c r="AL320" i="2" s="1"/>
  <c r="AD320" i="2"/>
  <c r="AD293" i="2"/>
  <c r="AH293" i="2"/>
  <c r="AL293" i="2" s="1"/>
  <c r="AD337" i="2"/>
  <c r="AH337" i="2"/>
  <c r="AL337" i="2" s="1"/>
  <c r="AI288" i="2"/>
  <c r="AM288" i="2" s="1"/>
  <c r="AE288" i="2"/>
  <c r="AI153" i="2"/>
  <c r="AM153" i="2" s="1"/>
  <c r="AE153" i="2"/>
  <c r="AI141" i="2"/>
  <c r="AM141" i="2" s="1"/>
  <c r="AE141" i="2"/>
  <c r="AE230" i="2"/>
  <c r="AI230" i="2"/>
  <c r="AM230" i="2" s="1"/>
  <c r="AE214" i="2"/>
  <c r="AI214" i="2"/>
  <c r="AM214" i="2" s="1"/>
  <c r="AE198" i="2"/>
  <c r="AI198" i="2"/>
  <c r="AM198" i="2" s="1"/>
  <c r="AH184" i="2"/>
  <c r="AL184" i="2" s="1"/>
  <c r="AD184" i="2"/>
  <c r="AH225" i="2"/>
  <c r="AL225" i="2" s="1"/>
  <c r="AD225" i="2"/>
  <c r="AH209" i="2"/>
  <c r="AL209" i="2" s="1"/>
  <c r="AD209" i="2"/>
  <c r="AH193" i="2"/>
  <c r="AL193" i="2" s="1"/>
  <c r="AD193" i="2"/>
  <c r="AH180" i="2"/>
  <c r="AL180" i="2" s="1"/>
  <c r="AD180" i="2"/>
  <c r="AH45" i="4"/>
  <c r="AD45" i="4"/>
  <c r="AE224" i="2"/>
  <c r="AI224" i="2"/>
  <c r="AM224" i="2" s="1"/>
  <c r="AE208" i="2"/>
  <c r="AI208" i="2"/>
  <c r="AM208" i="2" s="1"/>
  <c r="AE192" i="2"/>
  <c r="AI192" i="2"/>
  <c r="AM192" i="2" s="1"/>
  <c r="AM185" i="2"/>
  <c r="AI159" i="2"/>
  <c r="AM159" i="2" s="1"/>
  <c r="AE159" i="2"/>
  <c r="AE244" i="2"/>
  <c r="AI244" i="2"/>
  <c r="AM244" i="2" s="1"/>
  <c r="AH179" i="2"/>
  <c r="AL179" i="2" s="1"/>
  <c r="AD179" i="2"/>
  <c r="AI246" i="2"/>
  <c r="AM246" i="2" s="1"/>
  <c r="AE246" i="2"/>
  <c r="AH150" i="2"/>
  <c r="AL150" i="2" s="1"/>
  <c r="AD150" i="2"/>
  <c r="AH138" i="2"/>
  <c r="AL138" i="2" s="1"/>
  <c r="AD138" i="2"/>
  <c r="AH126" i="2"/>
  <c r="AL126" i="2" s="1"/>
  <c r="AD126" i="2"/>
  <c r="AH114" i="2"/>
  <c r="AL114" i="2" s="1"/>
  <c r="AD114" i="2"/>
  <c r="AH102" i="2"/>
  <c r="AL102" i="2" s="1"/>
  <c r="AD102" i="2"/>
  <c r="AH90" i="2"/>
  <c r="AL90" i="2" s="1"/>
  <c r="AD90" i="2"/>
  <c r="AH31" i="2"/>
  <c r="AL31" i="2" s="1"/>
  <c r="AD31" i="2"/>
  <c r="AH223" i="2"/>
  <c r="AL223" i="2" s="1"/>
  <c r="AD223" i="2"/>
  <c r="AI126" i="2"/>
  <c r="AM126" i="2" s="1"/>
  <c r="AE126" i="2"/>
  <c r="AE63" i="2"/>
  <c r="AI63" i="2"/>
  <c r="AM63" i="2" s="1"/>
  <c r="AI124" i="2"/>
  <c r="AM124" i="2" s="1"/>
  <c r="AE124" i="2"/>
  <c r="AI106" i="2"/>
  <c r="AM106" i="2" s="1"/>
  <c r="AE106" i="2"/>
  <c r="AI88" i="2"/>
  <c r="AM88" i="2" s="1"/>
  <c r="AE88" i="2"/>
  <c r="AI25" i="2"/>
  <c r="AM25" i="2" s="1"/>
  <c r="AE25" i="2"/>
  <c r="AI13" i="2"/>
  <c r="AM13" i="2" s="1"/>
  <c r="AE13" i="2"/>
  <c r="AH78" i="2"/>
  <c r="AL78" i="2" s="1"/>
  <c r="AD78" i="2"/>
  <c r="AD202" i="4"/>
  <c r="AH202" i="4"/>
  <c r="AL202" i="4" s="1"/>
  <c r="AH22" i="2"/>
  <c r="AL22" i="2" s="1"/>
  <c r="AD22" i="2"/>
  <c r="AD6" i="2"/>
  <c r="AH6" i="2"/>
  <c r="AL6" i="2" s="1"/>
  <c r="AD5" i="2"/>
  <c r="AH5" i="2"/>
  <c r="AL5" i="2" s="1"/>
  <c r="AH17" i="2"/>
  <c r="AL17" i="2" s="1"/>
  <c r="AD17" i="2"/>
  <c r="AH8" i="2"/>
  <c r="AL8" i="2" s="1"/>
  <c r="AD8" i="2"/>
  <c r="AH233" i="4"/>
  <c r="AL233" i="4" s="1"/>
  <c r="AD233" i="4"/>
  <c r="AH3" i="2"/>
  <c r="AL3" i="2" s="1"/>
  <c r="AD3" i="2"/>
  <c r="AI352" i="4"/>
  <c r="AM352" i="4" s="1"/>
  <c r="AE352" i="4"/>
  <c r="AD331" i="4"/>
  <c r="AH331" i="4"/>
  <c r="AL331" i="4" s="1"/>
  <c r="AD360" i="4"/>
  <c r="AH360" i="4"/>
  <c r="AH253" i="4"/>
  <c r="AL253" i="4" s="1"/>
  <c r="AD253" i="4"/>
  <c r="AH215" i="4"/>
  <c r="AD215" i="4"/>
  <c r="AI172" i="4"/>
  <c r="AE172" i="4"/>
  <c r="AD247" i="4"/>
  <c r="AH247" i="4"/>
  <c r="AL247" i="4" s="1"/>
  <c r="AI324" i="4"/>
  <c r="AM324" i="4" s="1"/>
  <c r="AE324" i="4"/>
  <c r="AI236" i="4"/>
  <c r="AM236" i="4" s="1"/>
  <c r="AE236" i="4"/>
  <c r="AH354" i="4"/>
  <c r="AD354" i="4"/>
  <c r="AD254" i="4"/>
  <c r="AH254" i="4"/>
  <c r="AH252" i="4"/>
  <c r="AL252" i="4" s="1"/>
  <c r="AD252" i="4"/>
  <c r="AI229" i="4"/>
  <c r="AE229" i="4"/>
  <c r="AE188" i="4"/>
  <c r="AI188" i="4"/>
  <c r="AM188" i="4" s="1"/>
  <c r="AH262" i="4"/>
  <c r="AL262" i="4" s="1"/>
  <c r="AD262" i="4"/>
  <c r="AH177" i="4"/>
  <c r="AL177" i="4" s="1"/>
  <c r="AD177" i="4"/>
  <c r="AI112" i="4"/>
  <c r="AM112" i="4" s="1"/>
  <c r="AE112" i="4"/>
  <c r="AI168" i="4"/>
  <c r="AE168" i="4"/>
  <c r="AI147" i="4"/>
  <c r="AM147" i="4" s="1"/>
  <c r="AE147" i="4"/>
  <c r="AH130" i="4"/>
  <c r="AL130" i="4" s="1"/>
  <c r="AD130" i="4"/>
  <c r="AI260" i="4"/>
  <c r="AM260" i="4" s="1"/>
  <c r="AE260" i="4"/>
  <c r="AI201" i="4"/>
  <c r="AM201" i="4" s="1"/>
  <c r="AE201" i="4"/>
  <c r="AH143" i="4"/>
  <c r="AL143" i="4" s="1"/>
  <c r="AD143" i="4"/>
  <c r="AI193" i="4"/>
  <c r="AM193" i="4" s="1"/>
  <c r="AE193" i="4"/>
  <c r="AE169" i="4"/>
  <c r="AI169" i="4"/>
  <c r="AM169" i="4" s="1"/>
  <c r="AH147" i="4"/>
  <c r="AL147" i="4" s="1"/>
  <c r="AD147" i="4"/>
  <c r="AI265" i="4"/>
  <c r="AM265" i="4" s="1"/>
  <c r="AE265" i="4"/>
  <c r="AH193" i="4"/>
  <c r="AL193" i="4" s="1"/>
  <c r="AD193" i="4"/>
  <c r="AI300" i="4"/>
  <c r="AM300" i="4" s="1"/>
  <c r="AE300" i="4"/>
  <c r="AI216" i="4"/>
  <c r="AM216" i="4" s="1"/>
  <c r="AE216" i="4"/>
  <c r="AH179" i="4"/>
  <c r="AD179" i="4"/>
  <c r="AI186" i="4"/>
  <c r="AM186" i="4" s="1"/>
  <c r="AE186" i="4"/>
  <c r="AH70" i="4"/>
  <c r="AD70" i="4"/>
  <c r="AI99" i="4"/>
  <c r="AM99" i="4" s="1"/>
  <c r="AE99" i="4"/>
  <c r="AH59" i="4"/>
  <c r="AD59" i="4"/>
  <c r="AE100" i="4"/>
  <c r="AI100" i="4"/>
  <c r="AM100" i="4" s="1"/>
  <c r="AI66" i="4"/>
  <c r="AM66" i="4" s="1"/>
  <c r="AE66" i="4"/>
  <c r="AE162" i="4"/>
  <c r="AI162" i="4"/>
  <c r="AM162" i="4" s="1"/>
  <c r="AH137" i="4"/>
  <c r="AL137" i="4" s="1"/>
  <c r="AD137" i="4"/>
  <c r="AI116" i="4"/>
  <c r="AM116" i="4" s="1"/>
  <c r="AE116" i="4"/>
  <c r="AH23" i="4"/>
  <c r="AL23" i="4" s="1"/>
  <c r="AD23" i="4"/>
  <c r="AD356" i="2"/>
  <c r="AH356" i="2"/>
  <c r="AL356" i="2" s="1"/>
  <c r="AH36" i="4"/>
  <c r="AL36" i="4" s="1"/>
  <c r="AD36" i="4"/>
  <c r="AH66" i="4"/>
  <c r="AL66" i="4" s="1"/>
  <c r="AD66" i="4"/>
  <c r="AI355" i="2"/>
  <c r="AM355" i="2" s="1"/>
  <c r="AE355" i="2"/>
  <c r="AI360" i="2"/>
  <c r="AM360" i="2" s="1"/>
  <c r="AE360" i="2"/>
  <c r="AI353" i="2"/>
  <c r="AM353" i="2" s="1"/>
  <c r="AE353" i="2"/>
  <c r="AI323" i="2"/>
  <c r="AM323" i="2" s="1"/>
  <c r="AE323" i="2"/>
  <c r="AI305" i="2"/>
  <c r="AM305" i="2" s="1"/>
  <c r="AE305" i="2"/>
  <c r="AH67" i="4"/>
  <c r="AL67" i="4" s="1"/>
  <c r="AD67" i="4"/>
  <c r="AH30" i="4"/>
  <c r="AL30" i="4" s="1"/>
  <c r="AD30" i="4"/>
  <c r="AH8" i="4"/>
  <c r="AL8" i="4" s="1"/>
  <c r="AD8" i="4"/>
  <c r="AI243" i="2"/>
  <c r="AM243" i="2" s="1"/>
  <c r="AE243" i="2"/>
  <c r="AD351" i="2"/>
  <c r="AH351" i="2"/>
  <c r="AL351" i="2" s="1"/>
  <c r="AH308" i="2"/>
  <c r="AL308" i="2" s="1"/>
  <c r="AD308" i="2"/>
  <c r="AI273" i="2"/>
  <c r="AM273" i="2" s="1"/>
  <c r="AE273" i="2"/>
  <c r="AH241" i="2"/>
  <c r="AL241" i="2" s="1"/>
  <c r="AD241" i="2"/>
  <c r="AH262" i="2"/>
  <c r="AL262" i="2" s="1"/>
  <c r="AD262" i="2"/>
  <c r="AH285" i="2"/>
  <c r="AL285" i="2" s="1"/>
  <c r="AD285" i="2"/>
  <c r="AH277" i="2"/>
  <c r="AL277" i="2" s="1"/>
  <c r="AD277" i="2"/>
  <c r="AI263" i="2"/>
  <c r="AM263" i="2" s="1"/>
  <c r="AE263" i="2"/>
  <c r="AH316" i="2"/>
  <c r="AL316" i="2" s="1"/>
  <c r="AD316" i="2"/>
  <c r="AI286" i="2"/>
  <c r="AM286" i="2" s="1"/>
  <c r="AE286" i="2"/>
  <c r="AI9" i="4"/>
  <c r="AM9" i="4" s="1"/>
  <c r="AE9" i="4"/>
  <c r="AH300" i="2"/>
  <c r="AL300" i="2" s="1"/>
  <c r="AD300" i="2"/>
  <c r="AI152" i="2"/>
  <c r="AM152" i="2" s="1"/>
  <c r="AE152" i="2"/>
  <c r="AI140" i="2"/>
  <c r="AM140" i="2" s="1"/>
  <c r="AE140" i="2"/>
  <c r="AE186" i="2"/>
  <c r="AI186" i="2"/>
  <c r="AM186" i="2" s="1"/>
  <c r="AE229" i="2"/>
  <c r="AI229" i="2"/>
  <c r="AM229" i="2" s="1"/>
  <c r="AE213" i="2"/>
  <c r="AI213" i="2"/>
  <c r="AM213" i="2" s="1"/>
  <c r="AE197" i="2"/>
  <c r="AI197" i="2"/>
  <c r="AM197" i="2" s="1"/>
  <c r="AI251" i="2"/>
  <c r="AM251" i="2" s="1"/>
  <c r="AE251" i="2"/>
  <c r="AH232" i="2"/>
  <c r="AL232" i="2" s="1"/>
  <c r="AD232" i="2"/>
  <c r="AH216" i="2"/>
  <c r="AL216" i="2" s="1"/>
  <c r="AD216" i="2"/>
  <c r="AH200" i="2"/>
  <c r="AL200" i="2" s="1"/>
  <c r="AD200" i="2"/>
  <c r="AI35" i="2"/>
  <c r="AM35" i="2" s="1"/>
  <c r="AE35" i="2"/>
  <c r="AE67" i="2"/>
  <c r="AI67" i="2"/>
  <c r="AM67" i="2" s="1"/>
  <c r="AI131" i="2"/>
  <c r="AM131" i="2" s="1"/>
  <c r="AE131" i="2"/>
  <c r="AI113" i="2"/>
  <c r="AM113" i="2" s="1"/>
  <c r="AE113" i="2"/>
  <c r="AI95" i="2"/>
  <c r="AM95" i="2" s="1"/>
  <c r="AE95" i="2"/>
  <c r="AE53" i="2"/>
  <c r="AI53" i="2"/>
  <c r="AM53" i="2" s="1"/>
  <c r="AE81" i="2"/>
  <c r="AI81" i="2"/>
  <c r="AM81" i="2" s="1"/>
  <c r="AH155" i="2"/>
  <c r="AL155" i="2" s="1"/>
  <c r="AD155" i="2"/>
  <c r="AH143" i="2"/>
  <c r="AL143" i="2" s="1"/>
  <c r="AD143" i="2"/>
  <c r="AH131" i="2"/>
  <c r="AL131" i="2" s="1"/>
  <c r="AD131" i="2"/>
  <c r="AH119" i="2"/>
  <c r="AL119" i="2" s="1"/>
  <c r="AD119" i="2"/>
  <c r="AH107" i="2"/>
  <c r="AL107" i="2" s="1"/>
  <c r="AD107" i="2"/>
  <c r="AH95" i="2"/>
  <c r="AL95" i="2" s="1"/>
  <c r="AD95" i="2"/>
  <c r="AE76" i="2"/>
  <c r="AI76" i="2"/>
  <c r="AM76" i="2" s="1"/>
  <c r="AE64" i="2"/>
  <c r="AI64" i="2"/>
  <c r="AM64" i="2" s="1"/>
  <c r="AI96" i="2"/>
  <c r="AM96" i="2" s="1"/>
  <c r="AE96" i="2"/>
  <c r="AL68" i="2"/>
  <c r="AE49" i="2"/>
  <c r="AI49" i="2"/>
  <c r="AM49" i="2" s="1"/>
  <c r="AH215" i="2"/>
  <c r="AL215" i="2" s="1"/>
  <c r="AD215" i="2"/>
  <c r="AI44" i="2"/>
  <c r="AM44" i="2" s="1"/>
  <c r="AE44" i="2"/>
  <c r="AI24" i="2"/>
  <c r="AM24" i="2" s="1"/>
  <c r="AE24" i="2"/>
  <c r="AI12" i="2"/>
  <c r="AM12" i="2" s="1"/>
  <c r="AE12" i="2"/>
  <c r="AH154" i="2"/>
  <c r="AL154" i="2" s="1"/>
  <c r="AD154" i="2"/>
  <c r="AH142" i="2"/>
  <c r="AL142" i="2" s="1"/>
  <c r="AD142" i="2"/>
  <c r="AH130" i="2"/>
  <c r="AL130" i="2" s="1"/>
  <c r="AD130" i="2"/>
  <c r="AH118" i="2"/>
  <c r="AL118" i="2" s="1"/>
  <c r="AD118" i="2"/>
  <c r="AH106" i="2"/>
  <c r="AL106" i="2" s="1"/>
  <c r="AD106" i="2"/>
  <c r="AH94" i="2"/>
  <c r="AL94" i="2" s="1"/>
  <c r="AD94" i="2"/>
  <c r="AI105" i="2"/>
  <c r="AM105" i="2" s="1"/>
  <c r="AE105" i="2"/>
  <c r="AE61" i="2"/>
  <c r="AI61" i="2"/>
  <c r="AM61" i="2" s="1"/>
  <c r="AD16" i="2"/>
  <c r="AH16" i="2"/>
  <c r="AL16" i="2" s="1"/>
  <c r="AI319" i="4"/>
  <c r="AM319" i="4" s="1"/>
  <c r="AE319" i="4"/>
  <c r="AH47" i="4"/>
  <c r="AL47" i="4" s="1"/>
  <c r="AD47" i="4"/>
  <c r="AI328" i="2"/>
  <c r="AM328" i="2" s="1"/>
  <c r="AE328" i="2"/>
  <c r="AH366" i="4"/>
  <c r="AL366" i="4" s="1"/>
  <c r="AD366" i="4"/>
  <c r="AH342" i="4"/>
  <c r="AL342" i="4" s="1"/>
  <c r="AD342" i="4"/>
  <c r="AD316" i="4"/>
  <c r="AH316" i="4"/>
  <c r="AL316" i="4" s="1"/>
  <c r="AI301" i="4"/>
  <c r="AM301" i="4" s="1"/>
  <c r="AE301" i="4"/>
  <c r="AD320" i="4"/>
  <c r="AH320" i="4"/>
  <c r="AL320" i="4" s="1"/>
  <c r="AH293" i="4"/>
  <c r="AD293" i="4"/>
  <c r="AH308" i="4"/>
  <c r="AL308" i="4" s="1"/>
  <c r="AD308" i="4"/>
  <c r="AE284" i="4"/>
  <c r="AI284" i="4"/>
  <c r="AM284" i="4" s="1"/>
  <c r="AE286" i="4"/>
  <c r="AI286" i="4"/>
  <c r="AM286" i="4" s="1"/>
  <c r="AH281" i="4"/>
  <c r="AD281" i="4"/>
  <c r="AI263" i="4"/>
  <c r="AM263" i="4" s="1"/>
  <c r="AE263" i="4"/>
  <c r="AI220" i="4"/>
  <c r="AM220" i="4" s="1"/>
  <c r="AE220" i="4"/>
  <c r="AH274" i="4"/>
  <c r="AD274" i="4"/>
  <c r="AI233" i="4"/>
  <c r="AM233" i="4" s="1"/>
  <c r="AE233" i="4"/>
  <c r="AD298" i="4"/>
  <c r="AH298" i="4"/>
  <c r="AI228" i="4"/>
  <c r="AM228" i="4" s="1"/>
  <c r="AE228" i="4"/>
  <c r="AH228" i="4"/>
  <c r="AL228" i="4" s="1"/>
  <c r="AD228" i="4"/>
  <c r="AI244" i="4"/>
  <c r="AM244" i="4" s="1"/>
  <c r="AE244" i="4"/>
  <c r="AH307" i="4"/>
  <c r="AL307" i="4" s="1"/>
  <c r="AD307" i="4"/>
  <c r="AI271" i="4"/>
  <c r="AM271" i="4" s="1"/>
  <c r="AE271" i="4"/>
  <c r="AD171" i="4"/>
  <c r="AH171" i="4"/>
  <c r="AL171" i="4" s="1"/>
  <c r="AH102" i="4"/>
  <c r="AD102" i="4"/>
  <c r="AH212" i="4"/>
  <c r="AL212" i="4" s="1"/>
  <c r="AD212" i="4"/>
  <c r="AH192" i="4"/>
  <c r="AL192" i="4" s="1"/>
  <c r="AD192" i="4"/>
  <c r="AH123" i="4"/>
  <c r="AD123" i="4"/>
  <c r="AI173" i="4"/>
  <c r="AM173" i="4" s="1"/>
  <c r="AE173" i="4"/>
  <c r="AH176" i="4"/>
  <c r="AD176" i="4"/>
  <c r="AE205" i="4"/>
  <c r="AI205" i="4"/>
  <c r="AM205" i="4" s="1"/>
  <c r="AE138" i="4"/>
  <c r="AI138" i="4"/>
  <c r="AI125" i="4"/>
  <c r="AE125" i="4"/>
  <c r="AI58" i="4"/>
  <c r="AM58" i="4" s="1"/>
  <c r="AE58" i="4"/>
  <c r="AI76" i="4"/>
  <c r="AM76" i="4" s="1"/>
  <c r="AE76" i="4"/>
  <c r="AH87" i="4"/>
  <c r="AD87" i="4"/>
  <c r="AH48" i="4"/>
  <c r="AL48" i="4" s="1"/>
  <c r="AD48" i="4"/>
  <c r="AH290" i="2"/>
  <c r="AL290" i="2" s="1"/>
  <c r="AD290" i="2"/>
  <c r="AI54" i="4"/>
  <c r="AM54" i="4" s="1"/>
  <c r="AE54" i="4"/>
  <c r="AD342" i="2"/>
  <c r="AH342" i="2"/>
  <c r="AL342" i="2" s="1"/>
  <c r="AI319" i="2"/>
  <c r="AM319" i="2" s="1"/>
  <c r="AE319" i="2"/>
  <c r="AI299" i="2"/>
  <c r="AM299" i="2" s="1"/>
  <c r="AE299" i="2"/>
  <c r="AH29" i="4"/>
  <c r="AL29" i="4" s="1"/>
  <c r="AD29" i="4"/>
  <c r="AI3" i="4"/>
  <c r="AM3" i="4" s="1"/>
  <c r="AE3" i="4"/>
  <c r="AD335" i="2"/>
  <c r="AH335" i="2"/>
  <c r="AL335" i="2" s="1"/>
  <c r="AI365" i="2"/>
  <c r="AM365" i="2" s="1"/>
  <c r="AE365" i="2"/>
  <c r="AD331" i="2"/>
  <c r="AH331" i="2"/>
  <c r="AL331" i="2" s="1"/>
  <c r="AI339" i="2"/>
  <c r="AM339" i="2" s="1"/>
  <c r="AE339" i="2"/>
  <c r="AD83" i="4"/>
  <c r="AH83" i="4"/>
  <c r="AL83" i="4" s="1"/>
  <c r="AI50" i="4"/>
  <c r="AM50" i="4" s="1"/>
  <c r="AE50" i="4"/>
  <c r="AH282" i="2"/>
  <c r="AL282" i="2" s="1"/>
  <c r="AD282" i="2"/>
  <c r="AH274" i="2"/>
  <c r="AL274" i="2" s="1"/>
  <c r="AD274" i="2"/>
  <c r="AH261" i="2"/>
  <c r="AL261" i="2" s="1"/>
  <c r="AD261" i="2"/>
  <c r="AI271" i="2"/>
  <c r="AM271" i="2" s="1"/>
  <c r="AE271" i="2"/>
  <c r="AH327" i="2"/>
  <c r="AL327" i="2" s="1"/>
  <c r="AD327" i="2"/>
  <c r="AD345" i="2"/>
  <c r="AH345" i="2"/>
  <c r="AL345" i="2" s="1"/>
  <c r="AH307" i="2"/>
  <c r="AL307" i="2" s="1"/>
  <c r="AD307" i="2"/>
  <c r="AH260" i="2"/>
  <c r="AL260" i="2" s="1"/>
  <c r="AD260" i="2"/>
  <c r="AI295" i="2"/>
  <c r="AM295" i="2" s="1"/>
  <c r="AE295" i="2"/>
  <c r="AI284" i="2"/>
  <c r="AM284" i="2" s="1"/>
  <c r="AE284" i="2"/>
  <c r="AD329" i="2"/>
  <c r="AH329" i="2"/>
  <c r="AL329" i="2" s="1"/>
  <c r="AI258" i="2"/>
  <c r="AM258" i="2" s="1"/>
  <c r="AE258" i="2"/>
  <c r="AI151" i="2"/>
  <c r="AM151" i="2" s="1"/>
  <c r="AE151" i="2"/>
  <c r="AH226" i="2"/>
  <c r="AL226" i="2" s="1"/>
  <c r="AD226" i="2"/>
  <c r="AH210" i="2"/>
  <c r="AL210" i="2" s="1"/>
  <c r="AD210" i="2"/>
  <c r="AH194" i="2"/>
  <c r="AL194" i="2" s="1"/>
  <c r="AD194" i="2"/>
  <c r="AI162" i="2"/>
  <c r="AM162" i="2" s="1"/>
  <c r="AE162" i="2"/>
  <c r="AE252" i="2"/>
  <c r="AI252" i="2"/>
  <c r="AM252" i="2" s="1"/>
  <c r="AE183" i="2"/>
  <c r="AI183" i="2"/>
  <c r="AM183" i="2" s="1"/>
  <c r="AI242" i="2"/>
  <c r="AM242" i="2" s="1"/>
  <c r="AE242" i="2"/>
  <c r="AM182" i="2"/>
  <c r="AD339" i="2"/>
  <c r="AH339" i="2"/>
  <c r="AL339" i="2" s="1"/>
  <c r="AE223" i="2"/>
  <c r="AI223" i="2"/>
  <c r="AM223" i="2" s="1"/>
  <c r="AE207" i="2"/>
  <c r="AI207" i="2"/>
  <c r="AM207" i="2" s="1"/>
  <c r="AE191" i="2"/>
  <c r="AI191" i="2"/>
  <c r="AM191" i="2" s="1"/>
  <c r="AH195" i="2"/>
  <c r="AL195" i="2" s="1"/>
  <c r="AD195" i="2"/>
  <c r="AI42" i="2"/>
  <c r="AM42" i="2" s="1"/>
  <c r="AE42" i="2"/>
  <c r="AI114" i="2"/>
  <c r="AM114" i="2" s="1"/>
  <c r="AE114" i="2"/>
  <c r="AE59" i="2"/>
  <c r="AI59" i="2"/>
  <c r="AM59" i="2" s="1"/>
  <c r="AI43" i="2"/>
  <c r="AM43" i="2" s="1"/>
  <c r="AE43" i="2"/>
  <c r="AH81" i="2"/>
  <c r="AL81" i="2" s="1"/>
  <c r="AD81" i="2"/>
  <c r="AI139" i="2"/>
  <c r="AM139" i="2" s="1"/>
  <c r="AE139" i="2"/>
  <c r="AI121" i="2"/>
  <c r="AM121" i="2" s="1"/>
  <c r="AE121" i="2"/>
  <c r="AI103" i="2"/>
  <c r="AM103" i="2" s="1"/>
  <c r="AE103" i="2"/>
  <c r="AE78" i="2"/>
  <c r="AI78" i="2"/>
  <c r="AM78" i="2" s="1"/>
  <c r="AI23" i="2"/>
  <c r="AM23" i="2" s="1"/>
  <c r="AE23" i="2"/>
  <c r="AI11" i="2"/>
  <c r="AM11" i="2" s="1"/>
  <c r="AE11" i="2"/>
  <c r="AE52" i="2"/>
  <c r="AI52" i="2"/>
  <c r="AM52" i="2" s="1"/>
  <c r="AH11" i="2"/>
  <c r="AL11" i="2" s="1"/>
  <c r="AD11" i="2"/>
  <c r="AH15" i="2"/>
  <c r="AL15" i="2" s="1"/>
  <c r="AD15" i="2"/>
  <c r="AH313" i="4"/>
  <c r="AL313" i="4" s="1"/>
  <c r="AD313" i="4"/>
  <c r="AE255" i="4"/>
  <c r="AI255" i="4"/>
  <c r="AI259" i="4"/>
  <c r="AM259" i="4" s="1"/>
  <c r="AE259" i="4"/>
  <c r="AH163" i="4"/>
  <c r="AL163" i="4" s="1"/>
  <c r="AD163" i="4"/>
  <c r="AI82" i="4"/>
  <c r="AM82" i="4" s="1"/>
  <c r="AE82" i="4"/>
  <c r="AH303" i="2"/>
  <c r="AL303" i="2" s="1"/>
  <c r="AD303" i="2"/>
  <c r="AI350" i="2"/>
  <c r="AM350" i="2" s="1"/>
  <c r="AE350" i="2"/>
  <c r="AE60" i="4"/>
  <c r="AI60" i="4"/>
  <c r="AM60" i="4" s="1"/>
  <c r="AI346" i="2"/>
  <c r="AM346" i="2" s="1"/>
  <c r="AE346" i="2"/>
  <c r="AH278" i="2"/>
  <c r="AL278" i="2" s="1"/>
  <c r="AD278" i="2"/>
  <c r="AD364" i="2"/>
  <c r="AH364" i="2"/>
  <c r="AL364" i="2" s="1"/>
  <c r="AH218" i="2"/>
  <c r="AL218" i="2" s="1"/>
  <c r="AD218" i="2"/>
  <c r="AE231" i="2"/>
  <c r="AI231" i="2"/>
  <c r="AM231" i="2" s="1"/>
  <c r="AH219" i="2"/>
  <c r="AL219" i="2" s="1"/>
  <c r="AD219" i="2"/>
  <c r="AE79" i="2"/>
  <c r="AI79" i="2"/>
  <c r="AM79" i="2" s="1"/>
  <c r="AE65" i="2"/>
  <c r="AI65" i="2"/>
  <c r="AM65" i="2" s="1"/>
  <c r="AH166" i="2"/>
  <c r="AL166" i="2" s="1"/>
  <c r="AD166" i="2"/>
  <c r="AI17" i="2"/>
  <c r="AM17" i="2" s="1"/>
  <c r="AE17" i="2"/>
  <c r="AI36" i="2"/>
  <c r="AM36" i="2" s="1"/>
  <c r="AE36" i="2"/>
  <c r="AI313" i="4"/>
  <c r="AM313" i="4" s="1"/>
  <c r="AE313" i="4"/>
  <c r="AI355" i="4"/>
  <c r="AM355" i="4" s="1"/>
  <c r="AE355" i="4"/>
  <c r="AH358" i="4"/>
  <c r="AL358" i="4" s="1"/>
  <c r="AD358" i="4"/>
  <c r="AE341" i="4"/>
  <c r="AI341" i="4"/>
  <c r="AM341" i="4" s="1"/>
  <c r="AI350" i="4"/>
  <c r="AE350" i="4"/>
  <c r="AH345" i="4"/>
  <c r="AL345" i="4" s="1"/>
  <c r="AD345" i="4"/>
  <c r="AI304" i="4"/>
  <c r="AE304" i="4"/>
  <c r="AH291" i="4"/>
  <c r="AL291" i="4" s="1"/>
  <c r="AD291" i="4"/>
  <c r="AH302" i="4"/>
  <c r="AL302" i="4" s="1"/>
  <c r="AD302" i="4"/>
  <c r="AE275" i="4"/>
  <c r="AI275" i="4"/>
  <c r="AH351" i="4"/>
  <c r="AL351" i="4" s="1"/>
  <c r="AD351" i="4"/>
  <c r="AI283" i="4"/>
  <c r="AM283" i="4" s="1"/>
  <c r="AE283" i="4"/>
  <c r="AI326" i="4"/>
  <c r="AM326" i="4" s="1"/>
  <c r="AE326" i="4"/>
  <c r="AE239" i="4"/>
  <c r="AI239" i="4"/>
  <c r="AM239" i="4" s="1"/>
  <c r="AI222" i="4"/>
  <c r="AM222" i="4" s="1"/>
  <c r="AE222" i="4"/>
  <c r="AE309" i="4"/>
  <c r="AI309" i="4"/>
  <c r="AM309" i="4" s="1"/>
  <c r="AH264" i="4"/>
  <c r="AL264" i="4" s="1"/>
  <c r="AD264" i="4"/>
  <c r="AH182" i="4"/>
  <c r="AD182" i="4"/>
  <c r="AH226" i="4"/>
  <c r="AL226" i="4" s="1"/>
  <c r="AD226" i="4"/>
  <c r="AE257" i="4"/>
  <c r="AI257" i="4"/>
  <c r="AI217" i="4"/>
  <c r="AM217" i="4" s="1"/>
  <c r="AE217" i="4"/>
  <c r="AI141" i="4"/>
  <c r="AM141" i="4" s="1"/>
  <c r="AE141" i="4"/>
  <c r="AI122" i="4"/>
  <c r="AE122" i="4"/>
  <c r="AD142" i="4"/>
  <c r="AH142" i="4"/>
  <c r="AL142" i="4" s="1"/>
  <c r="AD234" i="4"/>
  <c r="AH234" i="4"/>
  <c r="AL234" i="4" s="1"/>
  <c r="AH170" i="4"/>
  <c r="AD170" i="4"/>
  <c r="AH42" i="4"/>
  <c r="AL42" i="4" s="1"/>
  <c r="AD42" i="4"/>
  <c r="AI121" i="4"/>
  <c r="AM121" i="4" s="1"/>
  <c r="AE121" i="4"/>
  <c r="AH161" i="4"/>
  <c r="AD161" i="4"/>
  <c r="AH166" i="4"/>
  <c r="AD166" i="4"/>
  <c r="AD117" i="4"/>
  <c r="AH117" i="4"/>
  <c r="AH52" i="4"/>
  <c r="AD52" i="4"/>
  <c r="AH62" i="4"/>
  <c r="AD62" i="4"/>
  <c r="AI128" i="4"/>
  <c r="AM128" i="4" s="1"/>
  <c r="AE128" i="4"/>
  <c r="AI105" i="4"/>
  <c r="AM105" i="4" s="1"/>
  <c r="AE105" i="4"/>
  <c r="AH116" i="4"/>
  <c r="AD116" i="4"/>
  <c r="AD105" i="4"/>
  <c r="AH105" i="4"/>
  <c r="AL105" i="4" s="1"/>
  <c r="AH86" i="4"/>
  <c r="AL86" i="4" s="1"/>
  <c r="AD86" i="4"/>
  <c r="AH77" i="4"/>
  <c r="AL77" i="4" s="1"/>
  <c r="AD77" i="4"/>
  <c r="AI103" i="4"/>
  <c r="AM103" i="4" s="1"/>
  <c r="AE103" i="4"/>
  <c r="AH61" i="4"/>
  <c r="AL61" i="4" s="1"/>
  <c r="AD61" i="4"/>
  <c r="AH38" i="4"/>
  <c r="AL38" i="4" s="1"/>
  <c r="AD38" i="4"/>
  <c r="AH9" i="4"/>
  <c r="AD9" i="4"/>
  <c r="AI347" i="2"/>
  <c r="AM347" i="2" s="1"/>
  <c r="AE347" i="2"/>
  <c r="AI292" i="2"/>
  <c r="AM292" i="2" s="1"/>
  <c r="AE292" i="2"/>
  <c r="AH13" i="4"/>
  <c r="AD13" i="4"/>
  <c r="AI352" i="2"/>
  <c r="AM352" i="2" s="1"/>
  <c r="AE352" i="2"/>
  <c r="AH31" i="4"/>
  <c r="AL31" i="4" s="1"/>
  <c r="AD31" i="4"/>
  <c r="AI17" i="4"/>
  <c r="AM17" i="4" s="1"/>
  <c r="AE17" i="4"/>
  <c r="AH54" i="4"/>
  <c r="AL54" i="4" s="1"/>
  <c r="AD54" i="4"/>
  <c r="AE14" i="4"/>
  <c r="AI14" i="4"/>
  <c r="AM14" i="4" s="1"/>
  <c r="AI343" i="2"/>
  <c r="AM343" i="2" s="1"/>
  <c r="AE343" i="2"/>
  <c r="AD357" i="2"/>
  <c r="AH357" i="2"/>
  <c r="AL357" i="2" s="1"/>
  <c r="AD39" i="4"/>
  <c r="AH39" i="4"/>
  <c r="AD14" i="4"/>
  <c r="AH14" i="4"/>
  <c r="AL14" i="4" s="1"/>
  <c r="AD350" i="2"/>
  <c r="AH350" i="2"/>
  <c r="AL350" i="2" s="1"/>
  <c r="AI320" i="2"/>
  <c r="AM320" i="2" s="1"/>
  <c r="AE320" i="2"/>
  <c r="AI301" i="2"/>
  <c r="AM301" i="2" s="1"/>
  <c r="AE301" i="2"/>
  <c r="AI30" i="4"/>
  <c r="AM30" i="4" s="1"/>
  <c r="AE30" i="4"/>
  <c r="AD7" i="4"/>
  <c r="AH7" i="4"/>
  <c r="AD349" i="2"/>
  <c r="AH349" i="2"/>
  <c r="AL349" i="2" s="1"/>
  <c r="AI302" i="2"/>
  <c r="AM302" i="2" s="1"/>
  <c r="AE302" i="2"/>
  <c r="AI348" i="2"/>
  <c r="AM348" i="2" s="1"/>
  <c r="AE348" i="2"/>
  <c r="AI294" i="2"/>
  <c r="AM294" i="2" s="1"/>
  <c r="AE294" i="2"/>
  <c r="AD239" i="2"/>
  <c r="AH239" i="2"/>
  <c r="AL239" i="2" s="1"/>
  <c r="AD333" i="2"/>
  <c r="AH333" i="2"/>
  <c r="AL333" i="2" s="1"/>
  <c r="AI296" i="2"/>
  <c r="AM296" i="2" s="1"/>
  <c r="AE296" i="2"/>
  <c r="AH294" i="2"/>
  <c r="AL294" i="2" s="1"/>
  <c r="AD294" i="2"/>
  <c r="AI269" i="2"/>
  <c r="AM269" i="2" s="1"/>
  <c r="AE269" i="2"/>
  <c r="AD25" i="4"/>
  <c r="AH25" i="4"/>
  <c r="AL25" i="4" s="1"/>
  <c r="AI291" i="2"/>
  <c r="AM291" i="2" s="1"/>
  <c r="AE291" i="2"/>
  <c r="AH310" i="2"/>
  <c r="AL310" i="2" s="1"/>
  <c r="AD310" i="2"/>
  <c r="AH323" i="2"/>
  <c r="AL323" i="2" s="1"/>
  <c r="AD323" i="2"/>
  <c r="AI282" i="2"/>
  <c r="AM282" i="2" s="1"/>
  <c r="AE282" i="2"/>
  <c r="AE248" i="2"/>
  <c r="AI248" i="2"/>
  <c r="AM248" i="2" s="1"/>
  <c r="AI150" i="2"/>
  <c r="AM150" i="2" s="1"/>
  <c r="AE150" i="2"/>
  <c r="AE226" i="2"/>
  <c r="AI226" i="2"/>
  <c r="AM226" i="2" s="1"/>
  <c r="AE210" i="2"/>
  <c r="AI210" i="2"/>
  <c r="AM210" i="2" s="1"/>
  <c r="AE194" i="2"/>
  <c r="AI194" i="2"/>
  <c r="AM194" i="2" s="1"/>
  <c r="AH181" i="2"/>
  <c r="AL181" i="2" s="1"/>
  <c r="AD181" i="2"/>
  <c r="AE180" i="2"/>
  <c r="AI180" i="2"/>
  <c r="AM180" i="2" s="1"/>
  <c r="AE240" i="2"/>
  <c r="AI240" i="2"/>
  <c r="AM240" i="2" s="1"/>
  <c r="AH221" i="2"/>
  <c r="AL221" i="2" s="1"/>
  <c r="AD221" i="2"/>
  <c r="AH205" i="2"/>
  <c r="AL205" i="2" s="1"/>
  <c r="AD205" i="2"/>
  <c r="AH189" i="2"/>
  <c r="AL189" i="2" s="1"/>
  <c r="AD189" i="2"/>
  <c r="AH177" i="2"/>
  <c r="AL177" i="2" s="1"/>
  <c r="AD177" i="2"/>
  <c r="AI266" i="2"/>
  <c r="AM266" i="2" s="1"/>
  <c r="AE266" i="2"/>
  <c r="AE220" i="2"/>
  <c r="AI220" i="2"/>
  <c r="AM220" i="2" s="1"/>
  <c r="AE204" i="2"/>
  <c r="AI204" i="2"/>
  <c r="AM204" i="2" s="1"/>
  <c r="AH188" i="2"/>
  <c r="AL188" i="2" s="1"/>
  <c r="AD188" i="2"/>
  <c r="AH176" i="2"/>
  <c r="AL176" i="2" s="1"/>
  <c r="AD176" i="2"/>
  <c r="AH156" i="2"/>
  <c r="AL156" i="2" s="1"/>
  <c r="AD156" i="2"/>
  <c r="AH147" i="2"/>
  <c r="AL147" i="2" s="1"/>
  <c r="AD147" i="2"/>
  <c r="AH135" i="2"/>
  <c r="AL135" i="2" s="1"/>
  <c r="AD135" i="2"/>
  <c r="AH123" i="2"/>
  <c r="AL123" i="2" s="1"/>
  <c r="AD123" i="2"/>
  <c r="AH111" i="2"/>
  <c r="AL111" i="2" s="1"/>
  <c r="AD111" i="2"/>
  <c r="AH99" i="2"/>
  <c r="AL99" i="2" s="1"/>
  <c r="AD99" i="2"/>
  <c r="AH87" i="2"/>
  <c r="AL87" i="2" s="1"/>
  <c r="AD87" i="2"/>
  <c r="AI129" i="2"/>
  <c r="AM129" i="2" s="1"/>
  <c r="AE129" i="2"/>
  <c r="AH256" i="2"/>
  <c r="AL256" i="2" s="1"/>
  <c r="AD256" i="2"/>
  <c r="AI128" i="2"/>
  <c r="AM128" i="2" s="1"/>
  <c r="AE128" i="2"/>
  <c r="AI110" i="2"/>
  <c r="AM110" i="2" s="1"/>
  <c r="AE110" i="2"/>
  <c r="AI92" i="2"/>
  <c r="AM92" i="2" s="1"/>
  <c r="AE92" i="2"/>
  <c r="AH211" i="2"/>
  <c r="AL211" i="2" s="1"/>
  <c r="AD211" i="2"/>
  <c r="AH79" i="2"/>
  <c r="AL79" i="2" s="1"/>
  <c r="AD79" i="2"/>
  <c r="AE83" i="2"/>
  <c r="AI83" i="2"/>
  <c r="AM83" i="2" s="1"/>
  <c r="AE74" i="2"/>
  <c r="AI74" i="2"/>
  <c r="AM74" i="2" s="1"/>
  <c r="AE62" i="2"/>
  <c r="AI62" i="2"/>
  <c r="AM62" i="2" s="1"/>
  <c r="AH157" i="2"/>
  <c r="AL157" i="2" s="1"/>
  <c r="AD157" i="2"/>
  <c r="AH43" i="2"/>
  <c r="AL43" i="2" s="1"/>
  <c r="AD43" i="2"/>
  <c r="AI22" i="2"/>
  <c r="AM22" i="2" s="1"/>
  <c r="AE22" i="2"/>
  <c r="AI10" i="2"/>
  <c r="AM10" i="2" s="1"/>
  <c r="AE10" i="2"/>
  <c r="AH162" i="2"/>
  <c r="AL162" i="2" s="1"/>
  <c r="AD162" i="2"/>
  <c r="AI99" i="2"/>
  <c r="AM99" i="2" s="1"/>
  <c r="AE99" i="2"/>
  <c r="AE57" i="2"/>
  <c r="AI57" i="2"/>
  <c r="AM57" i="2" s="1"/>
  <c r="AH18" i="2"/>
  <c r="AL18" i="2" s="1"/>
  <c r="AD18" i="2"/>
  <c r="AI32" i="2"/>
  <c r="AM32" i="2" s="1"/>
  <c r="AE32" i="2"/>
  <c r="AE34" i="2"/>
  <c r="AI34" i="2"/>
  <c r="AM34" i="2" s="1"/>
  <c r="AH9" i="2"/>
  <c r="AL9" i="2" s="1"/>
  <c r="AD9" i="2"/>
  <c r="AI31" i="2"/>
  <c r="AM31" i="2" s="1"/>
  <c r="AE31" i="2"/>
  <c r="AH287" i="4"/>
  <c r="AD287" i="4"/>
  <c r="AE232" i="4"/>
  <c r="AI232" i="4"/>
  <c r="AI126" i="4"/>
  <c r="AM126" i="4" s="1"/>
  <c r="AE126" i="4"/>
  <c r="AH158" i="4"/>
  <c r="AL158" i="4" s="1"/>
  <c r="AD158" i="4"/>
  <c r="AD181" i="4"/>
  <c r="AH181" i="4"/>
  <c r="AI330" i="2"/>
  <c r="AM330" i="2" s="1"/>
  <c r="AE330" i="2"/>
  <c r="AE26" i="4"/>
  <c r="AI26" i="4"/>
  <c r="AM26" i="4" s="1"/>
  <c r="AH286" i="2"/>
  <c r="AL286" i="2" s="1"/>
  <c r="AD286" i="2"/>
  <c r="AI337" i="2"/>
  <c r="AM337" i="2" s="1"/>
  <c r="AE337" i="2"/>
  <c r="AI290" i="2"/>
  <c r="AM290" i="2" s="1"/>
  <c r="AE290" i="2"/>
  <c r="AI315" i="2"/>
  <c r="AM315" i="2" s="1"/>
  <c r="AE315" i="2"/>
  <c r="AI93" i="2"/>
  <c r="AM93" i="2" s="1"/>
  <c r="AE93" i="2"/>
  <c r="AH163" i="2"/>
  <c r="AL163" i="2" s="1"/>
  <c r="AD163" i="2"/>
  <c r="AE54" i="2"/>
  <c r="AI54" i="2"/>
  <c r="AM54" i="2" s="1"/>
  <c r="AI132" i="2"/>
  <c r="AM132" i="2" s="1"/>
  <c r="AE132" i="2"/>
  <c r="AD27" i="2"/>
  <c r="AH27" i="2"/>
  <c r="AL27" i="2" s="1"/>
  <c r="AH305" i="4"/>
  <c r="AD305" i="4"/>
  <c r="AI292" i="4"/>
  <c r="AE292" i="4"/>
  <c r="AI361" i="4"/>
  <c r="AE361" i="4"/>
  <c r="AI357" i="4"/>
  <c r="AM357" i="4" s="1"/>
  <c r="AE357" i="4"/>
  <c r="AI330" i="4"/>
  <c r="AM330" i="4" s="1"/>
  <c r="AE330" i="4"/>
  <c r="AH284" i="4"/>
  <c r="AL284" i="4" s="1"/>
  <c r="AD284" i="4"/>
  <c r="AE291" i="4"/>
  <c r="AI291" i="4"/>
  <c r="AM291" i="4" s="1"/>
  <c r="AI311" i="4"/>
  <c r="AE311" i="4"/>
  <c r="AI343" i="4"/>
  <c r="AM343" i="4" s="1"/>
  <c r="AE343" i="4"/>
  <c r="AE303" i="4"/>
  <c r="AI303" i="4"/>
  <c r="AI348" i="4"/>
  <c r="AM348" i="4" s="1"/>
  <c r="AE348" i="4"/>
  <c r="AD327" i="4"/>
  <c r="AH327" i="4"/>
  <c r="AL327" i="4" s="1"/>
  <c r="AI358" i="4"/>
  <c r="AM358" i="4" s="1"/>
  <c r="AE358" i="4"/>
  <c r="AE349" i="4"/>
  <c r="AI349" i="4"/>
  <c r="AD241" i="4"/>
  <c r="AH241" i="4"/>
  <c r="AI269" i="4"/>
  <c r="AM269" i="4" s="1"/>
  <c r="AE269" i="4"/>
  <c r="AI258" i="4"/>
  <c r="AM258" i="4" s="1"/>
  <c r="AE258" i="4"/>
  <c r="AH219" i="4"/>
  <c r="AD219" i="4"/>
  <c r="AI267" i="4"/>
  <c r="AE267" i="4"/>
  <c r="AD272" i="4"/>
  <c r="AH272" i="4"/>
  <c r="AI252" i="4"/>
  <c r="AM252" i="4" s="1"/>
  <c r="AE252" i="4"/>
  <c r="AH208" i="4"/>
  <c r="AD208" i="4"/>
  <c r="AH246" i="4"/>
  <c r="AD246" i="4"/>
  <c r="AE177" i="4"/>
  <c r="AI177" i="4"/>
  <c r="AM177" i="4" s="1"/>
  <c r="AH194" i="4"/>
  <c r="AD194" i="4"/>
  <c r="AE140" i="4"/>
  <c r="AI140" i="4"/>
  <c r="AM140" i="4" s="1"/>
  <c r="AI145" i="4"/>
  <c r="AE145" i="4"/>
  <c r="AI247" i="4"/>
  <c r="AM247" i="4" s="1"/>
  <c r="AE247" i="4"/>
  <c r="AH187" i="4"/>
  <c r="AL187" i="4" s="1"/>
  <c r="AD187" i="4"/>
  <c r="AH245" i="4"/>
  <c r="AD245" i="4"/>
  <c r="AH190" i="4"/>
  <c r="AD190" i="4"/>
  <c r="AH164" i="4"/>
  <c r="AL164" i="4" s="1"/>
  <c r="AD164" i="4"/>
  <c r="AI152" i="4"/>
  <c r="AM152" i="4" s="1"/>
  <c r="AE152" i="4"/>
  <c r="AH183" i="4"/>
  <c r="AD183" i="4"/>
  <c r="AI107" i="4"/>
  <c r="AE107" i="4"/>
  <c r="AH28" i="4"/>
  <c r="AD28" i="4"/>
  <c r="AH98" i="4"/>
  <c r="AD98" i="4"/>
  <c r="AI47" i="4"/>
  <c r="AM47" i="4" s="1"/>
  <c r="AE47" i="4"/>
  <c r="AE92" i="4"/>
  <c r="AI92" i="4"/>
  <c r="AE81" i="4"/>
  <c r="AI81" i="4"/>
  <c r="AM81" i="4" s="1"/>
  <c r="AE89" i="4"/>
  <c r="AI89" i="4"/>
  <c r="AM89" i="4" s="1"/>
  <c r="AH134" i="4"/>
  <c r="AD134" i="4"/>
  <c r="AD81" i="4"/>
  <c r="AH81" i="4"/>
  <c r="AL81" i="4" s="1"/>
  <c r="AD131" i="4"/>
  <c r="AH131" i="4"/>
  <c r="AI342" i="2"/>
  <c r="AM342" i="2" s="1"/>
  <c r="AE342" i="2"/>
  <c r="AH56" i="4"/>
  <c r="AL56" i="4" s="1"/>
  <c r="AD56" i="4"/>
  <c r="AH33" i="4"/>
  <c r="AD33" i="4"/>
  <c r="AI333" i="2"/>
  <c r="AM333" i="2" s="1"/>
  <c r="AE333" i="2"/>
  <c r="AI316" i="2"/>
  <c r="AM316" i="2" s="1"/>
  <c r="AE316" i="2"/>
  <c r="AI362" i="2"/>
  <c r="AM362" i="2" s="1"/>
  <c r="AE362" i="2"/>
  <c r="AI129" i="4"/>
  <c r="AM129" i="4" s="1"/>
  <c r="AE129" i="4"/>
  <c r="AH49" i="4"/>
  <c r="AD49" i="4"/>
  <c r="AI11" i="4"/>
  <c r="AE11" i="4"/>
  <c r="AI42" i="4"/>
  <c r="AM42" i="4" s="1"/>
  <c r="AE42" i="4"/>
  <c r="AH22" i="4"/>
  <c r="AD22" i="4"/>
  <c r="AI358" i="2"/>
  <c r="AM358" i="2" s="1"/>
  <c r="AE358" i="2"/>
  <c r="AI25" i="4"/>
  <c r="AM25" i="4" s="1"/>
  <c r="AE25" i="4"/>
  <c r="AH35" i="4"/>
  <c r="AD35" i="4"/>
  <c r="AD348" i="2"/>
  <c r="AH348" i="2"/>
  <c r="AL348" i="2" s="1"/>
  <c r="AI267" i="2"/>
  <c r="AM267" i="2" s="1"/>
  <c r="AE267" i="2"/>
  <c r="AD291" i="2"/>
  <c r="AH291" i="2"/>
  <c r="AL291" i="2" s="1"/>
  <c r="AH283" i="2"/>
  <c r="AL283" i="2" s="1"/>
  <c r="AD283" i="2"/>
  <c r="AH275" i="2"/>
  <c r="AL275" i="2" s="1"/>
  <c r="AD275" i="2"/>
  <c r="AI309" i="2"/>
  <c r="AM309" i="2" s="1"/>
  <c r="AE309" i="2"/>
  <c r="AI280" i="2"/>
  <c r="AM280" i="2" s="1"/>
  <c r="AE280" i="2"/>
  <c r="AD295" i="2"/>
  <c r="AH295" i="2"/>
  <c r="AL295" i="2" s="1"/>
  <c r="AI149" i="2"/>
  <c r="AM149" i="2" s="1"/>
  <c r="AE149" i="2"/>
  <c r="AI250" i="2"/>
  <c r="AM250" i="2" s="1"/>
  <c r="AE250" i="2"/>
  <c r="AI156" i="2"/>
  <c r="AM156" i="2" s="1"/>
  <c r="AE156" i="2"/>
  <c r="AE177" i="2"/>
  <c r="AI177" i="2"/>
  <c r="AM177" i="2" s="1"/>
  <c r="AD243" i="2"/>
  <c r="AH243" i="2"/>
  <c r="AL243" i="2" s="1"/>
  <c r="AE225" i="2"/>
  <c r="AI225" i="2"/>
  <c r="AM225" i="2" s="1"/>
  <c r="AE209" i="2"/>
  <c r="AI209" i="2"/>
  <c r="AM209" i="2" s="1"/>
  <c r="AE193" i="2"/>
  <c r="AI193" i="2"/>
  <c r="AM193" i="2" s="1"/>
  <c r="AE63" i="4"/>
  <c r="AI63" i="4"/>
  <c r="AM63" i="4" s="1"/>
  <c r="AH228" i="2"/>
  <c r="AL228" i="2" s="1"/>
  <c r="AD228" i="2"/>
  <c r="AH212" i="2"/>
  <c r="AL212" i="2" s="1"/>
  <c r="AD212" i="2"/>
  <c r="AH196" i="2"/>
  <c r="AL196" i="2" s="1"/>
  <c r="AD196" i="2"/>
  <c r="AL71" i="2"/>
  <c r="AL59" i="2"/>
  <c r="AI108" i="2"/>
  <c r="AM108" i="2" s="1"/>
  <c r="AE108" i="2"/>
  <c r="AH152" i="2"/>
  <c r="AL152" i="2" s="1"/>
  <c r="AD152" i="2"/>
  <c r="AH140" i="2"/>
  <c r="AL140" i="2" s="1"/>
  <c r="AD140" i="2"/>
  <c r="AH128" i="2"/>
  <c r="AL128" i="2" s="1"/>
  <c r="AD128" i="2"/>
  <c r="AH116" i="2"/>
  <c r="AL116" i="2" s="1"/>
  <c r="AD116" i="2"/>
  <c r="AH104" i="2"/>
  <c r="AL104" i="2" s="1"/>
  <c r="AD104" i="2"/>
  <c r="AH92" i="2"/>
  <c r="AL92" i="2" s="1"/>
  <c r="AD92" i="2"/>
  <c r="AH42" i="2"/>
  <c r="AL42" i="2" s="1"/>
  <c r="AD42" i="2"/>
  <c r="AI136" i="2"/>
  <c r="AM136" i="2" s="1"/>
  <c r="AE136" i="2"/>
  <c r="AI118" i="2"/>
  <c r="AM118" i="2" s="1"/>
  <c r="AE118" i="2"/>
  <c r="AI100" i="2"/>
  <c r="AM100" i="2" s="1"/>
  <c r="AE100" i="2"/>
  <c r="AH203" i="2"/>
  <c r="AL203" i="2" s="1"/>
  <c r="AD203" i="2"/>
  <c r="AI40" i="2"/>
  <c r="AM40" i="2" s="1"/>
  <c r="AE40" i="2"/>
  <c r="AI21" i="2"/>
  <c r="AM21" i="2" s="1"/>
  <c r="AE21" i="2"/>
  <c r="AI9" i="2"/>
  <c r="AM9" i="2" s="1"/>
  <c r="AE9" i="2"/>
  <c r="AH151" i="2"/>
  <c r="AL151" i="2" s="1"/>
  <c r="AD151" i="2"/>
  <c r="AH139" i="2"/>
  <c r="AL139" i="2" s="1"/>
  <c r="AD139" i="2"/>
  <c r="AH127" i="2"/>
  <c r="AL127" i="2" s="1"/>
  <c r="AD127" i="2"/>
  <c r="AH115" i="2"/>
  <c r="AL115" i="2" s="1"/>
  <c r="AD115" i="2"/>
  <c r="AH103" i="2"/>
  <c r="AL103" i="2" s="1"/>
  <c r="AD103" i="2"/>
  <c r="AH91" i="2"/>
  <c r="AL91" i="2" s="1"/>
  <c r="AD91" i="2"/>
  <c r="AH4" i="2"/>
  <c r="AL4" i="2" s="1"/>
  <c r="AD4" i="2"/>
  <c r="AI331" i="4"/>
  <c r="AE331" i="4"/>
  <c r="AD209" i="4"/>
  <c r="AH209" i="4"/>
  <c r="AL209" i="4" s="1"/>
  <c r="AH180" i="4"/>
  <c r="AL180" i="4" s="1"/>
  <c r="AD180" i="4"/>
  <c r="AI137" i="4"/>
  <c r="AM137" i="4" s="1"/>
  <c r="AE137" i="4"/>
  <c r="AH89" i="4"/>
  <c r="AD89" i="4"/>
  <c r="AD32" i="4"/>
  <c r="AH32" i="4"/>
  <c r="AI312" i="2"/>
  <c r="AM312" i="2" s="1"/>
  <c r="AE312" i="2"/>
  <c r="AI112" i="2"/>
  <c r="AM112" i="2" s="1"/>
  <c r="AE112" i="2"/>
  <c r="AI37" i="2"/>
  <c r="AM37" i="2" s="1"/>
  <c r="AE37" i="2"/>
  <c r="AI29" i="2"/>
  <c r="AM29" i="2" s="1"/>
  <c r="AE29" i="2"/>
  <c r="AH356" i="4"/>
  <c r="AD356" i="4"/>
  <c r="AI351" i="4"/>
  <c r="AE351" i="4"/>
  <c r="AH359" i="4"/>
  <c r="AL359" i="4" s="1"/>
  <c r="AD359" i="4"/>
  <c r="AE321" i="4"/>
  <c r="AI321" i="4"/>
  <c r="AI314" i="4"/>
  <c r="AE314" i="4"/>
  <c r="AI290" i="4"/>
  <c r="AE290" i="4"/>
  <c r="AI366" i="4"/>
  <c r="AE366" i="4"/>
  <c r="AH317" i="4"/>
  <c r="AD317" i="4"/>
  <c r="AI279" i="4"/>
  <c r="AE279" i="4"/>
  <c r="AI297" i="4"/>
  <c r="AM297" i="4" s="1"/>
  <c r="AE297" i="4"/>
  <c r="AD353" i="4"/>
  <c r="AH353" i="4"/>
  <c r="AD278" i="4"/>
  <c r="AH278" i="4"/>
  <c r="AL278" i="4" s="1"/>
  <c r="AD297" i="4"/>
  <c r="AH297" i="4"/>
  <c r="AL297" i="4" s="1"/>
  <c r="AI235" i="4"/>
  <c r="AM235" i="4" s="1"/>
  <c r="AE235" i="4"/>
  <c r="AH205" i="4"/>
  <c r="AL205" i="4" s="1"/>
  <c r="AD205" i="4"/>
  <c r="AH217" i="4"/>
  <c r="AL217" i="4" s="1"/>
  <c r="AD217" i="4"/>
  <c r="AH258" i="4"/>
  <c r="AL258" i="4" s="1"/>
  <c r="AD258" i="4"/>
  <c r="AD218" i="4"/>
  <c r="AH218" i="4"/>
  <c r="AI288" i="4"/>
  <c r="AM288" i="4" s="1"/>
  <c r="AE288" i="4"/>
  <c r="AI224" i="4"/>
  <c r="AM224" i="4" s="1"/>
  <c r="AE224" i="4"/>
  <c r="AI262" i="4"/>
  <c r="AM262" i="4" s="1"/>
  <c r="AE262" i="4"/>
  <c r="AD236" i="4"/>
  <c r="AH236" i="4"/>
  <c r="AE214" i="4"/>
  <c r="AI214" i="4"/>
  <c r="AE139" i="4"/>
  <c r="AI139" i="4"/>
  <c r="AI210" i="4"/>
  <c r="AM210" i="4" s="1"/>
  <c r="AE210" i="4"/>
  <c r="AI154" i="4"/>
  <c r="AE154" i="4"/>
  <c r="AI187" i="4"/>
  <c r="AM187" i="4" s="1"/>
  <c r="AE187" i="4"/>
  <c r="AE164" i="4"/>
  <c r="AI164" i="4"/>
  <c r="AM164" i="4" s="1"/>
  <c r="AI148" i="4"/>
  <c r="AM148" i="4" s="1"/>
  <c r="AE148" i="4"/>
  <c r="AH199" i="4"/>
  <c r="AL199" i="4" s="1"/>
  <c r="AD199" i="4"/>
  <c r="AE202" i="4"/>
  <c r="AI202" i="4"/>
  <c r="AM202" i="4" s="1"/>
  <c r="AI23" i="4"/>
  <c r="AM23" i="4" s="1"/>
  <c r="AE23" i="4"/>
  <c r="AI115" i="4"/>
  <c r="AM115" i="4" s="1"/>
  <c r="AE115" i="4"/>
  <c r="AD152" i="4"/>
  <c r="AH152" i="4"/>
  <c r="AL152" i="4" s="1"/>
  <c r="AI104" i="4"/>
  <c r="AM104" i="4" s="1"/>
  <c r="AE104" i="4"/>
  <c r="AE73" i="4"/>
  <c r="AI73" i="4"/>
  <c r="AM73" i="4" s="1"/>
  <c r="AD80" i="4"/>
  <c r="AH80" i="4"/>
  <c r="AL80" i="4" s="1"/>
  <c r="AI43" i="4"/>
  <c r="AE43" i="4"/>
  <c r="AD344" i="2"/>
  <c r="AH344" i="2"/>
  <c r="AL344" i="2" s="1"/>
  <c r="AH95" i="4"/>
  <c r="AL95" i="4" s="1"/>
  <c r="AD95" i="4"/>
  <c r="AI31" i="4"/>
  <c r="AM31" i="4" s="1"/>
  <c r="AE31" i="4"/>
  <c r="AE51" i="4"/>
  <c r="AI51" i="4"/>
  <c r="AH93" i="4"/>
  <c r="AD93" i="4"/>
  <c r="AI331" i="2"/>
  <c r="AM331" i="2" s="1"/>
  <c r="AE331" i="2"/>
  <c r="AH64" i="4"/>
  <c r="AD64" i="4"/>
  <c r="AI341" i="2"/>
  <c r="AM341" i="2" s="1"/>
  <c r="AE341" i="2"/>
  <c r="AI317" i="2"/>
  <c r="AM317" i="2" s="1"/>
  <c r="AE317" i="2"/>
  <c r="AD57" i="4"/>
  <c r="AH57" i="4"/>
  <c r="AH60" i="4"/>
  <c r="AD60" i="4"/>
  <c r="AH4" i="4"/>
  <c r="AD4" i="4"/>
  <c r="AD186" i="4"/>
  <c r="AH186" i="4"/>
  <c r="AL186" i="4" s="1"/>
  <c r="AE40" i="4"/>
  <c r="AI40" i="4"/>
  <c r="AI356" i="2"/>
  <c r="AM356" i="2" s="1"/>
  <c r="AE356" i="2"/>
  <c r="AH288" i="2"/>
  <c r="AL288" i="2" s="1"/>
  <c r="AD288" i="2"/>
  <c r="AH280" i="2"/>
  <c r="AL280" i="2" s="1"/>
  <c r="AD280" i="2"/>
  <c r="AH272" i="2"/>
  <c r="AL272" i="2" s="1"/>
  <c r="AD272" i="2"/>
  <c r="AH292" i="2"/>
  <c r="AL292" i="2" s="1"/>
  <c r="AD292" i="2"/>
  <c r="AH264" i="2"/>
  <c r="AL264" i="2" s="1"/>
  <c r="AD264" i="2"/>
  <c r="AI289" i="2"/>
  <c r="AM289" i="2" s="1"/>
  <c r="AE289" i="2"/>
  <c r="AH257" i="2"/>
  <c r="AL257" i="2" s="1"/>
  <c r="AD257" i="2"/>
  <c r="AH314" i="2"/>
  <c r="AL314" i="2" s="1"/>
  <c r="AD314" i="2"/>
  <c r="AD340" i="2"/>
  <c r="AH340" i="2"/>
  <c r="AL340" i="2" s="1"/>
  <c r="AI237" i="2"/>
  <c r="AM237" i="2" s="1"/>
  <c r="AE237" i="2"/>
  <c r="AI278" i="2"/>
  <c r="AM278" i="2" s="1"/>
  <c r="AE278" i="2"/>
  <c r="AD352" i="2"/>
  <c r="AH352" i="2"/>
  <c r="AL352" i="2" s="1"/>
  <c r="AH319" i="2"/>
  <c r="AL319" i="2" s="1"/>
  <c r="AD319" i="2"/>
  <c r="AI148" i="2"/>
  <c r="AM148" i="2" s="1"/>
  <c r="AE148" i="2"/>
  <c r="AI261" i="2"/>
  <c r="AM261" i="2" s="1"/>
  <c r="AE261" i="2"/>
  <c r="AH222" i="2"/>
  <c r="AL222" i="2" s="1"/>
  <c r="AD222" i="2"/>
  <c r="AH206" i="2"/>
  <c r="AL206" i="2" s="1"/>
  <c r="AD206" i="2"/>
  <c r="AH190" i="2"/>
  <c r="AL190" i="2" s="1"/>
  <c r="AD190" i="2"/>
  <c r="AI245" i="2"/>
  <c r="AM245" i="2" s="1"/>
  <c r="AE245" i="2"/>
  <c r="AH171" i="2"/>
  <c r="AL171" i="2" s="1"/>
  <c r="AD171" i="2"/>
  <c r="AH322" i="2"/>
  <c r="AL322" i="2" s="1"/>
  <c r="AD322" i="2"/>
  <c r="AD336" i="2"/>
  <c r="AH336" i="2"/>
  <c r="AL336" i="2" s="1"/>
  <c r="AI234" i="2"/>
  <c r="AM234" i="2" s="1"/>
  <c r="AE234" i="2"/>
  <c r="AE219" i="2"/>
  <c r="AI219" i="2"/>
  <c r="AM219" i="2" s="1"/>
  <c r="AE203" i="2"/>
  <c r="AI203" i="2"/>
  <c r="AM203" i="2" s="1"/>
  <c r="AH231" i="2"/>
  <c r="AL231" i="2" s="1"/>
  <c r="AD231" i="2"/>
  <c r="AI87" i="2"/>
  <c r="AM87" i="2" s="1"/>
  <c r="AE87" i="2"/>
  <c r="AH164" i="2"/>
  <c r="AL164" i="2" s="1"/>
  <c r="AD164" i="2"/>
  <c r="AE38" i="2"/>
  <c r="AI38" i="2"/>
  <c r="AM38" i="2" s="1"/>
  <c r="AI125" i="2"/>
  <c r="AM125" i="2" s="1"/>
  <c r="AE125" i="2"/>
  <c r="AI107" i="2"/>
  <c r="AM107" i="2" s="1"/>
  <c r="AE107" i="2"/>
  <c r="AI89" i="2"/>
  <c r="AM89" i="2" s="1"/>
  <c r="AE89" i="2"/>
  <c r="AE56" i="2"/>
  <c r="AI56" i="2"/>
  <c r="AM56" i="2" s="1"/>
  <c r="AI41" i="2"/>
  <c r="AM41" i="2" s="1"/>
  <c r="AE41" i="2"/>
  <c r="AE72" i="2"/>
  <c r="AI72" i="2"/>
  <c r="AM72" i="2" s="1"/>
  <c r="AE60" i="2"/>
  <c r="AI60" i="2"/>
  <c r="AM60" i="2" s="1"/>
  <c r="AI39" i="2"/>
  <c r="AM39" i="2" s="1"/>
  <c r="AE39" i="2"/>
  <c r="AI239" i="2"/>
  <c r="AM239" i="2" s="1"/>
  <c r="AE239" i="2"/>
  <c r="AI262" i="2"/>
  <c r="AM262" i="2" s="1"/>
  <c r="AE262" i="2"/>
  <c r="AE85" i="2"/>
  <c r="AI85" i="2"/>
  <c r="AM85" i="2" s="1"/>
  <c r="AI20" i="2"/>
  <c r="AM20" i="2" s="1"/>
  <c r="AE20" i="2"/>
  <c r="AI8" i="2"/>
  <c r="AM8" i="2" s="1"/>
  <c r="AE8" i="2"/>
  <c r="AI90" i="2"/>
  <c r="AM90" i="2" s="1"/>
  <c r="AE90" i="2"/>
  <c r="AE45" i="2"/>
  <c r="AI45" i="2"/>
  <c r="AM45" i="2" s="1"/>
  <c r="AD7" i="2"/>
  <c r="AH7" i="2"/>
  <c r="AL7" i="2" s="1"/>
  <c r="AD12" i="2"/>
  <c r="AH12" i="2"/>
  <c r="AL12" i="2" s="1"/>
  <c r="AI209" i="4"/>
  <c r="AM209" i="4" s="1"/>
  <c r="AE209" i="4"/>
  <c r="AI158" i="4"/>
  <c r="AM158" i="4" s="1"/>
  <c r="AE158" i="4"/>
  <c r="AH201" i="4"/>
  <c r="AD201" i="4"/>
  <c r="AI253" i="4"/>
  <c r="AE253" i="4"/>
  <c r="AH79" i="4"/>
  <c r="AL79" i="4" s="1"/>
  <c r="AD79" i="4"/>
  <c r="AH263" i="2"/>
  <c r="AL263" i="2" s="1"/>
  <c r="AD263" i="2"/>
  <c r="AI94" i="2"/>
  <c r="AM94" i="2" s="1"/>
  <c r="AE94" i="2"/>
  <c r="AI5" i="2"/>
  <c r="AM5" i="2" s="1"/>
  <c r="AE5" i="2"/>
  <c r="AD30" i="2"/>
  <c r="AH30" i="2"/>
  <c r="AL30" i="2" s="1"/>
  <c r="AE277" i="4"/>
  <c r="AI277" i="4"/>
  <c r="AH341" i="4"/>
  <c r="AD341" i="4"/>
  <c r="AH347" i="4"/>
  <c r="AL347" i="4" s="1"/>
  <c r="AD347" i="4"/>
  <c r="AH324" i="4"/>
  <c r="AL324" i="4" s="1"/>
  <c r="AD324" i="4"/>
  <c r="AH288" i="4"/>
  <c r="AL288" i="4" s="1"/>
  <c r="AD288" i="4"/>
  <c r="AE345" i="4"/>
  <c r="AI345" i="4"/>
  <c r="AM345" i="4" s="1"/>
  <c r="AE302" i="4"/>
  <c r="AI302" i="4"/>
  <c r="AM302" i="4" s="1"/>
  <c r="AI266" i="4"/>
  <c r="AE266" i="4"/>
  <c r="AH318" i="4"/>
  <c r="AL318" i="4" s="1"/>
  <c r="AD318" i="4"/>
  <c r="AI344" i="4"/>
  <c r="AM344" i="4" s="1"/>
  <c r="AE344" i="4"/>
  <c r="AI306" i="4"/>
  <c r="AM306" i="4" s="1"/>
  <c r="AE306" i="4"/>
  <c r="AD276" i="4"/>
  <c r="AH276" i="4"/>
  <c r="AH328" i="4"/>
  <c r="AD328" i="4"/>
  <c r="AH319" i="4"/>
  <c r="AD319" i="4"/>
  <c r="AI200" i="4"/>
  <c r="AM200" i="4" s="1"/>
  <c r="AE200" i="4"/>
  <c r="AH235" i="4"/>
  <c r="AD235" i="4"/>
  <c r="AH238" i="4"/>
  <c r="AD238" i="4"/>
  <c r="AI347" i="4"/>
  <c r="AM347" i="4" s="1"/>
  <c r="AE347" i="4"/>
  <c r="AI264" i="4"/>
  <c r="AM264" i="4" s="1"/>
  <c r="AE264" i="4"/>
  <c r="AI362" i="4"/>
  <c r="AE362" i="4"/>
  <c r="AH283" i="4"/>
  <c r="AD283" i="4"/>
  <c r="AD243" i="4"/>
  <c r="AH243" i="4"/>
  <c r="AE212" i="4"/>
  <c r="AI212" i="4"/>
  <c r="AM212" i="4" s="1"/>
  <c r="AH240" i="4"/>
  <c r="AD240" i="4"/>
  <c r="AD367" i="4"/>
  <c r="AH367" i="4"/>
  <c r="AI155" i="4"/>
  <c r="AE155" i="4"/>
  <c r="AI160" i="4"/>
  <c r="AE160" i="4"/>
  <c r="AH17" i="4"/>
  <c r="AL17" i="4" s="1"/>
  <c r="AD17" i="4"/>
  <c r="AH115" i="4"/>
  <c r="AD115" i="4"/>
  <c r="AH41" i="4"/>
  <c r="AD41" i="4"/>
  <c r="AD108" i="4"/>
  <c r="AH108" i="4"/>
  <c r="AE101" i="4"/>
  <c r="AI101" i="4"/>
  <c r="AH58" i="4"/>
  <c r="AD58" i="4"/>
  <c r="AI114" i="4"/>
  <c r="AE114" i="4"/>
  <c r="AE95" i="4"/>
  <c r="AI95" i="4"/>
  <c r="AM95" i="4" s="1"/>
  <c r="AI36" i="4"/>
  <c r="AM36" i="4" s="1"/>
  <c r="AE36" i="4"/>
  <c r="AI29" i="4"/>
  <c r="AM29" i="4" s="1"/>
  <c r="AE29" i="4"/>
  <c r="AE10" i="4"/>
  <c r="AI10" i="4"/>
  <c r="AM10" i="4" s="1"/>
  <c r="AD330" i="2"/>
  <c r="AH330" i="2"/>
  <c r="AL330" i="2" s="1"/>
  <c r="AI313" i="2"/>
  <c r="AM313" i="2" s="1"/>
  <c r="AE313" i="2"/>
  <c r="AD359" i="2"/>
  <c r="AH359" i="2"/>
  <c r="AL359" i="2" s="1"/>
  <c r="AH37" i="4"/>
  <c r="AL37" i="4" s="1"/>
  <c r="AD37" i="4"/>
  <c r="AI8" i="4"/>
  <c r="AM8" i="4" s="1"/>
  <c r="AE8" i="4"/>
  <c r="AI15" i="4"/>
  <c r="AM15" i="4" s="1"/>
  <c r="AE15" i="4"/>
  <c r="AD355" i="2"/>
  <c r="AH355" i="2"/>
  <c r="AL355" i="2" s="1"/>
  <c r="AI367" i="2"/>
  <c r="AM367" i="2" s="1"/>
  <c r="AE367" i="2"/>
  <c r="AH75" i="4"/>
  <c r="AD75" i="4"/>
  <c r="AH325" i="2"/>
  <c r="AL325" i="2" s="1"/>
  <c r="AD325" i="2"/>
  <c r="AH328" i="2"/>
  <c r="AL328" i="2" s="1"/>
  <c r="AD328" i="2"/>
  <c r="AH266" i="2"/>
  <c r="AL266" i="2" s="1"/>
  <c r="AD266" i="2"/>
  <c r="AI324" i="2"/>
  <c r="AM324" i="2" s="1"/>
  <c r="AE324" i="2"/>
  <c r="AI287" i="2"/>
  <c r="AM287" i="2" s="1"/>
  <c r="AE287" i="2"/>
  <c r="AI303" i="2"/>
  <c r="AM303" i="2" s="1"/>
  <c r="AE303" i="2"/>
  <c r="AD363" i="2"/>
  <c r="AH363" i="2"/>
  <c r="AL363" i="2" s="1"/>
  <c r="AH313" i="2"/>
  <c r="AL313" i="2" s="1"/>
  <c r="AD313" i="2"/>
  <c r="AH265" i="2"/>
  <c r="AL265" i="2" s="1"/>
  <c r="AD265" i="2"/>
  <c r="AI276" i="2"/>
  <c r="AM276" i="2" s="1"/>
  <c r="AE276" i="2"/>
  <c r="AI241" i="2"/>
  <c r="AM241" i="2" s="1"/>
  <c r="AE241" i="2"/>
  <c r="AI147" i="2"/>
  <c r="AM147" i="2" s="1"/>
  <c r="AE147" i="2"/>
  <c r="AE222" i="2"/>
  <c r="AI222" i="2"/>
  <c r="AM222" i="2" s="1"/>
  <c r="AE206" i="2"/>
  <c r="AI206" i="2"/>
  <c r="AM206" i="2" s="1"/>
  <c r="AE190" i="2"/>
  <c r="AI190" i="2"/>
  <c r="AM190" i="2" s="1"/>
  <c r="AH178" i="2"/>
  <c r="AL178" i="2" s="1"/>
  <c r="AD178" i="2"/>
  <c r="AD365" i="2"/>
  <c r="AH365" i="2"/>
  <c r="AL365" i="2" s="1"/>
  <c r="AH167" i="2"/>
  <c r="AL167" i="2" s="1"/>
  <c r="AD167" i="2"/>
  <c r="AH233" i="2"/>
  <c r="AL233" i="2" s="1"/>
  <c r="AD233" i="2"/>
  <c r="AH217" i="2"/>
  <c r="AL217" i="2" s="1"/>
  <c r="AD217" i="2"/>
  <c r="AH201" i="2"/>
  <c r="AL201" i="2" s="1"/>
  <c r="AD201" i="2"/>
  <c r="AH186" i="2"/>
  <c r="AL186" i="2" s="1"/>
  <c r="AD186" i="2"/>
  <c r="AE174" i="2"/>
  <c r="AI174" i="2"/>
  <c r="AM174" i="2" s="1"/>
  <c r="AI249" i="2"/>
  <c r="AM249" i="2" s="1"/>
  <c r="AE249" i="2"/>
  <c r="AE232" i="2"/>
  <c r="AI232" i="2"/>
  <c r="AM232" i="2" s="1"/>
  <c r="AE216" i="2"/>
  <c r="AI216" i="2"/>
  <c r="AM216" i="2" s="1"/>
  <c r="AE200" i="2"/>
  <c r="AI200" i="2"/>
  <c r="AM200" i="2" s="1"/>
  <c r="AH185" i="2"/>
  <c r="AL185" i="2" s="1"/>
  <c r="AD185" i="2"/>
  <c r="AI265" i="2"/>
  <c r="AM265" i="2" s="1"/>
  <c r="AE265" i="2"/>
  <c r="AH144" i="2"/>
  <c r="AL144" i="2" s="1"/>
  <c r="AD144" i="2"/>
  <c r="AH132" i="2"/>
  <c r="AL132" i="2" s="1"/>
  <c r="AD132" i="2"/>
  <c r="AH120" i="2"/>
  <c r="AL120" i="2" s="1"/>
  <c r="AD120" i="2"/>
  <c r="AH108" i="2"/>
  <c r="AL108" i="2" s="1"/>
  <c r="AD108" i="2"/>
  <c r="AH96" i="2"/>
  <c r="AL96" i="2" s="1"/>
  <c r="AD96" i="2"/>
  <c r="AE84" i="2"/>
  <c r="AI84" i="2"/>
  <c r="AM84" i="2" s="1"/>
  <c r="AL69" i="2"/>
  <c r="AL57" i="2"/>
  <c r="AH158" i="2"/>
  <c r="AL158" i="2" s="1"/>
  <c r="AD158" i="2"/>
  <c r="AI120" i="2"/>
  <c r="AM120" i="2" s="1"/>
  <c r="AE120" i="2"/>
  <c r="AH199" i="2"/>
  <c r="AL199" i="2" s="1"/>
  <c r="AD199" i="2"/>
  <c r="AI102" i="2"/>
  <c r="AM102" i="2" s="1"/>
  <c r="AE102" i="2"/>
  <c r="AI133" i="2"/>
  <c r="AM133" i="2" s="1"/>
  <c r="AE133" i="2"/>
  <c r="AI115" i="2"/>
  <c r="AM115" i="2" s="1"/>
  <c r="AE115" i="2"/>
  <c r="AI97" i="2"/>
  <c r="AM97" i="2" s="1"/>
  <c r="AE97" i="2"/>
  <c r="AI117" i="2"/>
  <c r="AM117" i="2" s="1"/>
  <c r="AE117" i="2"/>
  <c r="AH39" i="2"/>
  <c r="AL39" i="2" s="1"/>
  <c r="AD39" i="2"/>
  <c r="AI19" i="2"/>
  <c r="AM19" i="2" s="1"/>
  <c r="AE19" i="2"/>
  <c r="AI7" i="2"/>
  <c r="AM7" i="2" s="1"/>
  <c r="AE7" i="2"/>
  <c r="AE47" i="2"/>
  <c r="AI47" i="2"/>
  <c r="AM47" i="2" s="1"/>
  <c r="AH85" i="2"/>
  <c r="AL85" i="2" s="1"/>
  <c r="AD85" i="2"/>
  <c r="AD14" i="2"/>
  <c r="AH14" i="2"/>
  <c r="AL14" i="2" s="1"/>
  <c r="AH29" i="2"/>
  <c r="AL29" i="2" s="1"/>
  <c r="AD29" i="2"/>
  <c r="AD25" i="2"/>
  <c r="AH25" i="2"/>
  <c r="AL25" i="2" s="1"/>
  <c r="AD20" i="2"/>
  <c r="AH20" i="2"/>
  <c r="AL20" i="2" s="1"/>
  <c r="AH28" i="2"/>
  <c r="AL28" i="2" s="1"/>
  <c r="AD28" i="2"/>
  <c r="AH289" i="4"/>
  <c r="AD289" i="4"/>
  <c r="AI234" i="4"/>
  <c r="AM234" i="4" s="1"/>
  <c r="AE234" i="4"/>
  <c r="AI130" i="4"/>
  <c r="AM130" i="4" s="1"/>
  <c r="AE130" i="4"/>
  <c r="AI56" i="4"/>
  <c r="AE56" i="4"/>
  <c r="AI357" i="2"/>
  <c r="AM357" i="2" s="1"/>
  <c r="AE357" i="2"/>
  <c r="AI272" i="2"/>
  <c r="AM272" i="2" s="1"/>
  <c r="AE272" i="2"/>
  <c r="AI238" i="2"/>
  <c r="AM238" i="2" s="1"/>
  <c r="AE238" i="2"/>
  <c r="AI332" i="4"/>
  <c r="AE332" i="4"/>
  <c r="AH346" i="4"/>
  <c r="AL346" i="4" s="1"/>
  <c r="AD346" i="4"/>
  <c r="AE320" i="4"/>
  <c r="AI320" i="4"/>
  <c r="AM320" i="4" s="1"/>
  <c r="AH355" i="4"/>
  <c r="AD355" i="4"/>
  <c r="AI336" i="4"/>
  <c r="AM336" i="4" s="1"/>
  <c r="AE336" i="4"/>
  <c r="AH348" i="4"/>
  <c r="AD348" i="4"/>
  <c r="AH343" i="4"/>
  <c r="AD343" i="4"/>
  <c r="AE323" i="4"/>
  <c r="AI323" i="4"/>
  <c r="AM323" i="4" s="1"/>
  <c r="AH352" i="4"/>
  <c r="AL352" i="4" s="1"/>
  <c r="AD352" i="4"/>
  <c r="AH260" i="4"/>
  <c r="AD260" i="4"/>
  <c r="AH325" i="4"/>
  <c r="AD325" i="4"/>
  <c r="AI346" i="4"/>
  <c r="AM346" i="4" s="1"/>
  <c r="AE346" i="4"/>
  <c r="AI315" i="4"/>
  <c r="AE315" i="4"/>
  <c r="AI296" i="4"/>
  <c r="AE296" i="4"/>
  <c r="AI282" i="4"/>
  <c r="AM282" i="4" s="1"/>
  <c r="AE282" i="4"/>
  <c r="AI342" i="4"/>
  <c r="AM342" i="4" s="1"/>
  <c r="AE342" i="4"/>
  <c r="AH191" i="4"/>
  <c r="AD191" i="4"/>
  <c r="AD265" i="4"/>
  <c r="AH265" i="4"/>
  <c r="AH251" i="4"/>
  <c r="AL251" i="4" s="1"/>
  <c r="AD251" i="4"/>
  <c r="AI249" i="4"/>
  <c r="AM249" i="4" s="1"/>
  <c r="AE249" i="4"/>
  <c r="AI270" i="4"/>
  <c r="AM270" i="4" s="1"/>
  <c r="AE270" i="4"/>
  <c r="AI211" i="4"/>
  <c r="AM211" i="4" s="1"/>
  <c r="AE211" i="4"/>
  <c r="AD259" i="4"/>
  <c r="AH259" i="4"/>
  <c r="AH244" i="4"/>
  <c r="AD244" i="4"/>
  <c r="AI192" i="4"/>
  <c r="AM192" i="4" s="1"/>
  <c r="AE192" i="4"/>
  <c r="AH162" i="4"/>
  <c r="AD162" i="4"/>
  <c r="AI133" i="4"/>
  <c r="AE133" i="4"/>
  <c r="AH227" i="4"/>
  <c r="AD227" i="4"/>
  <c r="AI175" i="4"/>
  <c r="AM175" i="4" s="1"/>
  <c r="AE175" i="4"/>
  <c r="AI206" i="4"/>
  <c r="AM206" i="4" s="1"/>
  <c r="AE206" i="4"/>
  <c r="AH109" i="4"/>
  <c r="AD109" i="4"/>
  <c r="AH141" i="4"/>
  <c r="AD141" i="4"/>
  <c r="AI185" i="4"/>
  <c r="AM185" i="4" s="1"/>
  <c r="AE185" i="4"/>
  <c r="AH159" i="4"/>
  <c r="AD159" i="4"/>
  <c r="AI199" i="4"/>
  <c r="AM199" i="4" s="1"/>
  <c r="AE199" i="4"/>
  <c r="AH185" i="4"/>
  <c r="AL185" i="4" s="1"/>
  <c r="AD185" i="4"/>
  <c r="AI226" i="4"/>
  <c r="AM226" i="4" s="1"/>
  <c r="AE226" i="4"/>
  <c r="AI180" i="4"/>
  <c r="AM180" i="4" s="1"/>
  <c r="AE180" i="4"/>
  <c r="AD129" i="4"/>
  <c r="AH129" i="4"/>
  <c r="AL129" i="4" s="1"/>
  <c r="AD96" i="4"/>
  <c r="AH96" i="4"/>
  <c r="AI16" i="4"/>
  <c r="AE16" i="4"/>
  <c r="AH106" i="4"/>
  <c r="AD106" i="4"/>
  <c r="AH34" i="4"/>
  <c r="AD34" i="4"/>
  <c r="AI197" i="4"/>
  <c r="AM197" i="4" s="1"/>
  <c r="AE197" i="4"/>
  <c r="AD100" i="4"/>
  <c r="AH100" i="4"/>
  <c r="AE53" i="4"/>
  <c r="AI53" i="4"/>
  <c r="AM53" i="4" s="1"/>
  <c r="AD128" i="4"/>
  <c r="AH128" i="4"/>
  <c r="AE97" i="4"/>
  <c r="AI97" i="4"/>
  <c r="AI61" i="4"/>
  <c r="AM61" i="4" s="1"/>
  <c r="AE61" i="4"/>
  <c r="AI335" i="2"/>
  <c r="AM335" i="2" s="1"/>
  <c r="AE335" i="2"/>
  <c r="AI340" i="2"/>
  <c r="AM340" i="2" s="1"/>
  <c r="AE340" i="2"/>
  <c r="AH84" i="4"/>
  <c r="AD84" i="4"/>
  <c r="AH24" i="4"/>
  <c r="AL24" i="4" s="1"/>
  <c r="AD24" i="4"/>
  <c r="AD44" i="4"/>
  <c r="AH44" i="4"/>
  <c r="AD10" i="4"/>
  <c r="AH10" i="4"/>
  <c r="AL10" i="4" s="1"/>
  <c r="AD338" i="2"/>
  <c r="AH338" i="2"/>
  <c r="AL338" i="2" s="1"/>
  <c r="AI314" i="2"/>
  <c r="AM314" i="2" s="1"/>
  <c r="AE314" i="2"/>
  <c r="AD104" i="4"/>
  <c r="AH104" i="4"/>
  <c r="AL104" i="4" s="1"/>
  <c r="AH55" i="4"/>
  <c r="AL55" i="4" s="1"/>
  <c r="AD55" i="4"/>
  <c r="AH20" i="4"/>
  <c r="AD20" i="4"/>
  <c r="AI344" i="2"/>
  <c r="AM344" i="2" s="1"/>
  <c r="AE344" i="2"/>
  <c r="AH259" i="2"/>
  <c r="AL259" i="2" s="1"/>
  <c r="AD259" i="2"/>
  <c r="AI327" i="2"/>
  <c r="AM327" i="2" s="1"/>
  <c r="AE327" i="2"/>
  <c r="AI285" i="2"/>
  <c r="AM285" i="2" s="1"/>
  <c r="AE285" i="2"/>
  <c r="AD289" i="2"/>
  <c r="AH289" i="2"/>
  <c r="AL289" i="2" s="1"/>
  <c r="AH281" i="2"/>
  <c r="AL281" i="2" s="1"/>
  <c r="AD281" i="2"/>
  <c r="AH273" i="2"/>
  <c r="AL273" i="2" s="1"/>
  <c r="AD273" i="2"/>
  <c r="AI336" i="2"/>
  <c r="AM336" i="2" s="1"/>
  <c r="AE336" i="2"/>
  <c r="AI300" i="2"/>
  <c r="AM300" i="2" s="1"/>
  <c r="AE300" i="2"/>
  <c r="AI274" i="2"/>
  <c r="AM274" i="2" s="1"/>
  <c r="AE274" i="2"/>
  <c r="AE171" i="2"/>
  <c r="AI171" i="2"/>
  <c r="AM171" i="2" s="1"/>
  <c r="AI146" i="2"/>
  <c r="AM146" i="2" s="1"/>
  <c r="AE146" i="2"/>
  <c r="AH248" i="2"/>
  <c r="AL248" i="2" s="1"/>
  <c r="AD248" i="2"/>
  <c r="AH161" i="2"/>
  <c r="AL161" i="2" s="1"/>
  <c r="AD161" i="2"/>
  <c r="AH236" i="2"/>
  <c r="AL236" i="2" s="1"/>
  <c r="AD236" i="2"/>
  <c r="AE221" i="2"/>
  <c r="AI221" i="2"/>
  <c r="AM221" i="2" s="1"/>
  <c r="AE205" i="2"/>
  <c r="AI205" i="2"/>
  <c r="AM205" i="2" s="1"/>
  <c r="AE189" i="2"/>
  <c r="AI189" i="2"/>
  <c r="AM189" i="2" s="1"/>
  <c r="AI260" i="2"/>
  <c r="AM260" i="2" s="1"/>
  <c r="AE260" i="2"/>
  <c r="AE172" i="2"/>
  <c r="AI172" i="2"/>
  <c r="AM172" i="2" s="1"/>
  <c r="AH269" i="2"/>
  <c r="AL269" i="2" s="1"/>
  <c r="AD269" i="2"/>
  <c r="AH224" i="2"/>
  <c r="AL224" i="2" s="1"/>
  <c r="AD224" i="2"/>
  <c r="AH208" i="2"/>
  <c r="AL208" i="2" s="1"/>
  <c r="AD208" i="2"/>
  <c r="AH192" i="2"/>
  <c r="AL192" i="2" s="1"/>
  <c r="AD192" i="2"/>
  <c r="AE77" i="2"/>
  <c r="AI77" i="2"/>
  <c r="AM77" i="2" s="1"/>
  <c r="AE55" i="2"/>
  <c r="AI55" i="2"/>
  <c r="AM55" i="2" s="1"/>
  <c r="AI122" i="2"/>
  <c r="AM122" i="2" s="1"/>
  <c r="AE122" i="2"/>
  <c r="AI104" i="2"/>
  <c r="AM104" i="2" s="1"/>
  <c r="AE104" i="2"/>
  <c r="AI86" i="2"/>
  <c r="AM86" i="2" s="1"/>
  <c r="AE86" i="2"/>
  <c r="AH48" i="2"/>
  <c r="AL48" i="2" s="1"/>
  <c r="AD48" i="2"/>
  <c r="AH169" i="2"/>
  <c r="AL169" i="2" s="1"/>
  <c r="AD169" i="2"/>
  <c r="AH149" i="2"/>
  <c r="AL149" i="2" s="1"/>
  <c r="AD149" i="2"/>
  <c r="AH137" i="2"/>
  <c r="AL137" i="2" s="1"/>
  <c r="AD137" i="2"/>
  <c r="AH125" i="2"/>
  <c r="AL125" i="2" s="1"/>
  <c r="AD125" i="2"/>
  <c r="AH113" i="2"/>
  <c r="AL113" i="2" s="1"/>
  <c r="AD113" i="2"/>
  <c r="AH101" i="2"/>
  <c r="AL101" i="2" s="1"/>
  <c r="AD101" i="2"/>
  <c r="AH89" i="2"/>
  <c r="AL89" i="2" s="1"/>
  <c r="AD89" i="2"/>
  <c r="AE70" i="2"/>
  <c r="AI70" i="2"/>
  <c r="AM70" i="2" s="1"/>
  <c r="AE58" i="2"/>
  <c r="AI58" i="2"/>
  <c r="AM58" i="2" s="1"/>
  <c r="AH38" i="2"/>
  <c r="AL38" i="2" s="1"/>
  <c r="AD38" i="2"/>
  <c r="AH191" i="2"/>
  <c r="AL191" i="2" s="1"/>
  <c r="AD191" i="2"/>
  <c r="AH83" i="2"/>
  <c r="AL83" i="2" s="1"/>
  <c r="AD83" i="2"/>
  <c r="AH56" i="2"/>
  <c r="AL56" i="2" s="1"/>
  <c r="AD56" i="2"/>
  <c r="AI30" i="2"/>
  <c r="AM30" i="2" s="1"/>
  <c r="AE30" i="2"/>
  <c r="AI18" i="2"/>
  <c r="AM18" i="2" s="1"/>
  <c r="AE18" i="2"/>
  <c r="AI6" i="2"/>
  <c r="AM6" i="2" s="1"/>
  <c r="AE6" i="2"/>
  <c r="AH148" i="2"/>
  <c r="AL148" i="2" s="1"/>
  <c r="AD148" i="2"/>
  <c r="AH136" i="2"/>
  <c r="AL136" i="2" s="1"/>
  <c r="AD136" i="2"/>
  <c r="AH124" i="2"/>
  <c r="AL124" i="2" s="1"/>
  <c r="AD124" i="2"/>
  <c r="AH112" i="2"/>
  <c r="AL112" i="2" s="1"/>
  <c r="AD112" i="2"/>
  <c r="AH100" i="2"/>
  <c r="AL100" i="2" s="1"/>
  <c r="AD100" i="2"/>
  <c r="AH88" i="2"/>
  <c r="AL88" i="2" s="1"/>
  <c r="AD88" i="2"/>
  <c r="AI135" i="2"/>
  <c r="AM135" i="2" s="1"/>
  <c r="AE135" i="2"/>
  <c r="AE82" i="2"/>
  <c r="AI82" i="2"/>
  <c r="AM82" i="2" s="1"/>
  <c r="AL367" i="4" l="1"/>
  <c r="AM366" i="4"/>
  <c r="AM363" i="4"/>
  <c r="AM362" i="4"/>
  <c r="AM361" i="4"/>
  <c r="AL360" i="4"/>
  <c r="AL356" i="4"/>
  <c r="AL355" i="4"/>
  <c r="AL354" i="4"/>
  <c r="AL353" i="4"/>
  <c r="AM351" i="4"/>
  <c r="AM350" i="4"/>
  <c r="AM349" i="4"/>
  <c r="AL348" i="4"/>
  <c r="AL343" i="4"/>
  <c r="AL341" i="4"/>
  <c r="AM339" i="4"/>
  <c r="AL337" i="4"/>
  <c r="AL335" i="4"/>
  <c r="AM332" i="4"/>
  <c r="AM331" i="4"/>
  <c r="AL328" i="4"/>
  <c r="AL325" i="4"/>
  <c r="AM321" i="4"/>
  <c r="AL319" i="4"/>
  <c r="AL317" i="4"/>
  <c r="AM315" i="4"/>
  <c r="AM314" i="4"/>
  <c r="AM311" i="4"/>
  <c r="AL305" i="4"/>
  <c r="AM304" i="4"/>
  <c r="AM303" i="4"/>
  <c r="AL298" i="4"/>
  <c r="AM296" i="4"/>
  <c r="AL294" i="4"/>
  <c r="AL293" i="4"/>
  <c r="AM292" i="4"/>
  <c r="AM290" i="4"/>
  <c r="AL289" i="4"/>
  <c r="AL287" i="4"/>
  <c r="AM285" i="4"/>
  <c r="AL283" i="4"/>
  <c r="AL281" i="4"/>
  <c r="AL280" i="4"/>
  <c r="AM279" i="4"/>
  <c r="AM277" i="4"/>
  <c r="AL276" i="4"/>
  <c r="AM275" i="4"/>
  <c r="AL274" i="4"/>
  <c r="AL273" i="4"/>
  <c r="AL272" i="4"/>
  <c r="AM268" i="4"/>
  <c r="AM267" i="4"/>
  <c r="AM266" i="4"/>
  <c r="AL265" i="4"/>
  <c r="AL261" i="4"/>
  <c r="AL260" i="4"/>
  <c r="AL259" i="4"/>
  <c r="AM257" i="4"/>
  <c r="AM255" i="4"/>
  <c r="AL254" i="4"/>
  <c r="AM253" i="4"/>
  <c r="AM248" i="4"/>
  <c r="AL246" i="4"/>
  <c r="AL245" i="4"/>
  <c r="AL244" i="4"/>
  <c r="AL243" i="4"/>
  <c r="AL241" i="4"/>
  <c r="AL240" i="4"/>
  <c r="AL238" i="4"/>
  <c r="AL236" i="4"/>
  <c r="AL235" i="4"/>
  <c r="AM232" i="4"/>
  <c r="AM230" i="4"/>
  <c r="AM229" i="4"/>
  <c r="AL227" i="4"/>
  <c r="AM225" i="4"/>
  <c r="AM221" i="4"/>
  <c r="AL219" i="4"/>
  <c r="AL218" i="4"/>
  <c r="AL215" i="4"/>
  <c r="AM214" i="4"/>
  <c r="AL208" i="4"/>
  <c r="AL204" i="4"/>
  <c r="AL201" i="4"/>
  <c r="AM198" i="4"/>
  <c r="AL195" i="4"/>
  <c r="AL194" i="4"/>
  <c r="AL191" i="4"/>
  <c r="AL190" i="4"/>
  <c r="AL183" i="4"/>
  <c r="AL182" i="4"/>
  <c r="AL181" i="4"/>
  <c r="AL179" i="4"/>
  <c r="AL178" i="4"/>
  <c r="AL176" i="4"/>
  <c r="AL174" i="4"/>
  <c r="AM172" i="4"/>
  <c r="AL170" i="4"/>
  <c r="AM168" i="4"/>
  <c r="AL166" i="4"/>
  <c r="AL165" i="4"/>
  <c r="AL162" i="4"/>
  <c r="AL161" i="4"/>
  <c r="AM160" i="4"/>
  <c r="AL159" i="4"/>
  <c r="AM155" i="4"/>
  <c r="AM154" i="4"/>
  <c r="AL153" i="4"/>
  <c r="AL149" i="4"/>
  <c r="AM145" i="4"/>
  <c r="AL141" i="4"/>
  <c r="AM139" i="4"/>
  <c r="AM138" i="4"/>
  <c r="AL134" i="4"/>
  <c r="AM133" i="4"/>
  <c r="AL131" i="4"/>
  <c r="AL128" i="4"/>
  <c r="AM125" i="4"/>
  <c r="AL124" i="4"/>
  <c r="AL123" i="4"/>
  <c r="AM122" i="4"/>
  <c r="AL121" i="4"/>
  <c r="AL120" i="4"/>
  <c r="AL117" i="4"/>
  <c r="AL116" i="4"/>
  <c r="AL115" i="4"/>
  <c r="AM114" i="4"/>
  <c r="AL113" i="4"/>
  <c r="AL109" i="4"/>
  <c r="AL108" i="4"/>
  <c r="AM107" i="4"/>
  <c r="AL106" i="4"/>
  <c r="AL102" i="4"/>
  <c r="AM101" i="4"/>
  <c r="AL100" i="4"/>
  <c r="AL98" i="4"/>
  <c r="AM97" i="4"/>
  <c r="AL96" i="4"/>
  <c r="AL94" i="4"/>
  <c r="AL93" i="4"/>
  <c r="AM92" i="4"/>
  <c r="AL91" i="4"/>
  <c r="AL90" i="4"/>
  <c r="AL89" i="4"/>
  <c r="AL88" i="4"/>
  <c r="AL87" i="4"/>
  <c r="AL85" i="4"/>
  <c r="AL84" i="4"/>
  <c r="AL78" i="4"/>
  <c r="AL75" i="4"/>
  <c r="AL74" i="4"/>
  <c r="AL72" i="4"/>
  <c r="AL70" i="4"/>
  <c r="AL69" i="4"/>
  <c r="AM68" i="4"/>
  <c r="AL65" i="4"/>
  <c r="AL64" i="4"/>
  <c r="AL62" i="4"/>
  <c r="AL60" i="4"/>
  <c r="AL59" i="4"/>
  <c r="AL58" i="4"/>
  <c r="AL57" i="4"/>
  <c r="AM56" i="4"/>
  <c r="AL52" i="4"/>
  <c r="AM51" i="4"/>
  <c r="AL49" i="4"/>
  <c r="AL45" i="4"/>
  <c r="AL44" i="4"/>
  <c r="AM43" i="4"/>
  <c r="AL41" i="4"/>
  <c r="AM40" i="4"/>
  <c r="AL39" i="4"/>
  <c r="AL35" i="4"/>
  <c r="AL34" i="4"/>
  <c r="AL33" i="4"/>
  <c r="AL32" i="4"/>
  <c r="AL28" i="4"/>
  <c r="AL27" i="4"/>
  <c r="AL22" i="4"/>
  <c r="AL20" i="4"/>
  <c r="AM19" i="4"/>
  <c r="AM16" i="4"/>
  <c r="AL13" i="4"/>
  <c r="AM12" i="4"/>
  <c r="AM11" i="4"/>
  <c r="AL9" i="4"/>
  <c r="AL7" i="4"/>
  <c r="AL5" i="4"/>
  <c r="AL4" i="4"/>
</calcChain>
</file>

<file path=xl/sharedStrings.xml><?xml version="1.0" encoding="utf-8"?>
<sst xmlns="http://schemas.openxmlformats.org/spreadsheetml/2006/main" count="124" uniqueCount="41">
  <si>
    <t>日付</t>
    <rPh sb="0" eb="2">
      <t>ヒヅケ</t>
    </rPh>
    <phoneticPr fontId="4"/>
  </si>
  <si>
    <t>日数</t>
    <rPh sb="0" eb="2">
      <t>ニッスウ</t>
    </rPh>
    <phoneticPr fontId="4"/>
  </si>
  <si>
    <t>年数</t>
    <rPh sb="0" eb="2">
      <t>ネンスウ</t>
    </rPh>
    <phoneticPr fontId="4"/>
  </si>
  <si>
    <t>平均体重
(g)</t>
    <rPh sb="0" eb="2">
      <t>ヘイキン</t>
    </rPh>
    <rPh sb="2" eb="4">
      <t>タイジュウ</t>
    </rPh>
    <phoneticPr fontId="4"/>
  </si>
  <si>
    <t>平均体長
(cm)</t>
    <rPh sb="0" eb="2">
      <t>ヘイキン</t>
    </rPh>
    <rPh sb="2" eb="4">
      <t>タイチョウ</t>
    </rPh>
    <phoneticPr fontId="4"/>
  </si>
  <si>
    <t>個体数
(相対値)</t>
    <rPh sb="0" eb="3">
      <t>コタイスウ</t>
    </rPh>
    <rPh sb="5" eb="7">
      <t>ソウタイ</t>
    </rPh>
    <rPh sb="7" eb="8">
      <t>チ</t>
    </rPh>
    <phoneticPr fontId="4"/>
  </si>
  <si>
    <t>1年目級群</t>
    <rPh sb="1" eb="2">
      <t>ネン</t>
    </rPh>
    <rPh sb="2" eb="3">
      <t>メ</t>
    </rPh>
    <rPh sb="3" eb="4">
      <t>キュウ</t>
    </rPh>
    <rPh sb="4" eb="5">
      <t>グン</t>
    </rPh>
    <phoneticPr fontId="3"/>
  </si>
  <si>
    <t>2年目級群</t>
    <rPh sb="1" eb="2">
      <t>ネン</t>
    </rPh>
    <rPh sb="2" eb="3">
      <t>メ</t>
    </rPh>
    <rPh sb="3" eb="4">
      <t>キュウ</t>
    </rPh>
    <rPh sb="4" eb="5">
      <t>グン</t>
    </rPh>
    <phoneticPr fontId="3"/>
  </si>
  <si>
    <t>網目
選択率</t>
    <rPh sb="0" eb="2">
      <t>アミメ</t>
    </rPh>
    <rPh sb="3" eb="5">
      <t>センタク</t>
    </rPh>
    <rPh sb="5" eb="6">
      <t>リツ</t>
    </rPh>
    <phoneticPr fontId="3"/>
  </si>
  <si>
    <t>1年級群総重量</t>
    <rPh sb="1" eb="2">
      <t>ネン</t>
    </rPh>
    <rPh sb="2" eb="3">
      <t>キュウ</t>
    </rPh>
    <rPh sb="3" eb="4">
      <t>グン</t>
    </rPh>
    <rPh sb="4" eb="7">
      <t>ソウジュウリョウ</t>
    </rPh>
    <rPh sb="5" eb="7">
      <t>ジュウリョウ</t>
    </rPh>
    <phoneticPr fontId="3"/>
  </si>
  <si>
    <t>2年級群総重量</t>
    <rPh sb="1" eb="2">
      <t>ネン</t>
    </rPh>
    <rPh sb="2" eb="3">
      <t>キュウ</t>
    </rPh>
    <rPh sb="3" eb="4">
      <t>グン</t>
    </rPh>
    <rPh sb="4" eb="7">
      <t>ソウジュウリョウ</t>
    </rPh>
    <rPh sb="5" eb="7">
      <t>ジュウリョウ</t>
    </rPh>
    <phoneticPr fontId="3"/>
  </si>
  <si>
    <t>価格
(円/kg)</t>
    <rPh sb="0" eb="2">
      <t>カカク</t>
    </rPh>
    <rPh sb="4" eb="5">
      <t>エン</t>
    </rPh>
    <phoneticPr fontId="3"/>
  </si>
  <si>
    <t>1年級群金額</t>
    <rPh sb="1" eb="2">
      <t>ネン</t>
    </rPh>
    <rPh sb="2" eb="3">
      <t>キュウ</t>
    </rPh>
    <rPh sb="3" eb="4">
      <t>グン</t>
    </rPh>
    <rPh sb="4" eb="6">
      <t>キンガク</t>
    </rPh>
    <phoneticPr fontId="3"/>
  </si>
  <si>
    <t>2年級群
金額</t>
    <rPh sb="1" eb="2">
      <t>ネン</t>
    </rPh>
    <rPh sb="2" eb="3">
      <t>キュウ</t>
    </rPh>
    <rPh sb="3" eb="4">
      <t>グン</t>
    </rPh>
    <rPh sb="5" eb="7">
      <t>キンガク</t>
    </rPh>
    <phoneticPr fontId="3"/>
  </si>
  <si>
    <t>1年入網
P重量</t>
    <rPh sb="1" eb="2">
      <t>ネン</t>
    </rPh>
    <rPh sb="2" eb="3">
      <t>ニュウ</t>
    </rPh>
    <rPh sb="3" eb="4">
      <t>アミ</t>
    </rPh>
    <rPh sb="6" eb="8">
      <t>ジュウリョウ</t>
    </rPh>
    <phoneticPr fontId="3"/>
  </si>
  <si>
    <t>2年入網
P重量</t>
    <rPh sb="1" eb="2">
      <t>ネン</t>
    </rPh>
    <rPh sb="2" eb="3">
      <t>ハイ</t>
    </rPh>
    <rPh sb="3" eb="4">
      <t>アミ</t>
    </rPh>
    <rPh sb="6" eb="8">
      <t>ジュウリョウ</t>
    </rPh>
    <phoneticPr fontId="3"/>
  </si>
  <si>
    <t>3年目級群</t>
    <rPh sb="1" eb="2">
      <t>ネン</t>
    </rPh>
    <rPh sb="2" eb="3">
      <t>メ</t>
    </rPh>
    <rPh sb="3" eb="4">
      <t>キュウ</t>
    </rPh>
    <rPh sb="4" eb="5">
      <t>グン</t>
    </rPh>
    <phoneticPr fontId="3"/>
  </si>
  <si>
    <t>3年級群総重量</t>
    <rPh sb="1" eb="2">
      <t>ネン</t>
    </rPh>
    <rPh sb="2" eb="3">
      <t>キュウ</t>
    </rPh>
    <rPh sb="3" eb="4">
      <t>グン</t>
    </rPh>
    <rPh sb="4" eb="7">
      <t>ソウジュウリョウ</t>
    </rPh>
    <rPh sb="5" eb="7">
      <t>ジュウリョウ</t>
    </rPh>
    <phoneticPr fontId="3"/>
  </si>
  <si>
    <t>3年入網
P重量</t>
    <rPh sb="1" eb="2">
      <t>ネン</t>
    </rPh>
    <rPh sb="2" eb="3">
      <t>ハイ</t>
    </rPh>
    <rPh sb="3" eb="4">
      <t>アミ</t>
    </rPh>
    <rPh sb="6" eb="8">
      <t>ジュウリョウ</t>
    </rPh>
    <phoneticPr fontId="3"/>
  </si>
  <si>
    <t>4年目級群</t>
    <rPh sb="1" eb="2">
      <t>ネン</t>
    </rPh>
    <rPh sb="2" eb="3">
      <t>メ</t>
    </rPh>
    <rPh sb="3" eb="4">
      <t>キュウ</t>
    </rPh>
    <rPh sb="4" eb="5">
      <t>グン</t>
    </rPh>
    <phoneticPr fontId="3"/>
  </si>
  <si>
    <t>4年級群総重量</t>
    <rPh sb="1" eb="2">
      <t>ネン</t>
    </rPh>
    <rPh sb="2" eb="3">
      <t>キュウ</t>
    </rPh>
    <rPh sb="3" eb="4">
      <t>グン</t>
    </rPh>
    <rPh sb="4" eb="7">
      <t>ソウジュウリョウ</t>
    </rPh>
    <rPh sb="5" eb="7">
      <t>ジュウリョウ</t>
    </rPh>
    <phoneticPr fontId="3"/>
  </si>
  <si>
    <t>4年入網
P重量</t>
    <rPh sb="1" eb="2">
      <t>ネン</t>
    </rPh>
    <rPh sb="2" eb="3">
      <t>ハイ</t>
    </rPh>
    <rPh sb="3" eb="4">
      <t>アミ</t>
    </rPh>
    <rPh sb="6" eb="8">
      <t>ジュウリョウ</t>
    </rPh>
    <phoneticPr fontId="3"/>
  </si>
  <si>
    <t>1年級群出荷</t>
    <rPh sb="1" eb="2">
      <t>ネン</t>
    </rPh>
    <rPh sb="2" eb="3">
      <t>キュウ</t>
    </rPh>
    <rPh sb="3" eb="4">
      <t>グン</t>
    </rPh>
    <rPh sb="4" eb="6">
      <t>シュッカ</t>
    </rPh>
    <phoneticPr fontId="3"/>
  </si>
  <si>
    <t>2年級群出荷</t>
    <rPh sb="1" eb="2">
      <t>ネン</t>
    </rPh>
    <rPh sb="2" eb="3">
      <t>キュウ</t>
    </rPh>
    <rPh sb="3" eb="4">
      <t>グン</t>
    </rPh>
    <rPh sb="4" eb="6">
      <t>シュッカ</t>
    </rPh>
    <phoneticPr fontId="3"/>
  </si>
  <si>
    <t>3年級群出荷</t>
    <rPh sb="1" eb="2">
      <t>ネン</t>
    </rPh>
    <rPh sb="2" eb="3">
      <t>キュウ</t>
    </rPh>
    <rPh sb="3" eb="4">
      <t>グン</t>
    </rPh>
    <rPh sb="4" eb="6">
      <t>シュッカ</t>
    </rPh>
    <phoneticPr fontId="3"/>
  </si>
  <si>
    <t>4年級群出荷</t>
    <rPh sb="1" eb="2">
      <t>ネン</t>
    </rPh>
    <rPh sb="2" eb="3">
      <t>キュウ</t>
    </rPh>
    <rPh sb="3" eb="4">
      <t>グン</t>
    </rPh>
    <rPh sb="4" eb="6">
      <t>シュッカ</t>
    </rPh>
    <phoneticPr fontId="3"/>
  </si>
  <si>
    <t>ﾏｱﾅｺﾞ1年</t>
    <rPh sb="6" eb="7">
      <t>ネン</t>
    </rPh>
    <phoneticPr fontId="3"/>
  </si>
  <si>
    <t>ﾏｱﾅｺﾞ2年</t>
    <rPh sb="6" eb="7">
      <t>ネン</t>
    </rPh>
    <phoneticPr fontId="3"/>
  </si>
  <si>
    <t>ｼｬｺ1年</t>
    <rPh sb="4" eb="5">
      <t>ネン</t>
    </rPh>
    <phoneticPr fontId="3"/>
  </si>
  <si>
    <t>ｼｬｺ2年</t>
    <rPh sb="4" eb="5">
      <t>ネン</t>
    </rPh>
    <phoneticPr fontId="3"/>
  </si>
  <si>
    <t>ﾏｱﾅｺﾞ3年</t>
    <rPh sb="6" eb="7">
      <t>ネン</t>
    </rPh>
    <phoneticPr fontId="3"/>
  </si>
  <si>
    <t>3年級群
金額</t>
    <rPh sb="1" eb="2">
      <t>ネン</t>
    </rPh>
    <rPh sb="2" eb="3">
      <t>キュウ</t>
    </rPh>
    <rPh sb="3" eb="4">
      <t>グン</t>
    </rPh>
    <rPh sb="5" eb="7">
      <t>キンガク</t>
    </rPh>
    <phoneticPr fontId="3"/>
  </si>
  <si>
    <t>成長
STOP</t>
    <rPh sb="0" eb="2">
      <t>セイチョウ</t>
    </rPh>
    <phoneticPr fontId="4"/>
  </si>
  <si>
    <t>ﾏｱﾅｺﾞ4年</t>
    <rPh sb="6" eb="7">
      <t>ネン</t>
    </rPh>
    <phoneticPr fontId="3"/>
  </si>
  <si>
    <t>ｼｬｺ3年</t>
    <rPh sb="4" eb="5">
      <t>ネン</t>
    </rPh>
    <phoneticPr fontId="3"/>
  </si>
  <si>
    <t>4年級群
金額</t>
    <rPh sb="1" eb="2">
      <t>ネン</t>
    </rPh>
    <rPh sb="2" eb="3">
      <t>キュウ</t>
    </rPh>
    <rPh sb="3" eb="4">
      <t>グン</t>
    </rPh>
    <rPh sb="5" eb="7">
      <t>キンガク</t>
    </rPh>
    <phoneticPr fontId="3"/>
  </si>
  <si>
    <t>10cm以上
割合</t>
    <rPh sb="4" eb="6">
      <t>イジョウ</t>
    </rPh>
    <rPh sb="7" eb="9">
      <t>ワリアイ</t>
    </rPh>
    <phoneticPr fontId="3"/>
  </si>
  <si>
    <t>ｼｬｺ4年</t>
    <rPh sb="4" eb="5">
      <t>ネン</t>
    </rPh>
    <phoneticPr fontId="3"/>
  </si>
  <si>
    <t>マアナゴ</t>
    <phoneticPr fontId="3"/>
  </si>
  <si>
    <t>シャコ</t>
    <phoneticPr fontId="3"/>
  </si>
  <si>
    <t>成長ズレ修正(year)</t>
    <rPh sb="0" eb="2">
      <t>セイチョウ</t>
    </rPh>
    <rPh sb="4" eb="6">
      <t>シュウセイ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</si>
</sst>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6"/>
      <name val="Calibri"/>
      <family val="3"/>
      <charset val="128"/>
      <scheme val="minor"/>
    </font>
    <font>
      <sz val="6"/>
      <name val="Calibri"/>
      <family val="2"/>
      <charset val="128"/>
      <scheme val="minor"/>
    </font>
    <font>
      <b/>
      <sz val="11"/>
      <color theme="1"/>
      <name val="Calibri"/>
      <family val="3"/>
      <charset val="128"/>
      <scheme val="minor"/>
    </font>
    <font>
      <b/>
      <sz val="11"/>
      <color theme="0"/>
      <name val="Calibri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14" fontId="0" fillId="0" borderId="1" xfId="0" applyNumberFormat="1" applyBorder="1" applyAlignment="1">
      <alignment vertical="center"/>
    </xf>
    <xf numFmtId="0" fontId="0" fillId="0" borderId="2" xfId="0" applyBorder="1" applyAlignment="1">
      <alignment vertical="center"/>
    </xf>
    <xf numFmtId="2" fontId="0" fillId="0" borderId="2" xfId="1" applyNumberFormat="1" applyFont="1" applyBorder="1">
      <alignment vertical="center"/>
    </xf>
    <xf numFmtId="2" fontId="0" fillId="0" borderId="2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2" fontId="0" fillId="0" borderId="1" xfId="1" applyNumberFormat="1" applyFont="1" applyBorder="1">
      <alignment vertical="center"/>
    </xf>
    <xf numFmtId="0" fontId="0" fillId="0" borderId="0" xfId="0" applyAlignment="1">
      <alignment vertical="center"/>
    </xf>
    <xf numFmtId="1" fontId="0" fillId="0" borderId="1" xfId="0" applyNumberFormat="1" applyBorder="1"/>
    <xf numFmtId="1" fontId="0" fillId="0" borderId="0" xfId="0" applyNumberFormat="1"/>
    <xf numFmtId="164" fontId="0" fillId="0" borderId="1" xfId="0" applyNumberFormat="1" applyBorder="1"/>
    <xf numFmtId="14" fontId="0" fillId="0" borderId="2" xfId="0" applyNumberFormat="1" applyBorder="1" applyAlignment="1">
      <alignment vertical="center"/>
    </xf>
    <xf numFmtId="164" fontId="0" fillId="0" borderId="2" xfId="0" applyNumberFormat="1" applyBorder="1"/>
    <xf numFmtId="1" fontId="0" fillId="0" borderId="3" xfId="0" applyNumberFormat="1" applyBorder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1" fontId="0" fillId="2" borderId="1" xfId="0" applyNumberFormat="1" applyFill="1" applyBorder="1" applyAlignment="1">
      <alignment horizontal="center" vertical="center" wrapText="1"/>
    </xf>
    <xf numFmtId="1" fontId="0" fillId="3" borderId="1" xfId="0" applyNumberFormat="1" applyFill="1" applyBorder="1" applyAlignment="1">
      <alignment horizontal="center" vertical="center" wrapText="1"/>
    </xf>
    <xf numFmtId="1" fontId="0" fillId="3" borderId="3" xfId="0" applyNumberFormat="1" applyFill="1" applyBorder="1" applyAlignment="1">
      <alignment horizontal="center" vertical="center" wrapText="1"/>
    </xf>
    <xf numFmtId="10" fontId="0" fillId="0" borderId="2" xfId="1" applyNumberFormat="1" applyFont="1" applyBorder="1" applyAlignment="1"/>
    <xf numFmtId="1" fontId="0" fillId="0" borderId="1" xfId="0" applyNumberFormat="1" applyBorder="1" applyAlignment="1">
      <alignment vertical="center"/>
    </xf>
    <xf numFmtId="1" fontId="0" fillId="0" borderId="2" xfId="1" applyNumberFormat="1" applyFont="1" applyBorder="1" applyAlignment="1"/>
    <xf numFmtId="165" fontId="0" fillId="0" borderId="0" xfId="1" applyNumberFormat="1" applyFont="1" applyAlignment="1"/>
    <xf numFmtId="0" fontId="0" fillId="4" borderId="1" xfId="0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/>
    </xf>
    <xf numFmtId="0" fontId="0" fillId="0" borderId="1" xfId="0" applyBorder="1" applyAlignment="1">
      <alignment horizontal="right"/>
    </xf>
    <xf numFmtId="2" fontId="5" fillId="0" borderId="1" xfId="0" applyNumberFormat="1" applyFont="1" applyBorder="1"/>
    <xf numFmtId="1" fontId="0" fillId="5" borderId="1" xfId="0" applyNumberFormat="1" applyFill="1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</cellXfs>
  <cellStyles count="3">
    <cellStyle name="パーセント" xfId="1" builtinId="5"/>
    <cellStyle name="標準" xfId="0" builtinId="0"/>
    <cellStyle name="標準 2" xfId="2" xr:uid="{00000000-0005-0000-0000-000002000000}"/>
  </cellStyles>
  <dxfs count="0"/>
  <tableStyles count="0" defaultTableStyle="TableStyleMedium2" defaultPivotStyle="PivotStyleMedium9"/>
  <colors>
    <mruColors>
      <color rgb="FF00CC00"/>
      <color rgb="FFFF5050"/>
      <color rgb="FFFFFF99"/>
      <color rgb="FFFFCC99"/>
      <color rgb="FF00FF00"/>
      <color rgb="FF0066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v>1年目級群</c:v>
          </c:tx>
          <c:spPr>
            <a:solidFill>
              <a:srgbClr val="0066FF"/>
            </a:solidFill>
            <a:ln>
              <a:noFill/>
            </a:ln>
            <a:effectLst/>
          </c:spPr>
          <c:cat>
            <c:numRef>
              <c:f>マアナゴ!$A$3:$A$367</c:f>
              <c:numCache>
                <c:formatCode>m/d/yyyy</c:formatCode>
                <c:ptCount val="365"/>
                <c:pt idx="0">
                  <c:v>41730</c:v>
                </c:pt>
                <c:pt idx="1">
                  <c:v>41731</c:v>
                </c:pt>
                <c:pt idx="2">
                  <c:v>41732</c:v>
                </c:pt>
                <c:pt idx="3">
                  <c:v>41733</c:v>
                </c:pt>
                <c:pt idx="4">
                  <c:v>41734</c:v>
                </c:pt>
                <c:pt idx="5">
                  <c:v>41735</c:v>
                </c:pt>
                <c:pt idx="6">
                  <c:v>41736</c:v>
                </c:pt>
                <c:pt idx="7">
                  <c:v>41737</c:v>
                </c:pt>
                <c:pt idx="8">
                  <c:v>41738</c:v>
                </c:pt>
                <c:pt idx="9">
                  <c:v>41739</c:v>
                </c:pt>
                <c:pt idx="10">
                  <c:v>41740</c:v>
                </c:pt>
                <c:pt idx="11">
                  <c:v>41741</c:v>
                </c:pt>
                <c:pt idx="12">
                  <c:v>41742</c:v>
                </c:pt>
                <c:pt idx="13">
                  <c:v>41743</c:v>
                </c:pt>
                <c:pt idx="14">
                  <c:v>41744</c:v>
                </c:pt>
                <c:pt idx="15">
                  <c:v>41745</c:v>
                </c:pt>
                <c:pt idx="16">
                  <c:v>41746</c:v>
                </c:pt>
                <c:pt idx="17">
                  <c:v>41747</c:v>
                </c:pt>
                <c:pt idx="18">
                  <c:v>41748</c:v>
                </c:pt>
                <c:pt idx="19">
                  <c:v>41749</c:v>
                </c:pt>
                <c:pt idx="20">
                  <c:v>41750</c:v>
                </c:pt>
                <c:pt idx="21">
                  <c:v>41751</c:v>
                </c:pt>
                <c:pt idx="22">
                  <c:v>41752</c:v>
                </c:pt>
                <c:pt idx="23">
                  <c:v>41753</c:v>
                </c:pt>
                <c:pt idx="24">
                  <c:v>41754</c:v>
                </c:pt>
                <c:pt idx="25">
                  <c:v>41755</c:v>
                </c:pt>
                <c:pt idx="26">
                  <c:v>41756</c:v>
                </c:pt>
                <c:pt idx="27">
                  <c:v>41757</c:v>
                </c:pt>
                <c:pt idx="28">
                  <c:v>41758</c:v>
                </c:pt>
                <c:pt idx="29">
                  <c:v>41759</c:v>
                </c:pt>
                <c:pt idx="30">
                  <c:v>41760</c:v>
                </c:pt>
                <c:pt idx="31">
                  <c:v>41761</c:v>
                </c:pt>
                <c:pt idx="32">
                  <c:v>41762</c:v>
                </c:pt>
                <c:pt idx="33">
                  <c:v>41763</c:v>
                </c:pt>
                <c:pt idx="34">
                  <c:v>41764</c:v>
                </c:pt>
                <c:pt idx="35">
                  <c:v>41765</c:v>
                </c:pt>
                <c:pt idx="36">
                  <c:v>41766</c:v>
                </c:pt>
                <c:pt idx="37">
                  <c:v>41767</c:v>
                </c:pt>
                <c:pt idx="38">
                  <c:v>41768</c:v>
                </c:pt>
                <c:pt idx="39">
                  <c:v>41769</c:v>
                </c:pt>
                <c:pt idx="40">
                  <c:v>41770</c:v>
                </c:pt>
                <c:pt idx="41">
                  <c:v>41771</c:v>
                </c:pt>
                <c:pt idx="42">
                  <c:v>41772</c:v>
                </c:pt>
                <c:pt idx="43">
                  <c:v>41773</c:v>
                </c:pt>
                <c:pt idx="44">
                  <c:v>41774</c:v>
                </c:pt>
                <c:pt idx="45">
                  <c:v>41775</c:v>
                </c:pt>
                <c:pt idx="46">
                  <c:v>41776</c:v>
                </c:pt>
                <c:pt idx="47">
                  <c:v>41777</c:v>
                </c:pt>
                <c:pt idx="48">
                  <c:v>41778</c:v>
                </c:pt>
                <c:pt idx="49">
                  <c:v>41779</c:v>
                </c:pt>
                <c:pt idx="50">
                  <c:v>41780</c:v>
                </c:pt>
                <c:pt idx="51">
                  <c:v>41781</c:v>
                </c:pt>
                <c:pt idx="52">
                  <c:v>41782</c:v>
                </c:pt>
                <c:pt idx="53">
                  <c:v>41783</c:v>
                </c:pt>
                <c:pt idx="54">
                  <c:v>41784</c:v>
                </c:pt>
                <c:pt idx="55">
                  <c:v>41785</c:v>
                </c:pt>
                <c:pt idx="56">
                  <c:v>41786</c:v>
                </c:pt>
                <c:pt idx="57">
                  <c:v>41787</c:v>
                </c:pt>
                <c:pt idx="58">
                  <c:v>41788</c:v>
                </c:pt>
                <c:pt idx="59">
                  <c:v>41789</c:v>
                </c:pt>
                <c:pt idx="60">
                  <c:v>41790</c:v>
                </c:pt>
                <c:pt idx="61">
                  <c:v>41791</c:v>
                </c:pt>
                <c:pt idx="62">
                  <c:v>41792</c:v>
                </c:pt>
                <c:pt idx="63">
                  <c:v>41793</c:v>
                </c:pt>
                <c:pt idx="64">
                  <c:v>41794</c:v>
                </c:pt>
                <c:pt idx="65">
                  <c:v>41795</c:v>
                </c:pt>
                <c:pt idx="66">
                  <c:v>41796</c:v>
                </c:pt>
                <c:pt idx="67">
                  <c:v>41797</c:v>
                </c:pt>
                <c:pt idx="68">
                  <c:v>41798</c:v>
                </c:pt>
                <c:pt idx="69">
                  <c:v>41799</c:v>
                </c:pt>
                <c:pt idx="70">
                  <c:v>41800</c:v>
                </c:pt>
                <c:pt idx="71">
                  <c:v>41801</c:v>
                </c:pt>
                <c:pt idx="72">
                  <c:v>41802</c:v>
                </c:pt>
                <c:pt idx="73">
                  <c:v>41803</c:v>
                </c:pt>
                <c:pt idx="74">
                  <c:v>41804</c:v>
                </c:pt>
                <c:pt idx="75">
                  <c:v>41805</c:v>
                </c:pt>
                <c:pt idx="76">
                  <c:v>41806</c:v>
                </c:pt>
                <c:pt idx="77">
                  <c:v>41807</c:v>
                </c:pt>
                <c:pt idx="78">
                  <c:v>41808</c:v>
                </c:pt>
                <c:pt idx="79">
                  <c:v>41809</c:v>
                </c:pt>
                <c:pt idx="80">
                  <c:v>41810</c:v>
                </c:pt>
                <c:pt idx="81">
                  <c:v>41811</c:v>
                </c:pt>
                <c:pt idx="82">
                  <c:v>41812</c:v>
                </c:pt>
                <c:pt idx="83">
                  <c:v>41813</c:v>
                </c:pt>
                <c:pt idx="84">
                  <c:v>41814</c:v>
                </c:pt>
                <c:pt idx="85">
                  <c:v>41815</c:v>
                </c:pt>
                <c:pt idx="86">
                  <c:v>41816</c:v>
                </c:pt>
                <c:pt idx="87">
                  <c:v>41817</c:v>
                </c:pt>
                <c:pt idx="88">
                  <c:v>41818</c:v>
                </c:pt>
                <c:pt idx="89">
                  <c:v>41819</c:v>
                </c:pt>
                <c:pt idx="90">
                  <c:v>41820</c:v>
                </c:pt>
                <c:pt idx="91">
                  <c:v>41821</c:v>
                </c:pt>
                <c:pt idx="92">
                  <c:v>41822</c:v>
                </c:pt>
                <c:pt idx="93">
                  <c:v>41823</c:v>
                </c:pt>
                <c:pt idx="94">
                  <c:v>41824</c:v>
                </c:pt>
                <c:pt idx="95">
                  <c:v>41825</c:v>
                </c:pt>
                <c:pt idx="96">
                  <c:v>41826</c:v>
                </c:pt>
                <c:pt idx="97">
                  <c:v>41827</c:v>
                </c:pt>
                <c:pt idx="98">
                  <c:v>41828</c:v>
                </c:pt>
                <c:pt idx="99">
                  <c:v>41829</c:v>
                </c:pt>
                <c:pt idx="100">
                  <c:v>41830</c:v>
                </c:pt>
                <c:pt idx="101">
                  <c:v>41831</c:v>
                </c:pt>
                <c:pt idx="102">
                  <c:v>41832</c:v>
                </c:pt>
                <c:pt idx="103">
                  <c:v>41833</c:v>
                </c:pt>
                <c:pt idx="104">
                  <c:v>41834</c:v>
                </c:pt>
                <c:pt idx="105">
                  <c:v>41835</c:v>
                </c:pt>
                <c:pt idx="106">
                  <c:v>41836</c:v>
                </c:pt>
                <c:pt idx="107">
                  <c:v>41837</c:v>
                </c:pt>
                <c:pt idx="108">
                  <c:v>41838</c:v>
                </c:pt>
                <c:pt idx="109">
                  <c:v>41839</c:v>
                </c:pt>
                <c:pt idx="110">
                  <c:v>41840</c:v>
                </c:pt>
                <c:pt idx="111">
                  <c:v>41841</c:v>
                </c:pt>
                <c:pt idx="112">
                  <c:v>41842</c:v>
                </c:pt>
                <c:pt idx="113">
                  <c:v>41843</c:v>
                </c:pt>
                <c:pt idx="114">
                  <c:v>41844</c:v>
                </c:pt>
                <c:pt idx="115">
                  <c:v>41845</c:v>
                </c:pt>
                <c:pt idx="116">
                  <c:v>41846</c:v>
                </c:pt>
                <c:pt idx="117">
                  <c:v>41847</c:v>
                </c:pt>
                <c:pt idx="118">
                  <c:v>41848</c:v>
                </c:pt>
                <c:pt idx="119">
                  <c:v>41849</c:v>
                </c:pt>
                <c:pt idx="120">
                  <c:v>41850</c:v>
                </c:pt>
                <c:pt idx="121">
                  <c:v>41851</c:v>
                </c:pt>
                <c:pt idx="122">
                  <c:v>41852</c:v>
                </c:pt>
                <c:pt idx="123">
                  <c:v>41853</c:v>
                </c:pt>
                <c:pt idx="124">
                  <c:v>41854</c:v>
                </c:pt>
                <c:pt idx="125">
                  <c:v>41855</c:v>
                </c:pt>
                <c:pt idx="126">
                  <c:v>41856</c:v>
                </c:pt>
                <c:pt idx="127">
                  <c:v>41857</c:v>
                </c:pt>
                <c:pt idx="128">
                  <c:v>41858</c:v>
                </c:pt>
                <c:pt idx="129">
                  <c:v>41859</c:v>
                </c:pt>
                <c:pt idx="130">
                  <c:v>41860</c:v>
                </c:pt>
                <c:pt idx="131">
                  <c:v>41861</c:v>
                </c:pt>
                <c:pt idx="132">
                  <c:v>41862</c:v>
                </c:pt>
                <c:pt idx="133">
                  <c:v>41863</c:v>
                </c:pt>
                <c:pt idx="134">
                  <c:v>41864</c:v>
                </c:pt>
                <c:pt idx="135">
                  <c:v>41865</c:v>
                </c:pt>
                <c:pt idx="136">
                  <c:v>41866</c:v>
                </c:pt>
                <c:pt idx="137">
                  <c:v>41867</c:v>
                </c:pt>
                <c:pt idx="138">
                  <c:v>41868</c:v>
                </c:pt>
                <c:pt idx="139">
                  <c:v>41869</c:v>
                </c:pt>
                <c:pt idx="140">
                  <c:v>41870</c:v>
                </c:pt>
                <c:pt idx="141">
                  <c:v>41871</c:v>
                </c:pt>
                <c:pt idx="142">
                  <c:v>41872</c:v>
                </c:pt>
                <c:pt idx="143">
                  <c:v>41873</c:v>
                </c:pt>
                <c:pt idx="144">
                  <c:v>41874</c:v>
                </c:pt>
                <c:pt idx="145">
                  <c:v>41875</c:v>
                </c:pt>
                <c:pt idx="146">
                  <c:v>41876</c:v>
                </c:pt>
                <c:pt idx="147">
                  <c:v>41877</c:v>
                </c:pt>
                <c:pt idx="148">
                  <c:v>41878</c:v>
                </c:pt>
                <c:pt idx="149">
                  <c:v>41879</c:v>
                </c:pt>
                <c:pt idx="150">
                  <c:v>41880</c:v>
                </c:pt>
                <c:pt idx="151">
                  <c:v>41881</c:v>
                </c:pt>
                <c:pt idx="152">
                  <c:v>41882</c:v>
                </c:pt>
                <c:pt idx="153">
                  <c:v>41883</c:v>
                </c:pt>
                <c:pt idx="154">
                  <c:v>41884</c:v>
                </c:pt>
                <c:pt idx="155">
                  <c:v>41885</c:v>
                </c:pt>
                <c:pt idx="156">
                  <c:v>41886</c:v>
                </c:pt>
                <c:pt idx="157">
                  <c:v>41887</c:v>
                </c:pt>
                <c:pt idx="158">
                  <c:v>41888</c:v>
                </c:pt>
                <c:pt idx="159">
                  <c:v>41889</c:v>
                </c:pt>
                <c:pt idx="160">
                  <c:v>41890</c:v>
                </c:pt>
                <c:pt idx="161">
                  <c:v>41891</c:v>
                </c:pt>
                <c:pt idx="162">
                  <c:v>41892</c:v>
                </c:pt>
                <c:pt idx="163">
                  <c:v>41893</c:v>
                </c:pt>
                <c:pt idx="164">
                  <c:v>41894</c:v>
                </c:pt>
                <c:pt idx="165">
                  <c:v>41895</c:v>
                </c:pt>
                <c:pt idx="166">
                  <c:v>41896</c:v>
                </c:pt>
                <c:pt idx="167">
                  <c:v>41897</c:v>
                </c:pt>
                <c:pt idx="168">
                  <c:v>41898</c:v>
                </c:pt>
                <c:pt idx="169">
                  <c:v>41899</c:v>
                </c:pt>
                <c:pt idx="170">
                  <c:v>41900</c:v>
                </c:pt>
                <c:pt idx="171">
                  <c:v>41901</c:v>
                </c:pt>
                <c:pt idx="172">
                  <c:v>41902</c:v>
                </c:pt>
                <c:pt idx="173">
                  <c:v>41903</c:v>
                </c:pt>
                <c:pt idx="174">
                  <c:v>41904</c:v>
                </c:pt>
                <c:pt idx="175">
                  <c:v>41905</c:v>
                </c:pt>
                <c:pt idx="176">
                  <c:v>41906</c:v>
                </c:pt>
                <c:pt idx="177">
                  <c:v>41907</c:v>
                </c:pt>
                <c:pt idx="178">
                  <c:v>41908</c:v>
                </c:pt>
                <c:pt idx="179">
                  <c:v>41909</c:v>
                </c:pt>
                <c:pt idx="180">
                  <c:v>41910</c:v>
                </c:pt>
                <c:pt idx="181">
                  <c:v>41911</c:v>
                </c:pt>
                <c:pt idx="182">
                  <c:v>41912</c:v>
                </c:pt>
                <c:pt idx="183">
                  <c:v>41913</c:v>
                </c:pt>
                <c:pt idx="184">
                  <c:v>41914</c:v>
                </c:pt>
                <c:pt idx="185">
                  <c:v>41915</c:v>
                </c:pt>
                <c:pt idx="186">
                  <c:v>41916</c:v>
                </c:pt>
                <c:pt idx="187">
                  <c:v>41917</c:v>
                </c:pt>
                <c:pt idx="188">
                  <c:v>41918</c:v>
                </c:pt>
                <c:pt idx="189">
                  <c:v>41919</c:v>
                </c:pt>
                <c:pt idx="190">
                  <c:v>41920</c:v>
                </c:pt>
                <c:pt idx="191">
                  <c:v>41921</c:v>
                </c:pt>
                <c:pt idx="192">
                  <c:v>41922</c:v>
                </c:pt>
                <c:pt idx="193">
                  <c:v>41923</c:v>
                </c:pt>
                <c:pt idx="194">
                  <c:v>41924</c:v>
                </c:pt>
                <c:pt idx="195">
                  <c:v>41925</c:v>
                </c:pt>
                <c:pt idx="196">
                  <c:v>41926</c:v>
                </c:pt>
                <c:pt idx="197">
                  <c:v>41927</c:v>
                </c:pt>
                <c:pt idx="198">
                  <c:v>41928</c:v>
                </c:pt>
                <c:pt idx="199">
                  <c:v>41929</c:v>
                </c:pt>
                <c:pt idx="200">
                  <c:v>41930</c:v>
                </c:pt>
                <c:pt idx="201">
                  <c:v>41931</c:v>
                </c:pt>
                <c:pt idx="202">
                  <c:v>41932</c:v>
                </c:pt>
                <c:pt idx="203">
                  <c:v>41933</c:v>
                </c:pt>
                <c:pt idx="204">
                  <c:v>41934</c:v>
                </c:pt>
                <c:pt idx="205">
                  <c:v>41935</c:v>
                </c:pt>
                <c:pt idx="206">
                  <c:v>41936</c:v>
                </c:pt>
                <c:pt idx="207">
                  <c:v>41937</c:v>
                </c:pt>
                <c:pt idx="208">
                  <c:v>41938</c:v>
                </c:pt>
                <c:pt idx="209">
                  <c:v>41939</c:v>
                </c:pt>
                <c:pt idx="210">
                  <c:v>41940</c:v>
                </c:pt>
                <c:pt idx="211">
                  <c:v>41941</c:v>
                </c:pt>
                <c:pt idx="212">
                  <c:v>41942</c:v>
                </c:pt>
                <c:pt idx="213">
                  <c:v>41943</c:v>
                </c:pt>
                <c:pt idx="214">
                  <c:v>41944</c:v>
                </c:pt>
                <c:pt idx="215">
                  <c:v>41945</c:v>
                </c:pt>
                <c:pt idx="216">
                  <c:v>41946</c:v>
                </c:pt>
                <c:pt idx="217">
                  <c:v>41947</c:v>
                </c:pt>
                <c:pt idx="218">
                  <c:v>41948</c:v>
                </c:pt>
                <c:pt idx="219">
                  <c:v>41949</c:v>
                </c:pt>
                <c:pt idx="220">
                  <c:v>41950</c:v>
                </c:pt>
                <c:pt idx="221">
                  <c:v>41951</c:v>
                </c:pt>
                <c:pt idx="222">
                  <c:v>41952</c:v>
                </c:pt>
                <c:pt idx="223">
                  <c:v>41953</c:v>
                </c:pt>
                <c:pt idx="224">
                  <c:v>41954</c:v>
                </c:pt>
                <c:pt idx="225">
                  <c:v>41955</c:v>
                </c:pt>
                <c:pt idx="226">
                  <c:v>41956</c:v>
                </c:pt>
                <c:pt idx="227">
                  <c:v>41957</c:v>
                </c:pt>
                <c:pt idx="228">
                  <c:v>41958</c:v>
                </c:pt>
                <c:pt idx="229">
                  <c:v>41959</c:v>
                </c:pt>
                <c:pt idx="230">
                  <c:v>41960</c:v>
                </c:pt>
                <c:pt idx="231">
                  <c:v>41961</c:v>
                </c:pt>
                <c:pt idx="232">
                  <c:v>41962</c:v>
                </c:pt>
                <c:pt idx="233">
                  <c:v>41963</c:v>
                </c:pt>
                <c:pt idx="234">
                  <c:v>41964</c:v>
                </c:pt>
                <c:pt idx="235">
                  <c:v>41965</c:v>
                </c:pt>
                <c:pt idx="236">
                  <c:v>41966</c:v>
                </c:pt>
                <c:pt idx="237">
                  <c:v>41967</c:v>
                </c:pt>
                <c:pt idx="238">
                  <c:v>41968</c:v>
                </c:pt>
                <c:pt idx="239">
                  <c:v>41969</c:v>
                </c:pt>
                <c:pt idx="240">
                  <c:v>41970</c:v>
                </c:pt>
                <c:pt idx="241">
                  <c:v>41971</c:v>
                </c:pt>
                <c:pt idx="242">
                  <c:v>41972</c:v>
                </c:pt>
                <c:pt idx="243">
                  <c:v>41973</c:v>
                </c:pt>
                <c:pt idx="244">
                  <c:v>41974</c:v>
                </c:pt>
                <c:pt idx="245">
                  <c:v>41975</c:v>
                </c:pt>
                <c:pt idx="246">
                  <c:v>41976</c:v>
                </c:pt>
                <c:pt idx="247">
                  <c:v>41977</c:v>
                </c:pt>
                <c:pt idx="248">
                  <c:v>41978</c:v>
                </c:pt>
                <c:pt idx="249">
                  <c:v>41979</c:v>
                </c:pt>
                <c:pt idx="250">
                  <c:v>41980</c:v>
                </c:pt>
                <c:pt idx="251">
                  <c:v>41981</c:v>
                </c:pt>
                <c:pt idx="252">
                  <c:v>41982</c:v>
                </c:pt>
                <c:pt idx="253">
                  <c:v>41983</c:v>
                </c:pt>
                <c:pt idx="254">
                  <c:v>41984</c:v>
                </c:pt>
                <c:pt idx="255">
                  <c:v>41985</c:v>
                </c:pt>
                <c:pt idx="256">
                  <c:v>41986</c:v>
                </c:pt>
                <c:pt idx="257">
                  <c:v>41987</c:v>
                </c:pt>
                <c:pt idx="258">
                  <c:v>41988</c:v>
                </c:pt>
                <c:pt idx="259">
                  <c:v>41989</c:v>
                </c:pt>
                <c:pt idx="260">
                  <c:v>41990</c:v>
                </c:pt>
                <c:pt idx="261">
                  <c:v>41991</c:v>
                </c:pt>
                <c:pt idx="262">
                  <c:v>41992</c:v>
                </c:pt>
                <c:pt idx="263">
                  <c:v>41993</c:v>
                </c:pt>
                <c:pt idx="264">
                  <c:v>41994</c:v>
                </c:pt>
                <c:pt idx="265">
                  <c:v>41995</c:v>
                </c:pt>
                <c:pt idx="266">
                  <c:v>41996</c:v>
                </c:pt>
                <c:pt idx="267">
                  <c:v>41997</c:v>
                </c:pt>
                <c:pt idx="268">
                  <c:v>41998</c:v>
                </c:pt>
                <c:pt idx="269">
                  <c:v>41999</c:v>
                </c:pt>
                <c:pt idx="270">
                  <c:v>42000</c:v>
                </c:pt>
                <c:pt idx="271">
                  <c:v>42001</c:v>
                </c:pt>
                <c:pt idx="272">
                  <c:v>42002</c:v>
                </c:pt>
                <c:pt idx="273">
                  <c:v>42003</c:v>
                </c:pt>
                <c:pt idx="274">
                  <c:v>42004</c:v>
                </c:pt>
                <c:pt idx="275">
                  <c:v>42005</c:v>
                </c:pt>
                <c:pt idx="276">
                  <c:v>42006</c:v>
                </c:pt>
                <c:pt idx="277">
                  <c:v>42007</c:v>
                </c:pt>
                <c:pt idx="278">
                  <c:v>42008</c:v>
                </c:pt>
                <c:pt idx="279">
                  <c:v>42009</c:v>
                </c:pt>
                <c:pt idx="280">
                  <c:v>42010</c:v>
                </c:pt>
                <c:pt idx="281">
                  <c:v>42011</c:v>
                </c:pt>
                <c:pt idx="282">
                  <c:v>42012</c:v>
                </c:pt>
                <c:pt idx="283">
                  <c:v>42013</c:v>
                </c:pt>
                <c:pt idx="284">
                  <c:v>42014</c:v>
                </c:pt>
                <c:pt idx="285">
                  <c:v>42015</c:v>
                </c:pt>
                <c:pt idx="286">
                  <c:v>42016</c:v>
                </c:pt>
                <c:pt idx="287">
                  <c:v>42017</c:v>
                </c:pt>
                <c:pt idx="288">
                  <c:v>42018</c:v>
                </c:pt>
                <c:pt idx="289">
                  <c:v>42019</c:v>
                </c:pt>
                <c:pt idx="290">
                  <c:v>42020</c:v>
                </c:pt>
                <c:pt idx="291">
                  <c:v>42021</c:v>
                </c:pt>
                <c:pt idx="292">
                  <c:v>42022</c:v>
                </c:pt>
                <c:pt idx="293">
                  <c:v>42023</c:v>
                </c:pt>
                <c:pt idx="294">
                  <c:v>42024</c:v>
                </c:pt>
                <c:pt idx="295">
                  <c:v>42025</c:v>
                </c:pt>
                <c:pt idx="296">
                  <c:v>42026</c:v>
                </c:pt>
                <c:pt idx="297">
                  <c:v>42027</c:v>
                </c:pt>
                <c:pt idx="298">
                  <c:v>42028</c:v>
                </c:pt>
                <c:pt idx="299">
                  <c:v>42029</c:v>
                </c:pt>
                <c:pt idx="300">
                  <c:v>42030</c:v>
                </c:pt>
                <c:pt idx="301">
                  <c:v>42031</c:v>
                </c:pt>
                <c:pt idx="302">
                  <c:v>42032</c:v>
                </c:pt>
                <c:pt idx="303">
                  <c:v>42033</c:v>
                </c:pt>
                <c:pt idx="304">
                  <c:v>42034</c:v>
                </c:pt>
                <c:pt idx="305">
                  <c:v>42035</c:v>
                </c:pt>
                <c:pt idx="306">
                  <c:v>42036</c:v>
                </c:pt>
                <c:pt idx="307">
                  <c:v>42037</c:v>
                </c:pt>
                <c:pt idx="308">
                  <c:v>42038</c:v>
                </c:pt>
                <c:pt idx="309">
                  <c:v>42039</c:v>
                </c:pt>
                <c:pt idx="310">
                  <c:v>42040</c:v>
                </c:pt>
                <c:pt idx="311">
                  <c:v>42041</c:v>
                </c:pt>
                <c:pt idx="312">
                  <c:v>42042</c:v>
                </c:pt>
                <c:pt idx="313">
                  <c:v>42043</c:v>
                </c:pt>
                <c:pt idx="314">
                  <c:v>42044</c:v>
                </c:pt>
                <c:pt idx="315">
                  <c:v>42045</c:v>
                </c:pt>
                <c:pt idx="316">
                  <c:v>42046</c:v>
                </c:pt>
                <c:pt idx="317">
                  <c:v>42047</c:v>
                </c:pt>
                <c:pt idx="318">
                  <c:v>42048</c:v>
                </c:pt>
                <c:pt idx="319">
                  <c:v>42049</c:v>
                </c:pt>
                <c:pt idx="320">
                  <c:v>42050</c:v>
                </c:pt>
                <c:pt idx="321">
                  <c:v>42051</c:v>
                </c:pt>
                <c:pt idx="322">
                  <c:v>42052</c:v>
                </c:pt>
                <c:pt idx="323">
                  <c:v>42053</c:v>
                </c:pt>
                <c:pt idx="324">
                  <c:v>42054</c:v>
                </c:pt>
                <c:pt idx="325">
                  <c:v>42055</c:v>
                </c:pt>
                <c:pt idx="326">
                  <c:v>42056</c:v>
                </c:pt>
                <c:pt idx="327">
                  <c:v>42057</c:v>
                </c:pt>
                <c:pt idx="328">
                  <c:v>42058</c:v>
                </c:pt>
                <c:pt idx="329">
                  <c:v>42059</c:v>
                </c:pt>
                <c:pt idx="330">
                  <c:v>42060</c:v>
                </c:pt>
                <c:pt idx="331">
                  <c:v>42061</c:v>
                </c:pt>
                <c:pt idx="332">
                  <c:v>42062</c:v>
                </c:pt>
                <c:pt idx="333">
                  <c:v>42063</c:v>
                </c:pt>
                <c:pt idx="334">
                  <c:v>42064</c:v>
                </c:pt>
                <c:pt idx="335">
                  <c:v>42065</c:v>
                </c:pt>
                <c:pt idx="336">
                  <c:v>42066</c:v>
                </c:pt>
                <c:pt idx="337">
                  <c:v>42067</c:v>
                </c:pt>
                <c:pt idx="338">
                  <c:v>42068</c:v>
                </c:pt>
                <c:pt idx="339">
                  <c:v>42069</c:v>
                </c:pt>
                <c:pt idx="340">
                  <c:v>42070</c:v>
                </c:pt>
                <c:pt idx="341">
                  <c:v>42071</c:v>
                </c:pt>
                <c:pt idx="342">
                  <c:v>42072</c:v>
                </c:pt>
                <c:pt idx="343">
                  <c:v>42073</c:v>
                </c:pt>
                <c:pt idx="344">
                  <c:v>42074</c:v>
                </c:pt>
                <c:pt idx="345">
                  <c:v>42075</c:v>
                </c:pt>
                <c:pt idx="346">
                  <c:v>42076</c:v>
                </c:pt>
                <c:pt idx="347">
                  <c:v>42077</c:v>
                </c:pt>
                <c:pt idx="348">
                  <c:v>42078</c:v>
                </c:pt>
                <c:pt idx="349">
                  <c:v>42079</c:v>
                </c:pt>
                <c:pt idx="350">
                  <c:v>42080</c:v>
                </c:pt>
                <c:pt idx="351">
                  <c:v>42081</c:v>
                </c:pt>
                <c:pt idx="352">
                  <c:v>42082</c:v>
                </c:pt>
                <c:pt idx="353">
                  <c:v>42083</c:v>
                </c:pt>
                <c:pt idx="354">
                  <c:v>42084</c:v>
                </c:pt>
                <c:pt idx="355">
                  <c:v>42085</c:v>
                </c:pt>
                <c:pt idx="356">
                  <c:v>42086</c:v>
                </c:pt>
                <c:pt idx="357">
                  <c:v>42087</c:v>
                </c:pt>
                <c:pt idx="358">
                  <c:v>42088</c:v>
                </c:pt>
                <c:pt idx="359">
                  <c:v>42089</c:v>
                </c:pt>
                <c:pt idx="360">
                  <c:v>42090</c:v>
                </c:pt>
                <c:pt idx="361">
                  <c:v>42091</c:v>
                </c:pt>
                <c:pt idx="362">
                  <c:v>42092</c:v>
                </c:pt>
                <c:pt idx="363">
                  <c:v>42093</c:v>
                </c:pt>
                <c:pt idx="364">
                  <c:v>42094</c:v>
                </c:pt>
              </c:numCache>
            </c:numRef>
          </c:cat>
          <c:val>
            <c:numRef>
              <c:f>マアナゴ!$AD$3:$AD$367</c:f>
              <c:numCache>
                <c:formatCode>0</c:formatCode>
                <c:ptCount val="365"/>
                <c:pt idx="0">
                  <c:v>46192.923086415838</c:v>
                </c:pt>
                <c:pt idx="1">
                  <c:v>46533.462073158858</c:v>
                </c:pt>
                <c:pt idx="2">
                  <c:v>46875.035626063858</c:v>
                </c:pt>
                <c:pt idx="3">
                  <c:v>47217.567028320453</c:v>
                </c:pt>
                <c:pt idx="4">
                  <c:v>47561.050663523281</c:v>
                </c:pt>
                <c:pt idx="5">
                  <c:v>47905.480901232935</c:v>
                </c:pt>
                <c:pt idx="6">
                  <c:v>48250.926686215789</c:v>
                </c:pt>
                <c:pt idx="7">
                  <c:v>48597.308945720622</c:v>
                </c:pt>
                <c:pt idx="8">
                  <c:v>48944.622015617875</c:v>
                </c:pt>
                <c:pt idx="9">
                  <c:v>49292.936575345382</c:v>
                </c:pt>
                <c:pt idx="10">
                  <c:v>49642.171765983359</c:v>
                </c:pt>
                <c:pt idx="11">
                  <c:v>49992.321892095904</c:v>
                </c:pt>
                <c:pt idx="12">
                  <c:v>50343.459390295728</c:v>
                </c:pt>
                <c:pt idx="13">
                  <c:v>50695.501597629416</c:v>
                </c:pt>
                <c:pt idx="14">
                  <c:v>51048.442789684355</c:v>
                </c:pt>
                <c:pt idx="15">
                  <c:v>51402.357182582105</c:v>
                </c:pt>
                <c:pt idx="16">
                  <c:v>51757.07973262934</c:v>
                </c:pt>
                <c:pt idx="17">
                  <c:v>52112.76519730872</c:v>
                </c:pt>
                <c:pt idx="18">
                  <c:v>52469.409642516759</c:v>
                </c:pt>
                <c:pt idx="19">
                  <c:v>52826.926743883545</c:v>
                </c:pt>
                <c:pt idx="20">
                  <c:v>53185.310725823889</c:v>
                </c:pt>
                <c:pt idx="21">
                  <c:v>53544.555802887429</c:v>
                </c:pt>
                <c:pt idx="22">
                  <c:v>53904.740427096542</c:v>
                </c:pt>
                <c:pt idx="23">
                  <c:v>54265.690922201102</c:v>
                </c:pt>
                <c:pt idx="24">
                  <c:v>54627.656089502292</c:v>
                </c:pt>
                <c:pt idx="25">
                  <c:v>54990.375504755757</c:v>
                </c:pt>
                <c:pt idx="26">
                  <c:v>55354.014962375331</c:v>
                </c:pt>
                <c:pt idx="27">
                  <c:v>55718.483141898105</c:v>
                </c:pt>
                <c:pt idx="28">
                  <c:v>56083.774208643801</c:v>
                </c:pt>
                <c:pt idx="29">
                  <c:v>56449.970969075264</c:v>
                </c:pt>
                <c:pt idx="30">
                  <c:v>56816.980198718811</c:v>
                </c:pt>
                <c:pt idx="31">
                  <c:v>57184.796046169708</c:v>
                </c:pt>
                <c:pt idx="32">
                  <c:v>57553.503220728948</c:v>
                </c:pt>
                <c:pt idx="33">
                  <c:v>57923.006576504558</c:v>
                </c:pt>
                <c:pt idx="34">
                  <c:v>58293.30024735583</c:v>
                </c:pt>
                <c:pt idx="35">
                  <c:v>58664.470866590134</c:v>
                </c:pt>
                <c:pt idx="36">
                  <c:v>59036.328193248504</c:v>
                </c:pt>
                <c:pt idx="37">
                  <c:v>59409.052008653249</c:v>
                </c:pt>
                <c:pt idx="38">
                  <c:v>59782.638385060032</c:v>
                </c:pt>
                <c:pt idx="39">
                  <c:v>60156.988281844133</c:v>
                </c:pt>
                <c:pt idx="40">
                  <c:v>60532.000030686388</c:v>
                </c:pt>
                <c:pt idx="41">
                  <c:v>60907.955071873846</c:v>
                </c:pt>
                <c:pt idx="42">
                  <c:v>61284.560169704157</c:v>
                </c:pt>
                <c:pt idx="43">
                  <c:v>61662.002964609404</c:v>
                </c:pt>
                <c:pt idx="44">
                  <c:v>62040.181113735714</c:v>
                </c:pt>
                <c:pt idx="45">
                  <c:v>62419.187812253112</c:v>
                </c:pt>
                <c:pt idx="46">
                  <c:v>62798.919386916714</c:v>
                </c:pt>
                <c:pt idx="47">
                  <c:v>63179.369927487489</c:v>
                </c:pt>
                <c:pt idx="48">
                  <c:v>63560.533519837758</c:v>
                </c:pt>
                <c:pt idx="49">
                  <c:v>63942.506046465976</c:v>
                </c:pt>
                <c:pt idx="50">
                  <c:v>64325.18114456148</c:v>
                </c:pt>
                <c:pt idx="51">
                  <c:v>64708.552895672117</c:v>
                </c:pt>
                <c:pt idx="52">
                  <c:v>65092.615378240895</c:v>
                </c:pt>
                <c:pt idx="53">
                  <c:v>65477.467197938015</c:v>
                </c:pt>
                <c:pt idx="54">
                  <c:v>65862.999272521716</c:v>
                </c:pt>
                <c:pt idx="55">
                  <c:v>66249.311585586038</c:v>
                </c:pt>
                <c:pt idx="56">
                  <c:v>66636.18708827348</c:v>
                </c:pt>
                <c:pt idx="57">
                  <c:v>67023.832362492758</c:v>
                </c:pt>
                <c:pt idx="58">
                  <c:v>67412.243564898876</c:v>
                </c:pt>
                <c:pt idx="59">
                  <c:v>67801.199491261432</c:v>
                </c:pt>
                <c:pt idx="60">
                  <c:v>68190.910891588108</c:v>
                </c:pt>
                <c:pt idx="61">
                  <c:v>68581.263854951423</c:v>
                </c:pt>
                <c:pt idx="62">
                  <c:v>68972.363247379239</c:v>
                </c:pt>
                <c:pt idx="63">
                  <c:v>69363.982268576408</c:v>
                </c:pt>
                <c:pt idx="64">
                  <c:v>69756.337282312481</c:v>
                </c:pt>
                <c:pt idx="65">
                  <c:v>70149.424490048943</c:v>
                </c:pt>
                <c:pt idx="66">
                  <c:v>70543.012856079906</c:v>
                </c:pt>
                <c:pt idx="67">
                  <c:v>70937.322999263866</c:v>
                </c:pt>
                <c:pt idx="68">
                  <c:v>71332.236090460574</c:v>
                </c:pt>
                <c:pt idx="69">
                  <c:v>71727.861983427603</c:v>
                </c:pt>
                <c:pt idx="70">
                  <c:v>72124.080430060814</c:v>
                </c:pt>
                <c:pt idx="71">
                  <c:v>72520.885520087642</c:v>
                </c:pt>
                <c:pt idx="72">
                  <c:v>72918.271343654924</c:v>
                </c:pt>
                <c:pt idx="73">
                  <c:v>73316.350650174572</c:v>
                </c:pt>
                <c:pt idx="74">
                  <c:v>73715.000326301757</c:v>
                </c:pt>
                <c:pt idx="75">
                  <c:v>74114.214470169813</c:v>
                </c:pt>
                <c:pt idx="76">
                  <c:v>74513.987180970333</c:v>
                </c:pt>
                <c:pt idx="77">
                  <c:v>74914.434136940326</c:v>
                </c:pt>
                <c:pt idx="78">
                  <c:v>75315.429331113643</c:v>
                </c:pt>
                <c:pt idx="79">
                  <c:v>75717.089921274353</c:v>
                </c:pt>
                <c:pt idx="80">
                  <c:v>76119.164658810972</c:v>
                </c:pt>
                <c:pt idx="81">
                  <c:v>76521.894495864253</c:v>
                </c:pt>
                <c:pt idx="82">
                  <c:v>76925.275773080328</c:v>
                </c:pt>
                <c:pt idx="83">
                  <c:v>77329.052817892676</c:v>
                </c:pt>
                <c:pt idx="84">
                  <c:v>77733.471041112512</c:v>
                </c:pt>
                <c:pt idx="85">
                  <c:v>78138.399305842264</c:v>
                </c:pt>
                <c:pt idx="86">
                  <c:v>78543.831747076125</c:v>
                </c:pt>
                <c:pt idx="87">
                  <c:v>78949.891510016212</c:v>
                </c:pt>
                <c:pt idx="88">
                  <c:v>79356.445234006067</c:v>
                </c:pt>
                <c:pt idx="89">
                  <c:v>79763.487068047063</c:v>
                </c:pt>
                <c:pt idx="90">
                  <c:v>80170.748619221413</c:v>
                </c:pt>
                <c:pt idx="91">
                  <c:v>80578.747615640561</c:v>
                </c:pt>
                <c:pt idx="92">
                  <c:v>80986.951601452791</c:v>
                </c:pt>
                <c:pt idx="93">
                  <c:v>81395.617273107287</c:v>
                </c:pt>
                <c:pt idx="94">
                  <c:v>81804.604467790414</c:v>
                </c:pt>
                <c:pt idx="95">
                  <c:v>82214.71554982799</c:v>
                </c:pt>
                <c:pt idx="96">
                  <c:v>82625.276934296999</c:v>
                </c:pt>
                <c:pt idx="97">
                  <c:v>83036.419430653827</c:v>
                </c:pt>
                <c:pt idx="98">
                  <c:v>83447.727368839012</c:v>
                </c:pt>
                <c:pt idx="99">
                  <c:v>83859.742973751112</c:v>
                </c:pt>
                <c:pt idx="100">
                  <c:v>84272.187210290082</c:v>
                </c:pt>
                <c:pt idx="101">
                  <c:v>84685.194006152538</c:v>
                </c:pt>
                <c:pt idx="102">
                  <c:v>85098.6194174228</c:v>
                </c:pt>
                <c:pt idx="103">
                  <c:v>85512.45767009283</c:v>
                </c:pt>
                <c:pt idx="104">
                  <c:v>85926.702995053551</c:v>
                </c:pt>
                <c:pt idx="105">
                  <c:v>86341.49246821749</c:v>
                </c:pt>
                <c:pt idx="106">
                  <c:v>86756.679061131392</c:v>
                </c:pt>
                <c:pt idx="107">
                  <c:v>87170.668491135264</c:v>
                </c:pt>
                <c:pt idx="108">
                  <c:v>87585.897403549636</c:v>
                </c:pt>
                <c:pt idx="109">
                  <c:v>88002.374231349182</c:v>
                </c:pt>
                <c:pt idx="110">
                  <c:v>88419.226774565177</c:v>
                </c:pt>
                <c:pt idx="111">
                  <c:v>88836.44931212395</c:v>
                </c:pt>
                <c:pt idx="112">
                  <c:v>89254.184501465861</c:v>
                </c:pt>
                <c:pt idx="113">
                  <c:v>89671.68317545933</c:v>
                </c:pt>
                <c:pt idx="114">
                  <c:v>90089.979830693017</c:v>
                </c:pt>
                <c:pt idx="115">
                  <c:v>90508.171344118222</c:v>
                </c:pt>
                <c:pt idx="116">
                  <c:v>90925.638518827865</c:v>
                </c:pt>
                <c:pt idx="117">
                  <c:v>91345.406282152791</c:v>
                </c:pt>
                <c:pt idx="118">
                  <c:v>91765.049427373699</c:v>
                </c:pt>
                <c:pt idx="119">
                  <c:v>92185.32497422304</c:v>
                </c:pt>
                <c:pt idx="120">
                  <c:v>92606.077314313021</c:v>
                </c:pt>
                <c:pt idx="121">
                  <c:v>93027.147623825527</c:v>
                </c:pt>
                <c:pt idx="122">
                  <c:v>93448.68668641262</c:v>
                </c:pt>
                <c:pt idx="123">
                  <c:v>93869.90514739191</c:v>
                </c:pt>
                <c:pt idx="124">
                  <c:v>94292.05199530127</c:v>
                </c:pt>
                <c:pt idx="125">
                  <c:v>94714.495941734684</c:v>
                </c:pt>
                <c:pt idx="126">
                  <c:v>95125.574425271523</c:v>
                </c:pt>
                <c:pt idx="127">
                  <c:v>95541.473691450621</c:v>
                </c:pt>
                <c:pt idx="128">
                  <c:v>95963.388584509041</c:v>
                </c:pt>
                <c:pt idx="129">
                  <c:v>96386.862047767514</c:v>
                </c:pt>
                <c:pt idx="130">
                  <c:v>96810.930422364516</c:v>
                </c:pt>
                <c:pt idx="131">
                  <c:v>97235.10169963591</c:v>
                </c:pt>
                <c:pt idx="132">
                  <c:v>97659.697107404674</c:v>
                </c:pt>
                <c:pt idx="133">
                  <c:v>98084.217213657539</c:v>
                </c:pt>
                <c:pt idx="134">
                  <c:v>98509.482952324834</c:v>
                </c:pt>
                <c:pt idx="135">
                  <c:v>98933.825053700421</c:v>
                </c:pt>
                <c:pt idx="136">
                  <c:v>99358.060274359799</c:v>
                </c:pt>
                <c:pt idx="137">
                  <c:v>99784.203588103206</c:v>
                </c:pt>
                <c:pt idx="138">
                  <c:v>100210.57827323907</c:v>
                </c:pt>
                <c:pt idx="139">
                  <c:v>100637.34931967166</c:v>
                </c:pt>
                <c:pt idx="140">
                  <c:v>100975.94620004995</c:v>
                </c:pt>
                <c:pt idx="141">
                  <c:v>101384.98977553329</c:v>
                </c:pt>
                <c:pt idx="142">
                  <c:v>101811.71560145891</c:v>
                </c:pt>
                <c:pt idx="143">
                  <c:v>102238.99223781165</c:v>
                </c:pt>
                <c:pt idx="144">
                  <c:v>102666.46995529323</c:v>
                </c:pt>
                <c:pt idx="145">
                  <c:v>103094.14333874895</c:v>
                </c:pt>
                <c:pt idx="146">
                  <c:v>103521.83059657633</c:v>
                </c:pt>
                <c:pt idx="147">
                  <c:v>103950.05548784592</c:v>
                </c:pt>
                <c:pt idx="148">
                  <c:v>104372.76271118793</c:v>
                </c:pt>
                <c:pt idx="149">
                  <c:v>104801.31725712528</c:v>
                </c:pt>
                <c:pt idx="150">
                  <c:v>105229.68259806985</c:v>
                </c:pt>
                <c:pt idx="151">
                  <c:v>105657.84823702314</c:v>
                </c:pt>
                <c:pt idx="152">
                  <c:v>106085.98518257556</c:v>
                </c:pt>
                <c:pt idx="153">
                  <c:v>106515.54448843129</c:v>
                </c:pt>
                <c:pt idx="154">
                  <c:v>106945.07301479467</c:v>
                </c:pt>
                <c:pt idx="155">
                  <c:v>107374.93105941759</c:v>
                </c:pt>
                <c:pt idx="156">
                  <c:v>107805.11591113685</c:v>
                </c:pt>
                <c:pt idx="157">
                  <c:v>108235.06739636436</c:v>
                </c:pt>
                <c:pt idx="158">
                  <c:v>108664.77503814868</c:v>
                </c:pt>
                <c:pt idx="159">
                  <c:v>109092.91541723974</c:v>
                </c:pt>
                <c:pt idx="160">
                  <c:v>109456.90037993058</c:v>
                </c:pt>
                <c:pt idx="161">
                  <c:v>109849.7277687637</c:v>
                </c:pt>
                <c:pt idx="162">
                  <c:v>110279.59379777931</c:v>
                </c:pt>
                <c:pt idx="163">
                  <c:v>110709.94267487862</c:v>
                </c:pt>
                <c:pt idx="164">
                  <c:v>111133.28936046838</c:v>
                </c:pt>
                <c:pt idx="165">
                  <c:v>111564.56985372443</c:v>
                </c:pt>
                <c:pt idx="166">
                  <c:v>111991.68499730065</c:v>
                </c:pt>
                <c:pt idx="167">
                  <c:v>112423.13217447315</c:v>
                </c:pt>
                <c:pt idx="168">
                  <c:v>112854.66459532925</c:v>
                </c:pt>
                <c:pt idx="169">
                  <c:v>113285.68814753133</c:v>
                </c:pt>
                <c:pt idx="170">
                  <c:v>113717.57017970567</c:v>
                </c:pt>
                <c:pt idx="171">
                  <c:v>114135.45942582133</c:v>
                </c:pt>
                <c:pt idx="172">
                  <c:v>114564.03403976432</c:v>
                </c:pt>
                <c:pt idx="173">
                  <c:v>114996.23731695252</c:v>
                </c:pt>
                <c:pt idx="174">
                  <c:v>115428.49855305918</c:v>
                </c:pt>
                <c:pt idx="175">
                  <c:v>115860.81267338172</c:v>
                </c:pt>
                <c:pt idx="176">
                  <c:v>116293.37714765224</c:v>
                </c:pt>
                <c:pt idx="177">
                  <c:v>116725.98617459393</c:v>
                </c:pt>
                <c:pt idx="178">
                  <c:v>117158.63471604853</c:v>
                </c:pt>
                <c:pt idx="179">
                  <c:v>117591.31774483567</c:v>
                </c:pt>
                <c:pt idx="180">
                  <c:v>118024.03024480783</c:v>
                </c:pt>
                <c:pt idx="181">
                  <c:v>118456.97422064007</c:v>
                </c:pt>
                <c:pt idx="182">
                  <c:v>118890.14737557901</c:v>
                </c:pt>
                <c:pt idx="183">
                  <c:v>119176.96343747342</c:v>
                </c:pt>
                <c:pt idx="184">
                  <c:v>119437.36334012936</c:v>
                </c:pt>
                <c:pt idx="185">
                  <c:v>119583.39926844549</c:v>
                </c:pt>
                <c:pt idx="186">
                  <c:v>120014.43528024114</c:v>
                </c:pt>
                <c:pt idx="187">
                  <c:v>120317.80350610432</c:v>
                </c:pt>
                <c:pt idx="188">
                  <c:v>120580.60960342185</c:v>
                </c:pt>
                <c:pt idx="189">
                  <c:v>120706.79289427491</c:v>
                </c:pt>
                <c:pt idx="190">
                  <c:v>121135.88969497613</c:v>
                </c:pt>
                <c:pt idx="191">
                  <c:v>121274.15556858259</c:v>
                </c:pt>
                <c:pt idx="192">
                  <c:v>121702.19960119638</c:v>
                </c:pt>
                <c:pt idx="193">
                  <c:v>121995.56507296074</c:v>
                </c:pt>
                <c:pt idx="194">
                  <c:v>122119.07751453896</c:v>
                </c:pt>
                <c:pt idx="195">
                  <c:v>122407.64739399389</c:v>
                </c:pt>
                <c:pt idx="196">
                  <c:v>122834.01896951317</c:v>
                </c:pt>
                <c:pt idx="197">
                  <c:v>122946.19973506681</c:v>
                </c:pt>
                <c:pt idx="198">
                  <c:v>123371.39993363354</c:v>
                </c:pt>
                <c:pt idx="199">
                  <c:v>123503.695289475</c:v>
                </c:pt>
                <c:pt idx="200">
                  <c:v>123770.34300249474</c:v>
                </c:pt>
                <c:pt idx="201">
                  <c:v>124041.94094354597</c:v>
                </c:pt>
                <c:pt idx="202">
                  <c:v>124465.10274092795</c:v>
                </c:pt>
                <c:pt idx="203">
                  <c:v>124567.34438131948</c:v>
                </c:pt>
                <c:pt idx="204">
                  <c:v>124837.89488914606</c:v>
                </c:pt>
                <c:pt idx="205">
                  <c:v>125093.17301567219</c:v>
                </c:pt>
                <c:pt idx="206">
                  <c:v>125356.90667224163</c:v>
                </c:pt>
                <c:pt idx="207">
                  <c:v>125608.90009778801</c:v>
                </c:pt>
                <c:pt idx="208">
                  <c:v>126028.59573581429</c:v>
                </c:pt>
                <c:pt idx="209">
                  <c:v>125984.77838569308</c:v>
                </c:pt>
                <c:pt idx="210">
                  <c:v>126402.89330623725</c:v>
                </c:pt>
                <c:pt idx="211">
                  <c:v>126655.34648393648</c:v>
                </c:pt>
                <c:pt idx="212">
                  <c:v>126910.6132038599</c:v>
                </c:pt>
                <c:pt idx="213">
                  <c:v>127159.04586179597</c:v>
                </c:pt>
                <c:pt idx="214">
                  <c:v>127504.04112619966</c:v>
                </c:pt>
                <c:pt idx="215">
                  <c:v>127631.31187446559</c:v>
                </c:pt>
                <c:pt idx="216">
                  <c:v>128046.32258014573</c:v>
                </c:pt>
                <c:pt idx="217">
                  <c:v>128293.84092462341</c:v>
                </c:pt>
                <c:pt idx="218">
                  <c:v>128581.86593622999</c:v>
                </c:pt>
                <c:pt idx="219">
                  <c:v>128755.75438462425</c:v>
                </c:pt>
                <c:pt idx="220">
                  <c:v>129168.89027306347</c:v>
                </c:pt>
                <c:pt idx="221">
                  <c:v>129276.2865654722</c:v>
                </c:pt>
                <c:pt idx="222">
                  <c:v>129688.20423972441</c:v>
                </c:pt>
                <c:pt idx="223">
                  <c:v>129914.16155285906</c:v>
                </c:pt>
                <c:pt idx="224">
                  <c:v>130127.92804676059</c:v>
                </c:pt>
                <c:pt idx="225">
                  <c:v>130345.96960652522</c:v>
                </c:pt>
                <c:pt idx="226">
                  <c:v>130755.81539058467</c:v>
                </c:pt>
                <c:pt idx="227">
                  <c:v>130832.81155550221</c:v>
                </c:pt>
                <c:pt idx="228">
                  <c:v>131241.31842832541</c:v>
                </c:pt>
                <c:pt idx="229">
                  <c:v>131378.05689180683</c:v>
                </c:pt>
                <c:pt idx="230">
                  <c:v>131650.64897017792</c:v>
                </c:pt>
                <c:pt idx="231">
                  <c:v>131837.92297661037</c:v>
                </c:pt>
                <c:pt idx="232">
                  <c:v>132244.13572270857</c:v>
                </c:pt>
                <c:pt idx="233">
                  <c:v>132284.83410459742</c:v>
                </c:pt>
                <c:pt idx="234">
                  <c:v>132626.53135993594</c:v>
                </c:pt>
                <c:pt idx="235">
                  <c:v>132793.4359226721</c:v>
                </c:pt>
                <c:pt idx="236">
                  <c:v>133053.90345213257</c:v>
                </c:pt>
                <c:pt idx="237">
                  <c:v>133212.56986327464</c:v>
                </c:pt>
                <c:pt idx="238">
                  <c:v>133614.75562942299</c:v>
                </c:pt>
                <c:pt idx="239">
                  <c:v>133542.92753161275</c:v>
                </c:pt>
                <c:pt idx="240">
                  <c:v>133943.22472660159</c:v>
                </c:pt>
                <c:pt idx="241">
                  <c:v>134080.07131297162</c:v>
                </c:pt>
                <c:pt idx="242">
                  <c:v>134326.16054628679</c:v>
                </c:pt>
                <c:pt idx="243">
                  <c:v>134450.64714626331</c:v>
                </c:pt>
                <c:pt idx="244">
                  <c:v>134791.20074901957</c:v>
                </c:pt>
                <c:pt idx="245">
                  <c:v>134880.55431865659</c:v>
                </c:pt>
                <c:pt idx="246">
                  <c:v>135277.03844690527</c:v>
                </c:pt>
                <c:pt idx="247">
                  <c:v>135441.87977770375</c:v>
                </c:pt>
                <c:pt idx="248">
                  <c:v>135752.10527274339</c:v>
                </c:pt>
                <c:pt idx="249">
                  <c:v>135842.74619268335</c:v>
                </c:pt>
                <c:pt idx="250">
                  <c:v>136236.61887329802</c:v>
                </c:pt>
                <c:pt idx="251">
                  <c:v>136292.42626945666</c:v>
                </c:pt>
                <c:pt idx="252">
                  <c:v>136685.16092142373</c:v>
                </c:pt>
                <c:pt idx="253">
                  <c:v>136817.87384840174</c:v>
                </c:pt>
                <c:pt idx="254">
                  <c:v>137049.35962160403</c:v>
                </c:pt>
                <c:pt idx="255">
                  <c:v>137174.64757217033</c:v>
                </c:pt>
                <c:pt idx="256">
                  <c:v>137564.51832656036</c:v>
                </c:pt>
                <c:pt idx="257">
                  <c:v>137581.76397412751</c:v>
                </c:pt>
                <c:pt idx="258">
                  <c:v>137970.37143161136</c:v>
                </c:pt>
                <c:pt idx="259">
                  <c:v>138004.20749157303</c:v>
                </c:pt>
                <c:pt idx="260">
                  <c:v>138291.98368815859</c:v>
                </c:pt>
                <c:pt idx="261">
                  <c:v>138383.64395073787</c:v>
                </c:pt>
                <c:pt idx="262">
                  <c:v>138769.14772072036</c:v>
                </c:pt>
                <c:pt idx="263">
                  <c:v>138751.39726248992</c:v>
                </c:pt>
                <c:pt idx="264">
                  <c:v>139057.62370755055</c:v>
                </c:pt>
                <c:pt idx="265">
                  <c:v>139127.36465010056</c:v>
                </c:pt>
                <c:pt idx="266">
                  <c:v>139403.27730131283</c:v>
                </c:pt>
                <c:pt idx="267">
                  <c:v>139465.9681420048</c:v>
                </c:pt>
                <c:pt idx="268">
                  <c:v>139847.036818997</c:v>
                </c:pt>
                <c:pt idx="269">
                  <c:v>139699.76557255615</c:v>
                </c:pt>
                <c:pt idx="270">
                  <c:v>140079.04359950792</c:v>
                </c:pt>
                <c:pt idx="271">
                  <c:v>140123.66916247515</c:v>
                </c:pt>
                <c:pt idx="272">
                  <c:v>140385.09822438535</c:v>
                </c:pt>
                <c:pt idx="273">
                  <c:v>140404.74654270094</c:v>
                </c:pt>
                <c:pt idx="274">
                  <c:v>140689.17764357297</c:v>
                </c:pt>
                <c:pt idx="275">
                  <c:v>140765.03205135182</c:v>
                </c:pt>
                <c:pt idx="276">
                  <c:v>141139.66389645691</c:v>
                </c:pt>
                <c:pt idx="277">
                  <c:v>141249.76877712042</c:v>
                </c:pt>
                <c:pt idx="278">
                  <c:v>141575.62945878561</c:v>
                </c:pt>
                <c:pt idx="279">
                  <c:v>141657.69706674339</c:v>
                </c:pt>
                <c:pt idx="280">
                  <c:v>142029.68521197131</c:v>
                </c:pt>
                <c:pt idx="281">
                  <c:v>142088.28352224722</c:v>
                </c:pt>
                <c:pt idx="282">
                  <c:v>142458.90614741066</c:v>
                </c:pt>
                <c:pt idx="283">
                  <c:v>142549.96361150366</c:v>
                </c:pt>
                <c:pt idx="284">
                  <c:v>142825.63730715049</c:v>
                </c:pt>
                <c:pt idx="285">
                  <c:v>142910.23250972346</c:v>
                </c:pt>
                <c:pt idx="286">
                  <c:v>143278.01426912803</c:v>
                </c:pt>
                <c:pt idx="287">
                  <c:v>143292.90669025926</c:v>
                </c:pt>
                <c:pt idx="288">
                  <c:v>143659.49542427101</c:v>
                </c:pt>
                <c:pt idx="289">
                  <c:v>143641.12610617577</c:v>
                </c:pt>
                <c:pt idx="290">
                  <c:v>143950.72087199439</c:v>
                </c:pt>
                <c:pt idx="291">
                  <c:v>143997.38535208273</c:v>
                </c:pt>
                <c:pt idx="292">
                  <c:v>144360.80113707512</c:v>
                </c:pt>
                <c:pt idx="293">
                  <c:v>144325.16705329309</c:v>
                </c:pt>
                <c:pt idx="294">
                  <c:v>144637.13085885014</c:v>
                </c:pt>
                <c:pt idx="295">
                  <c:v>144665.74802356624</c:v>
                </c:pt>
                <c:pt idx="296">
                  <c:v>144964.05634320487</c:v>
                </c:pt>
                <c:pt idx="297">
                  <c:v>144970.14063587255</c:v>
                </c:pt>
                <c:pt idx="298">
                  <c:v>145328.91530681643</c:v>
                </c:pt>
                <c:pt idx="299">
                  <c:v>145209.88550918523</c:v>
                </c:pt>
                <c:pt idx="300">
                  <c:v>145567.0830830159</c:v>
                </c:pt>
                <c:pt idx="301">
                  <c:v>145542.07261323731</c:v>
                </c:pt>
                <c:pt idx="302">
                  <c:v>145830.7640080041</c:v>
                </c:pt>
                <c:pt idx="303">
                  <c:v>145811.28215023305</c:v>
                </c:pt>
                <c:pt idx="304">
                  <c:v>146110.45905000099</c:v>
                </c:pt>
                <c:pt idx="305">
                  <c:v>146010.54957723329</c:v>
                </c:pt>
                <c:pt idx="306">
                  <c:v>146362.38301068742</c:v>
                </c:pt>
                <c:pt idx="307">
                  <c:v>146396.71101592539</c:v>
                </c:pt>
                <c:pt idx="308">
                  <c:v>146720.47252463308</c:v>
                </c:pt>
                <c:pt idx="309">
                  <c:v>146742.11196131076</c:v>
                </c:pt>
                <c:pt idx="310">
                  <c:v>147091.36272232977</c:v>
                </c:pt>
                <c:pt idx="311">
                  <c:v>147074.98723588875</c:v>
                </c:pt>
                <c:pt idx="312">
                  <c:v>147422.6945547006</c:v>
                </c:pt>
                <c:pt idx="313">
                  <c:v>147411.90474865658</c:v>
                </c:pt>
                <c:pt idx="314">
                  <c:v>147727.56955426288</c:v>
                </c:pt>
                <c:pt idx="315">
                  <c:v>147715.67768911202</c:v>
                </c:pt>
                <c:pt idx="316">
                  <c:v>148060.24923978056</c:v>
                </c:pt>
                <c:pt idx="317">
                  <c:v>148003.72099041814</c:v>
                </c:pt>
                <c:pt idx="318">
                  <c:v>148346.98096005965</c:v>
                </c:pt>
                <c:pt idx="319">
                  <c:v>148303.7539243869</c:v>
                </c:pt>
                <c:pt idx="320">
                  <c:v>148609.89617555169</c:v>
                </c:pt>
                <c:pt idx="321">
                  <c:v>148553.39946434644</c:v>
                </c:pt>
                <c:pt idx="322">
                  <c:v>148893.31347517358</c:v>
                </c:pt>
                <c:pt idx="323">
                  <c:v>148791.11938210734</c:v>
                </c:pt>
                <c:pt idx="324">
                  <c:v>149129.26634953744</c:v>
                </c:pt>
                <c:pt idx="325">
                  <c:v>149046.25372818878</c:v>
                </c:pt>
                <c:pt idx="326">
                  <c:v>149341.67899942939</c:v>
                </c:pt>
                <c:pt idx="327">
                  <c:v>149263.42334750749</c:v>
                </c:pt>
                <c:pt idx="328">
                  <c:v>149598.41137679512</c:v>
                </c:pt>
                <c:pt idx="329">
                  <c:v>149480.62338532906</c:v>
                </c:pt>
                <c:pt idx="330">
                  <c:v>149813.82120756363</c:v>
                </c:pt>
                <c:pt idx="331">
                  <c:v>149761.08592009803</c:v>
                </c:pt>
                <c:pt idx="332">
                  <c:v>150048.47158383497</c:v>
                </c:pt>
                <c:pt idx="333">
                  <c:v>149987.16072303272</c:v>
                </c:pt>
                <c:pt idx="334">
                  <c:v>150317.37818803359</c:v>
                </c:pt>
                <c:pt idx="335">
                  <c:v>149823.65288480182</c:v>
                </c:pt>
                <c:pt idx="336">
                  <c:v>150151.02330791159</c:v>
                </c:pt>
                <c:pt idx="337">
                  <c:v>150019.7029184284</c:v>
                </c:pt>
                <c:pt idx="338">
                  <c:v>149901.17319045239</c:v>
                </c:pt>
                <c:pt idx="339">
                  <c:v>149780.04633876594</c:v>
                </c:pt>
                <c:pt idx="340">
                  <c:v>150103.32056611087</c:v>
                </c:pt>
                <c:pt idx="341">
                  <c:v>149487.53103256744</c:v>
                </c:pt>
                <c:pt idx="342">
                  <c:v>149808.02467402536</c:v>
                </c:pt>
                <c:pt idx="343">
                  <c:v>149660.49551087382</c:v>
                </c:pt>
                <c:pt idx="344">
                  <c:v>149528.2063927268</c:v>
                </c:pt>
                <c:pt idx="345">
                  <c:v>149345.23327493976</c:v>
                </c:pt>
                <c:pt idx="346">
                  <c:v>149661.49619150412</c:v>
                </c:pt>
                <c:pt idx="347">
                  <c:v>149066.66351442449</c:v>
                </c:pt>
                <c:pt idx="348">
                  <c:v>149380.26780477798</c:v>
                </c:pt>
                <c:pt idx="349">
                  <c:v>149208.65659271623</c:v>
                </c:pt>
                <c:pt idx="350">
                  <c:v>149107.62398595701</c:v>
                </c:pt>
                <c:pt idx="351">
                  <c:v>148932.20729918496</c:v>
                </c:pt>
                <c:pt idx="352">
                  <c:v>149241.37430672944</c:v>
                </c:pt>
                <c:pt idx="353">
                  <c:v>148630.94414112918</c:v>
                </c:pt>
                <c:pt idx="354">
                  <c:v>148937.46885660276</c:v>
                </c:pt>
                <c:pt idx="355">
                  <c:v>148764.27967545812</c:v>
                </c:pt>
                <c:pt idx="356">
                  <c:v>148673.17643360767</c:v>
                </c:pt>
                <c:pt idx="357">
                  <c:v>148483.85500633181</c:v>
                </c:pt>
                <c:pt idx="358">
                  <c:v>148786.0414421164</c:v>
                </c:pt>
                <c:pt idx="359">
                  <c:v>148169.0992866687</c:v>
                </c:pt>
                <c:pt idx="360">
                  <c:v>148468.68558979119</c:v>
                </c:pt>
                <c:pt idx="361">
                  <c:v>148286.0531450795</c:v>
                </c:pt>
                <c:pt idx="362">
                  <c:v>148133.84503842093</c:v>
                </c:pt>
                <c:pt idx="363">
                  <c:v>147915.52959869913</c:v>
                </c:pt>
                <c:pt idx="364">
                  <c:v>148211.01083632119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6E-46C1-B8DA-98F55514C6A7}"/>
            </c:ext>
          </c:extLst>
        </c:ser>
        <c:ser>
          <c:idx val="1"/>
          <c:order val="1"/>
          <c:tx>
            <c:v>2年目級群</c:v>
          </c:tx>
          <c:spPr>
            <a:solidFill>
              <a:srgbClr val="FF5050"/>
            </a:solidFill>
            <a:ln>
              <a:noFill/>
            </a:ln>
            <a:effectLst/>
          </c:spPr>
          <c:cat>
            <c:numRef>
              <c:f>マアナゴ!$A$3:$A$367</c:f>
              <c:numCache>
                <c:formatCode>m/d/yyyy</c:formatCode>
                <c:ptCount val="365"/>
                <c:pt idx="0">
                  <c:v>41730</c:v>
                </c:pt>
                <c:pt idx="1">
                  <c:v>41731</c:v>
                </c:pt>
                <c:pt idx="2">
                  <c:v>41732</c:v>
                </c:pt>
                <c:pt idx="3">
                  <c:v>41733</c:v>
                </c:pt>
                <c:pt idx="4">
                  <c:v>41734</c:v>
                </c:pt>
                <c:pt idx="5">
                  <c:v>41735</c:v>
                </c:pt>
                <c:pt idx="6">
                  <c:v>41736</c:v>
                </c:pt>
                <c:pt idx="7">
                  <c:v>41737</c:v>
                </c:pt>
                <c:pt idx="8">
                  <c:v>41738</c:v>
                </c:pt>
                <c:pt idx="9">
                  <c:v>41739</c:v>
                </c:pt>
                <c:pt idx="10">
                  <c:v>41740</c:v>
                </c:pt>
                <c:pt idx="11">
                  <c:v>41741</c:v>
                </c:pt>
                <c:pt idx="12">
                  <c:v>41742</c:v>
                </c:pt>
                <c:pt idx="13">
                  <c:v>41743</c:v>
                </c:pt>
                <c:pt idx="14">
                  <c:v>41744</c:v>
                </c:pt>
                <c:pt idx="15">
                  <c:v>41745</c:v>
                </c:pt>
                <c:pt idx="16">
                  <c:v>41746</c:v>
                </c:pt>
                <c:pt idx="17">
                  <c:v>41747</c:v>
                </c:pt>
                <c:pt idx="18">
                  <c:v>41748</c:v>
                </c:pt>
                <c:pt idx="19">
                  <c:v>41749</c:v>
                </c:pt>
                <c:pt idx="20">
                  <c:v>41750</c:v>
                </c:pt>
                <c:pt idx="21">
                  <c:v>41751</c:v>
                </c:pt>
                <c:pt idx="22">
                  <c:v>41752</c:v>
                </c:pt>
                <c:pt idx="23">
                  <c:v>41753</c:v>
                </c:pt>
                <c:pt idx="24">
                  <c:v>41754</c:v>
                </c:pt>
                <c:pt idx="25">
                  <c:v>41755</c:v>
                </c:pt>
                <c:pt idx="26">
                  <c:v>41756</c:v>
                </c:pt>
                <c:pt idx="27">
                  <c:v>41757</c:v>
                </c:pt>
                <c:pt idx="28">
                  <c:v>41758</c:v>
                </c:pt>
                <c:pt idx="29">
                  <c:v>41759</c:v>
                </c:pt>
                <c:pt idx="30">
                  <c:v>41760</c:v>
                </c:pt>
                <c:pt idx="31">
                  <c:v>41761</c:v>
                </c:pt>
                <c:pt idx="32">
                  <c:v>41762</c:v>
                </c:pt>
                <c:pt idx="33">
                  <c:v>41763</c:v>
                </c:pt>
                <c:pt idx="34">
                  <c:v>41764</c:v>
                </c:pt>
                <c:pt idx="35">
                  <c:v>41765</c:v>
                </c:pt>
                <c:pt idx="36">
                  <c:v>41766</c:v>
                </c:pt>
                <c:pt idx="37">
                  <c:v>41767</c:v>
                </c:pt>
                <c:pt idx="38">
                  <c:v>41768</c:v>
                </c:pt>
                <c:pt idx="39">
                  <c:v>41769</c:v>
                </c:pt>
                <c:pt idx="40">
                  <c:v>41770</c:v>
                </c:pt>
                <c:pt idx="41">
                  <c:v>41771</c:v>
                </c:pt>
                <c:pt idx="42">
                  <c:v>41772</c:v>
                </c:pt>
                <c:pt idx="43">
                  <c:v>41773</c:v>
                </c:pt>
                <c:pt idx="44">
                  <c:v>41774</c:v>
                </c:pt>
                <c:pt idx="45">
                  <c:v>41775</c:v>
                </c:pt>
                <c:pt idx="46">
                  <c:v>41776</c:v>
                </c:pt>
                <c:pt idx="47">
                  <c:v>41777</c:v>
                </c:pt>
                <c:pt idx="48">
                  <c:v>41778</c:v>
                </c:pt>
                <c:pt idx="49">
                  <c:v>41779</c:v>
                </c:pt>
                <c:pt idx="50">
                  <c:v>41780</c:v>
                </c:pt>
                <c:pt idx="51">
                  <c:v>41781</c:v>
                </c:pt>
                <c:pt idx="52">
                  <c:v>41782</c:v>
                </c:pt>
                <c:pt idx="53">
                  <c:v>41783</c:v>
                </c:pt>
                <c:pt idx="54">
                  <c:v>41784</c:v>
                </c:pt>
                <c:pt idx="55">
                  <c:v>41785</c:v>
                </c:pt>
                <c:pt idx="56">
                  <c:v>41786</c:v>
                </c:pt>
                <c:pt idx="57">
                  <c:v>41787</c:v>
                </c:pt>
                <c:pt idx="58">
                  <c:v>41788</c:v>
                </c:pt>
                <c:pt idx="59">
                  <c:v>41789</c:v>
                </c:pt>
                <c:pt idx="60">
                  <c:v>41790</c:v>
                </c:pt>
                <c:pt idx="61">
                  <c:v>41791</c:v>
                </c:pt>
                <c:pt idx="62">
                  <c:v>41792</c:v>
                </c:pt>
                <c:pt idx="63">
                  <c:v>41793</c:v>
                </c:pt>
                <c:pt idx="64">
                  <c:v>41794</c:v>
                </c:pt>
                <c:pt idx="65">
                  <c:v>41795</c:v>
                </c:pt>
                <c:pt idx="66">
                  <c:v>41796</c:v>
                </c:pt>
                <c:pt idx="67">
                  <c:v>41797</c:v>
                </c:pt>
                <c:pt idx="68">
                  <c:v>41798</c:v>
                </c:pt>
                <c:pt idx="69">
                  <c:v>41799</c:v>
                </c:pt>
                <c:pt idx="70">
                  <c:v>41800</c:v>
                </c:pt>
                <c:pt idx="71">
                  <c:v>41801</c:v>
                </c:pt>
                <c:pt idx="72">
                  <c:v>41802</c:v>
                </c:pt>
                <c:pt idx="73">
                  <c:v>41803</c:v>
                </c:pt>
                <c:pt idx="74">
                  <c:v>41804</c:v>
                </c:pt>
                <c:pt idx="75">
                  <c:v>41805</c:v>
                </c:pt>
                <c:pt idx="76">
                  <c:v>41806</c:v>
                </c:pt>
                <c:pt idx="77">
                  <c:v>41807</c:v>
                </c:pt>
                <c:pt idx="78">
                  <c:v>41808</c:v>
                </c:pt>
                <c:pt idx="79">
                  <c:v>41809</c:v>
                </c:pt>
                <c:pt idx="80">
                  <c:v>41810</c:v>
                </c:pt>
                <c:pt idx="81">
                  <c:v>41811</c:v>
                </c:pt>
                <c:pt idx="82">
                  <c:v>41812</c:v>
                </c:pt>
                <c:pt idx="83">
                  <c:v>41813</c:v>
                </c:pt>
                <c:pt idx="84">
                  <c:v>41814</c:v>
                </c:pt>
                <c:pt idx="85">
                  <c:v>41815</c:v>
                </c:pt>
                <c:pt idx="86">
                  <c:v>41816</c:v>
                </c:pt>
                <c:pt idx="87">
                  <c:v>41817</c:v>
                </c:pt>
                <c:pt idx="88">
                  <c:v>41818</c:v>
                </c:pt>
                <c:pt idx="89">
                  <c:v>41819</c:v>
                </c:pt>
                <c:pt idx="90">
                  <c:v>41820</c:v>
                </c:pt>
                <c:pt idx="91">
                  <c:v>41821</c:v>
                </c:pt>
                <c:pt idx="92">
                  <c:v>41822</c:v>
                </c:pt>
                <c:pt idx="93">
                  <c:v>41823</c:v>
                </c:pt>
                <c:pt idx="94">
                  <c:v>41824</c:v>
                </c:pt>
                <c:pt idx="95">
                  <c:v>41825</c:v>
                </c:pt>
                <c:pt idx="96">
                  <c:v>41826</c:v>
                </c:pt>
                <c:pt idx="97">
                  <c:v>41827</c:v>
                </c:pt>
                <c:pt idx="98">
                  <c:v>41828</c:v>
                </c:pt>
                <c:pt idx="99">
                  <c:v>41829</c:v>
                </c:pt>
                <c:pt idx="100">
                  <c:v>41830</c:v>
                </c:pt>
                <c:pt idx="101">
                  <c:v>41831</c:v>
                </c:pt>
                <c:pt idx="102">
                  <c:v>41832</c:v>
                </c:pt>
                <c:pt idx="103">
                  <c:v>41833</c:v>
                </c:pt>
                <c:pt idx="104">
                  <c:v>41834</c:v>
                </c:pt>
                <c:pt idx="105">
                  <c:v>41835</c:v>
                </c:pt>
                <c:pt idx="106">
                  <c:v>41836</c:v>
                </c:pt>
                <c:pt idx="107">
                  <c:v>41837</c:v>
                </c:pt>
                <c:pt idx="108">
                  <c:v>41838</c:v>
                </c:pt>
                <c:pt idx="109">
                  <c:v>41839</c:v>
                </c:pt>
                <c:pt idx="110">
                  <c:v>41840</c:v>
                </c:pt>
                <c:pt idx="111">
                  <c:v>41841</c:v>
                </c:pt>
                <c:pt idx="112">
                  <c:v>41842</c:v>
                </c:pt>
                <c:pt idx="113">
                  <c:v>41843</c:v>
                </c:pt>
                <c:pt idx="114">
                  <c:v>41844</c:v>
                </c:pt>
                <c:pt idx="115">
                  <c:v>41845</c:v>
                </c:pt>
                <c:pt idx="116">
                  <c:v>41846</c:v>
                </c:pt>
                <c:pt idx="117">
                  <c:v>41847</c:v>
                </c:pt>
                <c:pt idx="118">
                  <c:v>41848</c:v>
                </c:pt>
                <c:pt idx="119">
                  <c:v>41849</c:v>
                </c:pt>
                <c:pt idx="120">
                  <c:v>41850</c:v>
                </c:pt>
                <c:pt idx="121">
                  <c:v>41851</c:v>
                </c:pt>
                <c:pt idx="122">
                  <c:v>41852</c:v>
                </c:pt>
                <c:pt idx="123">
                  <c:v>41853</c:v>
                </c:pt>
                <c:pt idx="124">
                  <c:v>41854</c:v>
                </c:pt>
                <c:pt idx="125">
                  <c:v>41855</c:v>
                </c:pt>
                <c:pt idx="126">
                  <c:v>41856</c:v>
                </c:pt>
                <c:pt idx="127">
                  <c:v>41857</c:v>
                </c:pt>
                <c:pt idx="128">
                  <c:v>41858</c:v>
                </c:pt>
                <c:pt idx="129">
                  <c:v>41859</c:v>
                </c:pt>
                <c:pt idx="130">
                  <c:v>41860</c:v>
                </c:pt>
                <c:pt idx="131">
                  <c:v>41861</c:v>
                </c:pt>
                <c:pt idx="132">
                  <c:v>41862</c:v>
                </c:pt>
                <c:pt idx="133">
                  <c:v>41863</c:v>
                </c:pt>
                <c:pt idx="134">
                  <c:v>41864</c:v>
                </c:pt>
                <c:pt idx="135">
                  <c:v>41865</c:v>
                </c:pt>
                <c:pt idx="136">
                  <c:v>41866</c:v>
                </c:pt>
                <c:pt idx="137">
                  <c:v>41867</c:v>
                </c:pt>
                <c:pt idx="138">
                  <c:v>41868</c:v>
                </c:pt>
                <c:pt idx="139">
                  <c:v>41869</c:v>
                </c:pt>
                <c:pt idx="140">
                  <c:v>41870</c:v>
                </c:pt>
                <c:pt idx="141">
                  <c:v>41871</c:v>
                </c:pt>
                <c:pt idx="142">
                  <c:v>41872</c:v>
                </c:pt>
                <c:pt idx="143">
                  <c:v>41873</c:v>
                </c:pt>
                <c:pt idx="144">
                  <c:v>41874</c:v>
                </c:pt>
                <c:pt idx="145">
                  <c:v>41875</c:v>
                </c:pt>
                <c:pt idx="146">
                  <c:v>41876</c:v>
                </c:pt>
                <c:pt idx="147">
                  <c:v>41877</c:v>
                </c:pt>
                <c:pt idx="148">
                  <c:v>41878</c:v>
                </c:pt>
                <c:pt idx="149">
                  <c:v>41879</c:v>
                </c:pt>
                <c:pt idx="150">
                  <c:v>41880</c:v>
                </c:pt>
                <c:pt idx="151">
                  <c:v>41881</c:v>
                </c:pt>
                <c:pt idx="152">
                  <c:v>41882</c:v>
                </c:pt>
                <c:pt idx="153">
                  <c:v>41883</c:v>
                </c:pt>
                <c:pt idx="154">
                  <c:v>41884</c:v>
                </c:pt>
                <c:pt idx="155">
                  <c:v>41885</c:v>
                </c:pt>
                <c:pt idx="156">
                  <c:v>41886</c:v>
                </c:pt>
                <c:pt idx="157">
                  <c:v>41887</c:v>
                </c:pt>
                <c:pt idx="158">
                  <c:v>41888</c:v>
                </c:pt>
                <c:pt idx="159">
                  <c:v>41889</c:v>
                </c:pt>
                <c:pt idx="160">
                  <c:v>41890</c:v>
                </c:pt>
                <c:pt idx="161">
                  <c:v>41891</c:v>
                </c:pt>
                <c:pt idx="162">
                  <c:v>41892</c:v>
                </c:pt>
                <c:pt idx="163">
                  <c:v>41893</c:v>
                </c:pt>
                <c:pt idx="164">
                  <c:v>41894</c:v>
                </c:pt>
                <c:pt idx="165">
                  <c:v>41895</c:v>
                </c:pt>
                <c:pt idx="166">
                  <c:v>41896</c:v>
                </c:pt>
                <c:pt idx="167">
                  <c:v>41897</c:v>
                </c:pt>
                <c:pt idx="168">
                  <c:v>41898</c:v>
                </c:pt>
                <c:pt idx="169">
                  <c:v>41899</c:v>
                </c:pt>
                <c:pt idx="170">
                  <c:v>41900</c:v>
                </c:pt>
                <c:pt idx="171">
                  <c:v>41901</c:v>
                </c:pt>
                <c:pt idx="172">
                  <c:v>41902</c:v>
                </c:pt>
                <c:pt idx="173">
                  <c:v>41903</c:v>
                </c:pt>
                <c:pt idx="174">
                  <c:v>41904</c:v>
                </c:pt>
                <c:pt idx="175">
                  <c:v>41905</c:v>
                </c:pt>
                <c:pt idx="176">
                  <c:v>41906</c:v>
                </c:pt>
                <c:pt idx="177">
                  <c:v>41907</c:v>
                </c:pt>
                <c:pt idx="178">
                  <c:v>41908</c:v>
                </c:pt>
                <c:pt idx="179">
                  <c:v>41909</c:v>
                </c:pt>
                <c:pt idx="180">
                  <c:v>41910</c:v>
                </c:pt>
                <c:pt idx="181">
                  <c:v>41911</c:v>
                </c:pt>
                <c:pt idx="182">
                  <c:v>41912</c:v>
                </c:pt>
                <c:pt idx="183">
                  <c:v>41913</c:v>
                </c:pt>
                <c:pt idx="184">
                  <c:v>41914</c:v>
                </c:pt>
                <c:pt idx="185">
                  <c:v>41915</c:v>
                </c:pt>
                <c:pt idx="186">
                  <c:v>41916</c:v>
                </c:pt>
                <c:pt idx="187">
                  <c:v>41917</c:v>
                </c:pt>
                <c:pt idx="188">
                  <c:v>41918</c:v>
                </c:pt>
                <c:pt idx="189">
                  <c:v>41919</c:v>
                </c:pt>
                <c:pt idx="190">
                  <c:v>41920</c:v>
                </c:pt>
                <c:pt idx="191">
                  <c:v>41921</c:v>
                </c:pt>
                <c:pt idx="192">
                  <c:v>41922</c:v>
                </c:pt>
                <c:pt idx="193">
                  <c:v>41923</c:v>
                </c:pt>
                <c:pt idx="194">
                  <c:v>41924</c:v>
                </c:pt>
                <c:pt idx="195">
                  <c:v>41925</c:v>
                </c:pt>
                <c:pt idx="196">
                  <c:v>41926</c:v>
                </c:pt>
                <c:pt idx="197">
                  <c:v>41927</c:v>
                </c:pt>
                <c:pt idx="198">
                  <c:v>41928</c:v>
                </c:pt>
                <c:pt idx="199">
                  <c:v>41929</c:v>
                </c:pt>
                <c:pt idx="200">
                  <c:v>41930</c:v>
                </c:pt>
                <c:pt idx="201">
                  <c:v>41931</c:v>
                </c:pt>
                <c:pt idx="202">
                  <c:v>41932</c:v>
                </c:pt>
                <c:pt idx="203">
                  <c:v>41933</c:v>
                </c:pt>
                <c:pt idx="204">
                  <c:v>41934</c:v>
                </c:pt>
                <c:pt idx="205">
                  <c:v>41935</c:v>
                </c:pt>
                <c:pt idx="206">
                  <c:v>41936</c:v>
                </c:pt>
                <c:pt idx="207">
                  <c:v>41937</c:v>
                </c:pt>
                <c:pt idx="208">
                  <c:v>41938</c:v>
                </c:pt>
                <c:pt idx="209">
                  <c:v>41939</c:v>
                </c:pt>
                <c:pt idx="210">
                  <c:v>41940</c:v>
                </c:pt>
                <c:pt idx="211">
                  <c:v>41941</c:v>
                </c:pt>
                <c:pt idx="212">
                  <c:v>41942</c:v>
                </c:pt>
                <c:pt idx="213">
                  <c:v>41943</c:v>
                </c:pt>
                <c:pt idx="214">
                  <c:v>41944</c:v>
                </c:pt>
                <c:pt idx="215">
                  <c:v>41945</c:v>
                </c:pt>
                <c:pt idx="216">
                  <c:v>41946</c:v>
                </c:pt>
                <c:pt idx="217">
                  <c:v>41947</c:v>
                </c:pt>
                <c:pt idx="218">
                  <c:v>41948</c:v>
                </c:pt>
                <c:pt idx="219">
                  <c:v>41949</c:v>
                </c:pt>
                <c:pt idx="220">
                  <c:v>41950</c:v>
                </c:pt>
                <c:pt idx="221">
                  <c:v>41951</c:v>
                </c:pt>
                <c:pt idx="222">
                  <c:v>41952</c:v>
                </c:pt>
                <c:pt idx="223">
                  <c:v>41953</c:v>
                </c:pt>
                <c:pt idx="224">
                  <c:v>41954</c:v>
                </c:pt>
                <c:pt idx="225">
                  <c:v>41955</c:v>
                </c:pt>
                <c:pt idx="226">
                  <c:v>41956</c:v>
                </c:pt>
                <c:pt idx="227">
                  <c:v>41957</c:v>
                </c:pt>
                <c:pt idx="228">
                  <c:v>41958</c:v>
                </c:pt>
                <c:pt idx="229">
                  <c:v>41959</c:v>
                </c:pt>
                <c:pt idx="230">
                  <c:v>41960</c:v>
                </c:pt>
                <c:pt idx="231">
                  <c:v>41961</c:v>
                </c:pt>
                <c:pt idx="232">
                  <c:v>41962</c:v>
                </c:pt>
                <c:pt idx="233">
                  <c:v>41963</c:v>
                </c:pt>
                <c:pt idx="234">
                  <c:v>41964</c:v>
                </c:pt>
                <c:pt idx="235">
                  <c:v>41965</c:v>
                </c:pt>
                <c:pt idx="236">
                  <c:v>41966</c:v>
                </c:pt>
                <c:pt idx="237">
                  <c:v>41967</c:v>
                </c:pt>
                <c:pt idx="238">
                  <c:v>41968</c:v>
                </c:pt>
                <c:pt idx="239">
                  <c:v>41969</c:v>
                </c:pt>
                <c:pt idx="240">
                  <c:v>41970</c:v>
                </c:pt>
                <c:pt idx="241">
                  <c:v>41971</c:v>
                </c:pt>
                <c:pt idx="242">
                  <c:v>41972</c:v>
                </c:pt>
                <c:pt idx="243">
                  <c:v>41973</c:v>
                </c:pt>
                <c:pt idx="244">
                  <c:v>41974</c:v>
                </c:pt>
                <c:pt idx="245">
                  <c:v>41975</c:v>
                </c:pt>
                <c:pt idx="246">
                  <c:v>41976</c:v>
                </c:pt>
                <c:pt idx="247">
                  <c:v>41977</c:v>
                </c:pt>
                <c:pt idx="248">
                  <c:v>41978</c:v>
                </c:pt>
                <c:pt idx="249">
                  <c:v>41979</c:v>
                </c:pt>
                <c:pt idx="250">
                  <c:v>41980</c:v>
                </c:pt>
                <c:pt idx="251">
                  <c:v>41981</c:v>
                </c:pt>
                <c:pt idx="252">
                  <c:v>41982</c:v>
                </c:pt>
                <c:pt idx="253">
                  <c:v>41983</c:v>
                </c:pt>
                <c:pt idx="254">
                  <c:v>41984</c:v>
                </c:pt>
                <c:pt idx="255">
                  <c:v>41985</c:v>
                </c:pt>
                <c:pt idx="256">
                  <c:v>41986</c:v>
                </c:pt>
                <c:pt idx="257">
                  <c:v>41987</c:v>
                </c:pt>
                <c:pt idx="258">
                  <c:v>41988</c:v>
                </c:pt>
                <c:pt idx="259">
                  <c:v>41989</c:v>
                </c:pt>
                <c:pt idx="260">
                  <c:v>41990</c:v>
                </c:pt>
                <c:pt idx="261">
                  <c:v>41991</c:v>
                </c:pt>
                <c:pt idx="262">
                  <c:v>41992</c:v>
                </c:pt>
                <c:pt idx="263">
                  <c:v>41993</c:v>
                </c:pt>
                <c:pt idx="264">
                  <c:v>41994</c:v>
                </c:pt>
                <c:pt idx="265">
                  <c:v>41995</c:v>
                </c:pt>
                <c:pt idx="266">
                  <c:v>41996</c:v>
                </c:pt>
                <c:pt idx="267">
                  <c:v>41997</c:v>
                </c:pt>
                <c:pt idx="268">
                  <c:v>41998</c:v>
                </c:pt>
                <c:pt idx="269">
                  <c:v>41999</c:v>
                </c:pt>
                <c:pt idx="270">
                  <c:v>42000</c:v>
                </c:pt>
                <c:pt idx="271">
                  <c:v>42001</c:v>
                </c:pt>
                <c:pt idx="272">
                  <c:v>42002</c:v>
                </c:pt>
                <c:pt idx="273">
                  <c:v>42003</c:v>
                </c:pt>
                <c:pt idx="274">
                  <c:v>42004</c:v>
                </c:pt>
                <c:pt idx="275">
                  <c:v>42005</c:v>
                </c:pt>
                <c:pt idx="276">
                  <c:v>42006</c:v>
                </c:pt>
                <c:pt idx="277">
                  <c:v>42007</c:v>
                </c:pt>
                <c:pt idx="278">
                  <c:v>42008</c:v>
                </c:pt>
                <c:pt idx="279">
                  <c:v>42009</c:v>
                </c:pt>
                <c:pt idx="280">
                  <c:v>42010</c:v>
                </c:pt>
                <c:pt idx="281">
                  <c:v>42011</c:v>
                </c:pt>
                <c:pt idx="282">
                  <c:v>42012</c:v>
                </c:pt>
                <c:pt idx="283">
                  <c:v>42013</c:v>
                </c:pt>
                <c:pt idx="284">
                  <c:v>42014</c:v>
                </c:pt>
                <c:pt idx="285">
                  <c:v>42015</c:v>
                </c:pt>
                <c:pt idx="286">
                  <c:v>42016</c:v>
                </c:pt>
                <c:pt idx="287">
                  <c:v>42017</c:v>
                </c:pt>
                <c:pt idx="288">
                  <c:v>42018</c:v>
                </c:pt>
                <c:pt idx="289">
                  <c:v>42019</c:v>
                </c:pt>
                <c:pt idx="290">
                  <c:v>42020</c:v>
                </c:pt>
                <c:pt idx="291">
                  <c:v>42021</c:v>
                </c:pt>
                <c:pt idx="292">
                  <c:v>42022</c:v>
                </c:pt>
                <c:pt idx="293">
                  <c:v>42023</c:v>
                </c:pt>
                <c:pt idx="294">
                  <c:v>42024</c:v>
                </c:pt>
                <c:pt idx="295">
                  <c:v>42025</c:v>
                </c:pt>
                <c:pt idx="296">
                  <c:v>42026</c:v>
                </c:pt>
                <c:pt idx="297">
                  <c:v>42027</c:v>
                </c:pt>
                <c:pt idx="298">
                  <c:v>42028</c:v>
                </c:pt>
                <c:pt idx="299">
                  <c:v>42029</c:v>
                </c:pt>
                <c:pt idx="300">
                  <c:v>42030</c:v>
                </c:pt>
                <c:pt idx="301">
                  <c:v>42031</c:v>
                </c:pt>
                <c:pt idx="302">
                  <c:v>42032</c:v>
                </c:pt>
                <c:pt idx="303">
                  <c:v>42033</c:v>
                </c:pt>
                <c:pt idx="304">
                  <c:v>42034</c:v>
                </c:pt>
                <c:pt idx="305">
                  <c:v>42035</c:v>
                </c:pt>
                <c:pt idx="306">
                  <c:v>42036</c:v>
                </c:pt>
                <c:pt idx="307">
                  <c:v>42037</c:v>
                </c:pt>
                <c:pt idx="308">
                  <c:v>42038</c:v>
                </c:pt>
                <c:pt idx="309">
                  <c:v>42039</c:v>
                </c:pt>
                <c:pt idx="310">
                  <c:v>42040</c:v>
                </c:pt>
                <c:pt idx="311">
                  <c:v>42041</c:v>
                </c:pt>
                <c:pt idx="312">
                  <c:v>42042</c:v>
                </c:pt>
                <c:pt idx="313">
                  <c:v>42043</c:v>
                </c:pt>
                <c:pt idx="314">
                  <c:v>42044</c:v>
                </c:pt>
                <c:pt idx="315">
                  <c:v>42045</c:v>
                </c:pt>
                <c:pt idx="316">
                  <c:v>42046</c:v>
                </c:pt>
                <c:pt idx="317">
                  <c:v>42047</c:v>
                </c:pt>
                <c:pt idx="318">
                  <c:v>42048</c:v>
                </c:pt>
                <c:pt idx="319">
                  <c:v>42049</c:v>
                </c:pt>
                <c:pt idx="320">
                  <c:v>42050</c:v>
                </c:pt>
                <c:pt idx="321">
                  <c:v>42051</c:v>
                </c:pt>
                <c:pt idx="322">
                  <c:v>42052</c:v>
                </c:pt>
                <c:pt idx="323">
                  <c:v>42053</c:v>
                </c:pt>
                <c:pt idx="324">
                  <c:v>42054</c:v>
                </c:pt>
                <c:pt idx="325">
                  <c:v>42055</c:v>
                </c:pt>
                <c:pt idx="326">
                  <c:v>42056</c:v>
                </c:pt>
                <c:pt idx="327">
                  <c:v>42057</c:v>
                </c:pt>
                <c:pt idx="328">
                  <c:v>42058</c:v>
                </c:pt>
                <c:pt idx="329">
                  <c:v>42059</c:v>
                </c:pt>
                <c:pt idx="330">
                  <c:v>42060</c:v>
                </c:pt>
                <c:pt idx="331">
                  <c:v>42061</c:v>
                </c:pt>
                <c:pt idx="332">
                  <c:v>42062</c:v>
                </c:pt>
                <c:pt idx="333">
                  <c:v>42063</c:v>
                </c:pt>
                <c:pt idx="334">
                  <c:v>42064</c:v>
                </c:pt>
                <c:pt idx="335">
                  <c:v>42065</c:v>
                </c:pt>
                <c:pt idx="336">
                  <c:v>42066</c:v>
                </c:pt>
                <c:pt idx="337">
                  <c:v>42067</c:v>
                </c:pt>
                <c:pt idx="338">
                  <c:v>42068</c:v>
                </c:pt>
                <c:pt idx="339">
                  <c:v>42069</c:v>
                </c:pt>
                <c:pt idx="340">
                  <c:v>42070</c:v>
                </c:pt>
                <c:pt idx="341">
                  <c:v>42071</c:v>
                </c:pt>
                <c:pt idx="342">
                  <c:v>42072</c:v>
                </c:pt>
                <c:pt idx="343">
                  <c:v>42073</c:v>
                </c:pt>
                <c:pt idx="344">
                  <c:v>42074</c:v>
                </c:pt>
                <c:pt idx="345">
                  <c:v>42075</c:v>
                </c:pt>
                <c:pt idx="346">
                  <c:v>42076</c:v>
                </c:pt>
                <c:pt idx="347">
                  <c:v>42077</c:v>
                </c:pt>
                <c:pt idx="348">
                  <c:v>42078</c:v>
                </c:pt>
                <c:pt idx="349">
                  <c:v>42079</c:v>
                </c:pt>
                <c:pt idx="350">
                  <c:v>42080</c:v>
                </c:pt>
                <c:pt idx="351">
                  <c:v>42081</c:v>
                </c:pt>
                <c:pt idx="352">
                  <c:v>42082</c:v>
                </c:pt>
                <c:pt idx="353">
                  <c:v>42083</c:v>
                </c:pt>
                <c:pt idx="354">
                  <c:v>42084</c:v>
                </c:pt>
                <c:pt idx="355">
                  <c:v>42085</c:v>
                </c:pt>
                <c:pt idx="356">
                  <c:v>42086</c:v>
                </c:pt>
                <c:pt idx="357">
                  <c:v>42087</c:v>
                </c:pt>
                <c:pt idx="358">
                  <c:v>42088</c:v>
                </c:pt>
                <c:pt idx="359">
                  <c:v>42089</c:v>
                </c:pt>
                <c:pt idx="360">
                  <c:v>42090</c:v>
                </c:pt>
                <c:pt idx="361">
                  <c:v>42091</c:v>
                </c:pt>
                <c:pt idx="362">
                  <c:v>42092</c:v>
                </c:pt>
                <c:pt idx="363">
                  <c:v>42093</c:v>
                </c:pt>
                <c:pt idx="364">
                  <c:v>42094</c:v>
                </c:pt>
              </c:numCache>
            </c:numRef>
          </c:cat>
          <c:val>
            <c:numRef>
              <c:f>マアナゴ!$AE$3:$AE$367</c:f>
              <c:numCache>
                <c:formatCode>0</c:formatCode>
                <c:ptCount val="365"/>
                <c:pt idx="0">
                  <c:v>148513.80777390365</c:v>
                </c:pt>
                <c:pt idx="1">
                  <c:v>147874.63828463492</c:v>
                </c:pt>
                <c:pt idx="2">
                  <c:v>147568.39137340186</c:v>
                </c:pt>
                <c:pt idx="3">
                  <c:v>146924.75588530928</c:v>
                </c:pt>
                <c:pt idx="4">
                  <c:v>147036.7233464015</c:v>
                </c:pt>
                <c:pt idx="5">
                  <c:v>145773.34922234155</c:v>
                </c:pt>
                <c:pt idx="6">
                  <c:v>146057.7887523511</c:v>
                </c:pt>
                <c:pt idx="7">
                  <c:v>145354.36063490508</c:v>
                </c:pt>
                <c:pt idx="8">
                  <c:v>145069.43372385777</c:v>
                </c:pt>
                <c:pt idx="9">
                  <c:v>144184.34100387868</c:v>
                </c:pt>
                <c:pt idx="10">
                  <c:v>144462.28881082658</c:v>
                </c:pt>
                <c:pt idx="11">
                  <c:v>143185.22829696376</c:v>
                </c:pt>
                <c:pt idx="12">
                  <c:v>143459.46398063883</c:v>
                </c:pt>
                <c:pt idx="13">
                  <c:v>142713.42690454767</c:v>
                </c:pt>
                <c:pt idx="14">
                  <c:v>142282.66049769567</c:v>
                </c:pt>
                <c:pt idx="15">
                  <c:v>141534.49320771868</c:v>
                </c:pt>
                <c:pt idx="16">
                  <c:v>141801.53611130471</c:v>
                </c:pt>
                <c:pt idx="17">
                  <c:v>140509.17191348664</c:v>
                </c:pt>
                <c:pt idx="18">
                  <c:v>140772.9780860506</c:v>
                </c:pt>
                <c:pt idx="19">
                  <c:v>139822.22181524831</c:v>
                </c:pt>
                <c:pt idx="20">
                  <c:v>139572.30625697182</c:v>
                </c:pt>
                <c:pt idx="21">
                  <c:v>138794.37717825771</c:v>
                </c:pt>
                <c:pt idx="22">
                  <c:v>139051.4877021084</c:v>
                </c:pt>
                <c:pt idx="23">
                  <c:v>137751.96730300598</c:v>
                </c:pt>
                <c:pt idx="24">
                  <c:v>137834.70421303643</c:v>
                </c:pt>
                <c:pt idx="25">
                  <c:v>137038.3582942606</c:v>
                </c:pt>
                <c:pt idx="26">
                  <c:v>136792.01768893228</c:v>
                </c:pt>
                <c:pt idx="27">
                  <c:v>135986.90903936664</c:v>
                </c:pt>
                <c:pt idx="28">
                  <c:v>136233.90613730787</c:v>
                </c:pt>
                <c:pt idx="29">
                  <c:v>134759.45150647065</c:v>
                </c:pt>
                <c:pt idx="30">
                  <c:v>135002.57740886093</c:v>
                </c:pt>
                <c:pt idx="31">
                  <c:v>134256.39967838489</c:v>
                </c:pt>
                <c:pt idx="32">
                  <c:v>133675.80605055683</c:v>
                </c:pt>
                <c:pt idx="33">
                  <c:v>132919.82705877378</c:v>
                </c:pt>
                <c:pt idx="34">
                  <c:v>132832.41561050116</c:v>
                </c:pt>
                <c:pt idx="35">
                  <c:v>131275.27342856827</c:v>
                </c:pt>
                <c:pt idx="36">
                  <c:v>131507.57810667972</c:v>
                </c:pt>
                <c:pt idx="37">
                  <c:v>130744.39621664184</c:v>
                </c:pt>
                <c:pt idx="38">
                  <c:v>130182.70461557001</c:v>
                </c:pt>
                <c:pt idx="39">
                  <c:v>129105.42467180437</c:v>
                </c:pt>
                <c:pt idx="40">
                  <c:v>129331.13101338688</c:v>
                </c:pt>
                <c:pt idx="41">
                  <c:v>127785.64578546875</c:v>
                </c:pt>
                <c:pt idx="42">
                  <c:v>128007.55372725274</c:v>
                </c:pt>
                <c:pt idx="43">
                  <c:v>127249.22231632257</c:v>
                </c:pt>
                <c:pt idx="44">
                  <c:v>126386.50715217828</c:v>
                </c:pt>
                <c:pt idx="45">
                  <c:v>125611.60606040525</c:v>
                </c:pt>
                <c:pt idx="46">
                  <c:v>125826.75207287265</c:v>
                </c:pt>
                <c:pt idx="47">
                  <c:v>124314.83136607728</c:v>
                </c:pt>
                <c:pt idx="48">
                  <c:v>124526.37944155166</c:v>
                </c:pt>
                <c:pt idx="49">
                  <c:v>123436.89563046244</c:v>
                </c:pt>
                <c:pt idx="50">
                  <c:v>122899.26697226825</c:v>
                </c:pt>
                <c:pt idx="51">
                  <c:v>122142.18422920472</c:v>
                </c:pt>
                <c:pt idx="52">
                  <c:v>122347.6813338355</c:v>
                </c:pt>
                <c:pt idx="53">
                  <c:v>120831.491025586</c:v>
                </c:pt>
                <c:pt idx="54">
                  <c:v>120730.3315030935</c:v>
                </c:pt>
                <c:pt idx="55">
                  <c:v>119967.99433350908</c:v>
                </c:pt>
                <c:pt idx="56">
                  <c:v>119442.47521717573</c:v>
                </c:pt>
                <c:pt idx="57">
                  <c:v>118662.41852202296</c:v>
                </c:pt>
                <c:pt idx="58">
                  <c:v>118857.76121155906</c:v>
                </c:pt>
                <c:pt idx="59">
                  <c:v>117081.20463969662</c:v>
                </c:pt>
                <c:pt idx="60">
                  <c:v>117272.56949120027</c:v>
                </c:pt>
                <c:pt idx="61">
                  <c:v>116163.2614268871</c:v>
                </c:pt>
                <c:pt idx="62">
                  <c:v>115359.15221670203</c:v>
                </c:pt>
                <c:pt idx="63">
                  <c:v>114245.50051907076</c:v>
                </c:pt>
                <c:pt idx="64">
                  <c:v>114007.76912803631</c:v>
                </c:pt>
                <c:pt idx="65">
                  <c:v>111867.54905963456</c:v>
                </c:pt>
                <c:pt idx="66">
                  <c:v>112047.13908383773</c:v>
                </c:pt>
                <c:pt idx="67">
                  <c:v>110908.03571065262</c:v>
                </c:pt>
                <c:pt idx="68">
                  <c:v>110052.78573149428</c:v>
                </c:pt>
                <c:pt idx="69">
                  <c:v>108447.13879750218</c:v>
                </c:pt>
                <c:pt idx="70">
                  <c:v>108619.14662490068</c:v>
                </c:pt>
                <c:pt idx="71">
                  <c:v>106379.35302565673</c:v>
                </c:pt>
                <c:pt idx="72">
                  <c:v>106547.07875073205</c:v>
                </c:pt>
                <c:pt idx="73">
                  <c:v>105321.98535576256</c:v>
                </c:pt>
                <c:pt idx="74">
                  <c:v>103902.53719092759</c:v>
                </c:pt>
                <c:pt idx="75">
                  <c:v>102634.94432860894</c:v>
                </c:pt>
                <c:pt idx="76">
                  <c:v>102794.24568050423</c:v>
                </c:pt>
                <c:pt idx="77">
                  <c:v>100277.94555499766</c:v>
                </c:pt>
                <c:pt idx="78">
                  <c:v>100432.50890875469</c:v>
                </c:pt>
                <c:pt idx="79">
                  <c:v>98511.434210307081</c:v>
                </c:pt>
                <c:pt idx="80">
                  <c:v>97430.040215064277</c:v>
                </c:pt>
                <c:pt idx="81">
                  <c:v>96062.014571433843</c:v>
                </c:pt>
                <c:pt idx="82">
                  <c:v>96208.413391323775</c:v>
                </c:pt>
                <c:pt idx="83">
                  <c:v>93529.672300609163</c:v>
                </c:pt>
                <c:pt idx="84">
                  <c:v>93119.959105768648</c:v>
                </c:pt>
                <c:pt idx="85">
                  <c:v>91699.871939596327</c:v>
                </c:pt>
                <c:pt idx="86">
                  <c:v>90606.73547893326</c:v>
                </c:pt>
                <c:pt idx="87">
                  <c:v>89185.562466256713</c:v>
                </c:pt>
                <c:pt idx="88">
                  <c:v>89318.995119640749</c:v>
                </c:pt>
                <c:pt idx="89">
                  <c:v>86099.108006075548</c:v>
                </c:pt>
                <c:pt idx="90">
                  <c:v>86226.149226301757</c:v>
                </c:pt>
                <c:pt idx="91">
                  <c:v>85010.22398704532</c:v>
                </c:pt>
                <c:pt idx="92">
                  <c:v>83873.32105740915</c:v>
                </c:pt>
                <c:pt idx="93">
                  <c:v>82659.482666958487</c:v>
                </c:pt>
                <c:pt idx="94">
                  <c:v>82130.134795112739</c:v>
                </c:pt>
                <c:pt idx="95">
                  <c:v>79818.624672624079</c:v>
                </c:pt>
                <c:pt idx="96">
                  <c:v>79934.306707887605</c:v>
                </c:pt>
                <c:pt idx="97">
                  <c:v>78761.005666574027</c:v>
                </c:pt>
                <c:pt idx="98">
                  <c:v>77699.499525482577</c:v>
                </c:pt>
                <c:pt idx="99">
                  <c:v>75923.062930870772</c:v>
                </c:pt>
                <c:pt idx="100">
                  <c:v>76031.9275781943</c:v>
                </c:pt>
                <c:pt idx="101">
                  <c:v>73764.408957254869</c:v>
                </c:pt>
                <c:pt idx="102">
                  <c:v>73869.750754555236</c:v>
                </c:pt>
                <c:pt idx="103">
                  <c:v>72745.393509374568</c:v>
                </c:pt>
                <c:pt idx="104">
                  <c:v>71096.825057324182</c:v>
                </c:pt>
                <c:pt idx="105">
                  <c:v>70013.263989320607</c:v>
                </c:pt>
                <c:pt idx="106">
                  <c:v>70111.932954524571</c:v>
                </c:pt>
                <c:pt idx="107">
                  <c:v>67822.619075700713</c:v>
                </c:pt>
                <c:pt idx="108">
                  <c:v>67916.872505088948</c:v>
                </c:pt>
                <c:pt idx="109">
                  <c:v>66300.33678638874</c:v>
                </c:pt>
                <c:pt idx="110">
                  <c:v>65303.275682734609</c:v>
                </c:pt>
                <c:pt idx="111">
                  <c:v>64232.549833896825</c:v>
                </c:pt>
                <c:pt idx="112">
                  <c:v>64320.772152336038</c:v>
                </c:pt>
                <c:pt idx="113">
                  <c:v>62137.750028560622</c:v>
                </c:pt>
                <c:pt idx="114">
                  <c:v>61669.94506066294</c:v>
                </c:pt>
                <c:pt idx="115">
                  <c:v>60542.558738199215</c:v>
                </c:pt>
                <c:pt idx="116">
                  <c:v>59467.475843849898</c:v>
                </c:pt>
                <c:pt idx="117">
                  <c:v>58452.69179432196</c:v>
                </c:pt>
                <c:pt idx="118">
                  <c:v>58531.42956862758</c:v>
                </c:pt>
                <c:pt idx="119">
                  <c:v>55863.318072533031</c:v>
                </c:pt>
                <c:pt idx="120">
                  <c:v>55938.676652799862</c:v>
                </c:pt>
                <c:pt idx="121">
                  <c:v>54924.915828259225</c:v>
                </c:pt>
                <c:pt idx="122">
                  <c:v>54290.541197504921</c:v>
                </c:pt>
                <c:pt idx="123">
                  <c:v>53248.296292982042</c:v>
                </c:pt>
                <c:pt idx="124">
                  <c:v>52907.815716652789</c:v>
                </c:pt>
                <c:pt idx="125">
                  <c:v>51380.79156463578</c:v>
                </c:pt>
                <c:pt idx="126">
                  <c:v>51441.593193132634</c:v>
                </c:pt>
                <c:pt idx="127">
                  <c:v>50548.239585961375</c:v>
                </c:pt>
                <c:pt idx="128">
                  <c:v>49869.155547474351</c:v>
                </c:pt>
                <c:pt idx="129">
                  <c:v>48492.241978556653</c:v>
                </c:pt>
                <c:pt idx="130">
                  <c:v>48554.965472724361</c:v>
                </c:pt>
                <c:pt idx="131">
                  <c:v>46968.985850495686</c:v>
                </c:pt>
                <c:pt idx="132">
                  <c:v>47029.720980989005</c:v>
                </c:pt>
                <c:pt idx="133">
                  <c:v>46128.627241975875</c:v>
                </c:pt>
                <c:pt idx="134">
                  <c:v>44933.688916043575</c:v>
                </c:pt>
                <c:pt idx="135">
                  <c:v>44275.04115687545</c:v>
                </c:pt>
                <c:pt idx="136">
                  <c:v>44331.025714758434</c:v>
                </c:pt>
                <c:pt idx="137">
                  <c:v>42798.329414699168</c:v>
                </c:pt>
                <c:pt idx="138">
                  <c:v>42852.53010842744</c:v>
                </c:pt>
                <c:pt idx="139">
                  <c:v>41549.797011729788</c:v>
                </c:pt>
                <c:pt idx="140">
                  <c:v>40552.055908816488</c:v>
                </c:pt>
                <c:pt idx="141">
                  <c:v>39919.356129417829</c:v>
                </c:pt>
                <c:pt idx="142">
                  <c:v>39969.181157345607</c:v>
                </c:pt>
                <c:pt idx="143">
                  <c:v>38471.317060878988</c:v>
                </c:pt>
                <c:pt idx="144">
                  <c:v>38046.571782346393</c:v>
                </c:pt>
                <c:pt idx="145">
                  <c:v>37421.731427392464</c:v>
                </c:pt>
                <c:pt idx="146">
                  <c:v>36564.905716458001</c:v>
                </c:pt>
                <c:pt idx="147">
                  <c:v>35983.432193914879</c:v>
                </c:pt>
                <c:pt idx="148">
                  <c:v>36026.05685504643</c:v>
                </c:pt>
                <c:pt idx="149">
                  <c:v>34317.035783134044</c:v>
                </c:pt>
                <c:pt idx="150">
                  <c:v>34358.81746455036</c:v>
                </c:pt>
                <c:pt idx="151">
                  <c:v>33775.761715195353</c:v>
                </c:pt>
                <c:pt idx="152">
                  <c:v>33025.982931798426</c:v>
                </c:pt>
                <c:pt idx="153">
                  <c:v>29093.369720493531</c:v>
                </c:pt>
                <c:pt idx="154">
                  <c:v>27530.068676636543</c:v>
                </c:pt>
                <c:pt idx="155">
                  <c:v>25935.42972791315</c:v>
                </c:pt>
                <c:pt idx="156">
                  <c:v>25083.446397033695</c:v>
                </c:pt>
                <c:pt idx="157">
                  <c:v>23981.304732492794</c:v>
                </c:pt>
                <c:pt idx="158">
                  <c:v>22937.221686656874</c:v>
                </c:pt>
                <c:pt idx="159">
                  <c:v>21723.755118626039</c:v>
                </c:pt>
                <c:pt idx="160">
                  <c:v>21032.940701262985</c:v>
                </c:pt>
                <c:pt idx="161">
                  <c:v>19804.432825438384</c:v>
                </c:pt>
                <c:pt idx="162">
                  <c:v>19308.445770392937</c:v>
                </c:pt>
                <c:pt idx="163">
                  <c:v>18655.077608435582</c:v>
                </c:pt>
                <c:pt idx="164">
                  <c:v>17799.386306624816</c:v>
                </c:pt>
                <c:pt idx="165">
                  <c:v>17145.025534562945</c:v>
                </c:pt>
                <c:pt idx="166">
                  <c:v>16786.655582949952</c:v>
                </c:pt>
                <c:pt idx="167">
                  <c:v>16022.854591750063</c:v>
                </c:pt>
                <c:pt idx="168">
                  <c:v>15737.885091366919</c:v>
                </c:pt>
                <c:pt idx="169">
                  <c:v>15134.143137056755</c:v>
                </c:pt>
                <c:pt idx="170">
                  <c:v>14688.881947056794</c:v>
                </c:pt>
                <c:pt idx="171">
                  <c:v>14203.462393025817</c:v>
                </c:pt>
                <c:pt idx="172">
                  <c:v>14002.688375004554</c:v>
                </c:pt>
                <c:pt idx="173">
                  <c:v>13358.635645856202</c:v>
                </c:pt>
                <c:pt idx="174">
                  <c:v>13055.394983875827</c:v>
                </c:pt>
                <c:pt idx="175">
                  <c:v>12646.788240875472</c:v>
                </c:pt>
                <c:pt idx="176">
                  <c:v>12331.293975902483</c:v>
                </c:pt>
                <c:pt idx="177">
                  <c:v>11954.590178168208</c:v>
                </c:pt>
                <c:pt idx="178">
                  <c:v>11839.164010361872</c:v>
                </c:pt>
                <c:pt idx="179">
                  <c:v>11217.524816975199</c:v>
                </c:pt>
                <c:pt idx="180">
                  <c:v>11123.183611083989</c:v>
                </c:pt>
                <c:pt idx="181">
                  <c:v>10844.871408462943</c:v>
                </c:pt>
                <c:pt idx="182">
                  <c:v>10625.444971079223</c:v>
                </c:pt>
                <c:pt idx="183">
                  <c:v>10354.3514341637</c:v>
                </c:pt>
                <c:pt idx="184">
                  <c:v>10183.460948713784</c:v>
                </c:pt>
                <c:pt idx="185">
                  <c:v>9845.0036048208822</c:v>
                </c:pt>
                <c:pt idx="186">
                  <c:v>9779.8688987272581</c:v>
                </c:pt>
                <c:pt idx="187">
                  <c:v>9578.3608846347288</c:v>
                </c:pt>
                <c:pt idx="188">
                  <c:v>9385.9845618182135</c:v>
                </c:pt>
                <c:pt idx="189">
                  <c:v>9120.5097789549254</c:v>
                </c:pt>
                <c:pt idx="190">
                  <c:v>9068.5874433180943</c:v>
                </c:pt>
                <c:pt idx="191">
                  <c:v>8821.4196913283176</c:v>
                </c:pt>
                <c:pt idx="192">
                  <c:v>8773.9548590519644</c:v>
                </c:pt>
                <c:pt idx="193">
                  <c:v>8613.4422650073811</c:v>
                </c:pt>
                <c:pt idx="194">
                  <c:v>8432.8914830628182</c:v>
                </c:pt>
                <c:pt idx="195">
                  <c:v>8295.8853530949582</c:v>
                </c:pt>
                <c:pt idx="196">
                  <c:v>8257.5848781529421</c:v>
                </c:pt>
                <c:pt idx="197">
                  <c:v>8066.44343993844</c:v>
                </c:pt>
                <c:pt idx="198">
                  <c:v>8032.8434693050658</c:v>
                </c:pt>
                <c:pt idx="199">
                  <c:v>7875.583790011945</c:v>
                </c:pt>
                <c:pt idx="200">
                  <c:v>7772.4498572336297</c:v>
                </c:pt>
                <c:pt idx="201">
                  <c:v>7650.4457920675532</c:v>
                </c:pt>
                <c:pt idx="202">
                  <c:v>7622.2631024708935</c:v>
                </c:pt>
                <c:pt idx="203">
                  <c:v>7437.9202270132073</c:v>
                </c:pt>
                <c:pt idx="204">
                  <c:v>7357.6895380035185</c:v>
                </c:pt>
                <c:pt idx="205">
                  <c:v>7220.7608983391347</c:v>
                </c:pt>
                <c:pt idx="206">
                  <c:v>7119.9722243422157</c:v>
                </c:pt>
                <c:pt idx="207">
                  <c:v>6999.5411277312778</c:v>
                </c:pt>
                <c:pt idx="208">
                  <c:v>6973.9047760201511</c:v>
                </c:pt>
                <c:pt idx="209">
                  <c:v>6780.276757397909</c:v>
                </c:pt>
                <c:pt idx="210">
                  <c:v>6756.519150527597</c:v>
                </c:pt>
                <c:pt idx="211">
                  <c:v>6641.7644998403794</c:v>
                </c:pt>
                <c:pt idx="212">
                  <c:v>6579.9879120049172</c:v>
                </c:pt>
                <c:pt idx="213">
                  <c:v>6470.5525504664729</c:v>
                </c:pt>
                <c:pt idx="214">
                  <c:v>6424.0347287978639</c:v>
                </c:pt>
                <c:pt idx="215">
                  <c:v>6306.5790326858005</c:v>
                </c:pt>
                <c:pt idx="216">
                  <c:v>6285.2132331507446</c:v>
                </c:pt>
                <c:pt idx="217">
                  <c:v>6186.030403559851</c:v>
                </c:pt>
                <c:pt idx="218">
                  <c:v>6157.5769436471137</c:v>
                </c:pt>
                <c:pt idx="219">
                  <c:v>6042.4350323784174</c:v>
                </c:pt>
                <c:pt idx="220">
                  <c:v>6022.8010429366359</c:v>
                </c:pt>
                <c:pt idx="221">
                  <c:v>5925.4642181646177</c:v>
                </c:pt>
                <c:pt idx="222">
                  <c:v>5906.1190590759679</c:v>
                </c:pt>
                <c:pt idx="223">
                  <c:v>5819.3247486603768</c:v>
                </c:pt>
                <c:pt idx="224">
                  <c:v>5771.203781307524</c:v>
                </c:pt>
                <c:pt idx="225">
                  <c:v>5691.8972384923327</c:v>
                </c:pt>
                <c:pt idx="226">
                  <c:v>5672.5271360188108</c:v>
                </c:pt>
                <c:pt idx="227">
                  <c:v>5592.1145346481053</c:v>
                </c:pt>
                <c:pt idx="228">
                  <c:v>5573.0765510384381</c:v>
                </c:pt>
                <c:pt idx="229">
                  <c:v>5482.1959708736631</c:v>
                </c:pt>
                <c:pt idx="230">
                  <c:v>5455.3558251516361</c:v>
                </c:pt>
                <c:pt idx="231">
                  <c:v>5387.0884424242786</c:v>
                </c:pt>
                <c:pt idx="232">
                  <c:v>5368.0959335668058</c:v>
                </c:pt>
                <c:pt idx="233">
                  <c:v>5291.2453783256524</c:v>
                </c:pt>
                <c:pt idx="234">
                  <c:v>5253.739419847012</c:v>
                </c:pt>
                <c:pt idx="235">
                  <c:v>5183.3297488519202</c:v>
                </c:pt>
                <c:pt idx="236">
                  <c:v>5156.8286471359816</c:v>
                </c:pt>
                <c:pt idx="237">
                  <c:v>5085.9825143124426</c:v>
                </c:pt>
                <c:pt idx="238">
                  <c:v>5067.4119587914365</c:v>
                </c:pt>
                <c:pt idx="239">
                  <c:v>4973.9574766744036</c:v>
                </c:pt>
                <c:pt idx="240">
                  <c:v>4955.7293712373148</c:v>
                </c:pt>
                <c:pt idx="241">
                  <c:v>4885.2757052279412</c:v>
                </c:pt>
                <c:pt idx="242">
                  <c:v>4858.5163146999475</c:v>
                </c:pt>
                <c:pt idx="243">
                  <c:v>4788.2726285746803</c:v>
                </c:pt>
                <c:pt idx="244">
                  <c:v>4760.5847961036616</c:v>
                </c:pt>
                <c:pt idx="245">
                  <c:v>4696.9538565131843</c:v>
                </c:pt>
                <c:pt idx="246">
                  <c:v>4678.5969938750613</c:v>
                </c:pt>
                <c:pt idx="247">
                  <c:v>4619.7232902134865</c:v>
                </c:pt>
                <c:pt idx="248">
                  <c:v>4597.2812595624373</c:v>
                </c:pt>
                <c:pt idx="249">
                  <c:v>4530.3232075607739</c:v>
                </c:pt>
                <c:pt idx="250">
                  <c:v>4512.1368650128497</c:v>
                </c:pt>
                <c:pt idx="251">
                  <c:v>4449.3120415871881</c:v>
                </c:pt>
                <c:pt idx="252">
                  <c:v>4431.5427591100315</c:v>
                </c:pt>
                <c:pt idx="253">
                  <c:v>4374.8304494465201</c:v>
                </c:pt>
                <c:pt idx="254">
                  <c:v>4344.5188493848427</c:v>
                </c:pt>
                <c:pt idx="255">
                  <c:v>4288.1027153156419</c:v>
                </c:pt>
                <c:pt idx="256">
                  <c:v>4270.5336615020533</c:v>
                </c:pt>
                <c:pt idx="257">
                  <c:v>4210.5287237139373</c:v>
                </c:pt>
                <c:pt idx="258">
                  <c:v>4192.7428247120342</c:v>
                </c:pt>
                <c:pt idx="259">
                  <c:v>4129.7785705676069</c:v>
                </c:pt>
                <c:pt idx="260">
                  <c:v>4107.189766535721</c:v>
                </c:pt>
                <c:pt idx="261">
                  <c:v>4054.3525135756636</c:v>
                </c:pt>
                <c:pt idx="262">
                  <c:v>4036.7915061867093</c:v>
                </c:pt>
                <c:pt idx="263">
                  <c:v>3977.0710104443338</c:v>
                </c:pt>
                <c:pt idx="264">
                  <c:v>3952.7134095292286</c:v>
                </c:pt>
                <c:pt idx="265">
                  <c:v>3901.22081006195</c:v>
                </c:pt>
                <c:pt idx="266">
                  <c:v>3879.2780469181312</c:v>
                </c:pt>
                <c:pt idx="267">
                  <c:v>3826.1588588610884</c:v>
                </c:pt>
                <c:pt idx="268">
                  <c:v>3809.2988665229882</c:v>
                </c:pt>
                <c:pt idx="269">
                  <c:v>3747.2534459584622</c:v>
                </c:pt>
                <c:pt idx="270">
                  <c:v>3730.1874391714232</c:v>
                </c:pt>
                <c:pt idx="271">
                  <c:v>3677.7844559390919</c:v>
                </c:pt>
                <c:pt idx="272">
                  <c:v>3655.8626421095546</c:v>
                </c:pt>
                <c:pt idx="273">
                  <c:v>3607.1626373707418</c:v>
                </c:pt>
                <c:pt idx="274">
                  <c:v>3583.0304199732791</c:v>
                </c:pt>
                <c:pt idx="275">
                  <c:v>3543.4147968977395</c:v>
                </c:pt>
                <c:pt idx="276">
                  <c:v>3525.7854480505871</c:v>
                </c:pt>
                <c:pt idx="277">
                  <c:v>3486.6060126527523</c:v>
                </c:pt>
                <c:pt idx="278">
                  <c:v>3467.4625274152168</c:v>
                </c:pt>
                <c:pt idx="279">
                  <c:v>3423.3367679443277</c:v>
                </c:pt>
                <c:pt idx="280">
                  <c:v>3406.0338581178294</c:v>
                </c:pt>
                <c:pt idx="281">
                  <c:v>3364.3578526062615</c:v>
                </c:pt>
                <c:pt idx="282">
                  <c:v>3346.8858631750245</c:v>
                </c:pt>
                <c:pt idx="283">
                  <c:v>3305.6480849340282</c:v>
                </c:pt>
                <c:pt idx="284">
                  <c:v>3283.9397881797004</c:v>
                </c:pt>
                <c:pt idx="285">
                  <c:v>3243.1396335019276</c:v>
                </c:pt>
                <c:pt idx="286">
                  <c:v>3226.0074386515353</c:v>
                </c:pt>
                <c:pt idx="287">
                  <c:v>3184.9759212003059</c:v>
                </c:pt>
                <c:pt idx="288">
                  <c:v>3167.6803385037165</c:v>
                </c:pt>
                <c:pt idx="289">
                  <c:v>3122.3202844775442</c:v>
                </c:pt>
                <c:pt idx="290">
                  <c:v>3104.1719031540324</c:v>
                </c:pt>
                <c:pt idx="291">
                  <c:v>3065.4113986101142</c:v>
                </c:pt>
                <c:pt idx="292">
                  <c:v>3048.4728026210723</c:v>
                </c:pt>
                <c:pt idx="293">
                  <c:v>3007.4342208121493</c:v>
                </c:pt>
                <c:pt idx="294">
                  <c:v>2988.2736921586425</c:v>
                </c:pt>
                <c:pt idx="295">
                  <c:v>2950.4497385439245</c:v>
                </c:pt>
                <c:pt idx="296">
                  <c:v>2933.1959825185263</c:v>
                </c:pt>
                <c:pt idx="297">
                  <c:v>2894.470149306946</c:v>
                </c:pt>
                <c:pt idx="298">
                  <c:v>2878.4453194572025</c:v>
                </c:pt>
                <c:pt idx="299">
                  <c:v>2838.1225012573573</c:v>
                </c:pt>
                <c:pt idx="300">
                  <c:v>2821.9475130338838</c:v>
                </c:pt>
                <c:pt idx="301">
                  <c:v>2781.4074187626015</c:v>
                </c:pt>
                <c:pt idx="302">
                  <c:v>2763.691657142077</c:v>
                </c:pt>
                <c:pt idx="303">
                  <c:v>2727.8075422641118</c:v>
                </c:pt>
                <c:pt idx="304">
                  <c:v>2709.2457641818601</c:v>
                </c:pt>
                <c:pt idx="305">
                  <c:v>2673.860655117935</c:v>
                </c:pt>
                <c:pt idx="306">
                  <c:v>2657.9456764301253</c:v>
                </c:pt>
                <c:pt idx="307">
                  <c:v>2623.0685186835472</c:v>
                </c:pt>
                <c:pt idx="308">
                  <c:v>2607.0159398598189</c:v>
                </c:pt>
                <c:pt idx="309">
                  <c:v>2576.162549267181</c:v>
                </c:pt>
                <c:pt idx="310">
                  <c:v>2560.6814487172164</c:v>
                </c:pt>
                <c:pt idx="311">
                  <c:v>2528.9533665927925</c:v>
                </c:pt>
                <c:pt idx="312">
                  <c:v>2513.3427941723162</c:v>
                </c:pt>
                <c:pt idx="313">
                  <c:v>2481.4415039051632</c:v>
                </c:pt>
                <c:pt idx="314">
                  <c:v>2464.9947891032753</c:v>
                </c:pt>
                <c:pt idx="315">
                  <c:v>2433.6274983019139</c:v>
                </c:pt>
                <c:pt idx="316">
                  <c:v>2417.7587020619321</c:v>
                </c:pt>
                <c:pt idx="317">
                  <c:v>2384.802128146513</c:v>
                </c:pt>
                <c:pt idx="318">
                  <c:v>2369.5143460365821</c:v>
                </c:pt>
                <c:pt idx="319">
                  <c:v>2337.806886863229</c:v>
                </c:pt>
                <c:pt idx="320">
                  <c:v>2320.9691773112831</c:v>
                </c:pt>
                <c:pt idx="321">
                  <c:v>2288.3780517435789</c:v>
                </c:pt>
                <c:pt idx="322">
                  <c:v>2271.4092416412145</c:v>
                </c:pt>
                <c:pt idx="323">
                  <c:v>2239.3609208075231</c:v>
                </c:pt>
                <c:pt idx="324">
                  <c:v>2222.9786057088108</c:v>
                </c:pt>
                <c:pt idx="325">
                  <c:v>2190.0443885373015</c:v>
                </c:pt>
                <c:pt idx="326">
                  <c:v>2173.5343138498588</c:v>
                </c:pt>
                <c:pt idx="327">
                  <c:v>2144.0251650294681</c:v>
                </c:pt>
                <c:pt idx="328">
                  <c:v>2127.3922983591024</c:v>
                </c:pt>
                <c:pt idx="329">
                  <c:v>2098.4476365975288</c:v>
                </c:pt>
                <c:pt idx="330">
                  <c:v>2082.4152179725838</c:v>
                </c:pt>
                <c:pt idx="331">
                  <c:v>2052.5949811625301</c:v>
                </c:pt>
                <c:pt idx="332">
                  <c:v>2036.4430735961762</c:v>
                </c:pt>
                <c:pt idx="333">
                  <c:v>2009.3672414171713</c:v>
                </c:pt>
                <c:pt idx="334">
                  <c:v>1993.8256595782857</c:v>
                </c:pt>
                <c:pt idx="335">
                  <c:v>1963.7001739874322</c:v>
                </c:pt>
                <c:pt idx="336">
                  <c:v>1948.7700861720195</c:v>
                </c:pt>
                <c:pt idx="337">
                  <c:v>1918.4919314454457</c:v>
                </c:pt>
                <c:pt idx="338">
                  <c:v>1900.5304071706912</c:v>
                </c:pt>
                <c:pt idx="339">
                  <c:v>1874.4791628230801</c:v>
                </c:pt>
                <c:pt idx="340">
                  <c:v>1860.0563080831207</c:v>
                </c:pt>
                <c:pt idx="341">
                  <c:v>1829.4764791361727</c:v>
                </c:pt>
                <c:pt idx="342">
                  <c:v>1815.6770444957592</c:v>
                </c:pt>
                <c:pt idx="343">
                  <c:v>1790.0869805048026</c:v>
                </c:pt>
                <c:pt idx="344">
                  <c:v>1773.9816824573793</c:v>
                </c:pt>
                <c:pt idx="345">
                  <c:v>1748.9948521972738</c:v>
                </c:pt>
                <c:pt idx="346">
                  <c:v>1736.4671760501083</c:v>
                </c:pt>
                <c:pt idx="347">
                  <c:v>1709.8792327319966</c:v>
                </c:pt>
                <c:pt idx="348">
                  <c:v>1697.9951936328957</c:v>
                </c:pt>
                <c:pt idx="349">
                  <c:v>1674.9768249986337</c:v>
                </c:pt>
                <c:pt idx="350">
                  <c:v>1659.3013556321873</c:v>
                </c:pt>
                <c:pt idx="351">
                  <c:v>1637.6463171200498</c:v>
                </c:pt>
                <c:pt idx="352">
                  <c:v>1626.3270286300715</c:v>
                </c:pt>
                <c:pt idx="353">
                  <c:v>1600.8455955118027</c:v>
                </c:pt>
                <c:pt idx="354">
                  <c:v>1590.1835141429133</c:v>
                </c:pt>
                <c:pt idx="355">
                  <c:v>1569.7984013913863</c:v>
                </c:pt>
                <c:pt idx="356">
                  <c:v>1556.0732226290454</c:v>
                </c:pt>
                <c:pt idx="357">
                  <c:v>1536.3298695846813</c:v>
                </c:pt>
                <c:pt idx="358">
                  <c:v>1526.2576978549801</c:v>
                </c:pt>
                <c:pt idx="359">
                  <c:v>1503.4201025465013</c:v>
                </c:pt>
                <c:pt idx="360">
                  <c:v>1494.020450273428</c:v>
                </c:pt>
                <c:pt idx="361">
                  <c:v>1476.3315422200633</c:v>
                </c:pt>
                <c:pt idx="362">
                  <c:v>1463.8563660829413</c:v>
                </c:pt>
                <c:pt idx="363">
                  <c:v>1446.8282534581072</c:v>
                </c:pt>
                <c:pt idx="364">
                  <c:v>1438.0434502221085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6E-46C1-B8DA-98F55514C6A7}"/>
            </c:ext>
          </c:extLst>
        </c:ser>
        <c:ser>
          <c:idx val="2"/>
          <c:order val="2"/>
          <c:tx>
            <c:v>3年目級群</c:v>
          </c:tx>
          <c:spPr>
            <a:solidFill>
              <a:srgbClr val="00CC00"/>
            </a:solidFill>
            <a:ln w="25400">
              <a:noFill/>
            </a:ln>
            <a:effectLst/>
          </c:spPr>
          <c:val>
            <c:numRef>
              <c:f>マアナゴ!$AF$3:$AF$367</c:f>
              <c:numCache>
                <c:formatCode>0</c:formatCode>
                <c:ptCount val="365"/>
                <c:pt idx="0">
                  <c:v>1429.986218399589</c:v>
                </c:pt>
                <c:pt idx="1">
                  <c:v>1403.7711371279486</c:v>
                </c:pt>
                <c:pt idx="2">
                  <c:v>1392.6157835084152</c:v>
                </c:pt>
                <c:pt idx="3">
                  <c:v>1367.7954749243784</c:v>
                </c:pt>
                <c:pt idx="4">
                  <c:v>1357.3170631166549</c:v>
                </c:pt>
                <c:pt idx="5">
                  <c:v>1330.1058761508809</c:v>
                </c:pt>
                <c:pt idx="6">
                  <c:v>1323.3468491833712</c:v>
                </c:pt>
                <c:pt idx="7">
                  <c:v>1299.8240415253056</c:v>
                </c:pt>
                <c:pt idx="8">
                  <c:v>1290.7165124124822</c:v>
                </c:pt>
                <c:pt idx="9">
                  <c:v>1265.5624721034144</c:v>
                </c:pt>
                <c:pt idx="10">
                  <c:v>1259.4373919292088</c:v>
                </c:pt>
                <c:pt idx="11">
                  <c:v>1233.4115354695866</c:v>
                </c:pt>
                <c:pt idx="12">
                  <c:v>1227.2240563808255</c:v>
                </c:pt>
                <c:pt idx="13">
                  <c:v>1206.4539646423859</c:v>
                </c:pt>
                <c:pt idx="14">
                  <c:v>1194.8388127132632</c:v>
                </c:pt>
                <c:pt idx="15">
                  <c:v>1172.4353919547852</c:v>
                </c:pt>
                <c:pt idx="16">
                  <c:v>1166.8973179469363</c:v>
                </c:pt>
                <c:pt idx="17">
                  <c:v>1143.629076879834</c:v>
                </c:pt>
                <c:pt idx="18">
                  <c:v>1138.0353932497605</c:v>
                </c:pt>
                <c:pt idx="19">
                  <c:v>1114.669929637769</c:v>
                </c:pt>
                <c:pt idx="20">
                  <c:v>1106.702261420314</c:v>
                </c:pt>
                <c:pt idx="21">
                  <c:v>1087.1057675309573</c:v>
                </c:pt>
                <c:pt idx="22">
                  <c:v>1082.1777219021667</c:v>
                </c:pt>
                <c:pt idx="23">
                  <c:v>1059.396669526079</c:v>
                </c:pt>
                <c:pt idx="24">
                  <c:v>1051.311233496951</c:v>
                </c:pt>
                <c:pt idx="25">
                  <c:v>1033.0976562530752</c:v>
                </c:pt>
                <c:pt idx="26">
                  <c:v>1025.7335968146651</c:v>
                </c:pt>
                <c:pt idx="27">
                  <c:v>1006.6615517507092</c:v>
                </c:pt>
                <c:pt idx="28">
                  <c:v>1001.582698809302</c:v>
                </c:pt>
                <c:pt idx="29">
                  <c:v>979.30771556717252</c:v>
                </c:pt>
                <c:pt idx="30">
                  <c:v>974.96038989330282</c:v>
                </c:pt>
                <c:pt idx="31">
                  <c:v>958.07574666824053</c:v>
                </c:pt>
                <c:pt idx="32">
                  <c:v>948.20172856972852</c:v>
                </c:pt>
                <c:pt idx="33">
                  <c:v>932.8100292762681</c:v>
                </c:pt>
                <c:pt idx="34">
                  <c:v>924.44873613943741</c:v>
                </c:pt>
                <c:pt idx="35">
                  <c:v>904.27030384070963</c:v>
                </c:pt>
                <c:pt idx="36">
                  <c:v>899.78709438010799</c:v>
                </c:pt>
                <c:pt idx="37">
                  <c:v>885.04515972048227</c:v>
                </c:pt>
                <c:pt idx="38">
                  <c:v>875.7897264435918</c:v>
                </c:pt>
                <c:pt idx="39">
                  <c:v>857.03162385193707</c:v>
                </c:pt>
                <c:pt idx="40">
                  <c:v>853.25304491406871</c:v>
                </c:pt>
                <c:pt idx="41">
                  <c:v>835.2129280820061</c:v>
                </c:pt>
                <c:pt idx="42">
                  <c:v>830.60288071208652</c:v>
                </c:pt>
                <c:pt idx="43">
                  <c:v>816.45825567387908</c:v>
                </c:pt>
                <c:pt idx="44">
                  <c:v>804.66215306915524</c:v>
                </c:pt>
                <c:pt idx="45">
                  <c:v>792.04170431879731</c:v>
                </c:pt>
                <c:pt idx="46">
                  <c:v>788.14758936237558</c:v>
                </c:pt>
                <c:pt idx="47">
                  <c:v>770.69322834585387</c:v>
                </c:pt>
                <c:pt idx="48">
                  <c:v>766.76139202243269</c:v>
                </c:pt>
                <c:pt idx="49">
                  <c:v>750.83680689360517</c:v>
                </c:pt>
                <c:pt idx="50">
                  <c:v>742.87088594915758</c:v>
                </c:pt>
                <c:pt idx="51">
                  <c:v>730.08169692329591</c:v>
                </c:pt>
                <c:pt idx="52">
                  <c:v>726.87877041857712</c:v>
                </c:pt>
                <c:pt idx="53">
                  <c:v>710.82971398526672</c:v>
                </c:pt>
                <c:pt idx="54">
                  <c:v>704.38107737981704</c:v>
                </c:pt>
                <c:pt idx="55">
                  <c:v>692.28760654506164</c:v>
                </c:pt>
                <c:pt idx="56">
                  <c:v>685.7998781931127</c:v>
                </c:pt>
                <c:pt idx="57">
                  <c:v>674.46086871886985</c:v>
                </c:pt>
                <c:pt idx="58">
                  <c:v>671.16176255362325</c:v>
                </c:pt>
                <c:pt idx="59">
                  <c:v>653.3171706592251</c:v>
                </c:pt>
                <c:pt idx="60">
                  <c:v>649.98354849869577</c:v>
                </c:pt>
                <c:pt idx="61">
                  <c:v>638.54745633437528</c:v>
                </c:pt>
                <c:pt idx="62">
                  <c:v>630.32528773473609</c:v>
                </c:pt>
                <c:pt idx="63">
                  <c:v>618.02801557589976</c:v>
                </c:pt>
                <c:pt idx="64">
                  <c:v>611.38576964238257</c:v>
                </c:pt>
                <c:pt idx="65">
                  <c:v>593.34798573120042</c:v>
                </c:pt>
                <c:pt idx="66">
                  <c:v>590.72942064518236</c:v>
                </c:pt>
                <c:pt idx="67">
                  <c:v>578.32877932294514</c:v>
                </c:pt>
                <c:pt idx="68">
                  <c:v>569.97684998148293</c:v>
                </c:pt>
                <c:pt idx="69">
                  <c:v>553.44240486123044</c:v>
                </c:pt>
                <c:pt idx="70">
                  <c:v>550.76260438761881</c:v>
                </c:pt>
                <c:pt idx="71">
                  <c:v>533.3509465013683</c:v>
                </c:pt>
                <c:pt idx="72">
                  <c:v>530.64065930132983</c:v>
                </c:pt>
                <c:pt idx="73">
                  <c:v>518.08588398760764</c:v>
                </c:pt>
                <c:pt idx="74">
                  <c:v>505.50293096030936</c:v>
                </c:pt>
                <c:pt idx="75">
                  <c:v>492.07034917790304</c:v>
                </c:pt>
                <c:pt idx="76">
                  <c:v>489.29848760149702</c:v>
                </c:pt>
                <c:pt idx="77">
                  <c:v>470.87821394805758</c:v>
                </c:pt>
                <c:pt idx="78">
                  <c:v>468.07526814860591</c:v>
                </c:pt>
                <c:pt idx="79">
                  <c:v>449.59118029228335</c:v>
                </c:pt>
                <c:pt idx="80">
                  <c:v>440.15084979597083</c:v>
                </c:pt>
                <c:pt idx="81">
                  <c:v>426.55616911721302</c:v>
                </c:pt>
                <c:pt idx="82">
                  <c:v>423.68960983867305</c:v>
                </c:pt>
                <c:pt idx="83">
                  <c:v>405.07662068697806</c:v>
                </c:pt>
                <c:pt idx="84">
                  <c:v>398.0330767465548</c:v>
                </c:pt>
                <c:pt idx="85">
                  <c:v>385.16308523644244</c:v>
                </c:pt>
                <c:pt idx="86">
                  <c:v>378.08197043782184</c:v>
                </c:pt>
                <c:pt idx="87">
                  <c:v>365.99427235431875</c:v>
                </c:pt>
                <c:pt idx="88">
                  <c:v>363.03984380032813</c:v>
                </c:pt>
                <c:pt idx="89">
                  <c:v>343.40796096559723</c:v>
                </c:pt>
                <c:pt idx="90">
                  <c:v>341.25650890420422</c:v>
                </c:pt>
                <c:pt idx="91">
                  <c:v>331.58264327560795</c:v>
                </c:pt>
                <c:pt idx="92">
                  <c:v>326.06838511398149</c:v>
                </c:pt>
                <c:pt idx="93">
                  <c:v>316.35728985251626</c:v>
                </c:pt>
                <c:pt idx="94">
                  <c:v>309.97658649775917</c:v>
                </c:pt>
                <c:pt idx="95">
                  <c:v>297.71163164595526</c:v>
                </c:pt>
                <c:pt idx="96">
                  <c:v>296.33408052935999</c:v>
                </c:pt>
                <c:pt idx="97">
                  <c:v>288.23029576570718</c:v>
                </c:pt>
                <c:pt idx="98">
                  <c:v>283.47397059101581</c:v>
                </c:pt>
                <c:pt idx="99">
                  <c:v>271.12908312374515</c:v>
                </c:pt>
                <c:pt idx="100">
                  <c:v>269.71576424174509</c:v>
                </c:pt>
                <c:pt idx="101">
                  <c:v>260.70545781851615</c:v>
                </c:pt>
                <c:pt idx="102">
                  <c:v>259.27729379717124</c:v>
                </c:pt>
                <c:pt idx="103">
                  <c:v>252.77314982397209</c:v>
                </c:pt>
                <c:pt idx="104">
                  <c:v>245.40904777231046</c:v>
                </c:pt>
                <c:pt idx="105">
                  <c:v>238.87663973143162</c:v>
                </c:pt>
                <c:pt idx="106">
                  <c:v>238.26600062407098</c:v>
                </c:pt>
                <c:pt idx="107">
                  <c:v>230.86336691623725</c:v>
                </c:pt>
                <c:pt idx="108">
                  <c:v>229.39261727908851</c:v>
                </c:pt>
                <c:pt idx="109">
                  <c:v>220.26433129131911</c:v>
                </c:pt>
                <c:pt idx="110">
                  <c:v>217.07635409710304</c:v>
                </c:pt>
                <c:pt idx="111">
                  <c:v>211.3251263904593</c:v>
                </c:pt>
                <c:pt idx="112">
                  <c:v>210.67971421781542</c:v>
                </c:pt>
                <c:pt idx="113">
                  <c:v>204.90969839080634</c:v>
                </c:pt>
                <c:pt idx="114">
                  <c:v>199.98242524474489</c:v>
                </c:pt>
                <c:pt idx="115">
                  <c:v>195.04495411024234</c:v>
                </c:pt>
                <c:pt idx="116">
                  <c:v>191.80988691243491</c:v>
                </c:pt>
                <c:pt idx="117">
                  <c:v>186.85372685708185</c:v>
                </c:pt>
                <c:pt idx="118">
                  <c:v>186.17720562682945</c:v>
                </c:pt>
                <c:pt idx="119">
                  <c:v>176.05215381086981</c:v>
                </c:pt>
                <c:pt idx="120">
                  <c:v>175.36283717607782</c:v>
                </c:pt>
                <c:pt idx="121">
                  <c:v>171.22989677378595</c:v>
                </c:pt>
                <c:pt idx="122">
                  <c:v>167.94978895809913</c:v>
                </c:pt>
                <c:pt idx="123">
                  <c:v>163.80079166773723</c:v>
                </c:pt>
                <c:pt idx="124">
                  <c:v>160.5063051931119</c:v>
                </c:pt>
                <c:pt idx="125">
                  <c:v>156.34129364397774</c:v>
                </c:pt>
                <c:pt idx="126">
                  <c:v>154.76164853351546</c:v>
                </c:pt>
                <c:pt idx="127">
                  <c:v>152.31314742074412</c:v>
                </c:pt>
                <c:pt idx="128">
                  <c:v>148.99332096888551</c:v>
                </c:pt>
                <c:pt idx="129">
                  <c:v>143.06557625264594</c:v>
                </c:pt>
                <c:pt idx="130">
                  <c:v>142.33349931912645</c:v>
                </c:pt>
                <c:pt idx="131">
                  <c:v>136.38739390207931</c:v>
                </c:pt>
                <c:pt idx="132">
                  <c:v>134.77731603514599</c:v>
                </c:pt>
                <c:pt idx="133">
                  <c:v>131.4231306128676</c:v>
                </c:pt>
                <c:pt idx="134">
                  <c:v>125.4487502188867</c:v>
                </c:pt>
                <c:pt idx="135">
                  <c:v>122.95074867892374</c:v>
                </c:pt>
                <c:pt idx="136">
                  <c:v>122.19334465418484</c:v>
                </c:pt>
                <c:pt idx="137">
                  <c:v>117.93968740586226</c:v>
                </c:pt>
                <c:pt idx="138">
                  <c:v>117.17552996196274</c:v>
                </c:pt>
                <c:pt idx="139">
                  <c:v>111.15807364451879</c:v>
                </c:pt>
                <c:pt idx="140">
                  <c:v>107.75732594705153</c:v>
                </c:pt>
                <c:pt idx="141">
                  <c:v>105.22685377451002</c:v>
                </c:pt>
                <c:pt idx="142">
                  <c:v>104.44681222183031</c:v>
                </c:pt>
                <c:pt idx="143">
                  <c:v>101.02949976402563</c:v>
                </c:pt>
                <c:pt idx="144">
                  <c:v>97.6055969751622</c:v>
                </c:pt>
                <c:pt idx="145">
                  <c:v>95.935395576942057</c:v>
                </c:pt>
                <c:pt idx="146">
                  <c:v>94.261865396952231</c:v>
                </c:pt>
                <c:pt idx="147">
                  <c:v>92.585011043603274</c:v>
                </c:pt>
                <c:pt idx="148">
                  <c:v>91.78740836183124</c:v>
                </c:pt>
                <c:pt idx="149">
                  <c:v>87.454588890291419</c:v>
                </c:pt>
                <c:pt idx="150">
                  <c:v>86.650361697147872</c:v>
                </c:pt>
                <c:pt idx="151">
                  <c:v>84.959449874098112</c:v>
                </c:pt>
                <c:pt idx="152">
                  <c:v>83.265237726480578</c:v>
                </c:pt>
                <c:pt idx="153">
                  <c:v>82.454335635454058</c:v>
                </c:pt>
                <c:pt idx="154">
                  <c:v>79.866930946111196</c:v>
                </c:pt>
                <c:pt idx="155">
                  <c:v>78.162845562647377</c:v>
                </c:pt>
                <c:pt idx="156">
                  <c:v>77.344495543260464</c:v>
                </c:pt>
                <c:pt idx="157">
                  <c:v>76.524472850451545</c:v>
                </c:pt>
                <c:pt idx="158">
                  <c:v>73.921537914218533</c:v>
                </c:pt>
                <c:pt idx="159">
                  <c:v>71.313732071851192</c:v>
                </c:pt>
                <c:pt idx="160">
                  <c:v>70.485505459007896</c:v>
                </c:pt>
                <c:pt idx="161">
                  <c:v>66.976556259195604</c:v>
                </c:pt>
                <c:pt idx="162">
                  <c:v>67.036435262186728</c:v>
                </c:pt>
                <c:pt idx="163">
                  <c:v>66.201639355078299</c:v>
                </c:pt>
                <c:pt idx="164">
                  <c:v>62.678950851795982</c:v>
                </c:pt>
                <c:pt idx="165">
                  <c:v>61.838465390230212</c:v>
                </c:pt>
                <c:pt idx="166">
                  <c:v>61.893339970264371</c:v>
                </c:pt>
                <c:pt idx="167">
                  <c:v>59.254762693613692</c:v>
                </c:pt>
                <c:pt idx="168">
                  <c:v>59.307148964490942</c:v>
                </c:pt>
                <c:pt idx="169">
                  <c:v>57.560711749923797</c:v>
                </c:pt>
                <c:pt idx="170">
                  <c:v>55.811054569234031</c:v>
                </c:pt>
                <c:pt idx="171">
                  <c:v>54.959151774812227</c:v>
                </c:pt>
                <c:pt idx="172">
                  <c:v>55.007379893836138</c:v>
                </c:pt>
                <c:pt idx="173">
                  <c:v>52.347910096732093</c:v>
                </c:pt>
                <c:pt idx="174">
                  <c:v>51.490336962794053</c:v>
                </c:pt>
                <c:pt idx="175">
                  <c:v>49.727014625576601</c:v>
                </c:pt>
                <c:pt idx="176">
                  <c:v>48.865412971145851</c:v>
                </c:pt>
                <c:pt idx="177">
                  <c:v>48.002195080470393</c:v>
                </c:pt>
                <c:pt idx="178">
                  <c:v>47.137363280126301</c:v>
                </c:pt>
                <c:pt idx="179">
                  <c:v>44.456374018990736</c:v>
                </c:pt>
                <c:pt idx="180">
                  <c:v>44.494809914656003</c:v>
                </c:pt>
                <c:pt idx="181">
                  <c:v>43.624366722744249</c:v>
                </c:pt>
                <c:pt idx="182">
                  <c:v>42.75231971148299</c:v>
                </c:pt>
                <c:pt idx="183">
                  <c:v>41.878671210483859</c:v>
                </c:pt>
                <c:pt idx="184">
                  <c:v>41.003423549886683</c:v>
                </c:pt>
                <c:pt idx="185">
                  <c:v>40.126579060340845</c:v>
                </c:pt>
                <c:pt idx="186">
                  <c:v>40.160887516544406</c:v>
                </c:pt>
                <c:pt idx="187">
                  <c:v>39.281635322280195</c:v>
                </c:pt>
                <c:pt idx="188">
                  <c:v>38.400792515458122</c:v>
                </c:pt>
                <c:pt idx="189">
                  <c:v>37.518361428510069</c:v>
                </c:pt>
                <c:pt idx="190">
                  <c:v>37.550203004145729</c:v>
                </c:pt>
                <c:pt idx="191">
                  <c:v>35.748743746048049</c:v>
                </c:pt>
                <c:pt idx="192">
                  <c:v>35.778971338938597</c:v>
                </c:pt>
                <c:pt idx="193">
                  <c:v>35.809168560940506</c:v>
                </c:pt>
                <c:pt idx="194">
                  <c:v>34.9203780918224</c:v>
                </c:pt>
                <c:pt idx="195">
                  <c:v>34.030011787680522</c:v>
                </c:pt>
                <c:pt idx="196">
                  <c:v>34.058573982958571</c:v>
                </c:pt>
                <c:pt idx="197">
                  <c:v>33.165834186078996</c:v>
                </c:pt>
                <c:pt idx="198">
                  <c:v>33.193568345973716</c:v>
                </c:pt>
                <c:pt idx="199">
                  <c:v>32.29846128236062</c:v>
                </c:pt>
                <c:pt idx="200">
                  <c:v>32.32537051780956</c:v>
                </c:pt>
                <c:pt idx="201">
                  <c:v>31.427902415147734</c:v>
                </c:pt>
                <c:pt idx="202">
                  <c:v>31.453989838433017</c:v>
                </c:pt>
                <c:pt idx="203">
                  <c:v>30.554166925916242</c:v>
                </c:pt>
                <c:pt idx="204">
                  <c:v>30.579435650548749</c:v>
                </c:pt>
                <c:pt idx="205">
                  <c:v>29.67726415870991</c:v>
                </c:pt>
                <c:pt idx="206">
                  <c:v>29.701717299313891</c:v>
                </c:pt>
                <c:pt idx="207">
                  <c:v>28.797203459856714</c:v>
                </c:pt>
                <c:pt idx="208">
                  <c:v>28.820844132056099</c:v>
                </c:pt>
                <c:pt idx="209">
                  <c:v>27.913994177688181</c:v>
                </c:pt>
                <c:pt idx="210">
                  <c:v>27.936825497993354</c:v>
                </c:pt>
                <c:pt idx="211">
                  <c:v>27.02764566226065</c:v>
                </c:pt>
                <c:pt idx="212">
                  <c:v>27.049670747956512</c:v>
                </c:pt>
                <c:pt idx="213">
                  <c:v>26.138167265079481</c:v>
                </c:pt>
                <c:pt idx="214">
                  <c:v>26.159389234114798</c:v>
                </c:pt>
                <c:pt idx="215">
                  <c:v>25.245568338825763</c:v>
                </c:pt>
                <c:pt idx="216">
                  <c:v>25.265990309703145</c:v>
                </c:pt>
                <c:pt idx="217">
                  <c:v>25.286391246203777</c:v>
                </c:pt>
                <c:pt idx="218">
                  <c:v>24.369483328752295</c:v>
                </c:pt>
                <c:pt idx="219">
                  <c:v>24.389088166642704</c:v>
                </c:pt>
                <c:pt idx="220">
                  <c:v>24.408672751654407</c:v>
                </c:pt>
                <c:pt idx="221">
                  <c:v>23.48868950458434</c:v>
                </c:pt>
                <c:pt idx="222">
                  <c:v>23.507481891389062</c:v>
                </c:pt>
                <c:pt idx="223">
                  <c:v>23.526254807335011</c:v>
                </c:pt>
                <c:pt idx="224">
                  <c:v>23.545008253599651</c:v>
                </c:pt>
                <c:pt idx="225">
                  <c:v>22.62119254218041</c:v>
                </c:pt>
                <c:pt idx="226">
                  <c:v>22.639158472494984</c:v>
                </c:pt>
                <c:pt idx="227">
                  <c:v>22.657105715752401</c:v>
                </c:pt>
                <c:pt idx="228">
                  <c:v>22.675034273379342</c:v>
                </c:pt>
                <c:pt idx="229">
                  <c:v>21.747404807422754</c:v>
                </c:pt>
                <c:pt idx="230">
                  <c:v>21.764550532073024</c:v>
                </c:pt>
                <c:pt idx="231">
                  <c:v>21.781678354183395</c:v>
                </c:pt>
                <c:pt idx="232">
                  <c:v>21.798788275400817</c:v>
                </c:pt>
                <c:pt idx="233">
                  <c:v>20.867363762769898</c:v>
                </c:pt>
                <c:pt idx="234">
                  <c:v>20.883695534172894</c:v>
                </c:pt>
                <c:pt idx="235">
                  <c:v>20.900010188104584</c:v>
                </c:pt>
                <c:pt idx="236">
                  <c:v>20.916307726403495</c:v>
                </c:pt>
                <c:pt idx="237">
                  <c:v>19.981106871383506</c:v>
                </c:pt>
                <c:pt idx="238">
                  <c:v>19.99663094270133</c:v>
                </c:pt>
                <c:pt idx="239">
                  <c:v>20.01213868200654</c:v>
                </c:pt>
                <c:pt idx="240">
                  <c:v>20.027630091301415</c:v>
                </c:pt>
                <c:pt idx="241">
                  <c:v>19.088671592999326</c:v>
                </c:pt>
                <c:pt idx="242">
                  <c:v>19.103394217309003</c:v>
                </c:pt>
                <c:pt idx="243">
                  <c:v>19.118101295297123</c:v>
                </c:pt>
                <c:pt idx="244">
                  <c:v>19.132792829102232</c:v>
                </c:pt>
                <c:pt idx="245">
                  <c:v>19.147468820920139</c:v>
                </c:pt>
                <c:pt idx="246">
                  <c:v>18.204022809353702</c:v>
                </c:pt>
                <c:pt idx="247">
                  <c:v>18.217935478280147</c:v>
                </c:pt>
                <c:pt idx="248">
                  <c:v>18.231833388901702</c:v>
                </c:pt>
                <c:pt idx="249">
                  <c:v>18.2457165435201</c:v>
                </c:pt>
                <c:pt idx="250">
                  <c:v>18.259584944490474</c:v>
                </c:pt>
                <c:pt idx="251">
                  <c:v>17.311678668209456</c:v>
                </c:pt>
                <c:pt idx="252">
                  <c:v>17.324789205953529</c:v>
                </c:pt>
                <c:pt idx="253">
                  <c:v>17.337885773552227</c:v>
                </c:pt>
                <c:pt idx="254">
                  <c:v>17.350968373436878</c:v>
                </c:pt>
                <c:pt idx="255">
                  <c:v>17.364037008088307</c:v>
                </c:pt>
                <c:pt idx="256">
                  <c:v>17.377091680036795</c:v>
                </c:pt>
                <c:pt idx="257">
                  <c:v>16.424013925647127</c:v>
                </c:pt>
                <c:pt idx="258">
                  <c:v>16.436316971402718</c:v>
                </c:pt>
                <c:pt idx="259">
                  <c:v>16.448606837607571</c:v>
                </c:pt>
                <c:pt idx="260">
                  <c:v>16.460883526835733</c:v>
                </c:pt>
                <c:pt idx="261">
                  <c:v>16.473147041706852</c:v>
                </c:pt>
                <c:pt idx="262">
                  <c:v>16.485397384886117</c:v>
                </c:pt>
                <c:pt idx="263">
                  <c:v>15.527185467373036</c:v>
                </c:pt>
                <c:pt idx="264">
                  <c:v>15.538690416052166</c:v>
                </c:pt>
                <c:pt idx="265">
                  <c:v>15.550182975624676</c:v>
                </c:pt>
                <c:pt idx="266">
                  <c:v>15.561663148768064</c:v>
                </c:pt>
                <c:pt idx="267">
                  <c:v>15.573130938201933</c:v>
                </c:pt>
                <c:pt idx="268">
                  <c:v>14.610549700019455</c:v>
                </c:pt>
                <c:pt idx="269">
                  <c:v>14.621277540963007</c:v>
                </c:pt>
                <c:pt idx="270">
                  <c:v>14.631993780061244</c:v>
                </c:pt>
                <c:pt idx="271">
                  <c:v>14.642698420019132</c:v>
                </c:pt>
                <c:pt idx="272">
                  <c:v>14.653391463579986</c:v>
                </c:pt>
                <c:pt idx="273">
                  <c:v>14.664072913525334</c:v>
                </c:pt>
                <c:pt idx="274">
                  <c:v>13.696426587829984</c:v>
                </c:pt>
                <c:pt idx="275">
                  <c:v>13.706374307627422</c:v>
                </c:pt>
                <c:pt idx="276">
                  <c:v>13.716311214718415</c:v>
                </c:pt>
                <c:pt idx="277">
                  <c:v>13.72623731184043</c:v>
                </c:pt>
                <c:pt idx="278">
                  <c:v>13.736152601766012</c:v>
                </c:pt>
                <c:pt idx="279">
                  <c:v>13.746057087302413</c:v>
                </c:pt>
                <c:pt idx="280">
                  <c:v>13.755950771291657</c:v>
                </c:pt>
                <c:pt idx="281">
                  <c:v>12.782559823995181</c:v>
                </c:pt>
                <c:pt idx="282">
                  <c:v>12.791726764299666</c:v>
                </c:pt>
                <c:pt idx="283">
                  <c:v>12.800883682704727</c:v>
                </c:pt>
                <c:pt idx="284">
                  <c:v>12.810030581976688</c:v>
                </c:pt>
                <c:pt idx="285">
                  <c:v>12.819167464913393</c:v>
                </c:pt>
                <c:pt idx="286">
                  <c:v>12.82829433434406</c:v>
                </c:pt>
                <c:pt idx="287">
                  <c:v>12.837411193129126</c:v>
                </c:pt>
                <c:pt idx="288">
                  <c:v>12.846518044160121</c:v>
                </c:pt>
                <c:pt idx="289">
                  <c:v>11.866721437254897</c:v>
                </c:pt>
                <c:pt idx="290">
                  <c:v>11.875109293551303</c:v>
                </c:pt>
                <c:pt idx="291">
                  <c:v>11.883487920099087</c:v>
                </c:pt>
                <c:pt idx="292">
                  <c:v>11.891857319680939</c:v>
                </c:pt>
                <c:pt idx="293">
                  <c:v>11.900217495107576</c:v>
                </c:pt>
                <c:pt idx="294">
                  <c:v>11.908568449217677</c:v>
                </c:pt>
                <c:pt idx="295">
                  <c:v>11.916910184877763</c:v>
                </c:pt>
                <c:pt idx="296">
                  <c:v>10.931472479566876</c:v>
                </c:pt>
                <c:pt idx="297">
                  <c:v>10.939102178081315</c:v>
                </c:pt>
                <c:pt idx="298">
                  <c:v>10.946723434384765</c:v>
                </c:pt>
                <c:pt idx="299">
                  <c:v>10.954336251205765</c:v>
                </c:pt>
                <c:pt idx="300">
                  <c:v>10.961940631297855</c:v>
                </c:pt>
                <c:pt idx="301">
                  <c:v>10.969536577439365</c:v>
                </c:pt>
                <c:pt idx="302">
                  <c:v>10.977124092433392</c:v>
                </c:pt>
                <c:pt idx="303">
                  <c:v>10.98470317910763</c:v>
                </c:pt>
                <c:pt idx="304">
                  <c:v>10.992273840314301</c:v>
                </c:pt>
                <c:pt idx="305">
                  <c:v>9.9998509808454852</c:v>
                </c:pt>
                <c:pt idx="306">
                  <c:v>10.006718088959691</c:v>
                </c:pt>
                <c:pt idx="307">
                  <c:v>10.013577545469406</c:v>
                </c:pt>
                <c:pt idx="308">
                  <c:v>10.020429353055658</c:v>
                </c:pt>
                <c:pt idx="309">
                  <c:v>10.027273514421251</c:v>
                </c:pt>
                <c:pt idx="310">
                  <c:v>10.034110032290704</c:v>
                </c:pt>
                <c:pt idx="311">
                  <c:v>10.040938909410157</c:v>
                </c:pt>
                <c:pt idx="312">
                  <c:v>10.047760148547232</c:v>
                </c:pt>
                <c:pt idx="313">
                  <c:v>10.054573752490864</c:v>
                </c:pt>
                <c:pt idx="314">
                  <c:v>9.055241751646216</c:v>
                </c:pt>
                <c:pt idx="315">
                  <c:v>9.0613602594541938</c:v>
                </c:pt>
                <c:pt idx="316">
                  <c:v>9.0674719032330113</c:v>
                </c:pt>
                <c:pt idx="317">
                  <c:v>9.0735766855689199</c:v>
                </c:pt>
                <c:pt idx="318">
                  <c:v>9.0796746090669309</c:v>
                </c:pt>
                <c:pt idx="319">
                  <c:v>9.0857656763508636</c:v>
                </c:pt>
                <c:pt idx="320">
                  <c:v>9.0918498900631342</c:v>
                </c:pt>
                <c:pt idx="321">
                  <c:v>9.0979272528647144</c:v>
                </c:pt>
                <c:pt idx="322">
                  <c:v>9.1039977674350894</c:v>
                </c:pt>
                <c:pt idx="323">
                  <c:v>9.1100614364720585</c:v>
                </c:pt>
                <c:pt idx="324">
                  <c:v>8.1032162335038365</c:v>
                </c:pt>
                <c:pt idx="325">
                  <c:v>8.1085939989588542</c:v>
                </c:pt>
                <c:pt idx="326">
                  <c:v>8.1139656867868784</c:v>
                </c:pt>
                <c:pt idx="327">
                  <c:v>8.1193312994506055</c:v>
                </c:pt>
                <c:pt idx="328">
                  <c:v>8.1246908394287356</c:v>
                </c:pt>
                <c:pt idx="329">
                  <c:v>8.1300443092158297</c:v>
                </c:pt>
                <c:pt idx="330">
                  <c:v>8.1353917113222547</c:v>
                </c:pt>
                <c:pt idx="331">
                  <c:v>8.1407330482741749</c:v>
                </c:pt>
                <c:pt idx="332">
                  <c:v>8.1460683226133597</c:v>
                </c:pt>
                <c:pt idx="333">
                  <c:v>8.1513975368972567</c:v>
                </c:pt>
                <c:pt idx="334">
                  <c:v>7.1371306069864016</c:v>
                </c:pt>
                <c:pt idx="335">
                  <c:v>7.1417830711554213</c:v>
                </c:pt>
                <c:pt idx="336">
                  <c:v>7.1464302395704609</c:v>
                </c:pt>
                <c:pt idx="337">
                  <c:v>7.1510721145231821</c:v>
                </c:pt>
                <c:pt idx="338">
                  <c:v>7.1557086983185636</c:v>
                </c:pt>
                <c:pt idx="339">
                  <c:v>7.160339993274901</c:v>
                </c:pt>
                <c:pt idx="340">
                  <c:v>7.1649660017236156</c:v>
                </c:pt>
                <c:pt idx="341">
                  <c:v>7.1695867260093129</c:v>
                </c:pt>
                <c:pt idx="342">
                  <c:v>7.1742021684896828</c:v>
                </c:pt>
                <c:pt idx="343">
                  <c:v>7.1788123315353944</c:v>
                </c:pt>
                <c:pt idx="344">
                  <c:v>7.1834172175300495</c:v>
                </c:pt>
                <c:pt idx="345">
                  <c:v>7.1880168288701975</c:v>
                </c:pt>
                <c:pt idx="346">
                  <c:v>6.1650952868272784</c:v>
                </c:pt>
                <c:pt idx="347">
                  <c:v>6.1690287747745938</c:v>
                </c:pt>
                <c:pt idx="348">
                  <c:v>6.1729577478176756</c:v>
                </c:pt>
                <c:pt idx="349">
                  <c:v>6.1768822080542991</c:v>
                </c:pt>
                <c:pt idx="350">
                  <c:v>6.1808021575930638</c:v>
                </c:pt>
                <c:pt idx="351">
                  <c:v>6.1847175985532852</c:v>
                </c:pt>
                <c:pt idx="352">
                  <c:v>6.1886285330649153</c:v>
                </c:pt>
                <c:pt idx="353">
                  <c:v>6.192534963268594</c:v>
                </c:pt>
                <c:pt idx="354">
                  <c:v>6.1964368913154626</c:v>
                </c:pt>
                <c:pt idx="355">
                  <c:v>6.2003343193672462</c:v>
                </c:pt>
                <c:pt idx="356">
                  <c:v>6.2042272495960971</c:v>
                </c:pt>
                <c:pt idx="357">
                  <c:v>6.2081156841845697</c:v>
                </c:pt>
                <c:pt idx="358">
                  <c:v>6.2119996253256033</c:v>
                </c:pt>
                <c:pt idx="359">
                  <c:v>6.2158790752224844</c:v>
                </c:pt>
                <c:pt idx="360">
                  <c:v>5.1831283634072314</c:v>
                </c:pt>
                <c:pt idx="361">
                  <c:v>5.1863537584565922</c:v>
                </c:pt>
                <c:pt idx="362">
                  <c:v>5.1895754163617402</c:v>
                </c:pt>
                <c:pt idx="363">
                  <c:v>5.1927933389926375</c:v>
                </c:pt>
                <c:pt idx="364">
                  <c:v>5.1960075282276525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6E-46C1-B8DA-98F55514C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7002352"/>
        <c:axId val="-1886998000"/>
      </c:areaChart>
      <c:dateAx>
        <c:axId val="-1887002352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6998000"/>
        <c:crosses val="autoZero"/>
        <c:auto val="1"/>
        <c:lblOffset val="100"/>
        <c:baseTimeUnit val="days"/>
        <c:majorUnit val="3"/>
        <c:majorTimeUnit val="months"/>
      </c:dateAx>
      <c:valAx>
        <c:axId val="-188699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/>
                  <a:t>重量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700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130456084270848"/>
          <c:y val="0.9127594151751377"/>
          <c:w val="0.56792685699258161"/>
          <c:h val="6.02759066811041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v>1年目級群</c:v>
          </c:tx>
          <c:spPr>
            <a:solidFill>
              <a:srgbClr val="0066FF"/>
            </a:solidFill>
            <a:ln>
              <a:noFill/>
            </a:ln>
            <a:effectLst/>
          </c:spPr>
          <c:cat>
            <c:numRef>
              <c:f>マアナゴ!$A$3:$A$367</c:f>
              <c:numCache>
                <c:formatCode>m/d/yyyy</c:formatCode>
                <c:ptCount val="365"/>
                <c:pt idx="0">
                  <c:v>41730</c:v>
                </c:pt>
                <c:pt idx="1">
                  <c:v>41731</c:v>
                </c:pt>
                <c:pt idx="2">
                  <c:v>41732</c:v>
                </c:pt>
                <c:pt idx="3">
                  <c:v>41733</c:v>
                </c:pt>
                <c:pt idx="4">
                  <c:v>41734</c:v>
                </c:pt>
                <c:pt idx="5">
                  <c:v>41735</c:v>
                </c:pt>
                <c:pt idx="6">
                  <c:v>41736</c:v>
                </c:pt>
                <c:pt idx="7">
                  <c:v>41737</c:v>
                </c:pt>
                <c:pt idx="8">
                  <c:v>41738</c:v>
                </c:pt>
                <c:pt idx="9">
                  <c:v>41739</c:v>
                </c:pt>
                <c:pt idx="10">
                  <c:v>41740</c:v>
                </c:pt>
                <c:pt idx="11">
                  <c:v>41741</c:v>
                </c:pt>
                <c:pt idx="12">
                  <c:v>41742</c:v>
                </c:pt>
                <c:pt idx="13">
                  <c:v>41743</c:v>
                </c:pt>
                <c:pt idx="14">
                  <c:v>41744</c:v>
                </c:pt>
                <c:pt idx="15">
                  <c:v>41745</c:v>
                </c:pt>
                <c:pt idx="16">
                  <c:v>41746</c:v>
                </c:pt>
                <c:pt idx="17">
                  <c:v>41747</c:v>
                </c:pt>
                <c:pt idx="18">
                  <c:v>41748</c:v>
                </c:pt>
                <c:pt idx="19">
                  <c:v>41749</c:v>
                </c:pt>
                <c:pt idx="20">
                  <c:v>41750</c:v>
                </c:pt>
                <c:pt idx="21">
                  <c:v>41751</c:v>
                </c:pt>
                <c:pt idx="22">
                  <c:v>41752</c:v>
                </c:pt>
                <c:pt idx="23">
                  <c:v>41753</c:v>
                </c:pt>
                <c:pt idx="24">
                  <c:v>41754</c:v>
                </c:pt>
                <c:pt idx="25">
                  <c:v>41755</c:v>
                </c:pt>
                <c:pt idx="26">
                  <c:v>41756</c:v>
                </c:pt>
                <c:pt idx="27">
                  <c:v>41757</c:v>
                </c:pt>
                <c:pt idx="28">
                  <c:v>41758</c:v>
                </c:pt>
                <c:pt idx="29">
                  <c:v>41759</c:v>
                </c:pt>
                <c:pt idx="30">
                  <c:v>41760</c:v>
                </c:pt>
                <c:pt idx="31">
                  <c:v>41761</c:v>
                </c:pt>
                <c:pt idx="32">
                  <c:v>41762</c:v>
                </c:pt>
                <c:pt idx="33">
                  <c:v>41763</c:v>
                </c:pt>
                <c:pt idx="34">
                  <c:v>41764</c:v>
                </c:pt>
                <c:pt idx="35">
                  <c:v>41765</c:v>
                </c:pt>
                <c:pt idx="36">
                  <c:v>41766</c:v>
                </c:pt>
                <c:pt idx="37">
                  <c:v>41767</c:v>
                </c:pt>
                <c:pt idx="38">
                  <c:v>41768</c:v>
                </c:pt>
                <c:pt idx="39">
                  <c:v>41769</c:v>
                </c:pt>
                <c:pt idx="40">
                  <c:v>41770</c:v>
                </c:pt>
                <c:pt idx="41">
                  <c:v>41771</c:v>
                </c:pt>
                <c:pt idx="42">
                  <c:v>41772</c:v>
                </c:pt>
                <c:pt idx="43">
                  <c:v>41773</c:v>
                </c:pt>
                <c:pt idx="44">
                  <c:v>41774</c:v>
                </c:pt>
                <c:pt idx="45">
                  <c:v>41775</c:v>
                </c:pt>
                <c:pt idx="46">
                  <c:v>41776</c:v>
                </c:pt>
                <c:pt idx="47">
                  <c:v>41777</c:v>
                </c:pt>
                <c:pt idx="48">
                  <c:v>41778</c:v>
                </c:pt>
                <c:pt idx="49">
                  <c:v>41779</c:v>
                </c:pt>
                <c:pt idx="50">
                  <c:v>41780</c:v>
                </c:pt>
                <c:pt idx="51">
                  <c:v>41781</c:v>
                </c:pt>
                <c:pt idx="52">
                  <c:v>41782</c:v>
                </c:pt>
                <c:pt idx="53">
                  <c:v>41783</c:v>
                </c:pt>
                <c:pt idx="54">
                  <c:v>41784</c:v>
                </c:pt>
                <c:pt idx="55">
                  <c:v>41785</c:v>
                </c:pt>
                <c:pt idx="56">
                  <c:v>41786</c:v>
                </c:pt>
                <c:pt idx="57">
                  <c:v>41787</c:v>
                </c:pt>
                <c:pt idx="58">
                  <c:v>41788</c:v>
                </c:pt>
                <c:pt idx="59">
                  <c:v>41789</c:v>
                </c:pt>
                <c:pt idx="60">
                  <c:v>41790</c:v>
                </c:pt>
                <c:pt idx="61">
                  <c:v>41791</c:v>
                </c:pt>
                <c:pt idx="62">
                  <c:v>41792</c:v>
                </c:pt>
                <c:pt idx="63">
                  <c:v>41793</c:v>
                </c:pt>
                <c:pt idx="64">
                  <c:v>41794</c:v>
                </c:pt>
                <c:pt idx="65">
                  <c:v>41795</c:v>
                </c:pt>
                <c:pt idx="66">
                  <c:v>41796</c:v>
                </c:pt>
                <c:pt idx="67">
                  <c:v>41797</c:v>
                </c:pt>
                <c:pt idx="68">
                  <c:v>41798</c:v>
                </c:pt>
                <c:pt idx="69">
                  <c:v>41799</c:v>
                </c:pt>
                <c:pt idx="70">
                  <c:v>41800</c:v>
                </c:pt>
                <c:pt idx="71">
                  <c:v>41801</c:v>
                </c:pt>
                <c:pt idx="72">
                  <c:v>41802</c:v>
                </c:pt>
                <c:pt idx="73">
                  <c:v>41803</c:v>
                </c:pt>
                <c:pt idx="74">
                  <c:v>41804</c:v>
                </c:pt>
                <c:pt idx="75">
                  <c:v>41805</c:v>
                </c:pt>
                <c:pt idx="76">
                  <c:v>41806</c:v>
                </c:pt>
                <c:pt idx="77">
                  <c:v>41807</c:v>
                </c:pt>
                <c:pt idx="78">
                  <c:v>41808</c:v>
                </c:pt>
                <c:pt idx="79">
                  <c:v>41809</c:v>
                </c:pt>
                <c:pt idx="80">
                  <c:v>41810</c:v>
                </c:pt>
                <c:pt idx="81">
                  <c:v>41811</c:v>
                </c:pt>
                <c:pt idx="82">
                  <c:v>41812</c:v>
                </c:pt>
                <c:pt idx="83">
                  <c:v>41813</c:v>
                </c:pt>
                <c:pt idx="84">
                  <c:v>41814</c:v>
                </c:pt>
                <c:pt idx="85">
                  <c:v>41815</c:v>
                </c:pt>
                <c:pt idx="86">
                  <c:v>41816</c:v>
                </c:pt>
                <c:pt idx="87">
                  <c:v>41817</c:v>
                </c:pt>
                <c:pt idx="88">
                  <c:v>41818</c:v>
                </c:pt>
                <c:pt idx="89">
                  <c:v>41819</c:v>
                </c:pt>
                <c:pt idx="90">
                  <c:v>41820</c:v>
                </c:pt>
                <c:pt idx="91">
                  <c:v>41821</c:v>
                </c:pt>
                <c:pt idx="92">
                  <c:v>41822</c:v>
                </c:pt>
                <c:pt idx="93">
                  <c:v>41823</c:v>
                </c:pt>
                <c:pt idx="94">
                  <c:v>41824</c:v>
                </c:pt>
                <c:pt idx="95">
                  <c:v>41825</c:v>
                </c:pt>
                <c:pt idx="96">
                  <c:v>41826</c:v>
                </c:pt>
                <c:pt idx="97">
                  <c:v>41827</c:v>
                </c:pt>
                <c:pt idx="98">
                  <c:v>41828</c:v>
                </c:pt>
                <c:pt idx="99">
                  <c:v>41829</c:v>
                </c:pt>
                <c:pt idx="100">
                  <c:v>41830</c:v>
                </c:pt>
                <c:pt idx="101">
                  <c:v>41831</c:v>
                </c:pt>
                <c:pt idx="102">
                  <c:v>41832</c:v>
                </c:pt>
                <c:pt idx="103">
                  <c:v>41833</c:v>
                </c:pt>
                <c:pt idx="104">
                  <c:v>41834</c:v>
                </c:pt>
                <c:pt idx="105">
                  <c:v>41835</c:v>
                </c:pt>
                <c:pt idx="106">
                  <c:v>41836</c:v>
                </c:pt>
                <c:pt idx="107">
                  <c:v>41837</c:v>
                </c:pt>
                <c:pt idx="108">
                  <c:v>41838</c:v>
                </c:pt>
                <c:pt idx="109">
                  <c:v>41839</c:v>
                </c:pt>
                <c:pt idx="110">
                  <c:v>41840</c:v>
                </c:pt>
                <c:pt idx="111">
                  <c:v>41841</c:v>
                </c:pt>
                <c:pt idx="112">
                  <c:v>41842</c:v>
                </c:pt>
                <c:pt idx="113">
                  <c:v>41843</c:v>
                </c:pt>
                <c:pt idx="114">
                  <c:v>41844</c:v>
                </c:pt>
                <c:pt idx="115">
                  <c:v>41845</c:v>
                </c:pt>
                <c:pt idx="116">
                  <c:v>41846</c:v>
                </c:pt>
                <c:pt idx="117">
                  <c:v>41847</c:v>
                </c:pt>
                <c:pt idx="118">
                  <c:v>41848</c:v>
                </c:pt>
                <c:pt idx="119">
                  <c:v>41849</c:v>
                </c:pt>
                <c:pt idx="120">
                  <c:v>41850</c:v>
                </c:pt>
                <c:pt idx="121">
                  <c:v>41851</c:v>
                </c:pt>
                <c:pt idx="122">
                  <c:v>41852</c:v>
                </c:pt>
                <c:pt idx="123">
                  <c:v>41853</c:v>
                </c:pt>
                <c:pt idx="124">
                  <c:v>41854</c:v>
                </c:pt>
                <c:pt idx="125">
                  <c:v>41855</c:v>
                </c:pt>
                <c:pt idx="126">
                  <c:v>41856</c:v>
                </c:pt>
                <c:pt idx="127">
                  <c:v>41857</c:v>
                </c:pt>
                <c:pt idx="128">
                  <c:v>41858</c:v>
                </c:pt>
                <c:pt idx="129">
                  <c:v>41859</c:v>
                </c:pt>
                <c:pt idx="130">
                  <c:v>41860</c:v>
                </c:pt>
                <c:pt idx="131">
                  <c:v>41861</c:v>
                </c:pt>
                <c:pt idx="132">
                  <c:v>41862</c:v>
                </c:pt>
                <c:pt idx="133">
                  <c:v>41863</c:v>
                </c:pt>
                <c:pt idx="134">
                  <c:v>41864</c:v>
                </c:pt>
                <c:pt idx="135">
                  <c:v>41865</c:v>
                </c:pt>
                <c:pt idx="136">
                  <c:v>41866</c:v>
                </c:pt>
                <c:pt idx="137">
                  <c:v>41867</c:v>
                </c:pt>
                <c:pt idx="138">
                  <c:v>41868</c:v>
                </c:pt>
                <c:pt idx="139">
                  <c:v>41869</c:v>
                </c:pt>
                <c:pt idx="140">
                  <c:v>41870</c:v>
                </c:pt>
                <c:pt idx="141">
                  <c:v>41871</c:v>
                </c:pt>
                <c:pt idx="142">
                  <c:v>41872</c:v>
                </c:pt>
                <c:pt idx="143">
                  <c:v>41873</c:v>
                </c:pt>
                <c:pt idx="144">
                  <c:v>41874</c:v>
                </c:pt>
                <c:pt idx="145">
                  <c:v>41875</c:v>
                </c:pt>
                <c:pt idx="146">
                  <c:v>41876</c:v>
                </c:pt>
                <c:pt idx="147">
                  <c:v>41877</c:v>
                </c:pt>
                <c:pt idx="148">
                  <c:v>41878</c:v>
                </c:pt>
                <c:pt idx="149">
                  <c:v>41879</c:v>
                </c:pt>
                <c:pt idx="150">
                  <c:v>41880</c:v>
                </c:pt>
                <c:pt idx="151">
                  <c:v>41881</c:v>
                </c:pt>
                <c:pt idx="152">
                  <c:v>41882</c:v>
                </c:pt>
                <c:pt idx="153">
                  <c:v>41883</c:v>
                </c:pt>
                <c:pt idx="154">
                  <c:v>41884</c:v>
                </c:pt>
                <c:pt idx="155">
                  <c:v>41885</c:v>
                </c:pt>
                <c:pt idx="156">
                  <c:v>41886</c:v>
                </c:pt>
                <c:pt idx="157">
                  <c:v>41887</c:v>
                </c:pt>
                <c:pt idx="158">
                  <c:v>41888</c:v>
                </c:pt>
                <c:pt idx="159">
                  <c:v>41889</c:v>
                </c:pt>
                <c:pt idx="160">
                  <c:v>41890</c:v>
                </c:pt>
                <c:pt idx="161">
                  <c:v>41891</c:v>
                </c:pt>
                <c:pt idx="162">
                  <c:v>41892</c:v>
                </c:pt>
                <c:pt idx="163">
                  <c:v>41893</c:v>
                </c:pt>
                <c:pt idx="164">
                  <c:v>41894</c:v>
                </c:pt>
                <c:pt idx="165">
                  <c:v>41895</c:v>
                </c:pt>
                <c:pt idx="166">
                  <c:v>41896</c:v>
                </c:pt>
                <c:pt idx="167">
                  <c:v>41897</c:v>
                </c:pt>
                <c:pt idx="168">
                  <c:v>41898</c:v>
                </c:pt>
                <c:pt idx="169">
                  <c:v>41899</c:v>
                </c:pt>
                <c:pt idx="170">
                  <c:v>41900</c:v>
                </c:pt>
                <c:pt idx="171">
                  <c:v>41901</c:v>
                </c:pt>
                <c:pt idx="172">
                  <c:v>41902</c:v>
                </c:pt>
                <c:pt idx="173">
                  <c:v>41903</c:v>
                </c:pt>
                <c:pt idx="174">
                  <c:v>41904</c:v>
                </c:pt>
                <c:pt idx="175">
                  <c:v>41905</c:v>
                </c:pt>
                <c:pt idx="176">
                  <c:v>41906</c:v>
                </c:pt>
                <c:pt idx="177">
                  <c:v>41907</c:v>
                </c:pt>
                <c:pt idx="178">
                  <c:v>41908</c:v>
                </c:pt>
                <c:pt idx="179">
                  <c:v>41909</c:v>
                </c:pt>
                <c:pt idx="180">
                  <c:v>41910</c:v>
                </c:pt>
                <c:pt idx="181">
                  <c:v>41911</c:v>
                </c:pt>
                <c:pt idx="182">
                  <c:v>41912</c:v>
                </c:pt>
                <c:pt idx="183">
                  <c:v>41913</c:v>
                </c:pt>
                <c:pt idx="184">
                  <c:v>41914</c:v>
                </c:pt>
                <c:pt idx="185">
                  <c:v>41915</c:v>
                </c:pt>
                <c:pt idx="186">
                  <c:v>41916</c:v>
                </c:pt>
                <c:pt idx="187">
                  <c:v>41917</c:v>
                </c:pt>
                <c:pt idx="188">
                  <c:v>41918</c:v>
                </c:pt>
                <c:pt idx="189">
                  <c:v>41919</c:v>
                </c:pt>
                <c:pt idx="190">
                  <c:v>41920</c:v>
                </c:pt>
                <c:pt idx="191">
                  <c:v>41921</c:v>
                </c:pt>
                <c:pt idx="192">
                  <c:v>41922</c:v>
                </c:pt>
                <c:pt idx="193">
                  <c:v>41923</c:v>
                </c:pt>
                <c:pt idx="194">
                  <c:v>41924</c:v>
                </c:pt>
                <c:pt idx="195">
                  <c:v>41925</c:v>
                </c:pt>
                <c:pt idx="196">
                  <c:v>41926</c:v>
                </c:pt>
                <c:pt idx="197">
                  <c:v>41927</c:v>
                </c:pt>
                <c:pt idx="198">
                  <c:v>41928</c:v>
                </c:pt>
                <c:pt idx="199">
                  <c:v>41929</c:v>
                </c:pt>
                <c:pt idx="200">
                  <c:v>41930</c:v>
                </c:pt>
                <c:pt idx="201">
                  <c:v>41931</c:v>
                </c:pt>
                <c:pt idx="202">
                  <c:v>41932</c:v>
                </c:pt>
                <c:pt idx="203">
                  <c:v>41933</c:v>
                </c:pt>
                <c:pt idx="204">
                  <c:v>41934</c:v>
                </c:pt>
                <c:pt idx="205">
                  <c:v>41935</c:v>
                </c:pt>
                <c:pt idx="206">
                  <c:v>41936</c:v>
                </c:pt>
                <c:pt idx="207">
                  <c:v>41937</c:v>
                </c:pt>
                <c:pt idx="208">
                  <c:v>41938</c:v>
                </c:pt>
                <c:pt idx="209">
                  <c:v>41939</c:v>
                </c:pt>
                <c:pt idx="210">
                  <c:v>41940</c:v>
                </c:pt>
                <c:pt idx="211">
                  <c:v>41941</c:v>
                </c:pt>
                <c:pt idx="212">
                  <c:v>41942</c:v>
                </c:pt>
                <c:pt idx="213">
                  <c:v>41943</c:v>
                </c:pt>
                <c:pt idx="214">
                  <c:v>41944</c:v>
                </c:pt>
                <c:pt idx="215">
                  <c:v>41945</c:v>
                </c:pt>
                <c:pt idx="216">
                  <c:v>41946</c:v>
                </c:pt>
                <c:pt idx="217">
                  <c:v>41947</c:v>
                </c:pt>
                <c:pt idx="218">
                  <c:v>41948</c:v>
                </c:pt>
                <c:pt idx="219">
                  <c:v>41949</c:v>
                </c:pt>
                <c:pt idx="220">
                  <c:v>41950</c:v>
                </c:pt>
                <c:pt idx="221">
                  <c:v>41951</c:v>
                </c:pt>
                <c:pt idx="222">
                  <c:v>41952</c:v>
                </c:pt>
                <c:pt idx="223">
                  <c:v>41953</c:v>
                </c:pt>
                <c:pt idx="224">
                  <c:v>41954</c:v>
                </c:pt>
                <c:pt idx="225">
                  <c:v>41955</c:v>
                </c:pt>
                <c:pt idx="226">
                  <c:v>41956</c:v>
                </c:pt>
                <c:pt idx="227">
                  <c:v>41957</c:v>
                </c:pt>
                <c:pt idx="228">
                  <c:v>41958</c:v>
                </c:pt>
                <c:pt idx="229">
                  <c:v>41959</c:v>
                </c:pt>
                <c:pt idx="230">
                  <c:v>41960</c:v>
                </c:pt>
                <c:pt idx="231">
                  <c:v>41961</c:v>
                </c:pt>
                <c:pt idx="232">
                  <c:v>41962</c:v>
                </c:pt>
                <c:pt idx="233">
                  <c:v>41963</c:v>
                </c:pt>
                <c:pt idx="234">
                  <c:v>41964</c:v>
                </c:pt>
                <c:pt idx="235">
                  <c:v>41965</c:v>
                </c:pt>
                <c:pt idx="236">
                  <c:v>41966</c:v>
                </c:pt>
                <c:pt idx="237">
                  <c:v>41967</c:v>
                </c:pt>
                <c:pt idx="238">
                  <c:v>41968</c:v>
                </c:pt>
                <c:pt idx="239">
                  <c:v>41969</c:v>
                </c:pt>
                <c:pt idx="240">
                  <c:v>41970</c:v>
                </c:pt>
                <c:pt idx="241">
                  <c:v>41971</c:v>
                </c:pt>
                <c:pt idx="242">
                  <c:v>41972</c:v>
                </c:pt>
                <c:pt idx="243">
                  <c:v>41973</c:v>
                </c:pt>
                <c:pt idx="244">
                  <c:v>41974</c:v>
                </c:pt>
                <c:pt idx="245">
                  <c:v>41975</c:v>
                </c:pt>
                <c:pt idx="246">
                  <c:v>41976</c:v>
                </c:pt>
                <c:pt idx="247">
                  <c:v>41977</c:v>
                </c:pt>
                <c:pt idx="248">
                  <c:v>41978</c:v>
                </c:pt>
                <c:pt idx="249">
                  <c:v>41979</c:v>
                </c:pt>
                <c:pt idx="250">
                  <c:v>41980</c:v>
                </c:pt>
                <c:pt idx="251">
                  <c:v>41981</c:v>
                </c:pt>
                <c:pt idx="252">
                  <c:v>41982</c:v>
                </c:pt>
                <c:pt idx="253">
                  <c:v>41983</c:v>
                </c:pt>
                <c:pt idx="254">
                  <c:v>41984</c:v>
                </c:pt>
                <c:pt idx="255">
                  <c:v>41985</c:v>
                </c:pt>
                <c:pt idx="256">
                  <c:v>41986</c:v>
                </c:pt>
                <c:pt idx="257">
                  <c:v>41987</c:v>
                </c:pt>
                <c:pt idx="258">
                  <c:v>41988</c:v>
                </c:pt>
                <c:pt idx="259">
                  <c:v>41989</c:v>
                </c:pt>
                <c:pt idx="260">
                  <c:v>41990</c:v>
                </c:pt>
                <c:pt idx="261">
                  <c:v>41991</c:v>
                </c:pt>
                <c:pt idx="262">
                  <c:v>41992</c:v>
                </c:pt>
                <c:pt idx="263">
                  <c:v>41993</c:v>
                </c:pt>
                <c:pt idx="264">
                  <c:v>41994</c:v>
                </c:pt>
                <c:pt idx="265">
                  <c:v>41995</c:v>
                </c:pt>
                <c:pt idx="266">
                  <c:v>41996</c:v>
                </c:pt>
                <c:pt idx="267">
                  <c:v>41997</c:v>
                </c:pt>
                <c:pt idx="268">
                  <c:v>41998</c:v>
                </c:pt>
                <c:pt idx="269">
                  <c:v>41999</c:v>
                </c:pt>
                <c:pt idx="270">
                  <c:v>42000</c:v>
                </c:pt>
                <c:pt idx="271">
                  <c:v>42001</c:v>
                </c:pt>
                <c:pt idx="272">
                  <c:v>42002</c:v>
                </c:pt>
                <c:pt idx="273">
                  <c:v>42003</c:v>
                </c:pt>
                <c:pt idx="274">
                  <c:v>42004</c:v>
                </c:pt>
                <c:pt idx="275">
                  <c:v>42005</c:v>
                </c:pt>
                <c:pt idx="276">
                  <c:v>42006</c:v>
                </c:pt>
                <c:pt idx="277">
                  <c:v>42007</c:v>
                </c:pt>
                <c:pt idx="278">
                  <c:v>42008</c:v>
                </c:pt>
                <c:pt idx="279">
                  <c:v>42009</c:v>
                </c:pt>
                <c:pt idx="280">
                  <c:v>42010</c:v>
                </c:pt>
                <c:pt idx="281">
                  <c:v>42011</c:v>
                </c:pt>
                <c:pt idx="282">
                  <c:v>42012</c:v>
                </c:pt>
                <c:pt idx="283">
                  <c:v>42013</c:v>
                </c:pt>
                <c:pt idx="284">
                  <c:v>42014</c:v>
                </c:pt>
                <c:pt idx="285">
                  <c:v>42015</c:v>
                </c:pt>
                <c:pt idx="286">
                  <c:v>42016</c:v>
                </c:pt>
                <c:pt idx="287">
                  <c:v>42017</c:v>
                </c:pt>
                <c:pt idx="288">
                  <c:v>42018</c:v>
                </c:pt>
                <c:pt idx="289">
                  <c:v>42019</c:v>
                </c:pt>
                <c:pt idx="290">
                  <c:v>42020</c:v>
                </c:pt>
                <c:pt idx="291">
                  <c:v>42021</c:v>
                </c:pt>
                <c:pt idx="292">
                  <c:v>42022</c:v>
                </c:pt>
                <c:pt idx="293">
                  <c:v>42023</c:v>
                </c:pt>
                <c:pt idx="294">
                  <c:v>42024</c:v>
                </c:pt>
                <c:pt idx="295">
                  <c:v>42025</c:v>
                </c:pt>
                <c:pt idx="296">
                  <c:v>42026</c:v>
                </c:pt>
                <c:pt idx="297">
                  <c:v>42027</c:v>
                </c:pt>
                <c:pt idx="298">
                  <c:v>42028</c:v>
                </c:pt>
                <c:pt idx="299">
                  <c:v>42029</c:v>
                </c:pt>
                <c:pt idx="300">
                  <c:v>42030</c:v>
                </c:pt>
                <c:pt idx="301">
                  <c:v>42031</c:v>
                </c:pt>
                <c:pt idx="302">
                  <c:v>42032</c:v>
                </c:pt>
                <c:pt idx="303">
                  <c:v>42033</c:v>
                </c:pt>
                <c:pt idx="304">
                  <c:v>42034</c:v>
                </c:pt>
                <c:pt idx="305">
                  <c:v>42035</c:v>
                </c:pt>
                <c:pt idx="306">
                  <c:v>42036</c:v>
                </c:pt>
                <c:pt idx="307">
                  <c:v>42037</c:v>
                </c:pt>
                <c:pt idx="308">
                  <c:v>42038</c:v>
                </c:pt>
                <c:pt idx="309">
                  <c:v>42039</c:v>
                </c:pt>
                <c:pt idx="310">
                  <c:v>42040</c:v>
                </c:pt>
                <c:pt idx="311">
                  <c:v>42041</c:v>
                </c:pt>
                <c:pt idx="312">
                  <c:v>42042</c:v>
                </c:pt>
                <c:pt idx="313">
                  <c:v>42043</c:v>
                </c:pt>
                <c:pt idx="314">
                  <c:v>42044</c:v>
                </c:pt>
                <c:pt idx="315">
                  <c:v>42045</c:v>
                </c:pt>
                <c:pt idx="316">
                  <c:v>42046</c:v>
                </c:pt>
                <c:pt idx="317">
                  <c:v>42047</c:v>
                </c:pt>
                <c:pt idx="318">
                  <c:v>42048</c:v>
                </c:pt>
                <c:pt idx="319">
                  <c:v>42049</c:v>
                </c:pt>
                <c:pt idx="320">
                  <c:v>42050</c:v>
                </c:pt>
                <c:pt idx="321">
                  <c:v>42051</c:v>
                </c:pt>
                <c:pt idx="322">
                  <c:v>42052</c:v>
                </c:pt>
                <c:pt idx="323">
                  <c:v>42053</c:v>
                </c:pt>
                <c:pt idx="324">
                  <c:v>42054</c:v>
                </c:pt>
                <c:pt idx="325">
                  <c:v>42055</c:v>
                </c:pt>
                <c:pt idx="326">
                  <c:v>42056</c:v>
                </c:pt>
                <c:pt idx="327">
                  <c:v>42057</c:v>
                </c:pt>
                <c:pt idx="328">
                  <c:v>42058</c:v>
                </c:pt>
                <c:pt idx="329">
                  <c:v>42059</c:v>
                </c:pt>
                <c:pt idx="330">
                  <c:v>42060</c:v>
                </c:pt>
                <c:pt idx="331">
                  <c:v>42061</c:v>
                </c:pt>
                <c:pt idx="332">
                  <c:v>42062</c:v>
                </c:pt>
                <c:pt idx="333">
                  <c:v>42063</c:v>
                </c:pt>
                <c:pt idx="334">
                  <c:v>42064</c:v>
                </c:pt>
                <c:pt idx="335">
                  <c:v>42065</c:v>
                </c:pt>
                <c:pt idx="336">
                  <c:v>42066</c:v>
                </c:pt>
                <c:pt idx="337">
                  <c:v>42067</c:v>
                </c:pt>
                <c:pt idx="338">
                  <c:v>42068</c:v>
                </c:pt>
                <c:pt idx="339">
                  <c:v>42069</c:v>
                </c:pt>
                <c:pt idx="340">
                  <c:v>42070</c:v>
                </c:pt>
                <c:pt idx="341">
                  <c:v>42071</c:v>
                </c:pt>
                <c:pt idx="342">
                  <c:v>42072</c:v>
                </c:pt>
                <c:pt idx="343">
                  <c:v>42073</c:v>
                </c:pt>
                <c:pt idx="344">
                  <c:v>42074</c:v>
                </c:pt>
                <c:pt idx="345">
                  <c:v>42075</c:v>
                </c:pt>
                <c:pt idx="346">
                  <c:v>42076</c:v>
                </c:pt>
                <c:pt idx="347">
                  <c:v>42077</c:v>
                </c:pt>
                <c:pt idx="348">
                  <c:v>42078</c:v>
                </c:pt>
                <c:pt idx="349">
                  <c:v>42079</c:v>
                </c:pt>
                <c:pt idx="350">
                  <c:v>42080</c:v>
                </c:pt>
                <c:pt idx="351">
                  <c:v>42081</c:v>
                </c:pt>
                <c:pt idx="352">
                  <c:v>42082</c:v>
                </c:pt>
                <c:pt idx="353">
                  <c:v>42083</c:v>
                </c:pt>
                <c:pt idx="354">
                  <c:v>42084</c:v>
                </c:pt>
                <c:pt idx="355">
                  <c:v>42085</c:v>
                </c:pt>
                <c:pt idx="356">
                  <c:v>42086</c:v>
                </c:pt>
                <c:pt idx="357">
                  <c:v>42087</c:v>
                </c:pt>
                <c:pt idx="358">
                  <c:v>42088</c:v>
                </c:pt>
                <c:pt idx="359">
                  <c:v>42089</c:v>
                </c:pt>
                <c:pt idx="360">
                  <c:v>42090</c:v>
                </c:pt>
                <c:pt idx="361">
                  <c:v>42091</c:v>
                </c:pt>
                <c:pt idx="362">
                  <c:v>42092</c:v>
                </c:pt>
                <c:pt idx="363">
                  <c:v>42093</c:v>
                </c:pt>
                <c:pt idx="364">
                  <c:v>42094</c:v>
                </c:pt>
              </c:numCache>
            </c:numRef>
          </c:cat>
          <c:val>
            <c:numRef>
              <c:f>マアナゴ!$F$3:$F$367</c:f>
              <c:numCache>
                <c:formatCode>0</c:formatCode>
                <c:ptCount val="365"/>
                <c:pt idx="0">
                  <c:v>6495.55</c:v>
                </c:pt>
                <c:pt idx="1">
                  <c:v>6491.1</c:v>
                </c:pt>
                <c:pt idx="2">
                  <c:v>6486.66</c:v>
                </c:pt>
                <c:pt idx="3">
                  <c:v>6482.22</c:v>
                </c:pt>
                <c:pt idx="4">
                  <c:v>6477.78</c:v>
                </c:pt>
                <c:pt idx="5">
                  <c:v>6473.34</c:v>
                </c:pt>
                <c:pt idx="6">
                  <c:v>6468.91</c:v>
                </c:pt>
                <c:pt idx="7">
                  <c:v>6464.48</c:v>
                </c:pt>
                <c:pt idx="8">
                  <c:v>6460.05</c:v>
                </c:pt>
                <c:pt idx="9">
                  <c:v>6455.63</c:v>
                </c:pt>
                <c:pt idx="10">
                  <c:v>6451.21</c:v>
                </c:pt>
                <c:pt idx="11">
                  <c:v>6446.79</c:v>
                </c:pt>
                <c:pt idx="12">
                  <c:v>6442.38</c:v>
                </c:pt>
                <c:pt idx="13">
                  <c:v>6437.97</c:v>
                </c:pt>
                <c:pt idx="14">
                  <c:v>6433.56</c:v>
                </c:pt>
                <c:pt idx="15">
                  <c:v>6429.16</c:v>
                </c:pt>
                <c:pt idx="16">
                  <c:v>6424.75</c:v>
                </c:pt>
                <c:pt idx="17">
                  <c:v>6420.35</c:v>
                </c:pt>
                <c:pt idx="18">
                  <c:v>6415.96</c:v>
                </c:pt>
                <c:pt idx="19">
                  <c:v>6411.57</c:v>
                </c:pt>
                <c:pt idx="20">
                  <c:v>6407.18</c:v>
                </c:pt>
                <c:pt idx="21">
                  <c:v>6402.79</c:v>
                </c:pt>
                <c:pt idx="22">
                  <c:v>6398.41</c:v>
                </c:pt>
                <c:pt idx="23">
                  <c:v>6394.02</c:v>
                </c:pt>
                <c:pt idx="24">
                  <c:v>6389.65</c:v>
                </c:pt>
                <c:pt idx="25">
                  <c:v>6385.27</c:v>
                </c:pt>
                <c:pt idx="26">
                  <c:v>6380.9</c:v>
                </c:pt>
                <c:pt idx="27">
                  <c:v>6376.53</c:v>
                </c:pt>
                <c:pt idx="28">
                  <c:v>6372.16</c:v>
                </c:pt>
                <c:pt idx="29">
                  <c:v>6367.8</c:v>
                </c:pt>
                <c:pt idx="30">
                  <c:v>6363.44</c:v>
                </c:pt>
                <c:pt idx="31">
                  <c:v>6359.08</c:v>
                </c:pt>
                <c:pt idx="32">
                  <c:v>6354.73</c:v>
                </c:pt>
                <c:pt idx="33">
                  <c:v>6350.38</c:v>
                </c:pt>
                <c:pt idx="34">
                  <c:v>6346.03</c:v>
                </c:pt>
                <c:pt idx="35">
                  <c:v>6341.69</c:v>
                </c:pt>
                <c:pt idx="36">
                  <c:v>6337.34</c:v>
                </c:pt>
                <c:pt idx="37">
                  <c:v>6333</c:v>
                </c:pt>
                <c:pt idx="38">
                  <c:v>6328.67</c:v>
                </c:pt>
                <c:pt idx="39">
                  <c:v>6324.34</c:v>
                </c:pt>
                <c:pt idx="40">
                  <c:v>6320</c:v>
                </c:pt>
                <c:pt idx="41">
                  <c:v>6315.68</c:v>
                </c:pt>
                <c:pt idx="42">
                  <c:v>6311.35</c:v>
                </c:pt>
                <c:pt idx="43">
                  <c:v>6307.03</c:v>
                </c:pt>
                <c:pt idx="44">
                  <c:v>6302.71</c:v>
                </c:pt>
                <c:pt idx="45">
                  <c:v>6298.4</c:v>
                </c:pt>
                <c:pt idx="46">
                  <c:v>6294.09</c:v>
                </c:pt>
                <c:pt idx="47">
                  <c:v>6289.78</c:v>
                </c:pt>
                <c:pt idx="48">
                  <c:v>6285.47</c:v>
                </c:pt>
                <c:pt idx="49">
                  <c:v>6281.17</c:v>
                </c:pt>
                <c:pt idx="50">
                  <c:v>6276.87</c:v>
                </c:pt>
                <c:pt idx="51">
                  <c:v>6272.57</c:v>
                </c:pt>
                <c:pt idx="52">
                  <c:v>6268.27</c:v>
                </c:pt>
                <c:pt idx="53">
                  <c:v>6263.98</c:v>
                </c:pt>
                <c:pt idx="54">
                  <c:v>6259.69</c:v>
                </c:pt>
                <c:pt idx="55">
                  <c:v>6255.41</c:v>
                </c:pt>
                <c:pt idx="56">
                  <c:v>6251.12</c:v>
                </c:pt>
                <c:pt idx="57">
                  <c:v>6246.84</c:v>
                </c:pt>
                <c:pt idx="58">
                  <c:v>6242.57</c:v>
                </c:pt>
                <c:pt idx="59">
                  <c:v>6238.29</c:v>
                </c:pt>
                <c:pt idx="60">
                  <c:v>6234.02</c:v>
                </c:pt>
                <c:pt idx="61">
                  <c:v>6229.75</c:v>
                </c:pt>
                <c:pt idx="62">
                  <c:v>6225.49</c:v>
                </c:pt>
                <c:pt idx="63">
                  <c:v>6221.22</c:v>
                </c:pt>
                <c:pt idx="64">
                  <c:v>6216.96</c:v>
                </c:pt>
                <c:pt idx="65">
                  <c:v>6212.71</c:v>
                </c:pt>
                <c:pt idx="66">
                  <c:v>6208.45</c:v>
                </c:pt>
                <c:pt idx="67">
                  <c:v>6204.2</c:v>
                </c:pt>
                <c:pt idx="68">
                  <c:v>6199.95</c:v>
                </c:pt>
                <c:pt idx="69">
                  <c:v>6195.71</c:v>
                </c:pt>
                <c:pt idx="70">
                  <c:v>6191.47</c:v>
                </c:pt>
                <c:pt idx="71">
                  <c:v>6187.23</c:v>
                </c:pt>
                <c:pt idx="72">
                  <c:v>6182.99</c:v>
                </c:pt>
                <c:pt idx="73">
                  <c:v>6178.76</c:v>
                </c:pt>
                <c:pt idx="74">
                  <c:v>6174.53</c:v>
                </c:pt>
                <c:pt idx="75">
                  <c:v>6170.3</c:v>
                </c:pt>
                <c:pt idx="76">
                  <c:v>6166.07</c:v>
                </c:pt>
                <c:pt idx="77">
                  <c:v>6161.85</c:v>
                </c:pt>
                <c:pt idx="78">
                  <c:v>6157.63</c:v>
                </c:pt>
                <c:pt idx="79">
                  <c:v>6153.42</c:v>
                </c:pt>
                <c:pt idx="80">
                  <c:v>6149.2</c:v>
                </c:pt>
                <c:pt idx="81">
                  <c:v>6144.99</c:v>
                </c:pt>
                <c:pt idx="82">
                  <c:v>6140.79</c:v>
                </c:pt>
                <c:pt idx="83">
                  <c:v>6136.58</c:v>
                </c:pt>
                <c:pt idx="84">
                  <c:v>6132.38</c:v>
                </c:pt>
                <c:pt idx="85">
                  <c:v>6128.18</c:v>
                </c:pt>
                <c:pt idx="86">
                  <c:v>6123.98</c:v>
                </c:pt>
                <c:pt idx="87">
                  <c:v>6119.79</c:v>
                </c:pt>
                <c:pt idx="88">
                  <c:v>6115.6</c:v>
                </c:pt>
                <c:pt idx="89">
                  <c:v>6111.41</c:v>
                </c:pt>
                <c:pt idx="90">
                  <c:v>6107.2</c:v>
                </c:pt>
                <c:pt idx="91">
                  <c:v>6103.01</c:v>
                </c:pt>
                <c:pt idx="92">
                  <c:v>6098.8</c:v>
                </c:pt>
                <c:pt idx="93">
                  <c:v>6094.59</c:v>
                </c:pt>
                <c:pt idx="94">
                  <c:v>6090.37</c:v>
                </c:pt>
                <c:pt idx="95">
                  <c:v>6086.2</c:v>
                </c:pt>
                <c:pt idx="96">
                  <c:v>6082.03</c:v>
                </c:pt>
                <c:pt idx="97">
                  <c:v>6077.87</c:v>
                </c:pt>
                <c:pt idx="98">
                  <c:v>6073.69</c:v>
                </c:pt>
                <c:pt idx="99">
                  <c:v>6069.53</c:v>
                </c:pt>
                <c:pt idx="100">
                  <c:v>6065.37</c:v>
                </c:pt>
                <c:pt idx="101">
                  <c:v>6061.22</c:v>
                </c:pt>
                <c:pt idx="102">
                  <c:v>6057.07</c:v>
                </c:pt>
                <c:pt idx="103">
                  <c:v>6052.92</c:v>
                </c:pt>
                <c:pt idx="104">
                  <c:v>6048.77</c:v>
                </c:pt>
                <c:pt idx="105">
                  <c:v>6044.63</c:v>
                </c:pt>
                <c:pt idx="106">
                  <c:v>6040.49</c:v>
                </c:pt>
                <c:pt idx="107">
                  <c:v>6036.24</c:v>
                </c:pt>
                <c:pt idx="108">
                  <c:v>6032.05</c:v>
                </c:pt>
                <c:pt idx="109">
                  <c:v>6027.92</c:v>
                </c:pt>
                <c:pt idx="110">
                  <c:v>6023.79</c:v>
                </c:pt>
                <c:pt idx="111">
                  <c:v>6019.66</c:v>
                </c:pt>
                <c:pt idx="112">
                  <c:v>6015.54</c:v>
                </c:pt>
                <c:pt idx="113">
                  <c:v>6011.38</c:v>
                </c:pt>
                <c:pt idx="114">
                  <c:v>6007.25</c:v>
                </c:pt>
                <c:pt idx="115">
                  <c:v>6003.09</c:v>
                </c:pt>
                <c:pt idx="116">
                  <c:v>5998.86</c:v>
                </c:pt>
                <c:pt idx="117">
                  <c:v>5994.76</c:v>
                </c:pt>
                <c:pt idx="118">
                  <c:v>5990.63</c:v>
                </c:pt>
                <c:pt idx="119">
                  <c:v>5986.52</c:v>
                </c:pt>
                <c:pt idx="120">
                  <c:v>5982.42</c:v>
                </c:pt>
                <c:pt idx="121">
                  <c:v>5978.32</c:v>
                </c:pt>
                <c:pt idx="122">
                  <c:v>5974.23</c:v>
                </c:pt>
                <c:pt idx="123">
                  <c:v>5970.1</c:v>
                </c:pt>
                <c:pt idx="124">
                  <c:v>5966.01</c:v>
                </c:pt>
                <c:pt idx="125">
                  <c:v>5961.92</c:v>
                </c:pt>
                <c:pt idx="126">
                  <c:v>5957.1</c:v>
                </c:pt>
                <c:pt idx="127">
                  <c:v>5952.57</c:v>
                </c:pt>
                <c:pt idx="128">
                  <c:v>5948.4</c:v>
                </c:pt>
                <c:pt idx="129">
                  <c:v>5944.31</c:v>
                </c:pt>
                <c:pt idx="130">
                  <c:v>5940.24</c:v>
                </c:pt>
                <c:pt idx="131">
                  <c:v>5936.16</c:v>
                </c:pt>
                <c:pt idx="132">
                  <c:v>5932.09</c:v>
                </c:pt>
                <c:pt idx="133">
                  <c:v>5928</c:v>
                </c:pt>
                <c:pt idx="134">
                  <c:v>5923.94</c:v>
                </c:pt>
                <c:pt idx="135">
                  <c:v>5919.81</c:v>
                </c:pt>
                <c:pt idx="136">
                  <c:v>5915.66</c:v>
                </c:pt>
                <c:pt idx="137">
                  <c:v>5911.61</c:v>
                </c:pt>
                <c:pt idx="138">
                  <c:v>5907.56</c:v>
                </c:pt>
                <c:pt idx="139">
                  <c:v>5903.52</c:v>
                </c:pt>
                <c:pt idx="140">
                  <c:v>5894.32</c:v>
                </c:pt>
                <c:pt idx="141">
                  <c:v>5889.25</c:v>
                </c:pt>
                <c:pt idx="142">
                  <c:v>5885.2</c:v>
                </c:pt>
                <c:pt idx="143">
                  <c:v>5881.17</c:v>
                </c:pt>
                <c:pt idx="144">
                  <c:v>5877.14</c:v>
                </c:pt>
                <c:pt idx="145">
                  <c:v>5873.11</c:v>
                </c:pt>
                <c:pt idx="146">
                  <c:v>5869.07</c:v>
                </c:pt>
                <c:pt idx="147">
                  <c:v>5865.05</c:v>
                </c:pt>
                <c:pt idx="148">
                  <c:v>5860.71</c:v>
                </c:pt>
                <c:pt idx="149">
                  <c:v>5856.69</c:v>
                </c:pt>
                <c:pt idx="150">
                  <c:v>5852.65</c:v>
                </c:pt>
                <c:pt idx="151">
                  <c:v>5848.59</c:v>
                </c:pt>
                <c:pt idx="152">
                  <c:v>5844.52</c:v>
                </c:pt>
                <c:pt idx="153">
                  <c:v>5840.52</c:v>
                </c:pt>
                <c:pt idx="154">
                  <c:v>5836.51</c:v>
                </c:pt>
                <c:pt idx="155">
                  <c:v>5832.51</c:v>
                </c:pt>
                <c:pt idx="156">
                  <c:v>5828.52</c:v>
                </c:pt>
                <c:pt idx="157">
                  <c:v>5824.51</c:v>
                </c:pt>
                <c:pt idx="158">
                  <c:v>5820.48</c:v>
                </c:pt>
                <c:pt idx="159">
                  <c:v>5816.36</c:v>
                </c:pt>
                <c:pt idx="160">
                  <c:v>5808.83</c:v>
                </c:pt>
                <c:pt idx="161">
                  <c:v>5802.85</c:v>
                </c:pt>
                <c:pt idx="162">
                  <c:v>5798.83</c:v>
                </c:pt>
                <c:pt idx="163">
                  <c:v>5794.83</c:v>
                </c:pt>
                <c:pt idx="164">
                  <c:v>5790.46</c:v>
                </c:pt>
                <c:pt idx="165">
                  <c:v>5786.5</c:v>
                </c:pt>
                <c:pt idx="166">
                  <c:v>5782.32</c:v>
                </c:pt>
                <c:pt idx="167">
                  <c:v>5778.36</c:v>
                </c:pt>
                <c:pt idx="168">
                  <c:v>5774.4</c:v>
                </c:pt>
                <c:pt idx="169">
                  <c:v>5770.41</c:v>
                </c:pt>
                <c:pt idx="170">
                  <c:v>5766.46</c:v>
                </c:pt>
                <c:pt idx="171">
                  <c:v>5761.8</c:v>
                </c:pt>
                <c:pt idx="172">
                  <c:v>5757.68</c:v>
                </c:pt>
                <c:pt idx="173">
                  <c:v>5753.74</c:v>
                </c:pt>
                <c:pt idx="174">
                  <c:v>5749.8</c:v>
                </c:pt>
                <c:pt idx="175">
                  <c:v>5745.86</c:v>
                </c:pt>
                <c:pt idx="176">
                  <c:v>5741.93</c:v>
                </c:pt>
                <c:pt idx="177">
                  <c:v>5738</c:v>
                </c:pt>
                <c:pt idx="178">
                  <c:v>5734.07</c:v>
                </c:pt>
                <c:pt idx="179">
                  <c:v>5730.14</c:v>
                </c:pt>
                <c:pt idx="180">
                  <c:v>5726.21</c:v>
                </c:pt>
                <c:pt idx="181">
                  <c:v>5722.29</c:v>
                </c:pt>
                <c:pt idx="182">
                  <c:v>5718.38</c:v>
                </c:pt>
                <c:pt idx="183">
                  <c:v>5707.46</c:v>
                </c:pt>
                <c:pt idx="184">
                  <c:v>5695.34</c:v>
                </c:pt>
                <c:pt idx="185">
                  <c:v>5677.86</c:v>
                </c:pt>
                <c:pt idx="186">
                  <c:v>5673.97</c:v>
                </c:pt>
                <c:pt idx="187">
                  <c:v>5664.07</c:v>
                </c:pt>
                <c:pt idx="188">
                  <c:v>5652.32</c:v>
                </c:pt>
                <c:pt idx="189">
                  <c:v>5634.26</c:v>
                </c:pt>
                <c:pt idx="190">
                  <c:v>5630.4</c:v>
                </c:pt>
                <c:pt idx="191">
                  <c:v>5613.08</c:v>
                </c:pt>
                <c:pt idx="192">
                  <c:v>5609.23</c:v>
                </c:pt>
                <c:pt idx="193">
                  <c:v>5599.2</c:v>
                </c:pt>
                <c:pt idx="194">
                  <c:v>5581.46</c:v>
                </c:pt>
                <c:pt idx="195">
                  <c:v>5571.35</c:v>
                </c:pt>
                <c:pt idx="196">
                  <c:v>5567.54</c:v>
                </c:pt>
                <c:pt idx="197">
                  <c:v>5549.55</c:v>
                </c:pt>
                <c:pt idx="198">
                  <c:v>5545.75</c:v>
                </c:pt>
                <c:pt idx="199">
                  <c:v>5528.84</c:v>
                </c:pt>
                <c:pt idx="200">
                  <c:v>5518.03</c:v>
                </c:pt>
                <c:pt idx="201">
                  <c:v>5507.5</c:v>
                </c:pt>
                <c:pt idx="202">
                  <c:v>5503.73</c:v>
                </c:pt>
                <c:pt idx="203">
                  <c:v>5485.83</c:v>
                </c:pt>
                <c:pt idx="204">
                  <c:v>5475.43</c:v>
                </c:pt>
                <c:pt idx="205">
                  <c:v>5464.42</c:v>
                </c:pt>
                <c:pt idx="206">
                  <c:v>5453.84</c:v>
                </c:pt>
                <c:pt idx="207">
                  <c:v>5442.81</c:v>
                </c:pt>
                <c:pt idx="208">
                  <c:v>5439.08</c:v>
                </c:pt>
                <c:pt idx="209">
                  <c:v>5415.43</c:v>
                </c:pt>
                <c:pt idx="210">
                  <c:v>5411.72</c:v>
                </c:pt>
                <c:pt idx="211">
                  <c:v>5400.95</c:v>
                </c:pt>
                <c:pt idx="212">
                  <c:v>5390.36</c:v>
                </c:pt>
                <c:pt idx="213">
                  <c:v>5379.54</c:v>
                </c:pt>
                <c:pt idx="214">
                  <c:v>5372.85</c:v>
                </c:pt>
                <c:pt idx="215">
                  <c:v>5357.05</c:v>
                </c:pt>
                <c:pt idx="216">
                  <c:v>5353.38</c:v>
                </c:pt>
                <c:pt idx="217">
                  <c:v>5342.74</c:v>
                </c:pt>
                <c:pt idx="218">
                  <c:v>5333.84</c:v>
                </c:pt>
                <c:pt idx="219">
                  <c:v>5320.27</c:v>
                </c:pt>
                <c:pt idx="220">
                  <c:v>5316.63</c:v>
                </c:pt>
                <c:pt idx="221">
                  <c:v>5300.46</c:v>
                </c:pt>
                <c:pt idx="222">
                  <c:v>5296.83</c:v>
                </c:pt>
                <c:pt idx="223">
                  <c:v>5285.64</c:v>
                </c:pt>
                <c:pt idx="224">
                  <c:v>5274.02</c:v>
                </c:pt>
                <c:pt idx="225">
                  <c:v>5262.64</c:v>
                </c:pt>
                <c:pt idx="226">
                  <c:v>5259.04</c:v>
                </c:pt>
                <c:pt idx="227">
                  <c:v>5242.1099999999997</c:v>
                </c:pt>
                <c:pt idx="228">
                  <c:v>5238.5200000000004</c:v>
                </c:pt>
                <c:pt idx="229">
                  <c:v>5224.13</c:v>
                </c:pt>
                <c:pt idx="230">
                  <c:v>5215.21</c:v>
                </c:pt>
                <c:pt idx="231">
                  <c:v>5202.97</c:v>
                </c:pt>
                <c:pt idx="232">
                  <c:v>5199.41</c:v>
                </c:pt>
                <c:pt idx="233">
                  <c:v>5181.54</c:v>
                </c:pt>
                <c:pt idx="234">
                  <c:v>5175.53</c:v>
                </c:pt>
                <c:pt idx="235">
                  <c:v>5162.75</c:v>
                </c:pt>
                <c:pt idx="236">
                  <c:v>5153.67</c:v>
                </c:pt>
                <c:pt idx="237">
                  <c:v>5140.71</c:v>
                </c:pt>
                <c:pt idx="238">
                  <c:v>5137.1899999999996</c:v>
                </c:pt>
                <c:pt idx="239">
                  <c:v>5115.5200000000004</c:v>
                </c:pt>
                <c:pt idx="240">
                  <c:v>5112.01</c:v>
                </c:pt>
                <c:pt idx="241">
                  <c:v>5098.49</c:v>
                </c:pt>
                <c:pt idx="242">
                  <c:v>5089.1899999999996</c:v>
                </c:pt>
                <c:pt idx="243">
                  <c:v>5075.3500000000004</c:v>
                </c:pt>
                <c:pt idx="244">
                  <c:v>5069.72</c:v>
                </c:pt>
                <c:pt idx="245">
                  <c:v>5054.7</c:v>
                </c:pt>
                <c:pt idx="246">
                  <c:v>5051.24</c:v>
                </c:pt>
                <c:pt idx="247">
                  <c:v>5039.17</c:v>
                </c:pt>
                <c:pt idx="248">
                  <c:v>5032.5600000000004</c:v>
                </c:pt>
                <c:pt idx="249">
                  <c:v>5017.87</c:v>
                </c:pt>
                <c:pt idx="250">
                  <c:v>5014.43</c:v>
                </c:pt>
                <c:pt idx="251">
                  <c:v>4998.6000000000004</c:v>
                </c:pt>
                <c:pt idx="252">
                  <c:v>4995.18</c:v>
                </c:pt>
                <c:pt idx="253">
                  <c:v>4982.3</c:v>
                </c:pt>
                <c:pt idx="254">
                  <c:v>4973.08</c:v>
                </c:pt>
                <c:pt idx="255">
                  <c:v>4960.07</c:v>
                </c:pt>
                <c:pt idx="256">
                  <c:v>4956.67</c:v>
                </c:pt>
                <c:pt idx="257">
                  <c:v>4939.8999999999996</c:v>
                </c:pt>
                <c:pt idx="258">
                  <c:v>4936.5200000000004</c:v>
                </c:pt>
                <c:pt idx="259">
                  <c:v>4920.5</c:v>
                </c:pt>
                <c:pt idx="260">
                  <c:v>4913.6000000000004</c:v>
                </c:pt>
                <c:pt idx="261">
                  <c:v>4899.79</c:v>
                </c:pt>
                <c:pt idx="262">
                  <c:v>4896.43</c:v>
                </c:pt>
                <c:pt idx="263">
                  <c:v>4878.8999999999996</c:v>
                </c:pt>
                <c:pt idx="264">
                  <c:v>4872.83</c:v>
                </c:pt>
                <c:pt idx="265">
                  <c:v>4858.53</c:v>
                </c:pt>
                <c:pt idx="266">
                  <c:v>4851.49</c:v>
                </c:pt>
                <c:pt idx="267">
                  <c:v>4837.09</c:v>
                </c:pt>
                <c:pt idx="268">
                  <c:v>4833.78</c:v>
                </c:pt>
                <c:pt idx="269">
                  <c:v>4812.28</c:v>
                </c:pt>
                <c:pt idx="270">
                  <c:v>4808.99</c:v>
                </c:pt>
                <c:pt idx="271">
                  <c:v>4794.26</c:v>
                </c:pt>
                <c:pt idx="272">
                  <c:v>4787.01</c:v>
                </c:pt>
                <c:pt idx="273">
                  <c:v>4771.58</c:v>
                </c:pt>
                <c:pt idx="274">
                  <c:v>4765.21</c:v>
                </c:pt>
                <c:pt idx="275">
                  <c:v>4751.83</c:v>
                </c:pt>
                <c:pt idx="276">
                  <c:v>4748.58</c:v>
                </c:pt>
                <c:pt idx="277">
                  <c:v>4736.47</c:v>
                </c:pt>
                <c:pt idx="278">
                  <c:v>4731.6400000000003</c:v>
                </c:pt>
                <c:pt idx="279">
                  <c:v>4718.71</c:v>
                </c:pt>
                <c:pt idx="280">
                  <c:v>4715.4799999999996</c:v>
                </c:pt>
                <c:pt idx="281">
                  <c:v>4701.8900000000003</c:v>
                </c:pt>
                <c:pt idx="282">
                  <c:v>4698.67</c:v>
                </c:pt>
                <c:pt idx="283">
                  <c:v>4686.2700000000004</c:v>
                </c:pt>
                <c:pt idx="284">
                  <c:v>4679.99</c:v>
                </c:pt>
                <c:pt idx="285">
                  <c:v>4667.5</c:v>
                </c:pt>
                <c:pt idx="286">
                  <c:v>4664.3</c:v>
                </c:pt>
                <c:pt idx="287">
                  <c:v>4649.66</c:v>
                </c:pt>
                <c:pt idx="288">
                  <c:v>4646.4799999999996</c:v>
                </c:pt>
                <c:pt idx="289">
                  <c:v>4630.8999999999996</c:v>
                </c:pt>
                <c:pt idx="290">
                  <c:v>4625.95</c:v>
                </c:pt>
                <c:pt idx="291">
                  <c:v>4612.6000000000004</c:v>
                </c:pt>
                <c:pt idx="292">
                  <c:v>4609.4399999999996</c:v>
                </c:pt>
                <c:pt idx="293">
                  <c:v>4593.59</c:v>
                </c:pt>
                <c:pt idx="294">
                  <c:v>4588.8599999999997</c:v>
                </c:pt>
                <c:pt idx="295">
                  <c:v>4575.1899999999996</c:v>
                </c:pt>
                <c:pt idx="296">
                  <c:v>4570.1000000000004</c:v>
                </c:pt>
                <c:pt idx="297">
                  <c:v>4555.8500000000004</c:v>
                </c:pt>
                <c:pt idx="298">
                  <c:v>4552.7299999999996</c:v>
                </c:pt>
                <c:pt idx="299">
                  <c:v>4534.7</c:v>
                </c:pt>
                <c:pt idx="300">
                  <c:v>4531.6000000000004</c:v>
                </c:pt>
                <c:pt idx="301">
                  <c:v>4516.6499999999996</c:v>
                </c:pt>
                <c:pt idx="302">
                  <c:v>4511.49</c:v>
                </c:pt>
                <c:pt idx="303">
                  <c:v>4496.8500000000004</c:v>
                </c:pt>
                <c:pt idx="304">
                  <c:v>4492.09</c:v>
                </c:pt>
                <c:pt idx="305">
                  <c:v>4475.12</c:v>
                </c:pt>
                <c:pt idx="306">
                  <c:v>4472.05</c:v>
                </c:pt>
                <c:pt idx="307">
                  <c:v>4459.32</c:v>
                </c:pt>
                <c:pt idx="308">
                  <c:v>4455.45</c:v>
                </c:pt>
                <c:pt idx="309">
                  <c:v>4442.45</c:v>
                </c:pt>
                <c:pt idx="310">
                  <c:v>4439.41</c:v>
                </c:pt>
                <c:pt idx="311">
                  <c:v>4425.38</c:v>
                </c:pt>
                <c:pt idx="312">
                  <c:v>4422.3500000000004</c:v>
                </c:pt>
                <c:pt idx="313">
                  <c:v>4408.6099999999997</c:v>
                </c:pt>
                <c:pt idx="314">
                  <c:v>4404.68</c:v>
                </c:pt>
                <c:pt idx="315">
                  <c:v>4391.03</c:v>
                </c:pt>
                <c:pt idx="316">
                  <c:v>4388.0200000000004</c:v>
                </c:pt>
                <c:pt idx="317">
                  <c:v>4373.17</c:v>
                </c:pt>
                <c:pt idx="318">
                  <c:v>4370.18</c:v>
                </c:pt>
                <c:pt idx="319">
                  <c:v>4355.8500000000004</c:v>
                </c:pt>
                <c:pt idx="320">
                  <c:v>4351.83</c:v>
                </c:pt>
                <c:pt idx="321">
                  <c:v>4337.24</c:v>
                </c:pt>
                <c:pt idx="322">
                  <c:v>4334.2700000000004</c:v>
                </c:pt>
                <c:pt idx="323">
                  <c:v>4318.4799999999996</c:v>
                </c:pt>
                <c:pt idx="324">
                  <c:v>4315.5200000000004</c:v>
                </c:pt>
                <c:pt idx="325">
                  <c:v>4300.42</c:v>
                </c:pt>
                <c:pt idx="326">
                  <c:v>4296.29</c:v>
                </c:pt>
                <c:pt idx="327">
                  <c:v>4281.46</c:v>
                </c:pt>
                <c:pt idx="328">
                  <c:v>4278.53</c:v>
                </c:pt>
                <c:pt idx="329">
                  <c:v>4262.7</c:v>
                </c:pt>
                <c:pt idx="330">
                  <c:v>4259.78</c:v>
                </c:pt>
                <c:pt idx="331">
                  <c:v>4245.93</c:v>
                </c:pt>
                <c:pt idx="332">
                  <c:v>4241.7700000000004</c:v>
                </c:pt>
                <c:pt idx="333">
                  <c:v>4227.8</c:v>
                </c:pt>
                <c:pt idx="334">
                  <c:v>4224.91</c:v>
                </c:pt>
                <c:pt idx="335">
                  <c:v>4198.9399999999996</c:v>
                </c:pt>
                <c:pt idx="336">
                  <c:v>4196.0600000000004</c:v>
                </c:pt>
                <c:pt idx="337">
                  <c:v>4180.41</c:v>
                </c:pt>
                <c:pt idx="338">
                  <c:v>4165.2</c:v>
                </c:pt>
                <c:pt idx="339">
                  <c:v>4150</c:v>
                </c:pt>
                <c:pt idx="340">
                  <c:v>4147.16</c:v>
                </c:pt>
                <c:pt idx="341">
                  <c:v>4118.46</c:v>
                </c:pt>
                <c:pt idx="342">
                  <c:v>4115.6400000000003</c:v>
                </c:pt>
                <c:pt idx="343">
                  <c:v>4100.01</c:v>
                </c:pt>
                <c:pt idx="344">
                  <c:v>4084.88</c:v>
                </c:pt>
                <c:pt idx="345">
                  <c:v>4068.45</c:v>
                </c:pt>
                <c:pt idx="346">
                  <c:v>4065.67</c:v>
                </c:pt>
                <c:pt idx="347">
                  <c:v>4038.22</c:v>
                </c:pt>
                <c:pt idx="348">
                  <c:v>4035.46</c:v>
                </c:pt>
                <c:pt idx="349">
                  <c:v>4019.64</c:v>
                </c:pt>
                <c:pt idx="350">
                  <c:v>4005.8</c:v>
                </c:pt>
                <c:pt idx="351">
                  <c:v>3990.04</c:v>
                </c:pt>
                <c:pt idx="352">
                  <c:v>3987.31</c:v>
                </c:pt>
                <c:pt idx="353">
                  <c:v>3960.09</c:v>
                </c:pt>
                <c:pt idx="354">
                  <c:v>3957.38</c:v>
                </c:pt>
                <c:pt idx="355">
                  <c:v>3941.97</c:v>
                </c:pt>
                <c:pt idx="356">
                  <c:v>3928.81</c:v>
                </c:pt>
                <c:pt idx="357">
                  <c:v>3913.13</c:v>
                </c:pt>
                <c:pt idx="358">
                  <c:v>3910.45</c:v>
                </c:pt>
                <c:pt idx="359">
                  <c:v>3883.69</c:v>
                </c:pt>
                <c:pt idx="360">
                  <c:v>3881.03</c:v>
                </c:pt>
                <c:pt idx="361">
                  <c:v>3865.81</c:v>
                </c:pt>
                <c:pt idx="362">
                  <c:v>3851.46</c:v>
                </c:pt>
                <c:pt idx="363">
                  <c:v>3835.47</c:v>
                </c:pt>
                <c:pt idx="364">
                  <c:v>3832.85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B5-4CA2-9068-6DFB4C7B0BD2}"/>
            </c:ext>
          </c:extLst>
        </c:ser>
        <c:ser>
          <c:idx val="1"/>
          <c:order val="1"/>
          <c:tx>
            <c:v>2年目級群</c:v>
          </c:tx>
          <c:spPr>
            <a:solidFill>
              <a:srgbClr val="FF5050"/>
            </a:solidFill>
            <a:ln>
              <a:noFill/>
            </a:ln>
            <a:effectLst/>
          </c:spPr>
          <c:cat>
            <c:numRef>
              <c:f>マアナゴ!$A$3:$A$367</c:f>
              <c:numCache>
                <c:formatCode>m/d/yyyy</c:formatCode>
                <c:ptCount val="365"/>
                <c:pt idx="0">
                  <c:v>41730</c:v>
                </c:pt>
                <c:pt idx="1">
                  <c:v>41731</c:v>
                </c:pt>
                <c:pt idx="2">
                  <c:v>41732</c:v>
                </c:pt>
                <c:pt idx="3">
                  <c:v>41733</c:v>
                </c:pt>
                <c:pt idx="4">
                  <c:v>41734</c:v>
                </c:pt>
                <c:pt idx="5">
                  <c:v>41735</c:v>
                </c:pt>
                <c:pt idx="6">
                  <c:v>41736</c:v>
                </c:pt>
                <c:pt idx="7">
                  <c:v>41737</c:v>
                </c:pt>
                <c:pt idx="8">
                  <c:v>41738</c:v>
                </c:pt>
                <c:pt idx="9">
                  <c:v>41739</c:v>
                </c:pt>
                <c:pt idx="10">
                  <c:v>41740</c:v>
                </c:pt>
                <c:pt idx="11">
                  <c:v>41741</c:v>
                </c:pt>
                <c:pt idx="12">
                  <c:v>41742</c:v>
                </c:pt>
                <c:pt idx="13">
                  <c:v>41743</c:v>
                </c:pt>
                <c:pt idx="14">
                  <c:v>41744</c:v>
                </c:pt>
                <c:pt idx="15">
                  <c:v>41745</c:v>
                </c:pt>
                <c:pt idx="16">
                  <c:v>41746</c:v>
                </c:pt>
                <c:pt idx="17">
                  <c:v>41747</c:v>
                </c:pt>
                <c:pt idx="18">
                  <c:v>41748</c:v>
                </c:pt>
                <c:pt idx="19">
                  <c:v>41749</c:v>
                </c:pt>
                <c:pt idx="20">
                  <c:v>41750</c:v>
                </c:pt>
                <c:pt idx="21">
                  <c:v>41751</c:v>
                </c:pt>
                <c:pt idx="22">
                  <c:v>41752</c:v>
                </c:pt>
                <c:pt idx="23">
                  <c:v>41753</c:v>
                </c:pt>
                <c:pt idx="24">
                  <c:v>41754</c:v>
                </c:pt>
                <c:pt idx="25">
                  <c:v>41755</c:v>
                </c:pt>
                <c:pt idx="26">
                  <c:v>41756</c:v>
                </c:pt>
                <c:pt idx="27">
                  <c:v>41757</c:v>
                </c:pt>
                <c:pt idx="28">
                  <c:v>41758</c:v>
                </c:pt>
                <c:pt idx="29">
                  <c:v>41759</c:v>
                </c:pt>
                <c:pt idx="30">
                  <c:v>41760</c:v>
                </c:pt>
                <c:pt idx="31">
                  <c:v>41761</c:v>
                </c:pt>
                <c:pt idx="32">
                  <c:v>41762</c:v>
                </c:pt>
                <c:pt idx="33">
                  <c:v>41763</c:v>
                </c:pt>
                <c:pt idx="34">
                  <c:v>41764</c:v>
                </c:pt>
                <c:pt idx="35">
                  <c:v>41765</c:v>
                </c:pt>
                <c:pt idx="36">
                  <c:v>41766</c:v>
                </c:pt>
                <c:pt idx="37">
                  <c:v>41767</c:v>
                </c:pt>
                <c:pt idx="38">
                  <c:v>41768</c:v>
                </c:pt>
                <c:pt idx="39">
                  <c:v>41769</c:v>
                </c:pt>
                <c:pt idx="40">
                  <c:v>41770</c:v>
                </c:pt>
                <c:pt idx="41">
                  <c:v>41771</c:v>
                </c:pt>
                <c:pt idx="42">
                  <c:v>41772</c:v>
                </c:pt>
                <c:pt idx="43">
                  <c:v>41773</c:v>
                </c:pt>
                <c:pt idx="44">
                  <c:v>41774</c:v>
                </c:pt>
                <c:pt idx="45">
                  <c:v>41775</c:v>
                </c:pt>
                <c:pt idx="46">
                  <c:v>41776</c:v>
                </c:pt>
                <c:pt idx="47">
                  <c:v>41777</c:v>
                </c:pt>
                <c:pt idx="48">
                  <c:v>41778</c:v>
                </c:pt>
                <c:pt idx="49">
                  <c:v>41779</c:v>
                </c:pt>
                <c:pt idx="50">
                  <c:v>41780</c:v>
                </c:pt>
                <c:pt idx="51">
                  <c:v>41781</c:v>
                </c:pt>
                <c:pt idx="52">
                  <c:v>41782</c:v>
                </c:pt>
                <c:pt idx="53">
                  <c:v>41783</c:v>
                </c:pt>
                <c:pt idx="54">
                  <c:v>41784</c:v>
                </c:pt>
                <c:pt idx="55">
                  <c:v>41785</c:v>
                </c:pt>
                <c:pt idx="56">
                  <c:v>41786</c:v>
                </c:pt>
                <c:pt idx="57">
                  <c:v>41787</c:v>
                </c:pt>
                <c:pt idx="58">
                  <c:v>41788</c:v>
                </c:pt>
                <c:pt idx="59">
                  <c:v>41789</c:v>
                </c:pt>
                <c:pt idx="60">
                  <c:v>41790</c:v>
                </c:pt>
                <c:pt idx="61">
                  <c:v>41791</c:v>
                </c:pt>
                <c:pt idx="62">
                  <c:v>41792</c:v>
                </c:pt>
                <c:pt idx="63">
                  <c:v>41793</c:v>
                </c:pt>
                <c:pt idx="64">
                  <c:v>41794</c:v>
                </c:pt>
                <c:pt idx="65">
                  <c:v>41795</c:v>
                </c:pt>
                <c:pt idx="66">
                  <c:v>41796</c:v>
                </c:pt>
                <c:pt idx="67">
                  <c:v>41797</c:v>
                </c:pt>
                <c:pt idx="68">
                  <c:v>41798</c:v>
                </c:pt>
                <c:pt idx="69">
                  <c:v>41799</c:v>
                </c:pt>
                <c:pt idx="70">
                  <c:v>41800</c:v>
                </c:pt>
                <c:pt idx="71">
                  <c:v>41801</c:v>
                </c:pt>
                <c:pt idx="72">
                  <c:v>41802</c:v>
                </c:pt>
                <c:pt idx="73">
                  <c:v>41803</c:v>
                </c:pt>
                <c:pt idx="74">
                  <c:v>41804</c:v>
                </c:pt>
                <c:pt idx="75">
                  <c:v>41805</c:v>
                </c:pt>
                <c:pt idx="76">
                  <c:v>41806</c:v>
                </c:pt>
                <c:pt idx="77">
                  <c:v>41807</c:v>
                </c:pt>
                <c:pt idx="78">
                  <c:v>41808</c:v>
                </c:pt>
                <c:pt idx="79">
                  <c:v>41809</c:v>
                </c:pt>
                <c:pt idx="80">
                  <c:v>41810</c:v>
                </c:pt>
                <c:pt idx="81">
                  <c:v>41811</c:v>
                </c:pt>
                <c:pt idx="82">
                  <c:v>41812</c:v>
                </c:pt>
                <c:pt idx="83">
                  <c:v>41813</c:v>
                </c:pt>
                <c:pt idx="84">
                  <c:v>41814</c:v>
                </c:pt>
                <c:pt idx="85">
                  <c:v>41815</c:v>
                </c:pt>
                <c:pt idx="86">
                  <c:v>41816</c:v>
                </c:pt>
                <c:pt idx="87">
                  <c:v>41817</c:v>
                </c:pt>
                <c:pt idx="88">
                  <c:v>41818</c:v>
                </c:pt>
                <c:pt idx="89">
                  <c:v>41819</c:v>
                </c:pt>
                <c:pt idx="90">
                  <c:v>41820</c:v>
                </c:pt>
                <c:pt idx="91">
                  <c:v>41821</c:v>
                </c:pt>
                <c:pt idx="92">
                  <c:v>41822</c:v>
                </c:pt>
                <c:pt idx="93">
                  <c:v>41823</c:v>
                </c:pt>
                <c:pt idx="94">
                  <c:v>41824</c:v>
                </c:pt>
                <c:pt idx="95">
                  <c:v>41825</c:v>
                </c:pt>
                <c:pt idx="96">
                  <c:v>41826</c:v>
                </c:pt>
                <c:pt idx="97">
                  <c:v>41827</c:v>
                </c:pt>
                <c:pt idx="98">
                  <c:v>41828</c:v>
                </c:pt>
                <c:pt idx="99">
                  <c:v>41829</c:v>
                </c:pt>
                <c:pt idx="100">
                  <c:v>41830</c:v>
                </c:pt>
                <c:pt idx="101">
                  <c:v>41831</c:v>
                </c:pt>
                <c:pt idx="102">
                  <c:v>41832</c:v>
                </c:pt>
                <c:pt idx="103">
                  <c:v>41833</c:v>
                </c:pt>
                <c:pt idx="104">
                  <c:v>41834</c:v>
                </c:pt>
                <c:pt idx="105">
                  <c:v>41835</c:v>
                </c:pt>
                <c:pt idx="106">
                  <c:v>41836</c:v>
                </c:pt>
                <c:pt idx="107">
                  <c:v>41837</c:v>
                </c:pt>
                <c:pt idx="108">
                  <c:v>41838</c:v>
                </c:pt>
                <c:pt idx="109">
                  <c:v>41839</c:v>
                </c:pt>
                <c:pt idx="110">
                  <c:v>41840</c:v>
                </c:pt>
                <c:pt idx="111">
                  <c:v>41841</c:v>
                </c:pt>
                <c:pt idx="112">
                  <c:v>41842</c:v>
                </c:pt>
                <c:pt idx="113">
                  <c:v>41843</c:v>
                </c:pt>
                <c:pt idx="114">
                  <c:v>41844</c:v>
                </c:pt>
                <c:pt idx="115">
                  <c:v>41845</c:v>
                </c:pt>
                <c:pt idx="116">
                  <c:v>41846</c:v>
                </c:pt>
                <c:pt idx="117">
                  <c:v>41847</c:v>
                </c:pt>
                <c:pt idx="118">
                  <c:v>41848</c:v>
                </c:pt>
                <c:pt idx="119">
                  <c:v>41849</c:v>
                </c:pt>
                <c:pt idx="120">
                  <c:v>41850</c:v>
                </c:pt>
                <c:pt idx="121">
                  <c:v>41851</c:v>
                </c:pt>
                <c:pt idx="122">
                  <c:v>41852</c:v>
                </c:pt>
                <c:pt idx="123">
                  <c:v>41853</c:v>
                </c:pt>
                <c:pt idx="124">
                  <c:v>41854</c:v>
                </c:pt>
                <c:pt idx="125">
                  <c:v>41855</c:v>
                </c:pt>
                <c:pt idx="126">
                  <c:v>41856</c:v>
                </c:pt>
                <c:pt idx="127">
                  <c:v>41857</c:v>
                </c:pt>
                <c:pt idx="128">
                  <c:v>41858</c:v>
                </c:pt>
                <c:pt idx="129">
                  <c:v>41859</c:v>
                </c:pt>
                <c:pt idx="130">
                  <c:v>41860</c:v>
                </c:pt>
                <c:pt idx="131">
                  <c:v>41861</c:v>
                </c:pt>
                <c:pt idx="132">
                  <c:v>41862</c:v>
                </c:pt>
                <c:pt idx="133">
                  <c:v>41863</c:v>
                </c:pt>
                <c:pt idx="134">
                  <c:v>41864</c:v>
                </c:pt>
                <c:pt idx="135">
                  <c:v>41865</c:v>
                </c:pt>
                <c:pt idx="136">
                  <c:v>41866</c:v>
                </c:pt>
                <c:pt idx="137">
                  <c:v>41867</c:v>
                </c:pt>
                <c:pt idx="138">
                  <c:v>41868</c:v>
                </c:pt>
                <c:pt idx="139">
                  <c:v>41869</c:v>
                </c:pt>
                <c:pt idx="140">
                  <c:v>41870</c:v>
                </c:pt>
                <c:pt idx="141">
                  <c:v>41871</c:v>
                </c:pt>
                <c:pt idx="142">
                  <c:v>41872</c:v>
                </c:pt>
                <c:pt idx="143">
                  <c:v>41873</c:v>
                </c:pt>
                <c:pt idx="144">
                  <c:v>41874</c:v>
                </c:pt>
                <c:pt idx="145">
                  <c:v>41875</c:v>
                </c:pt>
                <c:pt idx="146">
                  <c:v>41876</c:v>
                </c:pt>
                <c:pt idx="147">
                  <c:v>41877</c:v>
                </c:pt>
                <c:pt idx="148">
                  <c:v>41878</c:v>
                </c:pt>
                <c:pt idx="149">
                  <c:v>41879</c:v>
                </c:pt>
                <c:pt idx="150">
                  <c:v>41880</c:v>
                </c:pt>
                <c:pt idx="151">
                  <c:v>41881</c:v>
                </c:pt>
                <c:pt idx="152">
                  <c:v>41882</c:v>
                </c:pt>
                <c:pt idx="153">
                  <c:v>41883</c:v>
                </c:pt>
                <c:pt idx="154">
                  <c:v>41884</c:v>
                </c:pt>
                <c:pt idx="155">
                  <c:v>41885</c:v>
                </c:pt>
                <c:pt idx="156">
                  <c:v>41886</c:v>
                </c:pt>
                <c:pt idx="157">
                  <c:v>41887</c:v>
                </c:pt>
                <c:pt idx="158">
                  <c:v>41888</c:v>
                </c:pt>
                <c:pt idx="159">
                  <c:v>41889</c:v>
                </c:pt>
                <c:pt idx="160">
                  <c:v>41890</c:v>
                </c:pt>
                <c:pt idx="161">
                  <c:v>41891</c:v>
                </c:pt>
                <c:pt idx="162">
                  <c:v>41892</c:v>
                </c:pt>
                <c:pt idx="163">
                  <c:v>41893</c:v>
                </c:pt>
                <c:pt idx="164">
                  <c:v>41894</c:v>
                </c:pt>
                <c:pt idx="165">
                  <c:v>41895</c:v>
                </c:pt>
                <c:pt idx="166">
                  <c:v>41896</c:v>
                </c:pt>
                <c:pt idx="167">
                  <c:v>41897</c:v>
                </c:pt>
                <c:pt idx="168">
                  <c:v>41898</c:v>
                </c:pt>
                <c:pt idx="169">
                  <c:v>41899</c:v>
                </c:pt>
                <c:pt idx="170">
                  <c:v>41900</c:v>
                </c:pt>
                <c:pt idx="171">
                  <c:v>41901</c:v>
                </c:pt>
                <c:pt idx="172">
                  <c:v>41902</c:v>
                </c:pt>
                <c:pt idx="173">
                  <c:v>41903</c:v>
                </c:pt>
                <c:pt idx="174">
                  <c:v>41904</c:v>
                </c:pt>
                <c:pt idx="175">
                  <c:v>41905</c:v>
                </c:pt>
                <c:pt idx="176">
                  <c:v>41906</c:v>
                </c:pt>
                <c:pt idx="177">
                  <c:v>41907</c:v>
                </c:pt>
                <c:pt idx="178">
                  <c:v>41908</c:v>
                </c:pt>
                <c:pt idx="179">
                  <c:v>41909</c:v>
                </c:pt>
                <c:pt idx="180">
                  <c:v>41910</c:v>
                </c:pt>
                <c:pt idx="181">
                  <c:v>41911</c:v>
                </c:pt>
                <c:pt idx="182">
                  <c:v>41912</c:v>
                </c:pt>
                <c:pt idx="183">
                  <c:v>41913</c:v>
                </c:pt>
                <c:pt idx="184">
                  <c:v>41914</c:v>
                </c:pt>
                <c:pt idx="185">
                  <c:v>41915</c:v>
                </c:pt>
                <c:pt idx="186">
                  <c:v>41916</c:v>
                </c:pt>
                <c:pt idx="187">
                  <c:v>41917</c:v>
                </c:pt>
                <c:pt idx="188">
                  <c:v>41918</c:v>
                </c:pt>
                <c:pt idx="189">
                  <c:v>41919</c:v>
                </c:pt>
                <c:pt idx="190">
                  <c:v>41920</c:v>
                </c:pt>
                <c:pt idx="191">
                  <c:v>41921</c:v>
                </c:pt>
                <c:pt idx="192">
                  <c:v>41922</c:v>
                </c:pt>
                <c:pt idx="193">
                  <c:v>41923</c:v>
                </c:pt>
                <c:pt idx="194">
                  <c:v>41924</c:v>
                </c:pt>
                <c:pt idx="195">
                  <c:v>41925</c:v>
                </c:pt>
                <c:pt idx="196">
                  <c:v>41926</c:v>
                </c:pt>
                <c:pt idx="197">
                  <c:v>41927</c:v>
                </c:pt>
                <c:pt idx="198">
                  <c:v>41928</c:v>
                </c:pt>
                <c:pt idx="199">
                  <c:v>41929</c:v>
                </c:pt>
                <c:pt idx="200">
                  <c:v>41930</c:v>
                </c:pt>
                <c:pt idx="201">
                  <c:v>41931</c:v>
                </c:pt>
                <c:pt idx="202">
                  <c:v>41932</c:v>
                </c:pt>
                <c:pt idx="203">
                  <c:v>41933</c:v>
                </c:pt>
                <c:pt idx="204">
                  <c:v>41934</c:v>
                </c:pt>
                <c:pt idx="205">
                  <c:v>41935</c:v>
                </c:pt>
                <c:pt idx="206">
                  <c:v>41936</c:v>
                </c:pt>
                <c:pt idx="207">
                  <c:v>41937</c:v>
                </c:pt>
                <c:pt idx="208">
                  <c:v>41938</c:v>
                </c:pt>
                <c:pt idx="209">
                  <c:v>41939</c:v>
                </c:pt>
                <c:pt idx="210">
                  <c:v>41940</c:v>
                </c:pt>
                <c:pt idx="211">
                  <c:v>41941</c:v>
                </c:pt>
                <c:pt idx="212">
                  <c:v>41942</c:v>
                </c:pt>
                <c:pt idx="213">
                  <c:v>41943</c:v>
                </c:pt>
                <c:pt idx="214">
                  <c:v>41944</c:v>
                </c:pt>
                <c:pt idx="215">
                  <c:v>41945</c:v>
                </c:pt>
                <c:pt idx="216">
                  <c:v>41946</c:v>
                </c:pt>
                <c:pt idx="217">
                  <c:v>41947</c:v>
                </c:pt>
                <c:pt idx="218">
                  <c:v>41948</c:v>
                </c:pt>
                <c:pt idx="219">
                  <c:v>41949</c:v>
                </c:pt>
                <c:pt idx="220">
                  <c:v>41950</c:v>
                </c:pt>
                <c:pt idx="221">
                  <c:v>41951</c:v>
                </c:pt>
                <c:pt idx="222">
                  <c:v>41952</c:v>
                </c:pt>
                <c:pt idx="223">
                  <c:v>41953</c:v>
                </c:pt>
                <c:pt idx="224">
                  <c:v>41954</c:v>
                </c:pt>
                <c:pt idx="225">
                  <c:v>41955</c:v>
                </c:pt>
                <c:pt idx="226">
                  <c:v>41956</c:v>
                </c:pt>
                <c:pt idx="227">
                  <c:v>41957</c:v>
                </c:pt>
                <c:pt idx="228">
                  <c:v>41958</c:v>
                </c:pt>
                <c:pt idx="229">
                  <c:v>41959</c:v>
                </c:pt>
                <c:pt idx="230">
                  <c:v>41960</c:v>
                </c:pt>
                <c:pt idx="231">
                  <c:v>41961</c:v>
                </c:pt>
                <c:pt idx="232">
                  <c:v>41962</c:v>
                </c:pt>
                <c:pt idx="233">
                  <c:v>41963</c:v>
                </c:pt>
                <c:pt idx="234">
                  <c:v>41964</c:v>
                </c:pt>
                <c:pt idx="235">
                  <c:v>41965</c:v>
                </c:pt>
                <c:pt idx="236">
                  <c:v>41966</c:v>
                </c:pt>
                <c:pt idx="237">
                  <c:v>41967</c:v>
                </c:pt>
                <c:pt idx="238">
                  <c:v>41968</c:v>
                </c:pt>
                <c:pt idx="239">
                  <c:v>41969</c:v>
                </c:pt>
                <c:pt idx="240">
                  <c:v>41970</c:v>
                </c:pt>
                <c:pt idx="241">
                  <c:v>41971</c:v>
                </c:pt>
                <c:pt idx="242">
                  <c:v>41972</c:v>
                </c:pt>
                <c:pt idx="243">
                  <c:v>41973</c:v>
                </c:pt>
                <c:pt idx="244">
                  <c:v>41974</c:v>
                </c:pt>
                <c:pt idx="245">
                  <c:v>41975</c:v>
                </c:pt>
                <c:pt idx="246">
                  <c:v>41976</c:v>
                </c:pt>
                <c:pt idx="247">
                  <c:v>41977</c:v>
                </c:pt>
                <c:pt idx="248">
                  <c:v>41978</c:v>
                </c:pt>
                <c:pt idx="249">
                  <c:v>41979</c:v>
                </c:pt>
                <c:pt idx="250">
                  <c:v>41980</c:v>
                </c:pt>
                <c:pt idx="251">
                  <c:v>41981</c:v>
                </c:pt>
                <c:pt idx="252">
                  <c:v>41982</c:v>
                </c:pt>
                <c:pt idx="253">
                  <c:v>41983</c:v>
                </c:pt>
                <c:pt idx="254">
                  <c:v>41984</c:v>
                </c:pt>
                <c:pt idx="255">
                  <c:v>41985</c:v>
                </c:pt>
                <c:pt idx="256">
                  <c:v>41986</c:v>
                </c:pt>
                <c:pt idx="257">
                  <c:v>41987</c:v>
                </c:pt>
                <c:pt idx="258">
                  <c:v>41988</c:v>
                </c:pt>
                <c:pt idx="259">
                  <c:v>41989</c:v>
                </c:pt>
                <c:pt idx="260">
                  <c:v>41990</c:v>
                </c:pt>
                <c:pt idx="261">
                  <c:v>41991</c:v>
                </c:pt>
                <c:pt idx="262">
                  <c:v>41992</c:v>
                </c:pt>
                <c:pt idx="263">
                  <c:v>41993</c:v>
                </c:pt>
                <c:pt idx="264">
                  <c:v>41994</c:v>
                </c:pt>
                <c:pt idx="265">
                  <c:v>41995</c:v>
                </c:pt>
                <c:pt idx="266">
                  <c:v>41996</c:v>
                </c:pt>
                <c:pt idx="267">
                  <c:v>41997</c:v>
                </c:pt>
                <c:pt idx="268">
                  <c:v>41998</c:v>
                </c:pt>
                <c:pt idx="269">
                  <c:v>41999</c:v>
                </c:pt>
                <c:pt idx="270">
                  <c:v>42000</c:v>
                </c:pt>
                <c:pt idx="271">
                  <c:v>42001</c:v>
                </c:pt>
                <c:pt idx="272">
                  <c:v>42002</c:v>
                </c:pt>
                <c:pt idx="273">
                  <c:v>42003</c:v>
                </c:pt>
                <c:pt idx="274">
                  <c:v>42004</c:v>
                </c:pt>
                <c:pt idx="275">
                  <c:v>42005</c:v>
                </c:pt>
                <c:pt idx="276">
                  <c:v>42006</c:v>
                </c:pt>
                <c:pt idx="277">
                  <c:v>42007</c:v>
                </c:pt>
                <c:pt idx="278">
                  <c:v>42008</c:v>
                </c:pt>
                <c:pt idx="279">
                  <c:v>42009</c:v>
                </c:pt>
                <c:pt idx="280">
                  <c:v>42010</c:v>
                </c:pt>
                <c:pt idx="281">
                  <c:v>42011</c:v>
                </c:pt>
                <c:pt idx="282">
                  <c:v>42012</c:v>
                </c:pt>
                <c:pt idx="283">
                  <c:v>42013</c:v>
                </c:pt>
                <c:pt idx="284">
                  <c:v>42014</c:v>
                </c:pt>
                <c:pt idx="285">
                  <c:v>42015</c:v>
                </c:pt>
                <c:pt idx="286">
                  <c:v>42016</c:v>
                </c:pt>
                <c:pt idx="287">
                  <c:v>42017</c:v>
                </c:pt>
                <c:pt idx="288">
                  <c:v>42018</c:v>
                </c:pt>
                <c:pt idx="289">
                  <c:v>42019</c:v>
                </c:pt>
                <c:pt idx="290">
                  <c:v>42020</c:v>
                </c:pt>
                <c:pt idx="291">
                  <c:v>42021</c:v>
                </c:pt>
                <c:pt idx="292">
                  <c:v>42022</c:v>
                </c:pt>
                <c:pt idx="293">
                  <c:v>42023</c:v>
                </c:pt>
                <c:pt idx="294">
                  <c:v>42024</c:v>
                </c:pt>
                <c:pt idx="295">
                  <c:v>42025</c:v>
                </c:pt>
                <c:pt idx="296">
                  <c:v>42026</c:v>
                </c:pt>
                <c:pt idx="297">
                  <c:v>42027</c:v>
                </c:pt>
                <c:pt idx="298">
                  <c:v>42028</c:v>
                </c:pt>
                <c:pt idx="299">
                  <c:v>42029</c:v>
                </c:pt>
                <c:pt idx="300">
                  <c:v>42030</c:v>
                </c:pt>
                <c:pt idx="301">
                  <c:v>42031</c:v>
                </c:pt>
                <c:pt idx="302">
                  <c:v>42032</c:v>
                </c:pt>
                <c:pt idx="303">
                  <c:v>42033</c:v>
                </c:pt>
                <c:pt idx="304">
                  <c:v>42034</c:v>
                </c:pt>
                <c:pt idx="305">
                  <c:v>42035</c:v>
                </c:pt>
                <c:pt idx="306">
                  <c:v>42036</c:v>
                </c:pt>
                <c:pt idx="307">
                  <c:v>42037</c:v>
                </c:pt>
                <c:pt idx="308">
                  <c:v>42038</c:v>
                </c:pt>
                <c:pt idx="309">
                  <c:v>42039</c:v>
                </c:pt>
                <c:pt idx="310">
                  <c:v>42040</c:v>
                </c:pt>
                <c:pt idx="311">
                  <c:v>42041</c:v>
                </c:pt>
                <c:pt idx="312">
                  <c:v>42042</c:v>
                </c:pt>
                <c:pt idx="313">
                  <c:v>42043</c:v>
                </c:pt>
                <c:pt idx="314">
                  <c:v>42044</c:v>
                </c:pt>
                <c:pt idx="315">
                  <c:v>42045</c:v>
                </c:pt>
                <c:pt idx="316">
                  <c:v>42046</c:v>
                </c:pt>
                <c:pt idx="317">
                  <c:v>42047</c:v>
                </c:pt>
                <c:pt idx="318">
                  <c:v>42048</c:v>
                </c:pt>
                <c:pt idx="319">
                  <c:v>42049</c:v>
                </c:pt>
                <c:pt idx="320">
                  <c:v>42050</c:v>
                </c:pt>
                <c:pt idx="321">
                  <c:v>42051</c:v>
                </c:pt>
                <c:pt idx="322">
                  <c:v>42052</c:v>
                </c:pt>
                <c:pt idx="323">
                  <c:v>42053</c:v>
                </c:pt>
                <c:pt idx="324">
                  <c:v>42054</c:v>
                </c:pt>
                <c:pt idx="325">
                  <c:v>42055</c:v>
                </c:pt>
                <c:pt idx="326">
                  <c:v>42056</c:v>
                </c:pt>
                <c:pt idx="327">
                  <c:v>42057</c:v>
                </c:pt>
                <c:pt idx="328">
                  <c:v>42058</c:v>
                </c:pt>
                <c:pt idx="329">
                  <c:v>42059</c:v>
                </c:pt>
                <c:pt idx="330">
                  <c:v>42060</c:v>
                </c:pt>
                <c:pt idx="331">
                  <c:v>42061</c:v>
                </c:pt>
                <c:pt idx="332">
                  <c:v>42062</c:v>
                </c:pt>
                <c:pt idx="333">
                  <c:v>42063</c:v>
                </c:pt>
                <c:pt idx="334">
                  <c:v>42064</c:v>
                </c:pt>
                <c:pt idx="335">
                  <c:v>42065</c:v>
                </c:pt>
                <c:pt idx="336">
                  <c:v>42066</c:v>
                </c:pt>
                <c:pt idx="337">
                  <c:v>42067</c:v>
                </c:pt>
                <c:pt idx="338">
                  <c:v>42068</c:v>
                </c:pt>
                <c:pt idx="339">
                  <c:v>42069</c:v>
                </c:pt>
                <c:pt idx="340">
                  <c:v>42070</c:v>
                </c:pt>
                <c:pt idx="341">
                  <c:v>42071</c:v>
                </c:pt>
                <c:pt idx="342">
                  <c:v>42072</c:v>
                </c:pt>
                <c:pt idx="343">
                  <c:v>42073</c:v>
                </c:pt>
                <c:pt idx="344">
                  <c:v>42074</c:v>
                </c:pt>
                <c:pt idx="345">
                  <c:v>42075</c:v>
                </c:pt>
                <c:pt idx="346">
                  <c:v>42076</c:v>
                </c:pt>
                <c:pt idx="347">
                  <c:v>42077</c:v>
                </c:pt>
                <c:pt idx="348">
                  <c:v>42078</c:v>
                </c:pt>
                <c:pt idx="349">
                  <c:v>42079</c:v>
                </c:pt>
                <c:pt idx="350">
                  <c:v>42080</c:v>
                </c:pt>
                <c:pt idx="351">
                  <c:v>42081</c:v>
                </c:pt>
                <c:pt idx="352">
                  <c:v>42082</c:v>
                </c:pt>
                <c:pt idx="353">
                  <c:v>42083</c:v>
                </c:pt>
                <c:pt idx="354">
                  <c:v>42084</c:v>
                </c:pt>
                <c:pt idx="355">
                  <c:v>42085</c:v>
                </c:pt>
                <c:pt idx="356">
                  <c:v>42086</c:v>
                </c:pt>
                <c:pt idx="357">
                  <c:v>42087</c:v>
                </c:pt>
                <c:pt idx="358">
                  <c:v>42088</c:v>
                </c:pt>
                <c:pt idx="359">
                  <c:v>42089</c:v>
                </c:pt>
                <c:pt idx="360">
                  <c:v>42090</c:v>
                </c:pt>
                <c:pt idx="361">
                  <c:v>42091</c:v>
                </c:pt>
                <c:pt idx="362">
                  <c:v>42092</c:v>
                </c:pt>
                <c:pt idx="363">
                  <c:v>42093</c:v>
                </c:pt>
                <c:pt idx="364">
                  <c:v>42094</c:v>
                </c:pt>
              </c:numCache>
            </c:numRef>
          </c:cat>
          <c:val>
            <c:numRef>
              <c:f>マアナゴ!$M$3:$M$367</c:f>
              <c:numCache>
                <c:formatCode>0</c:formatCode>
                <c:ptCount val="365"/>
                <c:pt idx="0">
                  <c:v>3830.43</c:v>
                </c:pt>
                <c:pt idx="1">
                  <c:v>3803.79</c:v>
                </c:pt>
                <c:pt idx="2">
                  <c:v>3785.83</c:v>
                </c:pt>
                <c:pt idx="3">
                  <c:v>3759.33</c:v>
                </c:pt>
                <c:pt idx="4">
                  <c:v>3752.25</c:v>
                </c:pt>
                <c:pt idx="5">
                  <c:v>3710.2</c:v>
                </c:pt>
                <c:pt idx="6">
                  <c:v>3707.66</c:v>
                </c:pt>
                <c:pt idx="7">
                  <c:v>3680.12</c:v>
                </c:pt>
                <c:pt idx="8">
                  <c:v>3663.29</c:v>
                </c:pt>
                <c:pt idx="9">
                  <c:v>3631.43</c:v>
                </c:pt>
                <c:pt idx="10">
                  <c:v>3628.95</c:v>
                </c:pt>
                <c:pt idx="11">
                  <c:v>3587.52</c:v>
                </c:pt>
                <c:pt idx="12">
                  <c:v>3585.07</c:v>
                </c:pt>
                <c:pt idx="13">
                  <c:v>3557.2</c:v>
                </c:pt>
                <c:pt idx="14">
                  <c:v>3537.31</c:v>
                </c:pt>
                <c:pt idx="15">
                  <c:v>3509.65</c:v>
                </c:pt>
                <c:pt idx="16">
                  <c:v>3507.24</c:v>
                </c:pt>
                <c:pt idx="17">
                  <c:v>3466.37</c:v>
                </c:pt>
                <c:pt idx="18">
                  <c:v>3464</c:v>
                </c:pt>
                <c:pt idx="19">
                  <c:v>3431.83</c:v>
                </c:pt>
                <c:pt idx="20">
                  <c:v>3416.98</c:v>
                </c:pt>
                <c:pt idx="21">
                  <c:v>3389.31</c:v>
                </c:pt>
                <c:pt idx="22">
                  <c:v>3386.99</c:v>
                </c:pt>
                <c:pt idx="23">
                  <c:v>3346.86</c:v>
                </c:pt>
                <c:pt idx="24">
                  <c:v>3340.43</c:v>
                </c:pt>
                <c:pt idx="25">
                  <c:v>3312.78</c:v>
                </c:pt>
                <c:pt idx="26">
                  <c:v>3298.53</c:v>
                </c:pt>
                <c:pt idx="27">
                  <c:v>3270.91</c:v>
                </c:pt>
                <c:pt idx="28">
                  <c:v>3268.67</c:v>
                </c:pt>
                <c:pt idx="29">
                  <c:v>3225.24</c:v>
                </c:pt>
                <c:pt idx="30">
                  <c:v>3223.03</c:v>
                </c:pt>
                <c:pt idx="31">
                  <c:v>3197.27</c:v>
                </c:pt>
                <c:pt idx="32">
                  <c:v>3175.57</c:v>
                </c:pt>
                <c:pt idx="33">
                  <c:v>3149.82</c:v>
                </c:pt>
                <c:pt idx="34">
                  <c:v>3140</c:v>
                </c:pt>
                <c:pt idx="35">
                  <c:v>3095.57</c:v>
                </c:pt>
                <c:pt idx="36">
                  <c:v>3093.45</c:v>
                </c:pt>
                <c:pt idx="37">
                  <c:v>3067.98</c:v>
                </c:pt>
                <c:pt idx="38">
                  <c:v>3047.35</c:v>
                </c:pt>
                <c:pt idx="39">
                  <c:v>3014.78</c:v>
                </c:pt>
                <c:pt idx="40">
                  <c:v>3012.72</c:v>
                </c:pt>
                <c:pt idx="41">
                  <c:v>2969.51</c:v>
                </c:pt>
                <c:pt idx="42">
                  <c:v>2967.48</c:v>
                </c:pt>
                <c:pt idx="43">
                  <c:v>2942.79</c:v>
                </c:pt>
                <c:pt idx="44">
                  <c:v>2915.81</c:v>
                </c:pt>
                <c:pt idx="45">
                  <c:v>2890.98</c:v>
                </c:pt>
                <c:pt idx="46">
                  <c:v>2889</c:v>
                </c:pt>
                <c:pt idx="47">
                  <c:v>2847.47</c:v>
                </c:pt>
                <c:pt idx="48">
                  <c:v>2845.52</c:v>
                </c:pt>
                <c:pt idx="49">
                  <c:v>2813.92</c:v>
                </c:pt>
                <c:pt idx="50">
                  <c:v>2795.02</c:v>
                </c:pt>
                <c:pt idx="51">
                  <c:v>2771.23</c:v>
                </c:pt>
                <c:pt idx="52">
                  <c:v>2769.34</c:v>
                </c:pt>
                <c:pt idx="53">
                  <c:v>2728.58</c:v>
                </c:pt>
                <c:pt idx="54">
                  <c:v>2719.89</c:v>
                </c:pt>
                <c:pt idx="55">
                  <c:v>2696.38</c:v>
                </c:pt>
                <c:pt idx="56">
                  <c:v>2678.29</c:v>
                </c:pt>
                <c:pt idx="57">
                  <c:v>2654.59</c:v>
                </c:pt>
                <c:pt idx="58">
                  <c:v>2652.77</c:v>
                </c:pt>
                <c:pt idx="59">
                  <c:v>2607.0500000000002</c:v>
                </c:pt>
                <c:pt idx="60">
                  <c:v>2605.2600000000002</c:v>
                </c:pt>
                <c:pt idx="61">
                  <c:v>2574.65</c:v>
                </c:pt>
                <c:pt idx="62">
                  <c:v>2550.9299999999998</c:v>
                </c:pt>
                <c:pt idx="63">
                  <c:v>2520.4899999999998</c:v>
                </c:pt>
                <c:pt idx="64">
                  <c:v>2509.4699999999998</c:v>
                </c:pt>
                <c:pt idx="65">
                  <c:v>2456.7199999999998</c:v>
                </c:pt>
                <c:pt idx="66">
                  <c:v>2455.04</c:v>
                </c:pt>
                <c:pt idx="67">
                  <c:v>2424.54</c:v>
                </c:pt>
                <c:pt idx="68">
                  <c:v>2400.37</c:v>
                </c:pt>
                <c:pt idx="69">
                  <c:v>2359.98</c:v>
                </c:pt>
                <c:pt idx="70">
                  <c:v>2358.37</c:v>
                </c:pt>
                <c:pt idx="71">
                  <c:v>2304.52</c:v>
                </c:pt>
                <c:pt idx="72">
                  <c:v>2302.9499999999998</c:v>
                </c:pt>
                <c:pt idx="73">
                  <c:v>2271.35</c:v>
                </c:pt>
                <c:pt idx="74">
                  <c:v>2235.71</c:v>
                </c:pt>
                <c:pt idx="75">
                  <c:v>2203.4899999999998</c:v>
                </c:pt>
                <c:pt idx="76">
                  <c:v>2201.98</c:v>
                </c:pt>
                <c:pt idx="77">
                  <c:v>2143.29</c:v>
                </c:pt>
                <c:pt idx="78">
                  <c:v>2141.8200000000002</c:v>
                </c:pt>
                <c:pt idx="79">
                  <c:v>2096.19</c:v>
                </c:pt>
                <c:pt idx="80">
                  <c:v>2068.59</c:v>
                </c:pt>
                <c:pt idx="81">
                  <c:v>2035.04</c:v>
                </c:pt>
                <c:pt idx="82">
                  <c:v>2033.65</c:v>
                </c:pt>
                <c:pt idx="83">
                  <c:v>1972.68</c:v>
                </c:pt>
                <c:pt idx="84">
                  <c:v>1959.73</c:v>
                </c:pt>
                <c:pt idx="85">
                  <c:v>1925.62</c:v>
                </c:pt>
                <c:pt idx="86">
                  <c:v>1898.51</c:v>
                </c:pt>
                <c:pt idx="87">
                  <c:v>1864.66</c:v>
                </c:pt>
                <c:pt idx="88">
                  <c:v>1863.39</c:v>
                </c:pt>
                <c:pt idx="89">
                  <c:v>1792.32</c:v>
                </c:pt>
                <c:pt idx="90">
                  <c:v>1791.08</c:v>
                </c:pt>
                <c:pt idx="91">
                  <c:v>1762.01</c:v>
                </c:pt>
                <c:pt idx="92">
                  <c:v>1734.7</c:v>
                </c:pt>
                <c:pt idx="93">
                  <c:v>1705.92</c:v>
                </c:pt>
                <c:pt idx="94">
                  <c:v>1691.36</c:v>
                </c:pt>
                <c:pt idx="95">
                  <c:v>1640.24</c:v>
                </c:pt>
                <c:pt idx="96">
                  <c:v>1639.11</c:v>
                </c:pt>
                <c:pt idx="97">
                  <c:v>1611.61</c:v>
                </c:pt>
                <c:pt idx="98">
                  <c:v>1586.51</c:v>
                </c:pt>
                <c:pt idx="99">
                  <c:v>1546.95</c:v>
                </c:pt>
                <c:pt idx="100">
                  <c:v>1545.89</c:v>
                </c:pt>
                <c:pt idx="101">
                  <c:v>1496.62</c:v>
                </c:pt>
                <c:pt idx="102">
                  <c:v>1495.6</c:v>
                </c:pt>
                <c:pt idx="103">
                  <c:v>1469.74</c:v>
                </c:pt>
                <c:pt idx="104">
                  <c:v>1433.42</c:v>
                </c:pt>
                <c:pt idx="105">
                  <c:v>1408.62</c:v>
                </c:pt>
                <c:pt idx="106">
                  <c:v>1407.66</c:v>
                </c:pt>
                <c:pt idx="107">
                  <c:v>1358.86</c:v>
                </c:pt>
                <c:pt idx="108">
                  <c:v>1357.92</c:v>
                </c:pt>
                <c:pt idx="109">
                  <c:v>1322.85</c:v>
                </c:pt>
                <c:pt idx="110">
                  <c:v>1300.26</c:v>
                </c:pt>
                <c:pt idx="111">
                  <c:v>1276.3</c:v>
                </c:pt>
                <c:pt idx="112">
                  <c:v>1275.42</c:v>
                </c:pt>
                <c:pt idx="113">
                  <c:v>1229.5999999999999</c:v>
                </c:pt>
                <c:pt idx="114">
                  <c:v>1217.8399999999999</c:v>
                </c:pt>
                <c:pt idx="115">
                  <c:v>1193.1300000000001</c:v>
                </c:pt>
                <c:pt idx="116">
                  <c:v>1169.55</c:v>
                </c:pt>
                <c:pt idx="117">
                  <c:v>1147.25</c:v>
                </c:pt>
                <c:pt idx="118">
                  <c:v>1146.46</c:v>
                </c:pt>
                <c:pt idx="119">
                  <c:v>1091.98</c:v>
                </c:pt>
                <c:pt idx="120">
                  <c:v>1091.24</c:v>
                </c:pt>
                <c:pt idx="121">
                  <c:v>1069.3</c:v>
                </c:pt>
                <c:pt idx="122">
                  <c:v>1054.82</c:v>
                </c:pt>
                <c:pt idx="123">
                  <c:v>1032.49</c:v>
                </c:pt>
                <c:pt idx="124">
                  <c:v>1023.83</c:v>
                </c:pt>
                <c:pt idx="125">
                  <c:v>992.29</c:v>
                </c:pt>
                <c:pt idx="126">
                  <c:v>991.48</c:v>
                </c:pt>
                <c:pt idx="127">
                  <c:v>972.32</c:v>
                </c:pt>
                <c:pt idx="128">
                  <c:v>957.35</c:v>
                </c:pt>
                <c:pt idx="129">
                  <c:v>929.07</c:v>
                </c:pt>
                <c:pt idx="130">
                  <c:v>928.43</c:v>
                </c:pt>
                <c:pt idx="131">
                  <c:v>896.33</c:v>
                </c:pt>
                <c:pt idx="132">
                  <c:v>895.72</c:v>
                </c:pt>
                <c:pt idx="133">
                  <c:v>876.83</c:v>
                </c:pt>
                <c:pt idx="134">
                  <c:v>852.44</c:v>
                </c:pt>
                <c:pt idx="135">
                  <c:v>838.3</c:v>
                </c:pt>
                <c:pt idx="136">
                  <c:v>837.72</c:v>
                </c:pt>
                <c:pt idx="137">
                  <c:v>807.18</c:v>
                </c:pt>
                <c:pt idx="138">
                  <c:v>806.63</c:v>
                </c:pt>
                <c:pt idx="139">
                  <c:v>780.59</c:v>
                </c:pt>
                <c:pt idx="140">
                  <c:v>760.37</c:v>
                </c:pt>
                <c:pt idx="141">
                  <c:v>747.06</c:v>
                </c:pt>
                <c:pt idx="142">
                  <c:v>746.55</c:v>
                </c:pt>
                <c:pt idx="143">
                  <c:v>717.19</c:v>
                </c:pt>
                <c:pt idx="144">
                  <c:v>707.91</c:v>
                </c:pt>
                <c:pt idx="145">
                  <c:v>694.95</c:v>
                </c:pt>
                <c:pt idx="146">
                  <c:v>677.74</c:v>
                </c:pt>
                <c:pt idx="147">
                  <c:v>665.69</c:v>
                </c:pt>
                <c:pt idx="148">
                  <c:v>665.21</c:v>
                </c:pt>
                <c:pt idx="149">
                  <c:v>632.45000000000005</c:v>
                </c:pt>
                <c:pt idx="150">
                  <c:v>632.02</c:v>
                </c:pt>
                <c:pt idx="151">
                  <c:v>620.12</c:v>
                </c:pt>
                <c:pt idx="152">
                  <c:v>605.21</c:v>
                </c:pt>
                <c:pt idx="153">
                  <c:v>532.14</c:v>
                </c:pt>
                <c:pt idx="154">
                  <c:v>502.6</c:v>
                </c:pt>
                <c:pt idx="155">
                  <c:v>472.6</c:v>
                </c:pt>
                <c:pt idx="156">
                  <c:v>456.22</c:v>
                </c:pt>
                <c:pt idx="157">
                  <c:v>435.36</c:v>
                </c:pt>
                <c:pt idx="158">
                  <c:v>415.63</c:v>
                </c:pt>
                <c:pt idx="159">
                  <c:v>392.91</c:v>
                </c:pt>
                <c:pt idx="160">
                  <c:v>379.71</c:v>
                </c:pt>
                <c:pt idx="161">
                  <c:v>356.87</c:v>
                </c:pt>
                <c:pt idx="162">
                  <c:v>347.29</c:v>
                </c:pt>
                <c:pt idx="163">
                  <c:v>334.92</c:v>
                </c:pt>
                <c:pt idx="164">
                  <c:v>318.97000000000003</c:v>
                </c:pt>
                <c:pt idx="165">
                  <c:v>306.68</c:v>
                </c:pt>
                <c:pt idx="166">
                  <c:v>299.72000000000003</c:v>
                </c:pt>
                <c:pt idx="167">
                  <c:v>285.56</c:v>
                </c:pt>
                <c:pt idx="168">
                  <c:v>279.97000000000003</c:v>
                </c:pt>
                <c:pt idx="169">
                  <c:v>268.74</c:v>
                </c:pt>
                <c:pt idx="170">
                  <c:v>260.36</c:v>
                </c:pt>
                <c:pt idx="171">
                  <c:v>251.3</c:v>
                </c:pt>
                <c:pt idx="172">
                  <c:v>247.3</c:v>
                </c:pt>
                <c:pt idx="173">
                  <c:v>235.5</c:v>
                </c:pt>
                <c:pt idx="174">
                  <c:v>229.74</c:v>
                </c:pt>
                <c:pt idx="175">
                  <c:v>222.15</c:v>
                </c:pt>
                <c:pt idx="176">
                  <c:v>216.22</c:v>
                </c:pt>
                <c:pt idx="177">
                  <c:v>209.24</c:v>
                </c:pt>
                <c:pt idx="178">
                  <c:v>206.85</c:v>
                </c:pt>
                <c:pt idx="179">
                  <c:v>195.64</c:v>
                </c:pt>
                <c:pt idx="180">
                  <c:v>193.65</c:v>
                </c:pt>
                <c:pt idx="181">
                  <c:v>188.47</c:v>
                </c:pt>
                <c:pt idx="182">
                  <c:v>184.33</c:v>
                </c:pt>
                <c:pt idx="183">
                  <c:v>179.31</c:v>
                </c:pt>
                <c:pt idx="184">
                  <c:v>176.04</c:v>
                </c:pt>
                <c:pt idx="185">
                  <c:v>169.89</c:v>
                </c:pt>
                <c:pt idx="186">
                  <c:v>168.47</c:v>
                </c:pt>
                <c:pt idx="187">
                  <c:v>164.71</c:v>
                </c:pt>
                <c:pt idx="188">
                  <c:v>161.12</c:v>
                </c:pt>
                <c:pt idx="189">
                  <c:v>156.29</c:v>
                </c:pt>
                <c:pt idx="190">
                  <c:v>155.13</c:v>
                </c:pt>
                <c:pt idx="191">
                  <c:v>150.63999999999999</c:v>
                </c:pt>
                <c:pt idx="192">
                  <c:v>149.57</c:v>
                </c:pt>
                <c:pt idx="193">
                  <c:v>146.58000000000001</c:v>
                </c:pt>
                <c:pt idx="194">
                  <c:v>143.26</c:v>
                </c:pt>
                <c:pt idx="195">
                  <c:v>140.69</c:v>
                </c:pt>
                <c:pt idx="196">
                  <c:v>139.80000000000001</c:v>
                </c:pt>
                <c:pt idx="197">
                  <c:v>136.33000000000001</c:v>
                </c:pt>
                <c:pt idx="198">
                  <c:v>135.53</c:v>
                </c:pt>
                <c:pt idx="199">
                  <c:v>132.65</c:v>
                </c:pt>
                <c:pt idx="200">
                  <c:v>130.69</c:v>
                </c:pt>
                <c:pt idx="201">
                  <c:v>128.41999999999999</c:v>
                </c:pt>
                <c:pt idx="202">
                  <c:v>127.73</c:v>
                </c:pt>
                <c:pt idx="203">
                  <c:v>124.43</c:v>
                </c:pt>
                <c:pt idx="204">
                  <c:v>122.88</c:v>
                </c:pt>
                <c:pt idx="205">
                  <c:v>120.39</c:v>
                </c:pt>
                <c:pt idx="206">
                  <c:v>118.51</c:v>
                </c:pt>
                <c:pt idx="207">
                  <c:v>116.31</c:v>
                </c:pt>
                <c:pt idx="208">
                  <c:v>115.69</c:v>
                </c:pt>
                <c:pt idx="209">
                  <c:v>112.29</c:v>
                </c:pt>
                <c:pt idx="210">
                  <c:v>111.71</c:v>
                </c:pt>
                <c:pt idx="211">
                  <c:v>109.63</c:v>
                </c:pt>
                <c:pt idx="212">
                  <c:v>108.43</c:v>
                </c:pt>
                <c:pt idx="213">
                  <c:v>106.45</c:v>
                </c:pt>
                <c:pt idx="214">
                  <c:v>105.51</c:v>
                </c:pt>
                <c:pt idx="215">
                  <c:v>103.41</c:v>
                </c:pt>
                <c:pt idx="216">
                  <c:v>102.89</c:v>
                </c:pt>
                <c:pt idx="217">
                  <c:v>101.1</c:v>
                </c:pt>
                <c:pt idx="218">
                  <c:v>100.47</c:v>
                </c:pt>
                <c:pt idx="219">
                  <c:v>98.43</c:v>
                </c:pt>
                <c:pt idx="220">
                  <c:v>97.95</c:v>
                </c:pt>
                <c:pt idx="221">
                  <c:v>96.21</c:v>
                </c:pt>
                <c:pt idx="222">
                  <c:v>95.74</c:v>
                </c:pt>
                <c:pt idx="223">
                  <c:v>94.18</c:v>
                </c:pt>
                <c:pt idx="224">
                  <c:v>93.25</c:v>
                </c:pt>
                <c:pt idx="225">
                  <c:v>91.82</c:v>
                </c:pt>
                <c:pt idx="226">
                  <c:v>91.36</c:v>
                </c:pt>
                <c:pt idx="227">
                  <c:v>89.92</c:v>
                </c:pt>
                <c:pt idx="228">
                  <c:v>89.47</c:v>
                </c:pt>
                <c:pt idx="229">
                  <c:v>87.87</c:v>
                </c:pt>
                <c:pt idx="230">
                  <c:v>87.3</c:v>
                </c:pt>
                <c:pt idx="231">
                  <c:v>86.07</c:v>
                </c:pt>
                <c:pt idx="232">
                  <c:v>85.63</c:v>
                </c:pt>
                <c:pt idx="233">
                  <c:v>84.27</c:v>
                </c:pt>
                <c:pt idx="234">
                  <c:v>83.54</c:v>
                </c:pt>
                <c:pt idx="235">
                  <c:v>82.29</c:v>
                </c:pt>
                <c:pt idx="236">
                  <c:v>81.739999999999995</c:v>
                </c:pt>
                <c:pt idx="237">
                  <c:v>80.489999999999995</c:v>
                </c:pt>
                <c:pt idx="238">
                  <c:v>80.069999999999993</c:v>
                </c:pt>
                <c:pt idx="239">
                  <c:v>78.47</c:v>
                </c:pt>
                <c:pt idx="240">
                  <c:v>78.06</c:v>
                </c:pt>
                <c:pt idx="241">
                  <c:v>76.83</c:v>
                </c:pt>
                <c:pt idx="242">
                  <c:v>76.290000000000006</c:v>
                </c:pt>
                <c:pt idx="243">
                  <c:v>75.069999999999993</c:v>
                </c:pt>
                <c:pt idx="244">
                  <c:v>74.52</c:v>
                </c:pt>
                <c:pt idx="245">
                  <c:v>73.41</c:v>
                </c:pt>
                <c:pt idx="246">
                  <c:v>73.010000000000005</c:v>
                </c:pt>
                <c:pt idx="247">
                  <c:v>71.98</c:v>
                </c:pt>
                <c:pt idx="248">
                  <c:v>71.52</c:v>
                </c:pt>
                <c:pt idx="249">
                  <c:v>70.37</c:v>
                </c:pt>
                <c:pt idx="250">
                  <c:v>69.98</c:v>
                </c:pt>
                <c:pt idx="251">
                  <c:v>68.900000000000006</c:v>
                </c:pt>
                <c:pt idx="252">
                  <c:v>68.52</c:v>
                </c:pt>
                <c:pt idx="253">
                  <c:v>67.540000000000006</c:v>
                </c:pt>
                <c:pt idx="254">
                  <c:v>66.97</c:v>
                </c:pt>
                <c:pt idx="255">
                  <c:v>66</c:v>
                </c:pt>
                <c:pt idx="256">
                  <c:v>65.63</c:v>
                </c:pt>
                <c:pt idx="257">
                  <c:v>64.61</c:v>
                </c:pt>
                <c:pt idx="258">
                  <c:v>64.239999999999995</c:v>
                </c:pt>
                <c:pt idx="259">
                  <c:v>63.18</c:v>
                </c:pt>
                <c:pt idx="260">
                  <c:v>62.74</c:v>
                </c:pt>
                <c:pt idx="261">
                  <c:v>61.84</c:v>
                </c:pt>
                <c:pt idx="262">
                  <c:v>61.48</c:v>
                </c:pt>
                <c:pt idx="263">
                  <c:v>60.48</c:v>
                </c:pt>
                <c:pt idx="264">
                  <c:v>60.02</c:v>
                </c:pt>
                <c:pt idx="265">
                  <c:v>59.15</c:v>
                </c:pt>
                <c:pt idx="266">
                  <c:v>58.73</c:v>
                </c:pt>
                <c:pt idx="267">
                  <c:v>57.84</c:v>
                </c:pt>
                <c:pt idx="268">
                  <c:v>57.5</c:v>
                </c:pt>
                <c:pt idx="269">
                  <c:v>56.48</c:v>
                </c:pt>
                <c:pt idx="270">
                  <c:v>56.14</c:v>
                </c:pt>
                <c:pt idx="271">
                  <c:v>55.27</c:v>
                </c:pt>
                <c:pt idx="272">
                  <c:v>54.86</c:v>
                </c:pt>
                <c:pt idx="273">
                  <c:v>54.05</c:v>
                </c:pt>
                <c:pt idx="274">
                  <c:v>53.61</c:v>
                </c:pt>
                <c:pt idx="275">
                  <c:v>52.94</c:v>
                </c:pt>
                <c:pt idx="276">
                  <c:v>52.6</c:v>
                </c:pt>
                <c:pt idx="277">
                  <c:v>51.94</c:v>
                </c:pt>
                <c:pt idx="278">
                  <c:v>51.58</c:v>
                </c:pt>
                <c:pt idx="279">
                  <c:v>50.85</c:v>
                </c:pt>
                <c:pt idx="280">
                  <c:v>50.52</c:v>
                </c:pt>
                <c:pt idx="281">
                  <c:v>49.83</c:v>
                </c:pt>
                <c:pt idx="282">
                  <c:v>49.5</c:v>
                </c:pt>
                <c:pt idx="283">
                  <c:v>48.82</c:v>
                </c:pt>
                <c:pt idx="284">
                  <c:v>48.43</c:v>
                </c:pt>
                <c:pt idx="285">
                  <c:v>47.76</c:v>
                </c:pt>
                <c:pt idx="286">
                  <c:v>47.44</c:v>
                </c:pt>
                <c:pt idx="287">
                  <c:v>46.77</c:v>
                </c:pt>
                <c:pt idx="288">
                  <c:v>46.45</c:v>
                </c:pt>
                <c:pt idx="289">
                  <c:v>45.72</c:v>
                </c:pt>
                <c:pt idx="290">
                  <c:v>45.39</c:v>
                </c:pt>
                <c:pt idx="291">
                  <c:v>44.76</c:v>
                </c:pt>
                <c:pt idx="292">
                  <c:v>44.45</c:v>
                </c:pt>
                <c:pt idx="293">
                  <c:v>43.79</c:v>
                </c:pt>
                <c:pt idx="294">
                  <c:v>43.45</c:v>
                </c:pt>
                <c:pt idx="295">
                  <c:v>42.84</c:v>
                </c:pt>
                <c:pt idx="296">
                  <c:v>42.53</c:v>
                </c:pt>
                <c:pt idx="297">
                  <c:v>41.91</c:v>
                </c:pt>
                <c:pt idx="298">
                  <c:v>41.62</c:v>
                </c:pt>
                <c:pt idx="299">
                  <c:v>40.98</c:v>
                </c:pt>
                <c:pt idx="300">
                  <c:v>40.69</c:v>
                </c:pt>
                <c:pt idx="301">
                  <c:v>40.049999999999997</c:v>
                </c:pt>
                <c:pt idx="302">
                  <c:v>39.74</c:v>
                </c:pt>
                <c:pt idx="303">
                  <c:v>39.17</c:v>
                </c:pt>
                <c:pt idx="304">
                  <c:v>38.85</c:v>
                </c:pt>
                <c:pt idx="305">
                  <c:v>38.29</c:v>
                </c:pt>
                <c:pt idx="306">
                  <c:v>38.01</c:v>
                </c:pt>
                <c:pt idx="307">
                  <c:v>37.46</c:v>
                </c:pt>
                <c:pt idx="308">
                  <c:v>37.18</c:v>
                </c:pt>
                <c:pt idx="309">
                  <c:v>36.69</c:v>
                </c:pt>
                <c:pt idx="310">
                  <c:v>36.42</c:v>
                </c:pt>
                <c:pt idx="311">
                  <c:v>35.92</c:v>
                </c:pt>
                <c:pt idx="312">
                  <c:v>35.65</c:v>
                </c:pt>
                <c:pt idx="313">
                  <c:v>35.15</c:v>
                </c:pt>
                <c:pt idx="314">
                  <c:v>34.869999999999997</c:v>
                </c:pt>
                <c:pt idx="315">
                  <c:v>34.380000000000003</c:v>
                </c:pt>
                <c:pt idx="316">
                  <c:v>34.11</c:v>
                </c:pt>
                <c:pt idx="317">
                  <c:v>33.6</c:v>
                </c:pt>
                <c:pt idx="318">
                  <c:v>33.340000000000003</c:v>
                </c:pt>
                <c:pt idx="319">
                  <c:v>32.85</c:v>
                </c:pt>
                <c:pt idx="320">
                  <c:v>32.57</c:v>
                </c:pt>
                <c:pt idx="321">
                  <c:v>32.07</c:v>
                </c:pt>
                <c:pt idx="322">
                  <c:v>31.79</c:v>
                </c:pt>
                <c:pt idx="323">
                  <c:v>31.3</c:v>
                </c:pt>
                <c:pt idx="324">
                  <c:v>31.03</c:v>
                </c:pt>
                <c:pt idx="325">
                  <c:v>30.53</c:v>
                </c:pt>
                <c:pt idx="326">
                  <c:v>30.26</c:v>
                </c:pt>
                <c:pt idx="327">
                  <c:v>29.81</c:v>
                </c:pt>
                <c:pt idx="328">
                  <c:v>29.54</c:v>
                </c:pt>
                <c:pt idx="329">
                  <c:v>29.1</c:v>
                </c:pt>
                <c:pt idx="330">
                  <c:v>28.84</c:v>
                </c:pt>
                <c:pt idx="331">
                  <c:v>28.39</c:v>
                </c:pt>
                <c:pt idx="332">
                  <c:v>28.13</c:v>
                </c:pt>
                <c:pt idx="333">
                  <c:v>27.72</c:v>
                </c:pt>
                <c:pt idx="334">
                  <c:v>27.47</c:v>
                </c:pt>
                <c:pt idx="335">
                  <c:v>27.02</c:v>
                </c:pt>
                <c:pt idx="336">
                  <c:v>26.78</c:v>
                </c:pt>
                <c:pt idx="337">
                  <c:v>26.33</c:v>
                </c:pt>
                <c:pt idx="338">
                  <c:v>26.05</c:v>
                </c:pt>
                <c:pt idx="339">
                  <c:v>25.66</c:v>
                </c:pt>
                <c:pt idx="340">
                  <c:v>25.43</c:v>
                </c:pt>
                <c:pt idx="341">
                  <c:v>24.98</c:v>
                </c:pt>
                <c:pt idx="342">
                  <c:v>24.76</c:v>
                </c:pt>
                <c:pt idx="343">
                  <c:v>24.38</c:v>
                </c:pt>
                <c:pt idx="344">
                  <c:v>24.13</c:v>
                </c:pt>
                <c:pt idx="345">
                  <c:v>23.76</c:v>
                </c:pt>
                <c:pt idx="346">
                  <c:v>23.56</c:v>
                </c:pt>
                <c:pt idx="347">
                  <c:v>23.17</c:v>
                </c:pt>
                <c:pt idx="348">
                  <c:v>22.98</c:v>
                </c:pt>
                <c:pt idx="349">
                  <c:v>22.64</c:v>
                </c:pt>
                <c:pt idx="350">
                  <c:v>22.4</c:v>
                </c:pt>
                <c:pt idx="351">
                  <c:v>22.08</c:v>
                </c:pt>
                <c:pt idx="352">
                  <c:v>21.9</c:v>
                </c:pt>
                <c:pt idx="353">
                  <c:v>21.53</c:v>
                </c:pt>
                <c:pt idx="354">
                  <c:v>21.36</c:v>
                </c:pt>
                <c:pt idx="355">
                  <c:v>21.06</c:v>
                </c:pt>
                <c:pt idx="356">
                  <c:v>20.85</c:v>
                </c:pt>
                <c:pt idx="357">
                  <c:v>20.56</c:v>
                </c:pt>
                <c:pt idx="358">
                  <c:v>20.399999999999999</c:v>
                </c:pt>
                <c:pt idx="359">
                  <c:v>20.07</c:v>
                </c:pt>
                <c:pt idx="360">
                  <c:v>19.920000000000002</c:v>
                </c:pt>
                <c:pt idx="361">
                  <c:v>19.66</c:v>
                </c:pt>
                <c:pt idx="362">
                  <c:v>19.47</c:v>
                </c:pt>
                <c:pt idx="363">
                  <c:v>19.22</c:v>
                </c:pt>
                <c:pt idx="364">
                  <c:v>19.079999999999998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B5-4CA2-9068-6DFB4C7B0BD2}"/>
            </c:ext>
          </c:extLst>
        </c:ser>
        <c:ser>
          <c:idx val="2"/>
          <c:order val="2"/>
          <c:tx>
            <c:v>3年目級群</c:v>
          </c:tx>
          <c:spPr>
            <a:solidFill>
              <a:srgbClr val="00CC00"/>
            </a:solidFill>
            <a:ln w="25400">
              <a:noFill/>
            </a:ln>
            <a:effectLst/>
          </c:spPr>
          <c:val>
            <c:numRef>
              <c:f>マアナゴ!$T$3:$T$367</c:f>
              <c:numCache>
                <c:formatCode>0</c:formatCode>
                <c:ptCount val="365"/>
                <c:pt idx="0">
                  <c:v>18.95</c:v>
                </c:pt>
                <c:pt idx="1">
                  <c:v>18.579999999999998</c:v>
                </c:pt>
                <c:pt idx="2">
                  <c:v>18.41</c:v>
                </c:pt>
                <c:pt idx="3">
                  <c:v>18.059999999999999</c:v>
                </c:pt>
                <c:pt idx="4">
                  <c:v>17.899999999999999</c:v>
                </c:pt>
                <c:pt idx="5">
                  <c:v>17.52</c:v>
                </c:pt>
                <c:pt idx="6">
                  <c:v>17.41</c:v>
                </c:pt>
                <c:pt idx="7">
                  <c:v>17.079999999999998</c:v>
                </c:pt>
                <c:pt idx="8">
                  <c:v>16.940000000000001</c:v>
                </c:pt>
                <c:pt idx="9">
                  <c:v>16.59</c:v>
                </c:pt>
                <c:pt idx="10">
                  <c:v>16.489999999999998</c:v>
                </c:pt>
                <c:pt idx="11">
                  <c:v>16.13</c:v>
                </c:pt>
                <c:pt idx="12">
                  <c:v>16.03</c:v>
                </c:pt>
                <c:pt idx="13">
                  <c:v>15.74</c:v>
                </c:pt>
                <c:pt idx="14">
                  <c:v>15.57</c:v>
                </c:pt>
                <c:pt idx="15">
                  <c:v>15.26</c:v>
                </c:pt>
                <c:pt idx="16">
                  <c:v>15.17</c:v>
                </c:pt>
                <c:pt idx="17">
                  <c:v>14.85</c:v>
                </c:pt>
                <c:pt idx="18">
                  <c:v>14.76</c:v>
                </c:pt>
                <c:pt idx="19">
                  <c:v>14.44</c:v>
                </c:pt>
                <c:pt idx="20">
                  <c:v>14.32</c:v>
                </c:pt>
                <c:pt idx="21">
                  <c:v>14.05</c:v>
                </c:pt>
                <c:pt idx="22">
                  <c:v>13.97</c:v>
                </c:pt>
                <c:pt idx="23">
                  <c:v>13.66</c:v>
                </c:pt>
                <c:pt idx="24">
                  <c:v>13.54</c:v>
                </c:pt>
                <c:pt idx="25">
                  <c:v>13.29</c:v>
                </c:pt>
                <c:pt idx="26">
                  <c:v>13.18</c:v>
                </c:pt>
                <c:pt idx="27">
                  <c:v>12.92</c:v>
                </c:pt>
                <c:pt idx="28">
                  <c:v>12.84</c:v>
                </c:pt>
                <c:pt idx="29">
                  <c:v>12.54</c:v>
                </c:pt>
                <c:pt idx="30">
                  <c:v>12.47</c:v>
                </c:pt>
                <c:pt idx="31">
                  <c:v>12.24</c:v>
                </c:pt>
                <c:pt idx="32">
                  <c:v>12.1</c:v>
                </c:pt>
                <c:pt idx="33">
                  <c:v>11.89</c:v>
                </c:pt>
                <c:pt idx="34">
                  <c:v>11.77</c:v>
                </c:pt>
                <c:pt idx="35">
                  <c:v>11.5</c:v>
                </c:pt>
                <c:pt idx="36">
                  <c:v>11.43</c:v>
                </c:pt>
                <c:pt idx="37">
                  <c:v>11.23</c:v>
                </c:pt>
                <c:pt idx="38">
                  <c:v>11.1</c:v>
                </c:pt>
                <c:pt idx="39">
                  <c:v>10.85</c:v>
                </c:pt>
                <c:pt idx="40">
                  <c:v>10.79</c:v>
                </c:pt>
                <c:pt idx="41">
                  <c:v>10.55</c:v>
                </c:pt>
                <c:pt idx="42">
                  <c:v>10.48</c:v>
                </c:pt>
                <c:pt idx="43">
                  <c:v>10.29</c:v>
                </c:pt>
                <c:pt idx="44">
                  <c:v>10.130000000000001</c:v>
                </c:pt>
                <c:pt idx="45">
                  <c:v>9.9600000000000009</c:v>
                </c:pt>
                <c:pt idx="46">
                  <c:v>9.9</c:v>
                </c:pt>
                <c:pt idx="47">
                  <c:v>9.67</c:v>
                </c:pt>
                <c:pt idx="48">
                  <c:v>9.61</c:v>
                </c:pt>
                <c:pt idx="49">
                  <c:v>9.4</c:v>
                </c:pt>
                <c:pt idx="50">
                  <c:v>9.2899999999999991</c:v>
                </c:pt>
                <c:pt idx="51">
                  <c:v>9.1199999999999992</c:v>
                </c:pt>
                <c:pt idx="52">
                  <c:v>9.07</c:v>
                </c:pt>
                <c:pt idx="53">
                  <c:v>8.86</c:v>
                </c:pt>
                <c:pt idx="54">
                  <c:v>8.77</c:v>
                </c:pt>
                <c:pt idx="55">
                  <c:v>8.61</c:v>
                </c:pt>
                <c:pt idx="56">
                  <c:v>8.52</c:v>
                </c:pt>
                <c:pt idx="57">
                  <c:v>8.3699999999999992</c:v>
                </c:pt>
                <c:pt idx="58">
                  <c:v>8.32</c:v>
                </c:pt>
                <c:pt idx="59">
                  <c:v>8.09</c:v>
                </c:pt>
                <c:pt idx="60">
                  <c:v>8.0399999999999991</c:v>
                </c:pt>
                <c:pt idx="61">
                  <c:v>7.89</c:v>
                </c:pt>
                <c:pt idx="62">
                  <c:v>7.78</c:v>
                </c:pt>
                <c:pt idx="63">
                  <c:v>7.62</c:v>
                </c:pt>
                <c:pt idx="64">
                  <c:v>7.53</c:v>
                </c:pt>
                <c:pt idx="65">
                  <c:v>7.3</c:v>
                </c:pt>
                <c:pt idx="66">
                  <c:v>7.26</c:v>
                </c:pt>
                <c:pt idx="67">
                  <c:v>7.1</c:v>
                </c:pt>
                <c:pt idx="68">
                  <c:v>6.99</c:v>
                </c:pt>
                <c:pt idx="69">
                  <c:v>6.78</c:v>
                </c:pt>
                <c:pt idx="70">
                  <c:v>6.74</c:v>
                </c:pt>
                <c:pt idx="71">
                  <c:v>6.52</c:v>
                </c:pt>
                <c:pt idx="72">
                  <c:v>6.48</c:v>
                </c:pt>
                <c:pt idx="73">
                  <c:v>6.32</c:v>
                </c:pt>
                <c:pt idx="74">
                  <c:v>6.16</c:v>
                </c:pt>
                <c:pt idx="75">
                  <c:v>5.99</c:v>
                </c:pt>
                <c:pt idx="76">
                  <c:v>5.95</c:v>
                </c:pt>
                <c:pt idx="77">
                  <c:v>5.72</c:v>
                </c:pt>
                <c:pt idx="78">
                  <c:v>5.68</c:v>
                </c:pt>
                <c:pt idx="79">
                  <c:v>5.45</c:v>
                </c:pt>
                <c:pt idx="80">
                  <c:v>5.33</c:v>
                </c:pt>
                <c:pt idx="81">
                  <c:v>5.16</c:v>
                </c:pt>
                <c:pt idx="82">
                  <c:v>5.12</c:v>
                </c:pt>
                <c:pt idx="83">
                  <c:v>4.8899999999999997</c:v>
                </c:pt>
                <c:pt idx="84">
                  <c:v>4.8</c:v>
                </c:pt>
                <c:pt idx="85">
                  <c:v>4.6399999999999997</c:v>
                </c:pt>
                <c:pt idx="86">
                  <c:v>4.55</c:v>
                </c:pt>
                <c:pt idx="87">
                  <c:v>4.4000000000000004</c:v>
                </c:pt>
                <c:pt idx="88">
                  <c:v>4.3600000000000003</c:v>
                </c:pt>
                <c:pt idx="89">
                  <c:v>4.12</c:v>
                </c:pt>
                <c:pt idx="90">
                  <c:v>4.09</c:v>
                </c:pt>
                <c:pt idx="91">
                  <c:v>3.97</c:v>
                </c:pt>
                <c:pt idx="92">
                  <c:v>3.9</c:v>
                </c:pt>
                <c:pt idx="93">
                  <c:v>3.78</c:v>
                </c:pt>
                <c:pt idx="94">
                  <c:v>3.7</c:v>
                </c:pt>
                <c:pt idx="95">
                  <c:v>3.55</c:v>
                </c:pt>
                <c:pt idx="96">
                  <c:v>3.53</c:v>
                </c:pt>
                <c:pt idx="97">
                  <c:v>3.43</c:v>
                </c:pt>
                <c:pt idx="98">
                  <c:v>3.37</c:v>
                </c:pt>
                <c:pt idx="99">
                  <c:v>3.22</c:v>
                </c:pt>
                <c:pt idx="100">
                  <c:v>3.2</c:v>
                </c:pt>
                <c:pt idx="101">
                  <c:v>3.09</c:v>
                </c:pt>
                <c:pt idx="102">
                  <c:v>3.07</c:v>
                </c:pt>
                <c:pt idx="103">
                  <c:v>2.99</c:v>
                </c:pt>
                <c:pt idx="104">
                  <c:v>2.9</c:v>
                </c:pt>
                <c:pt idx="105">
                  <c:v>2.82</c:v>
                </c:pt>
                <c:pt idx="106">
                  <c:v>2.81</c:v>
                </c:pt>
                <c:pt idx="107">
                  <c:v>2.72</c:v>
                </c:pt>
                <c:pt idx="108">
                  <c:v>2.7</c:v>
                </c:pt>
                <c:pt idx="109">
                  <c:v>2.59</c:v>
                </c:pt>
                <c:pt idx="110">
                  <c:v>2.5499999999999998</c:v>
                </c:pt>
                <c:pt idx="111">
                  <c:v>2.48</c:v>
                </c:pt>
                <c:pt idx="112">
                  <c:v>2.4700000000000002</c:v>
                </c:pt>
                <c:pt idx="113">
                  <c:v>2.4</c:v>
                </c:pt>
                <c:pt idx="114">
                  <c:v>2.34</c:v>
                </c:pt>
                <c:pt idx="115">
                  <c:v>2.2799999999999998</c:v>
                </c:pt>
                <c:pt idx="116">
                  <c:v>2.2400000000000002</c:v>
                </c:pt>
                <c:pt idx="117">
                  <c:v>2.1800000000000002</c:v>
                </c:pt>
                <c:pt idx="118">
                  <c:v>2.17</c:v>
                </c:pt>
                <c:pt idx="119">
                  <c:v>2.0499999999999998</c:v>
                </c:pt>
                <c:pt idx="120">
                  <c:v>2.04</c:v>
                </c:pt>
                <c:pt idx="121">
                  <c:v>1.99</c:v>
                </c:pt>
                <c:pt idx="122">
                  <c:v>1.95</c:v>
                </c:pt>
                <c:pt idx="123">
                  <c:v>1.9</c:v>
                </c:pt>
                <c:pt idx="124">
                  <c:v>1.86</c:v>
                </c:pt>
                <c:pt idx="125">
                  <c:v>1.81</c:v>
                </c:pt>
                <c:pt idx="126">
                  <c:v>1.79</c:v>
                </c:pt>
                <c:pt idx="127">
                  <c:v>1.76</c:v>
                </c:pt>
                <c:pt idx="128">
                  <c:v>1.72</c:v>
                </c:pt>
                <c:pt idx="129">
                  <c:v>1.65</c:v>
                </c:pt>
                <c:pt idx="130">
                  <c:v>1.64</c:v>
                </c:pt>
                <c:pt idx="131">
                  <c:v>1.57</c:v>
                </c:pt>
                <c:pt idx="132">
                  <c:v>1.55</c:v>
                </c:pt>
                <c:pt idx="133">
                  <c:v>1.51</c:v>
                </c:pt>
                <c:pt idx="134">
                  <c:v>1.44</c:v>
                </c:pt>
                <c:pt idx="135">
                  <c:v>1.41</c:v>
                </c:pt>
                <c:pt idx="136">
                  <c:v>1.4</c:v>
                </c:pt>
                <c:pt idx="137">
                  <c:v>1.35</c:v>
                </c:pt>
                <c:pt idx="138">
                  <c:v>1.34</c:v>
                </c:pt>
                <c:pt idx="139">
                  <c:v>1.27</c:v>
                </c:pt>
                <c:pt idx="140">
                  <c:v>1.23</c:v>
                </c:pt>
                <c:pt idx="141">
                  <c:v>1.2</c:v>
                </c:pt>
                <c:pt idx="142">
                  <c:v>1.19</c:v>
                </c:pt>
                <c:pt idx="143">
                  <c:v>1.1499999999999999</c:v>
                </c:pt>
                <c:pt idx="144">
                  <c:v>1.1100000000000001</c:v>
                </c:pt>
                <c:pt idx="145">
                  <c:v>1.0900000000000001</c:v>
                </c:pt>
                <c:pt idx="146">
                  <c:v>1.07</c:v>
                </c:pt>
                <c:pt idx="147">
                  <c:v>1.05</c:v>
                </c:pt>
                <c:pt idx="148">
                  <c:v>1.04</c:v>
                </c:pt>
                <c:pt idx="149">
                  <c:v>0.99</c:v>
                </c:pt>
                <c:pt idx="150">
                  <c:v>0.98</c:v>
                </c:pt>
                <c:pt idx="151">
                  <c:v>0.96</c:v>
                </c:pt>
                <c:pt idx="152">
                  <c:v>0.94</c:v>
                </c:pt>
                <c:pt idx="153">
                  <c:v>0.93</c:v>
                </c:pt>
                <c:pt idx="154">
                  <c:v>0.9</c:v>
                </c:pt>
                <c:pt idx="155">
                  <c:v>0.88</c:v>
                </c:pt>
                <c:pt idx="156">
                  <c:v>0.87</c:v>
                </c:pt>
                <c:pt idx="157">
                  <c:v>0.86</c:v>
                </c:pt>
                <c:pt idx="158">
                  <c:v>0.83</c:v>
                </c:pt>
                <c:pt idx="159">
                  <c:v>0.8</c:v>
                </c:pt>
                <c:pt idx="160">
                  <c:v>0.79</c:v>
                </c:pt>
                <c:pt idx="161">
                  <c:v>0.75</c:v>
                </c:pt>
                <c:pt idx="162">
                  <c:v>0.75</c:v>
                </c:pt>
                <c:pt idx="163">
                  <c:v>0.74</c:v>
                </c:pt>
                <c:pt idx="164">
                  <c:v>0.7</c:v>
                </c:pt>
                <c:pt idx="165">
                  <c:v>0.69</c:v>
                </c:pt>
                <c:pt idx="166">
                  <c:v>0.69</c:v>
                </c:pt>
                <c:pt idx="167">
                  <c:v>0.66</c:v>
                </c:pt>
                <c:pt idx="168">
                  <c:v>0.66</c:v>
                </c:pt>
                <c:pt idx="169">
                  <c:v>0.64</c:v>
                </c:pt>
                <c:pt idx="170">
                  <c:v>0.62</c:v>
                </c:pt>
                <c:pt idx="171">
                  <c:v>0.61</c:v>
                </c:pt>
                <c:pt idx="172">
                  <c:v>0.61</c:v>
                </c:pt>
                <c:pt idx="173">
                  <c:v>0.57999999999999996</c:v>
                </c:pt>
                <c:pt idx="174">
                  <c:v>0.56999999999999995</c:v>
                </c:pt>
                <c:pt idx="175">
                  <c:v>0.55000000000000004</c:v>
                </c:pt>
                <c:pt idx="176">
                  <c:v>0.54</c:v>
                </c:pt>
                <c:pt idx="177">
                  <c:v>0.53</c:v>
                </c:pt>
                <c:pt idx="178">
                  <c:v>0.52</c:v>
                </c:pt>
                <c:pt idx="179">
                  <c:v>0.49</c:v>
                </c:pt>
                <c:pt idx="180">
                  <c:v>0.49</c:v>
                </c:pt>
                <c:pt idx="181">
                  <c:v>0.48</c:v>
                </c:pt>
                <c:pt idx="182">
                  <c:v>0.47</c:v>
                </c:pt>
                <c:pt idx="183">
                  <c:v>0.46</c:v>
                </c:pt>
                <c:pt idx="184">
                  <c:v>0.45</c:v>
                </c:pt>
                <c:pt idx="185">
                  <c:v>0.44</c:v>
                </c:pt>
                <c:pt idx="186">
                  <c:v>0.44</c:v>
                </c:pt>
                <c:pt idx="187">
                  <c:v>0.43</c:v>
                </c:pt>
                <c:pt idx="188">
                  <c:v>0.42</c:v>
                </c:pt>
                <c:pt idx="189">
                  <c:v>0.41</c:v>
                </c:pt>
                <c:pt idx="190">
                  <c:v>0.41</c:v>
                </c:pt>
                <c:pt idx="191">
                  <c:v>0.39</c:v>
                </c:pt>
                <c:pt idx="192">
                  <c:v>0.39</c:v>
                </c:pt>
                <c:pt idx="193">
                  <c:v>0.39</c:v>
                </c:pt>
                <c:pt idx="194">
                  <c:v>0.38</c:v>
                </c:pt>
                <c:pt idx="195">
                  <c:v>0.37</c:v>
                </c:pt>
                <c:pt idx="196">
                  <c:v>0.37</c:v>
                </c:pt>
                <c:pt idx="197">
                  <c:v>0.36</c:v>
                </c:pt>
                <c:pt idx="198">
                  <c:v>0.36</c:v>
                </c:pt>
                <c:pt idx="199">
                  <c:v>0.35</c:v>
                </c:pt>
                <c:pt idx="200">
                  <c:v>0.35</c:v>
                </c:pt>
                <c:pt idx="201">
                  <c:v>0.34</c:v>
                </c:pt>
                <c:pt idx="202">
                  <c:v>0.34</c:v>
                </c:pt>
                <c:pt idx="203">
                  <c:v>0.33</c:v>
                </c:pt>
                <c:pt idx="204">
                  <c:v>0.33</c:v>
                </c:pt>
                <c:pt idx="205">
                  <c:v>0.32</c:v>
                </c:pt>
                <c:pt idx="206">
                  <c:v>0.32</c:v>
                </c:pt>
                <c:pt idx="207">
                  <c:v>0.31</c:v>
                </c:pt>
                <c:pt idx="208">
                  <c:v>0.31</c:v>
                </c:pt>
                <c:pt idx="209">
                  <c:v>0.3</c:v>
                </c:pt>
                <c:pt idx="210">
                  <c:v>0.3</c:v>
                </c:pt>
                <c:pt idx="211">
                  <c:v>0.28999999999999998</c:v>
                </c:pt>
                <c:pt idx="212">
                  <c:v>0.28999999999999998</c:v>
                </c:pt>
                <c:pt idx="213">
                  <c:v>0.28000000000000003</c:v>
                </c:pt>
                <c:pt idx="214">
                  <c:v>0.28000000000000003</c:v>
                </c:pt>
                <c:pt idx="215">
                  <c:v>0.27</c:v>
                </c:pt>
                <c:pt idx="216">
                  <c:v>0.27</c:v>
                </c:pt>
                <c:pt idx="217">
                  <c:v>0.27</c:v>
                </c:pt>
                <c:pt idx="218">
                  <c:v>0.26</c:v>
                </c:pt>
                <c:pt idx="219">
                  <c:v>0.26</c:v>
                </c:pt>
                <c:pt idx="220">
                  <c:v>0.26</c:v>
                </c:pt>
                <c:pt idx="221">
                  <c:v>0.25</c:v>
                </c:pt>
                <c:pt idx="222">
                  <c:v>0.25</c:v>
                </c:pt>
                <c:pt idx="223">
                  <c:v>0.25</c:v>
                </c:pt>
                <c:pt idx="224">
                  <c:v>0.25</c:v>
                </c:pt>
                <c:pt idx="225">
                  <c:v>0.24</c:v>
                </c:pt>
                <c:pt idx="226">
                  <c:v>0.24</c:v>
                </c:pt>
                <c:pt idx="227">
                  <c:v>0.24</c:v>
                </c:pt>
                <c:pt idx="228">
                  <c:v>0.24</c:v>
                </c:pt>
                <c:pt idx="229">
                  <c:v>0.23</c:v>
                </c:pt>
                <c:pt idx="230">
                  <c:v>0.23</c:v>
                </c:pt>
                <c:pt idx="231">
                  <c:v>0.23</c:v>
                </c:pt>
                <c:pt idx="232">
                  <c:v>0.23</c:v>
                </c:pt>
                <c:pt idx="233">
                  <c:v>0.22</c:v>
                </c:pt>
                <c:pt idx="234">
                  <c:v>0.22</c:v>
                </c:pt>
                <c:pt idx="235">
                  <c:v>0.22</c:v>
                </c:pt>
                <c:pt idx="236">
                  <c:v>0.22</c:v>
                </c:pt>
                <c:pt idx="237">
                  <c:v>0.21</c:v>
                </c:pt>
                <c:pt idx="238">
                  <c:v>0.21</c:v>
                </c:pt>
                <c:pt idx="239">
                  <c:v>0.21</c:v>
                </c:pt>
                <c:pt idx="240">
                  <c:v>0.21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0.19</c:v>
                </c:pt>
                <c:pt idx="247">
                  <c:v>0.19</c:v>
                </c:pt>
                <c:pt idx="248">
                  <c:v>0.19</c:v>
                </c:pt>
                <c:pt idx="249">
                  <c:v>0.19</c:v>
                </c:pt>
                <c:pt idx="250">
                  <c:v>0.19</c:v>
                </c:pt>
                <c:pt idx="251">
                  <c:v>0.18</c:v>
                </c:pt>
                <c:pt idx="252">
                  <c:v>0.18</c:v>
                </c:pt>
                <c:pt idx="253">
                  <c:v>0.18</c:v>
                </c:pt>
                <c:pt idx="254">
                  <c:v>0.18</c:v>
                </c:pt>
                <c:pt idx="255">
                  <c:v>0.18</c:v>
                </c:pt>
                <c:pt idx="256">
                  <c:v>0.18</c:v>
                </c:pt>
                <c:pt idx="257">
                  <c:v>0.17</c:v>
                </c:pt>
                <c:pt idx="258">
                  <c:v>0.17</c:v>
                </c:pt>
                <c:pt idx="259">
                  <c:v>0.17</c:v>
                </c:pt>
                <c:pt idx="260">
                  <c:v>0.17</c:v>
                </c:pt>
                <c:pt idx="261">
                  <c:v>0.17</c:v>
                </c:pt>
                <c:pt idx="262">
                  <c:v>0.17</c:v>
                </c:pt>
                <c:pt idx="263">
                  <c:v>0.16</c:v>
                </c:pt>
                <c:pt idx="264">
                  <c:v>0.16</c:v>
                </c:pt>
                <c:pt idx="265">
                  <c:v>0.16</c:v>
                </c:pt>
                <c:pt idx="266">
                  <c:v>0.16</c:v>
                </c:pt>
                <c:pt idx="267">
                  <c:v>0.16</c:v>
                </c:pt>
                <c:pt idx="268">
                  <c:v>0.15</c:v>
                </c:pt>
                <c:pt idx="269">
                  <c:v>0.15</c:v>
                </c:pt>
                <c:pt idx="270">
                  <c:v>0.15</c:v>
                </c:pt>
                <c:pt idx="271">
                  <c:v>0.15</c:v>
                </c:pt>
                <c:pt idx="272">
                  <c:v>0.15</c:v>
                </c:pt>
                <c:pt idx="273">
                  <c:v>0.15</c:v>
                </c:pt>
                <c:pt idx="274">
                  <c:v>0.14000000000000001</c:v>
                </c:pt>
                <c:pt idx="275">
                  <c:v>0.14000000000000001</c:v>
                </c:pt>
                <c:pt idx="276">
                  <c:v>0.14000000000000001</c:v>
                </c:pt>
                <c:pt idx="277">
                  <c:v>0.14000000000000001</c:v>
                </c:pt>
                <c:pt idx="278">
                  <c:v>0.14000000000000001</c:v>
                </c:pt>
                <c:pt idx="279">
                  <c:v>0.14000000000000001</c:v>
                </c:pt>
                <c:pt idx="280">
                  <c:v>0.14000000000000001</c:v>
                </c:pt>
                <c:pt idx="281">
                  <c:v>0.13</c:v>
                </c:pt>
                <c:pt idx="282">
                  <c:v>0.13</c:v>
                </c:pt>
                <c:pt idx="283">
                  <c:v>0.13</c:v>
                </c:pt>
                <c:pt idx="284">
                  <c:v>0.13</c:v>
                </c:pt>
                <c:pt idx="285">
                  <c:v>0.13</c:v>
                </c:pt>
                <c:pt idx="286">
                  <c:v>0.13</c:v>
                </c:pt>
                <c:pt idx="287">
                  <c:v>0.13</c:v>
                </c:pt>
                <c:pt idx="288">
                  <c:v>0.13</c:v>
                </c:pt>
                <c:pt idx="289">
                  <c:v>0.12</c:v>
                </c:pt>
                <c:pt idx="290">
                  <c:v>0.12</c:v>
                </c:pt>
                <c:pt idx="291">
                  <c:v>0.12</c:v>
                </c:pt>
                <c:pt idx="292">
                  <c:v>0.12</c:v>
                </c:pt>
                <c:pt idx="293">
                  <c:v>0.12</c:v>
                </c:pt>
                <c:pt idx="294">
                  <c:v>0.12</c:v>
                </c:pt>
                <c:pt idx="295">
                  <c:v>0.12</c:v>
                </c:pt>
                <c:pt idx="296">
                  <c:v>0.11</c:v>
                </c:pt>
                <c:pt idx="297">
                  <c:v>0.11</c:v>
                </c:pt>
                <c:pt idx="298">
                  <c:v>0.11</c:v>
                </c:pt>
                <c:pt idx="299">
                  <c:v>0.11</c:v>
                </c:pt>
                <c:pt idx="300">
                  <c:v>0.11</c:v>
                </c:pt>
                <c:pt idx="301">
                  <c:v>0.11</c:v>
                </c:pt>
                <c:pt idx="302">
                  <c:v>0.11</c:v>
                </c:pt>
                <c:pt idx="303">
                  <c:v>0.11</c:v>
                </c:pt>
                <c:pt idx="304">
                  <c:v>0.11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0.1</c:v>
                </c:pt>
                <c:pt idx="314">
                  <c:v>0.09</c:v>
                </c:pt>
                <c:pt idx="315">
                  <c:v>0.09</c:v>
                </c:pt>
                <c:pt idx="316">
                  <c:v>0.09</c:v>
                </c:pt>
                <c:pt idx="317">
                  <c:v>0.09</c:v>
                </c:pt>
                <c:pt idx="318">
                  <c:v>0.09</c:v>
                </c:pt>
                <c:pt idx="319">
                  <c:v>0.09</c:v>
                </c:pt>
                <c:pt idx="320">
                  <c:v>0.09</c:v>
                </c:pt>
                <c:pt idx="321">
                  <c:v>0.09</c:v>
                </c:pt>
                <c:pt idx="322">
                  <c:v>0.09</c:v>
                </c:pt>
                <c:pt idx="323">
                  <c:v>0.09</c:v>
                </c:pt>
                <c:pt idx="324">
                  <c:v>0.08</c:v>
                </c:pt>
                <c:pt idx="325">
                  <c:v>0.08</c:v>
                </c:pt>
                <c:pt idx="326">
                  <c:v>0.08</c:v>
                </c:pt>
                <c:pt idx="327">
                  <c:v>0.08</c:v>
                </c:pt>
                <c:pt idx="328">
                  <c:v>0.08</c:v>
                </c:pt>
                <c:pt idx="329">
                  <c:v>0.08</c:v>
                </c:pt>
                <c:pt idx="330">
                  <c:v>0.08</c:v>
                </c:pt>
                <c:pt idx="331">
                  <c:v>0.08</c:v>
                </c:pt>
                <c:pt idx="332">
                  <c:v>0.08</c:v>
                </c:pt>
                <c:pt idx="333">
                  <c:v>0.08</c:v>
                </c:pt>
                <c:pt idx="334">
                  <c:v>7.0000000000000007E-2</c:v>
                </c:pt>
                <c:pt idx="335">
                  <c:v>7.0000000000000007E-2</c:v>
                </c:pt>
                <c:pt idx="336">
                  <c:v>7.0000000000000007E-2</c:v>
                </c:pt>
                <c:pt idx="337">
                  <c:v>7.0000000000000007E-2</c:v>
                </c:pt>
                <c:pt idx="338">
                  <c:v>7.0000000000000007E-2</c:v>
                </c:pt>
                <c:pt idx="339">
                  <c:v>7.0000000000000007E-2</c:v>
                </c:pt>
                <c:pt idx="340">
                  <c:v>7.0000000000000007E-2</c:v>
                </c:pt>
                <c:pt idx="341">
                  <c:v>7.0000000000000007E-2</c:v>
                </c:pt>
                <c:pt idx="342">
                  <c:v>7.0000000000000007E-2</c:v>
                </c:pt>
                <c:pt idx="343">
                  <c:v>7.0000000000000007E-2</c:v>
                </c:pt>
                <c:pt idx="344">
                  <c:v>7.0000000000000007E-2</c:v>
                </c:pt>
                <c:pt idx="345">
                  <c:v>7.0000000000000007E-2</c:v>
                </c:pt>
                <c:pt idx="346">
                  <c:v>0.06</c:v>
                </c:pt>
                <c:pt idx="347">
                  <c:v>0.06</c:v>
                </c:pt>
                <c:pt idx="348">
                  <c:v>0.06</c:v>
                </c:pt>
                <c:pt idx="349">
                  <c:v>0.06</c:v>
                </c:pt>
                <c:pt idx="350">
                  <c:v>0.06</c:v>
                </c:pt>
                <c:pt idx="351">
                  <c:v>0.06</c:v>
                </c:pt>
                <c:pt idx="352">
                  <c:v>0.06</c:v>
                </c:pt>
                <c:pt idx="353">
                  <c:v>0.06</c:v>
                </c:pt>
                <c:pt idx="354">
                  <c:v>0.06</c:v>
                </c:pt>
                <c:pt idx="355">
                  <c:v>0.06</c:v>
                </c:pt>
                <c:pt idx="356">
                  <c:v>0.06</c:v>
                </c:pt>
                <c:pt idx="357">
                  <c:v>0.06</c:v>
                </c:pt>
                <c:pt idx="358">
                  <c:v>0.06</c:v>
                </c:pt>
                <c:pt idx="359">
                  <c:v>0.06</c:v>
                </c:pt>
                <c:pt idx="360">
                  <c:v>0.05</c:v>
                </c:pt>
                <c:pt idx="361">
                  <c:v>0.05</c:v>
                </c:pt>
                <c:pt idx="362">
                  <c:v>0.05</c:v>
                </c:pt>
                <c:pt idx="363">
                  <c:v>0.05</c:v>
                </c:pt>
                <c:pt idx="364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B5-4CA2-9068-6DFB4C7B0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6999088"/>
        <c:axId val="-1886997456"/>
      </c:areaChart>
      <c:dateAx>
        <c:axId val="-1886999088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6997456"/>
        <c:crosses val="autoZero"/>
        <c:auto val="0"/>
        <c:lblOffset val="100"/>
        <c:baseTimeUnit val="days"/>
        <c:majorUnit val="3"/>
        <c:majorTimeUnit val="months"/>
      </c:dateAx>
      <c:valAx>
        <c:axId val="-188699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/>
                  <a:t>個体数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6999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364198214799078"/>
          <c:y val="0.90384592338968539"/>
          <c:w val="0.56792685699258161"/>
          <c:h val="6.02400393291446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v>1年目級群</c:v>
          </c:tx>
          <c:spPr>
            <a:solidFill>
              <a:srgbClr val="0066FF"/>
            </a:solidFill>
            <a:ln>
              <a:noFill/>
            </a:ln>
            <a:effectLst/>
          </c:spPr>
          <c:cat>
            <c:numRef>
              <c:f>マアナゴ!$A$3:$A$367</c:f>
              <c:numCache>
                <c:formatCode>m/d/yyyy</c:formatCode>
                <c:ptCount val="365"/>
                <c:pt idx="0">
                  <c:v>41730</c:v>
                </c:pt>
                <c:pt idx="1">
                  <c:v>41731</c:v>
                </c:pt>
                <c:pt idx="2">
                  <c:v>41732</c:v>
                </c:pt>
                <c:pt idx="3">
                  <c:v>41733</c:v>
                </c:pt>
                <c:pt idx="4">
                  <c:v>41734</c:v>
                </c:pt>
                <c:pt idx="5">
                  <c:v>41735</c:v>
                </c:pt>
                <c:pt idx="6">
                  <c:v>41736</c:v>
                </c:pt>
                <c:pt idx="7">
                  <c:v>41737</c:v>
                </c:pt>
                <c:pt idx="8">
                  <c:v>41738</c:v>
                </c:pt>
                <c:pt idx="9">
                  <c:v>41739</c:v>
                </c:pt>
                <c:pt idx="10">
                  <c:v>41740</c:v>
                </c:pt>
                <c:pt idx="11">
                  <c:v>41741</c:v>
                </c:pt>
                <c:pt idx="12">
                  <c:v>41742</c:v>
                </c:pt>
                <c:pt idx="13">
                  <c:v>41743</c:v>
                </c:pt>
                <c:pt idx="14">
                  <c:v>41744</c:v>
                </c:pt>
                <c:pt idx="15">
                  <c:v>41745</c:v>
                </c:pt>
                <c:pt idx="16">
                  <c:v>41746</c:v>
                </c:pt>
                <c:pt idx="17">
                  <c:v>41747</c:v>
                </c:pt>
                <c:pt idx="18">
                  <c:v>41748</c:v>
                </c:pt>
                <c:pt idx="19">
                  <c:v>41749</c:v>
                </c:pt>
                <c:pt idx="20">
                  <c:v>41750</c:v>
                </c:pt>
                <c:pt idx="21">
                  <c:v>41751</c:v>
                </c:pt>
                <c:pt idx="22">
                  <c:v>41752</c:v>
                </c:pt>
                <c:pt idx="23">
                  <c:v>41753</c:v>
                </c:pt>
                <c:pt idx="24">
                  <c:v>41754</c:v>
                </c:pt>
                <c:pt idx="25">
                  <c:v>41755</c:v>
                </c:pt>
                <c:pt idx="26">
                  <c:v>41756</c:v>
                </c:pt>
                <c:pt idx="27">
                  <c:v>41757</c:v>
                </c:pt>
                <c:pt idx="28">
                  <c:v>41758</c:v>
                </c:pt>
                <c:pt idx="29">
                  <c:v>41759</c:v>
                </c:pt>
                <c:pt idx="30">
                  <c:v>41760</c:v>
                </c:pt>
                <c:pt idx="31">
                  <c:v>41761</c:v>
                </c:pt>
                <c:pt idx="32">
                  <c:v>41762</c:v>
                </c:pt>
                <c:pt idx="33">
                  <c:v>41763</c:v>
                </c:pt>
                <c:pt idx="34">
                  <c:v>41764</c:v>
                </c:pt>
                <c:pt idx="35">
                  <c:v>41765</c:v>
                </c:pt>
                <c:pt idx="36">
                  <c:v>41766</c:v>
                </c:pt>
                <c:pt idx="37">
                  <c:v>41767</c:v>
                </c:pt>
                <c:pt idx="38">
                  <c:v>41768</c:v>
                </c:pt>
                <c:pt idx="39">
                  <c:v>41769</c:v>
                </c:pt>
                <c:pt idx="40">
                  <c:v>41770</c:v>
                </c:pt>
                <c:pt idx="41">
                  <c:v>41771</c:v>
                </c:pt>
                <c:pt idx="42">
                  <c:v>41772</c:v>
                </c:pt>
                <c:pt idx="43">
                  <c:v>41773</c:v>
                </c:pt>
                <c:pt idx="44">
                  <c:v>41774</c:v>
                </c:pt>
                <c:pt idx="45">
                  <c:v>41775</c:v>
                </c:pt>
                <c:pt idx="46">
                  <c:v>41776</c:v>
                </c:pt>
                <c:pt idx="47">
                  <c:v>41777</c:v>
                </c:pt>
                <c:pt idx="48">
                  <c:v>41778</c:v>
                </c:pt>
                <c:pt idx="49">
                  <c:v>41779</c:v>
                </c:pt>
                <c:pt idx="50">
                  <c:v>41780</c:v>
                </c:pt>
                <c:pt idx="51">
                  <c:v>41781</c:v>
                </c:pt>
                <c:pt idx="52">
                  <c:v>41782</c:v>
                </c:pt>
                <c:pt idx="53">
                  <c:v>41783</c:v>
                </c:pt>
                <c:pt idx="54">
                  <c:v>41784</c:v>
                </c:pt>
                <c:pt idx="55">
                  <c:v>41785</c:v>
                </c:pt>
                <c:pt idx="56">
                  <c:v>41786</c:v>
                </c:pt>
                <c:pt idx="57">
                  <c:v>41787</c:v>
                </c:pt>
                <c:pt idx="58">
                  <c:v>41788</c:v>
                </c:pt>
                <c:pt idx="59">
                  <c:v>41789</c:v>
                </c:pt>
                <c:pt idx="60">
                  <c:v>41790</c:v>
                </c:pt>
                <c:pt idx="61">
                  <c:v>41791</c:v>
                </c:pt>
                <c:pt idx="62">
                  <c:v>41792</c:v>
                </c:pt>
                <c:pt idx="63">
                  <c:v>41793</c:v>
                </c:pt>
                <c:pt idx="64">
                  <c:v>41794</c:v>
                </c:pt>
                <c:pt idx="65">
                  <c:v>41795</c:v>
                </c:pt>
                <c:pt idx="66">
                  <c:v>41796</c:v>
                </c:pt>
                <c:pt idx="67">
                  <c:v>41797</c:v>
                </c:pt>
                <c:pt idx="68">
                  <c:v>41798</c:v>
                </c:pt>
                <c:pt idx="69">
                  <c:v>41799</c:v>
                </c:pt>
                <c:pt idx="70">
                  <c:v>41800</c:v>
                </c:pt>
                <c:pt idx="71">
                  <c:v>41801</c:v>
                </c:pt>
                <c:pt idx="72">
                  <c:v>41802</c:v>
                </c:pt>
                <c:pt idx="73">
                  <c:v>41803</c:v>
                </c:pt>
                <c:pt idx="74">
                  <c:v>41804</c:v>
                </c:pt>
                <c:pt idx="75">
                  <c:v>41805</c:v>
                </c:pt>
                <c:pt idx="76">
                  <c:v>41806</c:v>
                </c:pt>
                <c:pt idx="77">
                  <c:v>41807</c:v>
                </c:pt>
                <c:pt idx="78">
                  <c:v>41808</c:v>
                </c:pt>
                <c:pt idx="79">
                  <c:v>41809</c:v>
                </c:pt>
                <c:pt idx="80">
                  <c:v>41810</c:v>
                </c:pt>
                <c:pt idx="81">
                  <c:v>41811</c:v>
                </c:pt>
                <c:pt idx="82">
                  <c:v>41812</c:v>
                </c:pt>
                <c:pt idx="83">
                  <c:v>41813</c:v>
                </c:pt>
                <c:pt idx="84">
                  <c:v>41814</c:v>
                </c:pt>
                <c:pt idx="85">
                  <c:v>41815</c:v>
                </c:pt>
                <c:pt idx="86">
                  <c:v>41816</c:v>
                </c:pt>
                <c:pt idx="87">
                  <c:v>41817</c:v>
                </c:pt>
                <c:pt idx="88">
                  <c:v>41818</c:v>
                </c:pt>
                <c:pt idx="89">
                  <c:v>41819</c:v>
                </c:pt>
                <c:pt idx="90">
                  <c:v>41820</c:v>
                </c:pt>
                <c:pt idx="91">
                  <c:v>41821</c:v>
                </c:pt>
                <c:pt idx="92">
                  <c:v>41822</c:v>
                </c:pt>
                <c:pt idx="93">
                  <c:v>41823</c:v>
                </c:pt>
                <c:pt idx="94">
                  <c:v>41824</c:v>
                </c:pt>
                <c:pt idx="95">
                  <c:v>41825</c:v>
                </c:pt>
                <c:pt idx="96">
                  <c:v>41826</c:v>
                </c:pt>
                <c:pt idx="97">
                  <c:v>41827</c:v>
                </c:pt>
                <c:pt idx="98">
                  <c:v>41828</c:v>
                </c:pt>
                <c:pt idx="99">
                  <c:v>41829</c:v>
                </c:pt>
                <c:pt idx="100">
                  <c:v>41830</c:v>
                </c:pt>
                <c:pt idx="101">
                  <c:v>41831</c:v>
                </c:pt>
                <c:pt idx="102">
                  <c:v>41832</c:v>
                </c:pt>
                <c:pt idx="103">
                  <c:v>41833</c:v>
                </c:pt>
                <c:pt idx="104">
                  <c:v>41834</c:v>
                </c:pt>
                <c:pt idx="105">
                  <c:v>41835</c:v>
                </c:pt>
                <c:pt idx="106">
                  <c:v>41836</c:v>
                </c:pt>
                <c:pt idx="107">
                  <c:v>41837</c:v>
                </c:pt>
                <c:pt idx="108">
                  <c:v>41838</c:v>
                </c:pt>
                <c:pt idx="109">
                  <c:v>41839</c:v>
                </c:pt>
                <c:pt idx="110">
                  <c:v>41840</c:v>
                </c:pt>
                <c:pt idx="111">
                  <c:v>41841</c:v>
                </c:pt>
                <c:pt idx="112">
                  <c:v>41842</c:v>
                </c:pt>
                <c:pt idx="113">
                  <c:v>41843</c:v>
                </c:pt>
                <c:pt idx="114">
                  <c:v>41844</c:v>
                </c:pt>
                <c:pt idx="115">
                  <c:v>41845</c:v>
                </c:pt>
                <c:pt idx="116">
                  <c:v>41846</c:v>
                </c:pt>
                <c:pt idx="117">
                  <c:v>41847</c:v>
                </c:pt>
                <c:pt idx="118">
                  <c:v>41848</c:v>
                </c:pt>
                <c:pt idx="119">
                  <c:v>41849</c:v>
                </c:pt>
                <c:pt idx="120">
                  <c:v>41850</c:v>
                </c:pt>
                <c:pt idx="121">
                  <c:v>41851</c:v>
                </c:pt>
                <c:pt idx="122">
                  <c:v>41852</c:v>
                </c:pt>
                <c:pt idx="123">
                  <c:v>41853</c:v>
                </c:pt>
                <c:pt idx="124">
                  <c:v>41854</c:v>
                </c:pt>
                <c:pt idx="125">
                  <c:v>41855</c:v>
                </c:pt>
                <c:pt idx="126">
                  <c:v>41856</c:v>
                </c:pt>
                <c:pt idx="127">
                  <c:v>41857</c:v>
                </c:pt>
                <c:pt idx="128">
                  <c:v>41858</c:v>
                </c:pt>
                <c:pt idx="129">
                  <c:v>41859</c:v>
                </c:pt>
                <c:pt idx="130">
                  <c:v>41860</c:v>
                </c:pt>
                <c:pt idx="131">
                  <c:v>41861</c:v>
                </c:pt>
                <c:pt idx="132">
                  <c:v>41862</c:v>
                </c:pt>
                <c:pt idx="133">
                  <c:v>41863</c:v>
                </c:pt>
                <c:pt idx="134">
                  <c:v>41864</c:v>
                </c:pt>
                <c:pt idx="135">
                  <c:v>41865</c:v>
                </c:pt>
                <c:pt idx="136">
                  <c:v>41866</c:v>
                </c:pt>
                <c:pt idx="137">
                  <c:v>41867</c:v>
                </c:pt>
                <c:pt idx="138">
                  <c:v>41868</c:v>
                </c:pt>
                <c:pt idx="139">
                  <c:v>41869</c:v>
                </c:pt>
                <c:pt idx="140">
                  <c:v>41870</c:v>
                </c:pt>
                <c:pt idx="141">
                  <c:v>41871</c:v>
                </c:pt>
                <c:pt idx="142">
                  <c:v>41872</c:v>
                </c:pt>
                <c:pt idx="143">
                  <c:v>41873</c:v>
                </c:pt>
                <c:pt idx="144">
                  <c:v>41874</c:v>
                </c:pt>
                <c:pt idx="145">
                  <c:v>41875</c:v>
                </c:pt>
                <c:pt idx="146">
                  <c:v>41876</c:v>
                </c:pt>
                <c:pt idx="147">
                  <c:v>41877</c:v>
                </c:pt>
                <c:pt idx="148">
                  <c:v>41878</c:v>
                </c:pt>
                <c:pt idx="149">
                  <c:v>41879</c:v>
                </c:pt>
                <c:pt idx="150">
                  <c:v>41880</c:v>
                </c:pt>
                <c:pt idx="151">
                  <c:v>41881</c:v>
                </c:pt>
                <c:pt idx="152">
                  <c:v>41882</c:v>
                </c:pt>
                <c:pt idx="153">
                  <c:v>41883</c:v>
                </c:pt>
                <c:pt idx="154">
                  <c:v>41884</c:v>
                </c:pt>
                <c:pt idx="155">
                  <c:v>41885</c:v>
                </c:pt>
                <c:pt idx="156">
                  <c:v>41886</c:v>
                </c:pt>
                <c:pt idx="157">
                  <c:v>41887</c:v>
                </c:pt>
                <c:pt idx="158">
                  <c:v>41888</c:v>
                </c:pt>
                <c:pt idx="159">
                  <c:v>41889</c:v>
                </c:pt>
                <c:pt idx="160">
                  <c:v>41890</c:v>
                </c:pt>
                <c:pt idx="161">
                  <c:v>41891</c:v>
                </c:pt>
                <c:pt idx="162">
                  <c:v>41892</c:v>
                </c:pt>
                <c:pt idx="163">
                  <c:v>41893</c:v>
                </c:pt>
                <c:pt idx="164">
                  <c:v>41894</c:v>
                </c:pt>
                <c:pt idx="165">
                  <c:v>41895</c:v>
                </c:pt>
                <c:pt idx="166">
                  <c:v>41896</c:v>
                </c:pt>
                <c:pt idx="167">
                  <c:v>41897</c:v>
                </c:pt>
                <c:pt idx="168">
                  <c:v>41898</c:v>
                </c:pt>
                <c:pt idx="169">
                  <c:v>41899</c:v>
                </c:pt>
                <c:pt idx="170">
                  <c:v>41900</c:v>
                </c:pt>
                <c:pt idx="171">
                  <c:v>41901</c:v>
                </c:pt>
                <c:pt idx="172">
                  <c:v>41902</c:v>
                </c:pt>
                <c:pt idx="173">
                  <c:v>41903</c:v>
                </c:pt>
                <c:pt idx="174">
                  <c:v>41904</c:v>
                </c:pt>
                <c:pt idx="175">
                  <c:v>41905</c:v>
                </c:pt>
                <c:pt idx="176">
                  <c:v>41906</c:v>
                </c:pt>
                <c:pt idx="177">
                  <c:v>41907</c:v>
                </c:pt>
                <c:pt idx="178">
                  <c:v>41908</c:v>
                </c:pt>
                <c:pt idx="179">
                  <c:v>41909</c:v>
                </c:pt>
                <c:pt idx="180">
                  <c:v>41910</c:v>
                </c:pt>
                <c:pt idx="181">
                  <c:v>41911</c:v>
                </c:pt>
                <c:pt idx="182">
                  <c:v>41912</c:v>
                </c:pt>
                <c:pt idx="183">
                  <c:v>41913</c:v>
                </c:pt>
                <c:pt idx="184">
                  <c:v>41914</c:v>
                </c:pt>
                <c:pt idx="185">
                  <c:v>41915</c:v>
                </c:pt>
                <c:pt idx="186">
                  <c:v>41916</c:v>
                </c:pt>
                <c:pt idx="187">
                  <c:v>41917</c:v>
                </c:pt>
                <c:pt idx="188">
                  <c:v>41918</c:v>
                </c:pt>
                <c:pt idx="189">
                  <c:v>41919</c:v>
                </c:pt>
                <c:pt idx="190">
                  <c:v>41920</c:v>
                </c:pt>
                <c:pt idx="191">
                  <c:v>41921</c:v>
                </c:pt>
                <c:pt idx="192">
                  <c:v>41922</c:v>
                </c:pt>
                <c:pt idx="193">
                  <c:v>41923</c:v>
                </c:pt>
                <c:pt idx="194">
                  <c:v>41924</c:v>
                </c:pt>
                <c:pt idx="195">
                  <c:v>41925</c:v>
                </c:pt>
                <c:pt idx="196">
                  <c:v>41926</c:v>
                </c:pt>
                <c:pt idx="197">
                  <c:v>41927</c:v>
                </c:pt>
                <c:pt idx="198">
                  <c:v>41928</c:v>
                </c:pt>
                <c:pt idx="199">
                  <c:v>41929</c:v>
                </c:pt>
                <c:pt idx="200">
                  <c:v>41930</c:v>
                </c:pt>
                <c:pt idx="201">
                  <c:v>41931</c:v>
                </c:pt>
                <c:pt idx="202">
                  <c:v>41932</c:v>
                </c:pt>
                <c:pt idx="203">
                  <c:v>41933</c:v>
                </c:pt>
                <c:pt idx="204">
                  <c:v>41934</c:v>
                </c:pt>
                <c:pt idx="205">
                  <c:v>41935</c:v>
                </c:pt>
                <c:pt idx="206">
                  <c:v>41936</c:v>
                </c:pt>
                <c:pt idx="207">
                  <c:v>41937</c:v>
                </c:pt>
                <c:pt idx="208">
                  <c:v>41938</c:v>
                </c:pt>
                <c:pt idx="209">
                  <c:v>41939</c:v>
                </c:pt>
                <c:pt idx="210">
                  <c:v>41940</c:v>
                </c:pt>
                <c:pt idx="211">
                  <c:v>41941</c:v>
                </c:pt>
                <c:pt idx="212">
                  <c:v>41942</c:v>
                </c:pt>
                <c:pt idx="213">
                  <c:v>41943</c:v>
                </c:pt>
                <c:pt idx="214">
                  <c:v>41944</c:v>
                </c:pt>
                <c:pt idx="215">
                  <c:v>41945</c:v>
                </c:pt>
                <c:pt idx="216">
                  <c:v>41946</c:v>
                </c:pt>
                <c:pt idx="217">
                  <c:v>41947</c:v>
                </c:pt>
                <c:pt idx="218">
                  <c:v>41948</c:v>
                </c:pt>
                <c:pt idx="219">
                  <c:v>41949</c:v>
                </c:pt>
                <c:pt idx="220">
                  <c:v>41950</c:v>
                </c:pt>
                <c:pt idx="221">
                  <c:v>41951</c:v>
                </c:pt>
                <c:pt idx="222">
                  <c:v>41952</c:v>
                </c:pt>
                <c:pt idx="223">
                  <c:v>41953</c:v>
                </c:pt>
                <c:pt idx="224">
                  <c:v>41954</c:v>
                </c:pt>
                <c:pt idx="225">
                  <c:v>41955</c:v>
                </c:pt>
                <c:pt idx="226">
                  <c:v>41956</c:v>
                </c:pt>
                <c:pt idx="227">
                  <c:v>41957</c:v>
                </c:pt>
                <c:pt idx="228">
                  <c:v>41958</c:v>
                </c:pt>
                <c:pt idx="229">
                  <c:v>41959</c:v>
                </c:pt>
                <c:pt idx="230">
                  <c:v>41960</c:v>
                </c:pt>
                <c:pt idx="231">
                  <c:v>41961</c:v>
                </c:pt>
                <c:pt idx="232">
                  <c:v>41962</c:v>
                </c:pt>
                <c:pt idx="233">
                  <c:v>41963</c:v>
                </c:pt>
                <c:pt idx="234">
                  <c:v>41964</c:v>
                </c:pt>
                <c:pt idx="235">
                  <c:v>41965</c:v>
                </c:pt>
                <c:pt idx="236">
                  <c:v>41966</c:v>
                </c:pt>
                <c:pt idx="237">
                  <c:v>41967</c:v>
                </c:pt>
                <c:pt idx="238">
                  <c:v>41968</c:v>
                </c:pt>
                <c:pt idx="239">
                  <c:v>41969</c:v>
                </c:pt>
                <c:pt idx="240">
                  <c:v>41970</c:v>
                </c:pt>
                <c:pt idx="241">
                  <c:v>41971</c:v>
                </c:pt>
                <c:pt idx="242">
                  <c:v>41972</c:v>
                </c:pt>
                <c:pt idx="243">
                  <c:v>41973</c:v>
                </c:pt>
                <c:pt idx="244">
                  <c:v>41974</c:v>
                </c:pt>
                <c:pt idx="245">
                  <c:v>41975</c:v>
                </c:pt>
                <c:pt idx="246">
                  <c:v>41976</c:v>
                </c:pt>
                <c:pt idx="247">
                  <c:v>41977</c:v>
                </c:pt>
                <c:pt idx="248">
                  <c:v>41978</c:v>
                </c:pt>
                <c:pt idx="249">
                  <c:v>41979</c:v>
                </c:pt>
                <c:pt idx="250">
                  <c:v>41980</c:v>
                </c:pt>
                <c:pt idx="251">
                  <c:v>41981</c:v>
                </c:pt>
                <c:pt idx="252">
                  <c:v>41982</c:v>
                </c:pt>
                <c:pt idx="253">
                  <c:v>41983</c:v>
                </c:pt>
                <c:pt idx="254">
                  <c:v>41984</c:v>
                </c:pt>
                <c:pt idx="255">
                  <c:v>41985</c:v>
                </c:pt>
                <c:pt idx="256">
                  <c:v>41986</c:v>
                </c:pt>
                <c:pt idx="257">
                  <c:v>41987</c:v>
                </c:pt>
                <c:pt idx="258">
                  <c:v>41988</c:v>
                </c:pt>
                <c:pt idx="259">
                  <c:v>41989</c:v>
                </c:pt>
                <c:pt idx="260">
                  <c:v>41990</c:v>
                </c:pt>
                <c:pt idx="261">
                  <c:v>41991</c:v>
                </c:pt>
                <c:pt idx="262">
                  <c:v>41992</c:v>
                </c:pt>
                <c:pt idx="263">
                  <c:v>41993</c:v>
                </c:pt>
                <c:pt idx="264">
                  <c:v>41994</c:v>
                </c:pt>
                <c:pt idx="265">
                  <c:v>41995</c:v>
                </c:pt>
                <c:pt idx="266">
                  <c:v>41996</c:v>
                </c:pt>
                <c:pt idx="267">
                  <c:v>41997</c:v>
                </c:pt>
                <c:pt idx="268">
                  <c:v>41998</c:v>
                </c:pt>
                <c:pt idx="269">
                  <c:v>41999</c:v>
                </c:pt>
                <c:pt idx="270">
                  <c:v>42000</c:v>
                </c:pt>
                <c:pt idx="271">
                  <c:v>42001</c:v>
                </c:pt>
                <c:pt idx="272">
                  <c:v>42002</c:v>
                </c:pt>
                <c:pt idx="273">
                  <c:v>42003</c:v>
                </c:pt>
                <c:pt idx="274">
                  <c:v>42004</c:v>
                </c:pt>
                <c:pt idx="275">
                  <c:v>42005</c:v>
                </c:pt>
                <c:pt idx="276">
                  <c:v>42006</c:v>
                </c:pt>
                <c:pt idx="277">
                  <c:v>42007</c:v>
                </c:pt>
                <c:pt idx="278">
                  <c:v>42008</c:v>
                </c:pt>
                <c:pt idx="279">
                  <c:v>42009</c:v>
                </c:pt>
                <c:pt idx="280">
                  <c:v>42010</c:v>
                </c:pt>
                <c:pt idx="281">
                  <c:v>42011</c:v>
                </c:pt>
                <c:pt idx="282">
                  <c:v>42012</c:v>
                </c:pt>
                <c:pt idx="283">
                  <c:v>42013</c:v>
                </c:pt>
                <c:pt idx="284">
                  <c:v>42014</c:v>
                </c:pt>
                <c:pt idx="285">
                  <c:v>42015</c:v>
                </c:pt>
                <c:pt idx="286">
                  <c:v>42016</c:v>
                </c:pt>
                <c:pt idx="287">
                  <c:v>42017</c:v>
                </c:pt>
                <c:pt idx="288">
                  <c:v>42018</c:v>
                </c:pt>
                <c:pt idx="289">
                  <c:v>42019</c:v>
                </c:pt>
                <c:pt idx="290">
                  <c:v>42020</c:v>
                </c:pt>
                <c:pt idx="291">
                  <c:v>42021</c:v>
                </c:pt>
                <c:pt idx="292">
                  <c:v>42022</c:v>
                </c:pt>
                <c:pt idx="293">
                  <c:v>42023</c:v>
                </c:pt>
                <c:pt idx="294">
                  <c:v>42024</c:v>
                </c:pt>
                <c:pt idx="295">
                  <c:v>42025</c:v>
                </c:pt>
                <c:pt idx="296">
                  <c:v>42026</c:v>
                </c:pt>
                <c:pt idx="297">
                  <c:v>42027</c:v>
                </c:pt>
                <c:pt idx="298">
                  <c:v>42028</c:v>
                </c:pt>
                <c:pt idx="299">
                  <c:v>42029</c:v>
                </c:pt>
                <c:pt idx="300">
                  <c:v>42030</c:v>
                </c:pt>
                <c:pt idx="301">
                  <c:v>42031</c:v>
                </c:pt>
                <c:pt idx="302">
                  <c:v>42032</c:v>
                </c:pt>
                <c:pt idx="303">
                  <c:v>42033</c:v>
                </c:pt>
                <c:pt idx="304">
                  <c:v>42034</c:v>
                </c:pt>
                <c:pt idx="305">
                  <c:v>42035</c:v>
                </c:pt>
                <c:pt idx="306">
                  <c:v>42036</c:v>
                </c:pt>
                <c:pt idx="307">
                  <c:v>42037</c:v>
                </c:pt>
                <c:pt idx="308">
                  <c:v>42038</c:v>
                </c:pt>
                <c:pt idx="309">
                  <c:v>42039</c:v>
                </c:pt>
                <c:pt idx="310">
                  <c:v>42040</c:v>
                </c:pt>
                <c:pt idx="311">
                  <c:v>42041</c:v>
                </c:pt>
                <c:pt idx="312">
                  <c:v>42042</c:v>
                </c:pt>
                <c:pt idx="313">
                  <c:v>42043</c:v>
                </c:pt>
                <c:pt idx="314">
                  <c:v>42044</c:v>
                </c:pt>
                <c:pt idx="315">
                  <c:v>42045</c:v>
                </c:pt>
                <c:pt idx="316">
                  <c:v>42046</c:v>
                </c:pt>
                <c:pt idx="317">
                  <c:v>42047</c:v>
                </c:pt>
                <c:pt idx="318">
                  <c:v>42048</c:v>
                </c:pt>
                <c:pt idx="319">
                  <c:v>42049</c:v>
                </c:pt>
                <c:pt idx="320">
                  <c:v>42050</c:v>
                </c:pt>
                <c:pt idx="321">
                  <c:v>42051</c:v>
                </c:pt>
                <c:pt idx="322">
                  <c:v>42052</c:v>
                </c:pt>
                <c:pt idx="323">
                  <c:v>42053</c:v>
                </c:pt>
                <c:pt idx="324">
                  <c:v>42054</c:v>
                </c:pt>
                <c:pt idx="325">
                  <c:v>42055</c:v>
                </c:pt>
                <c:pt idx="326">
                  <c:v>42056</c:v>
                </c:pt>
                <c:pt idx="327">
                  <c:v>42057</c:v>
                </c:pt>
                <c:pt idx="328">
                  <c:v>42058</c:v>
                </c:pt>
                <c:pt idx="329">
                  <c:v>42059</c:v>
                </c:pt>
                <c:pt idx="330">
                  <c:v>42060</c:v>
                </c:pt>
                <c:pt idx="331">
                  <c:v>42061</c:v>
                </c:pt>
                <c:pt idx="332">
                  <c:v>42062</c:v>
                </c:pt>
                <c:pt idx="333">
                  <c:v>42063</c:v>
                </c:pt>
                <c:pt idx="334">
                  <c:v>42064</c:v>
                </c:pt>
                <c:pt idx="335">
                  <c:v>42065</c:v>
                </c:pt>
                <c:pt idx="336">
                  <c:v>42066</c:v>
                </c:pt>
                <c:pt idx="337">
                  <c:v>42067</c:v>
                </c:pt>
                <c:pt idx="338">
                  <c:v>42068</c:v>
                </c:pt>
                <c:pt idx="339">
                  <c:v>42069</c:v>
                </c:pt>
                <c:pt idx="340">
                  <c:v>42070</c:v>
                </c:pt>
                <c:pt idx="341">
                  <c:v>42071</c:v>
                </c:pt>
                <c:pt idx="342">
                  <c:v>42072</c:v>
                </c:pt>
                <c:pt idx="343">
                  <c:v>42073</c:v>
                </c:pt>
                <c:pt idx="344">
                  <c:v>42074</c:v>
                </c:pt>
                <c:pt idx="345">
                  <c:v>42075</c:v>
                </c:pt>
                <c:pt idx="346">
                  <c:v>42076</c:v>
                </c:pt>
                <c:pt idx="347">
                  <c:v>42077</c:v>
                </c:pt>
                <c:pt idx="348">
                  <c:v>42078</c:v>
                </c:pt>
                <c:pt idx="349">
                  <c:v>42079</c:v>
                </c:pt>
                <c:pt idx="350">
                  <c:v>42080</c:v>
                </c:pt>
                <c:pt idx="351">
                  <c:v>42081</c:v>
                </c:pt>
                <c:pt idx="352">
                  <c:v>42082</c:v>
                </c:pt>
                <c:pt idx="353">
                  <c:v>42083</c:v>
                </c:pt>
                <c:pt idx="354">
                  <c:v>42084</c:v>
                </c:pt>
                <c:pt idx="355">
                  <c:v>42085</c:v>
                </c:pt>
                <c:pt idx="356">
                  <c:v>42086</c:v>
                </c:pt>
                <c:pt idx="357">
                  <c:v>42087</c:v>
                </c:pt>
                <c:pt idx="358">
                  <c:v>42088</c:v>
                </c:pt>
                <c:pt idx="359">
                  <c:v>42089</c:v>
                </c:pt>
                <c:pt idx="360">
                  <c:v>42090</c:v>
                </c:pt>
                <c:pt idx="361">
                  <c:v>42091</c:v>
                </c:pt>
                <c:pt idx="362">
                  <c:v>42092</c:v>
                </c:pt>
                <c:pt idx="363">
                  <c:v>42093</c:v>
                </c:pt>
                <c:pt idx="364">
                  <c:v>42094</c:v>
                </c:pt>
              </c:numCache>
            </c:numRef>
          </c:cat>
          <c:val>
            <c:numRef>
              <c:f>マアナゴ!$AH$3:$AH$367</c:f>
              <c:numCache>
                <c:formatCode>0</c:formatCode>
                <c:ptCount val="365"/>
                <c:pt idx="0">
                  <c:v>48.936911749729347</c:v>
                </c:pt>
                <c:pt idx="1">
                  <c:v>50.591534913758316</c:v>
                </c:pt>
                <c:pt idx="2">
                  <c:v>52.298266926587836</c:v>
                </c:pt>
                <c:pt idx="3">
                  <c:v>54.058541997563452</c:v>
                </c:pt>
                <c:pt idx="4">
                  <c:v>55.873909596400651</c:v>
                </c:pt>
                <c:pt idx="5">
                  <c:v>57.745960057501037</c:v>
                </c:pt>
                <c:pt idx="6">
                  <c:v>59.676417793681104</c:v>
                </c:pt>
                <c:pt idx="7">
                  <c:v>61.666871809457987</c:v>
                </c:pt>
                <c:pt idx="8">
                  <c:v>63.719041186655559</c:v>
                </c:pt>
                <c:pt idx="9">
                  <c:v>65.834791832417721</c:v>
                </c:pt>
                <c:pt idx="10">
                  <c:v>68.015838482029139</c:v>
                </c:pt>
                <c:pt idx="11">
                  <c:v>70.264038227478892</c:v>
                </c:pt>
                <c:pt idx="12">
                  <c:v>72.581408871307858</c:v>
                </c:pt>
                <c:pt idx="13">
                  <c:v>74.969799619587278</c:v>
                </c:pt>
                <c:pt idx="14">
                  <c:v>77.431215404991789</c:v>
                </c:pt>
                <c:pt idx="15">
                  <c:v>79.967836988938629</c:v>
                </c:pt>
                <c:pt idx="16">
                  <c:v>82.581528755580052</c:v>
                </c:pt>
                <c:pt idx="17">
                  <c:v>85.274706693224942</c:v>
                </c:pt>
                <c:pt idx="18">
                  <c:v>88.049601894885953</c:v>
                </c:pt>
                <c:pt idx="19">
                  <c:v>90.908360759731664</c:v>
                </c:pt>
                <c:pt idx="20">
                  <c:v>93.853315792809823</c:v>
                </c:pt>
                <c:pt idx="21">
                  <c:v>96.886858358394505</c:v>
                </c:pt>
                <c:pt idx="22">
                  <c:v>100.01159630112168</c:v>
                </c:pt>
                <c:pt idx="23">
                  <c:v>103.22973519731018</c:v>
                </c:pt>
                <c:pt idx="24">
                  <c:v>106.5443357871367</c:v>
                </c:pt>
                <c:pt idx="25">
                  <c:v>109.95755440950524</c:v>
                </c:pt>
                <c:pt idx="26">
                  <c:v>113.47243672163023</c:v>
                </c:pt>
                <c:pt idx="27">
                  <c:v>117.09159000445017</c:v>
                </c:pt>
                <c:pt idx="28">
                  <c:v>120.8178569089971</c:v>
                </c:pt>
                <c:pt idx="29">
                  <c:v>124.65434596285812</c:v>
                </c:pt>
                <c:pt idx="30">
                  <c:v>128.60385850081255</c:v>
                </c:pt>
                <c:pt idx="31">
                  <c:v>132.66945269613927</c:v>
                </c:pt>
                <c:pt idx="32">
                  <c:v>136.85447686663028</c:v>
                </c:pt>
                <c:pt idx="33">
                  <c:v>141.16193886472414</c:v>
                </c:pt>
                <c:pt idx="34">
                  <c:v>145.59512668621923</c:v>
                </c:pt>
                <c:pt idx="35">
                  <c:v>150.15764481262107</c:v>
                </c:pt>
                <c:pt idx="36">
                  <c:v>154.85247635807568</c:v>
                </c:pt>
                <c:pt idx="37">
                  <c:v>159.68363511901501</c:v>
                </c:pt>
                <c:pt idx="38">
                  <c:v>164.65476226840249</c:v>
                </c:pt>
                <c:pt idx="39">
                  <c:v>169.76931861330957</c:v>
                </c:pt>
                <c:pt idx="40">
                  <c:v>175.03082086863242</c:v>
                </c:pt>
                <c:pt idx="41">
                  <c:v>180.44398388597187</c:v>
                </c:pt>
                <c:pt idx="42">
                  <c:v>186.01195304994118</c:v>
                </c:pt>
                <c:pt idx="43">
                  <c:v>191.73937966437799</c:v>
                </c:pt>
                <c:pt idx="44">
                  <c:v>197.63014523081586</c:v>
                </c:pt>
                <c:pt idx="45">
                  <c:v>203.68883840405775</c:v>
                </c:pt>
                <c:pt idx="46">
                  <c:v>209.91952132983857</c:v>
                </c:pt>
                <c:pt idx="47">
                  <c:v>216.32666226787131</c:v>
                </c:pt>
                <c:pt idx="48">
                  <c:v>222.91483364540227</c:v>
                </c:pt>
                <c:pt idx="49">
                  <c:v>229.68907983105331</c:v>
                </c:pt>
                <c:pt idx="50">
                  <c:v>236.65384491899323</c:v>
                </c:pt>
                <c:pt idx="51">
                  <c:v>243.81402752163032</c:v>
                </c:pt>
                <c:pt idx="52">
                  <c:v>251.17463903087275</c:v>
                </c:pt>
                <c:pt idx="53">
                  <c:v>258.74121890836341</c:v>
                </c:pt>
                <c:pt idx="54">
                  <c:v>266.51862317656281</c:v>
                </c:pt>
                <c:pt idx="55">
                  <c:v>274.51265499914666</c:v>
                </c:pt>
                <c:pt idx="56">
                  <c:v>282.72793639447741</c:v>
                </c:pt>
                <c:pt idx="57">
                  <c:v>291.17096980432945</c:v>
                </c:pt>
                <c:pt idx="58">
                  <c:v>299.84753514150299</c:v>
                </c:pt>
                <c:pt idx="59">
                  <c:v>308.76255396858454</c:v>
                </c:pt>
                <c:pt idx="60">
                  <c:v>317.92300162153595</c:v>
                </c:pt>
                <c:pt idx="61">
                  <c:v>327.33453242254654</c:v>
                </c:pt>
                <c:pt idx="62">
                  <c:v>337.00395907487319</c:v>
                </c:pt>
                <c:pt idx="63">
                  <c:v>346.93662593053199</c:v>
                </c:pt>
                <c:pt idx="64">
                  <c:v>357.14018548106344</c:v>
                </c:pt>
                <c:pt idx="65">
                  <c:v>367.62138666231459</c:v>
                </c:pt>
                <c:pt idx="66">
                  <c:v>378.38590958882583</c:v>
                </c:pt>
                <c:pt idx="67">
                  <c:v>389.44195225446543</c:v>
                </c:pt>
                <c:pt idx="68">
                  <c:v>400.79607300951852</c:v>
                </c:pt>
                <c:pt idx="69">
                  <c:v>412.45624322185984</c:v>
                </c:pt>
                <c:pt idx="70">
                  <c:v>424.42930082314501</c:v>
                </c:pt>
                <c:pt idx="71">
                  <c:v>436.72287276235977</c:v>
                </c:pt>
                <c:pt idx="72">
                  <c:v>449.34475019066019</c:v>
                </c:pt>
                <c:pt idx="73">
                  <c:v>462.30363960185218</c:v>
                </c:pt>
                <c:pt idx="74">
                  <c:v>475.60696526624139</c:v>
                </c:pt>
                <c:pt idx="75">
                  <c:v>489.26303044146385</c:v>
                </c:pt>
                <c:pt idx="76">
                  <c:v>503.2803145570262</c:v>
                </c:pt>
                <c:pt idx="77">
                  <c:v>517.66831639626412</c:v>
                </c:pt>
                <c:pt idx="78">
                  <c:v>532.43508595235915</c:v>
                </c:pt>
                <c:pt idx="79">
                  <c:v>547.59054157324385</c:v>
                </c:pt>
                <c:pt idx="80">
                  <c:v>563.14214650976783</c:v>
                </c:pt>
                <c:pt idx="81">
                  <c:v>579.10111687894857</c:v>
                </c:pt>
                <c:pt idx="82">
                  <c:v>595.47713877951867</c:v>
                </c:pt>
                <c:pt idx="83">
                  <c:v>612.2781055724613</c:v>
                </c:pt>
                <c:pt idx="84">
                  <c:v>629.51599268637653</c:v>
                </c:pt>
                <c:pt idx="85">
                  <c:v>647.20004424827812</c:v>
                </c:pt>
                <c:pt idx="86">
                  <c:v>665.34068258145055</c:v>
                </c:pt>
                <c:pt idx="87">
                  <c:v>683.94965948493768</c:v>
                </c:pt>
                <c:pt idx="88">
                  <c:v>703.03677078919964</c:v>
                </c:pt>
                <c:pt idx="89">
                  <c:v>722.61308723402112</c:v>
                </c:pt>
                <c:pt idx="90">
                  <c:v>742.68746966320043</c:v>
                </c:pt>
                <c:pt idx="91">
                  <c:v>763.27623206026874</c:v>
                </c:pt>
                <c:pt idx="92">
                  <c:v>784.38618539447657</c:v>
                </c:pt>
                <c:pt idx="93">
                  <c:v>806.03173718157075</c:v>
                </c:pt>
                <c:pt idx="94">
                  <c:v>828.22373910741203</c:v>
                </c:pt>
                <c:pt idx="95">
                  <c:v>850.98291689032351</c:v>
                </c:pt>
                <c:pt idx="96">
                  <c:v>874.31536449708483</c:v>
                </c:pt>
                <c:pt idx="97">
                  <c:v>898.23551388313535</c:v>
                </c:pt>
                <c:pt idx="98">
                  <c:v>922.75213657404413</c:v>
                </c:pt>
                <c:pt idx="99">
                  <c:v>947.88468783920382</c:v>
                </c:pt>
                <c:pt idx="100">
                  <c:v>973.64393354661661</c:v>
                </c:pt>
                <c:pt idx="101">
                  <c:v>1000.0455074913178</c:v>
                </c:pt>
                <c:pt idx="102">
                  <c:v>1027.1021012376179</c:v>
                </c:pt>
                <c:pt idx="103">
                  <c:v>1054.8282378866318</c:v>
                </c:pt>
                <c:pt idx="104">
                  <c:v>1083.2387141157694</c:v>
                </c:pt>
                <c:pt idx="105">
                  <c:v>1112.3504441668128</c:v>
                </c:pt>
                <c:pt idx="106">
                  <c:v>1142.1770442027803</c:v>
                </c:pt>
                <c:pt idx="107">
                  <c:v>1172.7127873945913</c:v>
                </c:pt>
                <c:pt idx="108">
                  <c:v>1204.0057820731674</c:v>
                </c:pt>
                <c:pt idx="109">
                  <c:v>1236.0731913945822</c:v>
                </c:pt>
                <c:pt idx="110">
                  <c:v>1268.9198836938415</c:v>
                </c:pt>
                <c:pt idx="111">
                  <c:v>1302.5626842443505</c:v>
                </c:pt>
                <c:pt idx="112">
                  <c:v>1337.0209449245483</c:v>
                </c:pt>
                <c:pt idx="113">
                  <c:v>1372.3008692522869</c:v>
                </c:pt>
                <c:pt idx="114">
                  <c:v>1408.4358815250084</c:v>
                </c:pt>
                <c:pt idx="115">
                  <c:v>1445.4301542351545</c:v>
                </c:pt>
                <c:pt idx="116">
                  <c:v>1483.2915963462135</c:v>
                </c:pt>
                <c:pt idx="117">
                  <c:v>1522.088285015983</c:v>
                </c:pt>
                <c:pt idx="118">
                  <c:v>1561.8001435273911</c:v>
                </c:pt>
                <c:pt idx="119">
                  <c:v>1602.4593049536386</c:v>
                </c:pt>
                <c:pt idx="120">
                  <c:v>1644.0831449605337</c:v>
                </c:pt>
                <c:pt idx="121">
                  <c:v>1686.6891048569653</c:v>
                </c:pt>
                <c:pt idx="122">
                  <c:v>1730.3004707022099</c:v>
                </c:pt>
                <c:pt idx="123">
                  <c:v>1774.9233423899509</c:v>
                </c:pt>
                <c:pt idx="124">
                  <c:v>1820.6022784989505</c:v>
                </c:pt>
                <c:pt idx="125">
                  <c:v>1867.3471347439095</c:v>
                </c:pt>
                <c:pt idx="126">
                  <c:v>1914.9450447012498</c:v>
                </c:pt>
                <c:pt idx="127">
                  <c:v>1963.7361724857703</c:v>
                </c:pt>
                <c:pt idx="128">
                  <c:v>2013.7738109952204</c:v>
                </c:pt>
                <c:pt idx="129">
                  <c:v>2064.9928564701886</c:v>
                </c:pt>
                <c:pt idx="130">
                  <c:v>2117.3972928703201</c:v>
                </c:pt>
                <c:pt idx="131">
                  <c:v>2171.0003236011685</c:v>
                </c:pt>
                <c:pt idx="132">
                  <c:v>2225.8331750371526</c:v>
                </c:pt>
                <c:pt idx="133">
                  <c:v>2281.9089691015001</c:v>
                </c:pt>
                <c:pt idx="134">
                  <c:v>2339.271619704858</c:v>
                </c:pt>
                <c:pt idx="135">
                  <c:v>2397.9066733185841</c:v>
                </c:pt>
                <c:pt idx="136">
                  <c:v>2457.85826097472</c:v>
                </c:pt>
                <c:pt idx="137">
                  <c:v>2519.2027639671387</c:v>
                </c:pt>
                <c:pt idx="138">
                  <c:v>2581.9260095214245</c:v>
                </c:pt>
                <c:pt idx="139">
                  <c:v>2646.0592086730635</c:v>
                </c:pt>
                <c:pt idx="140">
                  <c:v>2709.2535019609359</c:v>
                </c:pt>
                <c:pt idx="141">
                  <c:v>2775.7341356137376</c:v>
                </c:pt>
                <c:pt idx="142">
                  <c:v>2844.1699975054657</c:v>
                </c:pt>
                <c:pt idx="143">
                  <c:v>2914.130466130438</c:v>
                </c:pt>
                <c:pt idx="144">
                  <c:v>2985.6348363665575</c:v>
                </c:pt>
                <c:pt idx="145">
                  <c:v>3058.7122371883956</c:v>
                </c:pt>
                <c:pt idx="146">
                  <c:v>3133.3868680542432</c:v>
                </c:pt>
                <c:pt idx="147">
                  <c:v>3209.7046944700323</c:v>
                </c:pt>
                <c:pt idx="148">
                  <c:v>3287.5061698289555</c:v>
                </c:pt>
                <c:pt idx="149">
                  <c:v>3367.1766031209354</c:v>
                </c:pt>
                <c:pt idx="150">
                  <c:v>3448.5602830694725</c:v>
                </c:pt>
                <c:pt idx="151">
                  <c:v>3531.6879441462684</c:v>
                </c:pt>
                <c:pt idx="152">
                  <c:v>3616.5968857927564</c:v>
                </c:pt>
                <c:pt idx="153">
                  <c:v>3703.3697806427049</c:v>
                </c:pt>
                <c:pt idx="154">
                  <c:v>3791.9907428616125</c:v>
                </c:pt>
                <c:pt idx="155">
                  <c:v>3882.5059052198035</c:v>
                </c:pt>
                <c:pt idx="156">
                  <c:v>3974.9494624444787</c:v>
                </c:pt>
                <c:pt idx="157">
                  <c:v>4069.3350878814949</c:v>
                </c:pt>
                <c:pt idx="158">
                  <c:v>4165.69631952487</c:v>
                </c:pt>
                <c:pt idx="159">
                  <c:v>4264.0157493688203</c:v>
                </c:pt>
                <c:pt idx="160">
                  <c:v>4361.8309434533639</c:v>
                </c:pt>
                <c:pt idx="161">
                  <c:v>4462.8062226842594</c:v>
                </c:pt>
                <c:pt idx="162">
                  <c:v>4567.3829053953632</c:v>
                </c:pt>
                <c:pt idx="163">
                  <c:v>4674.1419184277147</c:v>
                </c:pt>
                <c:pt idx="164">
                  <c:v>4782.7992518345573</c:v>
                </c:pt>
                <c:pt idx="165">
                  <c:v>4894.030028846274</c:v>
                </c:pt>
                <c:pt idx="166">
                  <c:v>5007.3508665730296</c:v>
                </c:pt>
                <c:pt idx="167">
                  <c:v>5123.1764956769612</c:v>
                </c:pt>
                <c:pt idx="168">
                  <c:v>5241.359485730567</c:v>
                </c:pt>
                <c:pt idx="169">
                  <c:v>5361.9109937260364</c:v>
                </c:pt>
                <c:pt idx="170">
                  <c:v>5484.9350492702833</c:v>
                </c:pt>
                <c:pt idx="171">
                  <c:v>5609.7439071281542</c:v>
                </c:pt>
                <c:pt idx="172">
                  <c:v>5737.5746370057695</c:v>
                </c:pt>
                <c:pt idx="173">
                  <c:v>5868.1375209658881</c:v>
                </c:pt>
                <c:pt idx="174">
                  <c:v>6001.2982768664215</c:v>
                </c:pt>
                <c:pt idx="175">
                  <c:v>6137.0982406497296</c:v>
                </c:pt>
                <c:pt idx="176">
                  <c:v>6275.5900403021305</c:v>
                </c:pt>
                <c:pt idx="177">
                  <c:v>6416.805308728698</c:v>
                </c:pt>
                <c:pt idx="178">
                  <c:v>6560.7864666779715</c:v>
                </c:pt>
                <c:pt idx="179">
                  <c:v>6707.5762785140796</c:v>
                </c:pt>
                <c:pt idx="180">
                  <c:v>6857.2178450069141</c:v>
                </c:pt>
                <c:pt idx="181">
                  <c:v>7009.7668456629608</c:v>
                </c:pt>
                <c:pt idx="182">
                  <c:v>7165.2678717826093</c:v>
                </c:pt>
                <c:pt idx="183">
                  <c:v>7314.7689202315614</c:v>
                </c:pt>
                <c:pt idx="184">
                  <c:v>7465.316749105823</c:v>
                </c:pt>
                <c:pt idx="185">
                  <c:v>7611.2602814161664</c:v>
                </c:pt>
                <c:pt idx="186">
                  <c:v>7778.1197727922945</c:v>
                </c:pt>
                <c:pt idx="187">
                  <c:v>7939.7021865298329</c:v>
                </c:pt>
                <c:pt idx="188">
                  <c:v>8101.4468466179233</c:v>
                </c:pt>
                <c:pt idx="189">
                  <c:v>8256.6739353718149</c:v>
                </c:pt>
                <c:pt idx="190">
                  <c:v>8435.5224186785035</c:v>
                </c:pt>
                <c:pt idx="191">
                  <c:v>8597.0697834950988</c:v>
                </c:pt>
                <c:pt idx="192">
                  <c:v>8782.1504764887486</c:v>
                </c:pt>
                <c:pt idx="193">
                  <c:v>8960.7394965123949</c:v>
                </c:pt>
                <c:pt idx="194">
                  <c:v>9129.724870044447</c:v>
                </c:pt>
                <c:pt idx="195">
                  <c:v>9313.9519007254421</c:v>
                </c:pt>
                <c:pt idx="196">
                  <c:v>9512.0069376148203</c:v>
                </c:pt>
                <c:pt idx="197">
                  <c:v>9688.8748978932399</c:v>
                </c:pt>
                <c:pt idx="198">
                  <c:v>9893.5932577096482</c:v>
                </c:pt>
                <c:pt idx="199">
                  <c:v>10078.068357528799</c:v>
                </c:pt>
                <c:pt idx="200">
                  <c:v>10276.567761741315</c:v>
                </c:pt>
                <c:pt idx="201">
                  <c:v>10478.773332784484</c:v>
                </c:pt>
                <c:pt idx="202">
                  <c:v>10697.34568596966</c:v>
                </c:pt>
                <c:pt idx="203">
                  <c:v>10891.688100060317</c:v>
                </c:pt>
                <c:pt idx="204">
                  <c:v>11103.909226203492</c:v>
                </c:pt>
                <c:pt idx="205">
                  <c:v>11318.199678911345</c:v>
                </c:pt>
                <c:pt idx="206">
                  <c:v>11536.709946778186</c:v>
                </c:pt>
                <c:pt idx="207">
                  <c:v>11757.626401752144</c:v>
                </c:pt>
                <c:pt idx="208">
                  <c:v>11998.013195590955</c:v>
                </c:pt>
                <c:pt idx="209">
                  <c:v>12197.607401513123</c:v>
                </c:pt>
                <c:pt idx="210">
                  <c:v>12445.293740510562</c:v>
                </c:pt>
                <c:pt idx="211">
                  <c:v>12680.557135061288</c:v>
                </c:pt>
                <c:pt idx="212">
                  <c:v>12919.759023546279</c:v>
                </c:pt>
                <c:pt idx="213">
                  <c:v>13161.950958752137</c:v>
                </c:pt>
                <c:pt idx="214">
                  <c:v>13418.014287082535</c:v>
                </c:pt>
                <c:pt idx="215">
                  <c:v>13654.866649593892</c:v>
                </c:pt>
                <c:pt idx="216">
                  <c:v>13926.365462095036</c:v>
                </c:pt>
                <c:pt idx="217">
                  <c:v>14183.758599481467</c:v>
                </c:pt>
                <c:pt idx="218">
                  <c:v>14449.551667407999</c:v>
                </c:pt>
                <c:pt idx="219">
                  <c:v>14706.339225435449</c:v>
                </c:pt>
                <c:pt idx="220">
                  <c:v>14994.541189521115</c:v>
                </c:pt>
                <c:pt idx="221">
                  <c:v>15251.247205064647</c:v>
                </c:pt>
                <c:pt idx="222">
                  <c:v>15547.90950313605</c:v>
                </c:pt>
                <c:pt idx="223">
                  <c:v>15826.567459584696</c:v>
                </c:pt>
                <c:pt idx="224">
                  <c:v>16107.680945097352</c:v>
                </c:pt>
                <c:pt idx="225">
                  <c:v>16393.278210564273</c:v>
                </c:pt>
                <c:pt idx="226">
                  <c:v>16707.375205101154</c:v>
                </c:pt>
                <c:pt idx="227">
                  <c:v>16983.065611779934</c:v>
                </c:pt>
                <c:pt idx="228">
                  <c:v>17305.942928236462</c:v>
                </c:pt>
                <c:pt idx="229">
                  <c:v>17597.287679389221</c:v>
                </c:pt>
                <c:pt idx="230">
                  <c:v>17910.880954311062</c:v>
                </c:pt>
                <c:pt idx="231">
                  <c:v>18217.049734923774</c:v>
                </c:pt>
                <c:pt idx="232">
                  <c:v>18557.96909361345</c:v>
                </c:pt>
                <c:pt idx="233">
                  <c:v>18851.802351128521</c:v>
                </c:pt>
                <c:pt idx="234">
                  <c:v>19192.624724084835</c:v>
                </c:pt>
                <c:pt idx="235">
                  <c:v>19512.545564613836</c:v>
                </c:pt>
                <c:pt idx="236">
                  <c:v>19850.452320473876</c:v>
                </c:pt>
                <c:pt idx="237">
                  <c:v>20177.411074757227</c:v>
                </c:pt>
                <c:pt idx="238">
                  <c:v>20545.843220365292</c:v>
                </c:pt>
                <c:pt idx="239">
                  <c:v>20845.460762541377</c:v>
                </c:pt>
                <c:pt idx="240">
                  <c:v>21222.866540801377</c:v>
                </c:pt>
                <c:pt idx="241">
                  <c:v>21563.126017766281</c:v>
                </c:pt>
                <c:pt idx="242">
                  <c:v>21925.205851947969</c:v>
                </c:pt>
                <c:pt idx="243">
                  <c:v>22271.672995753725</c:v>
                </c:pt>
                <c:pt idx="244">
                  <c:v>22658.414352867596</c:v>
                </c:pt>
                <c:pt idx="245">
                  <c:v>23007.338856118298</c:v>
                </c:pt>
                <c:pt idx="246">
                  <c:v>23413.219723431022</c:v>
                </c:pt>
                <c:pt idx="247">
                  <c:v>23783.778588019039</c:v>
                </c:pt>
                <c:pt idx="248">
                  <c:v>24184.437345075909</c:v>
                </c:pt>
                <c:pt idx="249">
                  <c:v>24550.367469556571</c:v>
                </c:pt>
                <c:pt idx="250">
                  <c:v>24975.719985304535</c:v>
                </c:pt>
                <c:pt idx="251">
                  <c:v>25343.633224424848</c:v>
                </c:pt>
                <c:pt idx="252">
                  <c:v>25778.745597061923</c:v>
                </c:pt>
                <c:pt idx="253">
                  <c:v>26169.575078639013</c:v>
                </c:pt>
                <c:pt idx="254">
                  <c:v>26583.632309779197</c:v>
                </c:pt>
                <c:pt idx="255">
                  <c:v>26981.406922475166</c:v>
                </c:pt>
                <c:pt idx="256">
                  <c:v>27435.978018469326</c:v>
                </c:pt>
                <c:pt idx="257">
                  <c:v>27820.690775368734</c:v>
                </c:pt>
                <c:pt idx="258">
                  <c:v>28284.957848684142</c:v>
                </c:pt>
                <c:pt idx="259">
                  <c:v>28680.996908856581</c:v>
                </c:pt>
                <c:pt idx="260">
                  <c:v>29134.031337464414</c:v>
                </c:pt>
                <c:pt idx="261">
                  <c:v>29550.127105028598</c:v>
                </c:pt>
                <c:pt idx="262">
                  <c:v>30033.627105482024</c:v>
                </c:pt>
                <c:pt idx="263">
                  <c:v>30434.184319603275</c:v>
                </c:pt>
                <c:pt idx="264">
                  <c:v>30909.901229587558</c:v>
                </c:pt>
                <c:pt idx="265">
                  <c:v>31337.393430843589</c:v>
                </c:pt>
                <c:pt idx="266">
                  <c:v>31815.568691887172</c:v>
                </c:pt>
                <c:pt idx="267">
                  <c:v>32249.290167925803</c:v>
                </c:pt>
                <c:pt idx="268">
                  <c:v>32761.148503259381</c:v>
                </c:pt>
                <c:pt idx="269">
                  <c:v>33153.097384746725</c:v>
                </c:pt>
                <c:pt idx="270">
                  <c:v>33673.848138580368</c:v>
                </c:pt>
                <c:pt idx="271">
                  <c:v>34118.562115327753</c:v>
                </c:pt>
                <c:pt idx="272">
                  <c:v>34620.097043196758</c:v>
                </c:pt>
                <c:pt idx="273">
                  <c:v>35065.937301465143</c:v>
                </c:pt>
                <c:pt idx="274">
                  <c:v>35581.890029571085</c:v>
                </c:pt>
                <c:pt idx="275">
                  <c:v>36049.227686653634</c:v>
                </c:pt>
                <c:pt idx="276">
                  <c:v>36597.485905006688</c:v>
                </c:pt>
                <c:pt idx="277">
                  <c:v>37081.643892837063</c:v>
                </c:pt>
                <c:pt idx="278">
                  <c:v>37626.758030541692</c:v>
                </c:pt>
                <c:pt idx="279">
                  <c:v>38111.275922666304</c:v>
                </c:pt>
                <c:pt idx="280">
                  <c:v>38678.118271900195</c:v>
                </c:pt>
                <c:pt idx="281">
                  <c:v>39163.835301781364</c:v>
                </c:pt>
                <c:pt idx="282">
                  <c:v>39739.744436922185</c:v>
                </c:pt>
                <c:pt idx="283">
                  <c:v>40241.932119628829</c:v>
                </c:pt>
                <c:pt idx="284">
                  <c:v>40800.155442526797</c:v>
                </c:pt>
                <c:pt idx="285">
                  <c:v>41307.655549533338</c:v>
                </c:pt>
                <c:pt idx="286">
                  <c:v>41901.150480262237</c:v>
                </c:pt>
                <c:pt idx="287">
                  <c:v>42395.310273859875</c:v>
                </c:pt>
                <c:pt idx="288">
                  <c:v>42997.352690868931</c:v>
                </c:pt>
                <c:pt idx="289">
                  <c:v>43487.848896216819</c:v>
                </c:pt>
                <c:pt idx="290">
                  <c:v>44081.074458023344</c:v>
                </c:pt>
                <c:pt idx="291">
                  <c:v>44597.402781755707</c:v>
                </c:pt>
                <c:pt idx="292">
                  <c:v>45215.598454710933</c:v>
                </c:pt>
                <c:pt idx="293">
                  <c:v>45712.238680012451</c:v>
                </c:pt>
                <c:pt idx="294">
                  <c:v>46322.181704003488</c:v>
                </c:pt>
                <c:pt idx="295">
                  <c:v>46844.7642720082</c:v>
                </c:pt>
                <c:pt idx="296">
                  <c:v>47457.968200321317</c:v>
                </c:pt>
                <c:pt idx="297">
                  <c:v>47978.664963553187</c:v>
                </c:pt>
                <c:pt idx="298">
                  <c:v>48619.41602774975</c:v>
                </c:pt>
                <c:pt idx="299">
                  <c:v>49103.144854588034</c:v>
                </c:pt>
                <c:pt idx="300">
                  <c:v>49750.681405171541</c:v>
                </c:pt>
                <c:pt idx="301">
                  <c:v>50270.644145956772</c:v>
                </c:pt>
                <c:pt idx="302">
                  <c:v>50901.71367580229</c:v>
                </c:pt>
                <c:pt idx="303">
                  <c:v>51427.932331182375</c:v>
                </c:pt>
                <c:pt idx="304">
                  <c:v>52069.242304739637</c:v>
                </c:pt>
                <c:pt idx="305">
                  <c:v>52570.675291274973</c:v>
                </c:pt>
                <c:pt idx="306">
                  <c:v>53237.239249346756</c:v>
                </c:pt>
                <c:pt idx="307">
                  <c:v>53791.232450371739</c:v>
                </c:pt>
                <c:pt idx="308">
                  <c:v>54454.330533407439</c:v>
                </c:pt>
                <c:pt idx="309">
                  <c:v>55007.947363032094</c:v>
                </c:pt>
                <c:pt idx="310">
                  <c:v>55687.058739670356</c:v>
                </c:pt>
                <c:pt idx="311">
                  <c:v>56230.230223471146</c:v>
                </c:pt>
                <c:pt idx="312">
                  <c:v>56915.015175308254</c:v>
                </c:pt>
                <c:pt idx="313">
                  <c:v>57463.769586418588</c:v>
                </c:pt>
                <c:pt idx="314">
                  <c:v>58141.973167092357</c:v>
                </c:pt>
                <c:pt idx="315">
                  <c:v>58693.380782332075</c:v>
                </c:pt>
                <c:pt idx="316">
                  <c:v>59388.593761247226</c:v>
                </c:pt>
                <c:pt idx="317">
                  <c:v>59924.855120008651</c:v>
                </c:pt>
                <c:pt idx="318">
                  <c:v>60624.850370149099</c:v>
                </c:pt>
                <c:pt idx="319">
                  <c:v>61168.748406903658</c:v>
                </c:pt>
                <c:pt idx="320">
                  <c:v>61858.387998042417</c:v>
                </c:pt>
                <c:pt idx="321">
                  <c:v>62398.604614463526</c:v>
                </c:pt>
                <c:pt idx="322">
                  <c:v>63106.916336945644</c:v>
                </c:pt>
                <c:pt idx="323">
                  <c:v>63629.189574160904</c:v>
                </c:pt>
                <c:pt idx="324">
                  <c:v>64341.041463676323</c:v>
                </c:pt>
                <c:pt idx="325">
                  <c:v>64872.461624774762</c:v>
                </c:pt>
                <c:pt idx="326">
                  <c:v>65569.642208930134</c:v>
                </c:pt>
                <c:pt idx="327">
                  <c:v>66103.750044780711</c:v>
                </c:pt>
                <c:pt idx="328">
                  <c:v>66821.947050063187</c:v>
                </c:pt>
                <c:pt idx="329">
                  <c:v>67338.758603316383</c:v>
                </c:pt>
                <c:pt idx="330">
                  <c:v>68059.515851779724</c:v>
                </c:pt>
                <c:pt idx="331">
                  <c:v>68605.909042194457</c:v>
                </c:pt>
                <c:pt idx="332">
                  <c:v>69308.832602173599</c:v>
                </c:pt>
                <c:pt idx="333">
                  <c:v>69851.309508421051</c:v>
                </c:pt>
                <c:pt idx="334">
                  <c:v>70576.841364215055</c:v>
                </c:pt>
                <c:pt idx="335">
                  <c:v>70914.519615990706</c:v>
                </c:pt>
                <c:pt idx="336">
                  <c:v>71639.763971314038</c:v>
                </c:pt>
                <c:pt idx="337">
                  <c:v>72146.394932740543</c:v>
                </c:pt>
                <c:pt idx="338">
                  <c:v>72657.655315518539</c:v>
                </c:pt>
                <c:pt idx="339">
                  <c:v>73166.109975237676</c:v>
                </c:pt>
                <c:pt idx="340">
                  <c:v>73891.711180480255</c:v>
                </c:pt>
                <c:pt idx="341">
                  <c:v>74153.165304859911</c:v>
                </c:pt>
                <c:pt idx="342">
                  <c:v>74877.115694139851</c:v>
                </c:pt>
                <c:pt idx="343">
                  <c:v>75366.897929875093</c:v>
                </c:pt>
                <c:pt idx="344">
                  <c:v>75862.346642117394</c:v>
                </c:pt>
                <c:pt idx="345">
                  <c:v>76329.881034229475</c:v>
                </c:pt>
                <c:pt idx="346">
                  <c:v>77051.995300863215</c:v>
                </c:pt>
                <c:pt idx="347">
                  <c:v>77302.862156792835</c:v>
                </c:pt>
                <c:pt idx="348">
                  <c:v>78022.578392852272</c:v>
                </c:pt>
                <c:pt idx="349">
                  <c:v>78488.138559361265</c:v>
                </c:pt>
                <c:pt idx="350">
                  <c:v>78988.500066397391</c:v>
                </c:pt>
                <c:pt idx="351">
                  <c:v>79447.064800969223</c:v>
                </c:pt>
                <c:pt idx="352">
                  <c:v>80163.197748207065</c:v>
                </c:pt>
                <c:pt idx="353">
                  <c:v>80382.792313798971</c:v>
                </c:pt>
                <c:pt idx="354">
                  <c:v>81095.643236682445</c:v>
                </c:pt>
                <c:pt idx="355">
                  <c:v>81546.197208218044</c:v>
                </c:pt>
                <c:pt idx="356">
                  <c:v>82039.142065790627</c:v>
                </c:pt>
                <c:pt idx="357">
                  <c:v>82475.17820642727</c:v>
                </c:pt>
                <c:pt idx="358">
                  <c:v>83182.890831687953</c:v>
                </c:pt>
                <c:pt idx="359">
                  <c:v>83373.81272767717</c:v>
                </c:pt>
                <c:pt idx="360">
                  <c:v>84077.473938854644</c:v>
                </c:pt>
                <c:pt idx="361">
                  <c:v>84506.593409865294</c:v>
                </c:pt>
                <c:pt idx="362">
                  <c:v>84949.919490852131</c:v>
                </c:pt>
                <c:pt idx="363">
                  <c:v>85352.036401974081</c:v>
                </c:pt>
                <c:pt idx="364">
                  <c:v>86048.883256792178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31-4795-809D-58E9666CED18}"/>
            </c:ext>
          </c:extLst>
        </c:ser>
        <c:ser>
          <c:idx val="1"/>
          <c:order val="1"/>
          <c:tx>
            <c:v>2年目級群</c:v>
          </c:tx>
          <c:spPr>
            <a:solidFill>
              <a:srgbClr val="FF5050"/>
            </a:solidFill>
            <a:ln>
              <a:noFill/>
            </a:ln>
            <a:effectLst/>
          </c:spPr>
          <c:cat>
            <c:numRef>
              <c:f>マアナゴ!$A$3:$A$367</c:f>
              <c:numCache>
                <c:formatCode>m/d/yyyy</c:formatCode>
                <c:ptCount val="365"/>
                <c:pt idx="0">
                  <c:v>41730</c:v>
                </c:pt>
                <c:pt idx="1">
                  <c:v>41731</c:v>
                </c:pt>
                <c:pt idx="2">
                  <c:v>41732</c:v>
                </c:pt>
                <c:pt idx="3">
                  <c:v>41733</c:v>
                </c:pt>
                <c:pt idx="4">
                  <c:v>41734</c:v>
                </c:pt>
                <c:pt idx="5">
                  <c:v>41735</c:v>
                </c:pt>
                <c:pt idx="6">
                  <c:v>41736</c:v>
                </c:pt>
                <c:pt idx="7">
                  <c:v>41737</c:v>
                </c:pt>
                <c:pt idx="8">
                  <c:v>41738</c:v>
                </c:pt>
                <c:pt idx="9">
                  <c:v>41739</c:v>
                </c:pt>
                <c:pt idx="10">
                  <c:v>41740</c:v>
                </c:pt>
                <c:pt idx="11">
                  <c:v>41741</c:v>
                </c:pt>
                <c:pt idx="12">
                  <c:v>41742</c:v>
                </c:pt>
                <c:pt idx="13">
                  <c:v>41743</c:v>
                </c:pt>
                <c:pt idx="14">
                  <c:v>41744</c:v>
                </c:pt>
                <c:pt idx="15">
                  <c:v>41745</c:v>
                </c:pt>
                <c:pt idx="16">
                  <c:v>41746</c:v>
                </c:pt>
                <c:pt idx="17">
                  <c:v>41747</c:v>
                </c:pt>
                <c:pt idx="18">
                  <c:v>41748</c:v>
                </c:pt>
                <c:pt idx="19">
                  <c:v>41749</c:v>
                </c:pt>
                <c:pt idx="20">
                  <c:v>41750</c:v>
                </c:pt>
                <c:pt idx="21">
                  <c:v>41751</c:v>
                </c:pt>
                <c:pt idx="22">
                  <c:v>41752</c:v>
                </c:pt>
                <c:pt idx="23">
                  <c:v>41753</c:v>
                </c:pt>
                <c:pt idx="24">
                  <c:v>41754</c:v>
                </c:pt>
                <c:pt idx="25">
                  <c:v>41755</c:v>
                </c:pt>
                <c:pt idx="26">
                  <c:v>41756</c:v>
                </c:pt>
                <c:pt idx="27">
                  <c:v>41757</c:v>
                </c:pt>
                <c:pt idx="28">
                  <c:v>41758</c:v>
                </c:pt>
                <c:pt idx="29">
                  <c:v>41759</c:v>
                </c:pt>
                <c:pt idx="30">
                  <c:v>41760</c:v>
                </c:pt>
                <c:pt idx="31">
                  <c:v>41761</c:v>
                </c:pt>
                <c:pt idx="32">
                  <c:v>41762</c:v>
                </c:pt>
                <c:pt idx="33">
                  <c:v>41763</c:v>
                </c:pt>
                <c:pt idx="34">
                  <c:v>41764</c:v>
                </c:pt>
                <c:pt idx="35">
                  <c:v>41765</c:v>
                </c:pt>
                <c:pt idx="36">
                  <c:v>41766</c:v>
                </c:pt>
                <c:pt idx="37">
                  <c:v>41767</c:v>
                </c:pt>
                <c:pt idx="38">
                  <c:v>41768</c:v>
                </c:pt>
                <c:pt idx="39">
                  <c:v>41769</c:v>
                </c:pt>
                <c:pt idx="40">
                  <c:v>41770</c:v>
                </c:pt>
                <c:pt idx="41">
                  <c:v>41771</c:v>
                </c:pt>
                <c:pt idx="42">
                  <c:v>41772</c:v>
                </c:pt>
                <c:pt idx="43">
                  <c:v>41773</c:v>
                </c:pt>
                <c:pt idx="44">
                  <c:v>41774</c:v>
                </c:pt>
                <c:pt idx="45">
                  <c:v>41775</c:v>
                </c:pt>
                <c:pt idx="46">
                  <c:v>41776</c:v>
                </c:pt>
                <c:pt idx="47">
                  <c:v>41777</c:v>
                </c:pt>
                <c:pt idx="48">
                  <c:v>41778</c:v>
                </c:pt>
                <c:pt idx="49">
                  <c:v>41779</c:v>
                </c:pt>
                <c:pt idx="50">
                  <c:v>41780</c:v>
                </c:pt>
                <c:pt idx="51">
                  <c:v>41781</c:v>
                </c:pt>
                <c:pt idx="52">
                  <c:v>41782</c:v>
                </c:pt>
                <c:pt idx="53">
                  <c:v>41783</c:v>
                </c:pt>
                <c:pt idx="54">
                  <c:v>41784</c:v>
                </c:pt>
                <c:pt idx="55">
                  <c:v>41785</c:v>
                </c:pt>
                <c:pt idx="56">
                  <c:v>41786</c:v>
                </c:pt>
                <c:pt idx="57">
                  <c:v>41787</c:v>
                </c:pt>
                <c:pt idx="58">
                  <c:v>41788</c:v>
                </c:pt>
                <c:pt idx="59">
                  <c:v>41789</c:v>
                </c:pt>
                <c:pt idx="60">
                  <c:v>41790</c:v>
                </c:pt>
                <c:pt idx="61">
                  <c:v>41791</c:v>
                </c:pt>
                <c:pt idx="62">
                  <c:v>41792</c:v>
                </c:pt>
                <c:pt idx="63">
                  <c:v>41793</c:v>
                </c:pt>
                <c:pt idx="64">
                  <c:v>41794</c:v>
                </c:pt>
                <c:pt idx="65">
                  <c:v>41795</c:v>
                </c:pt>
                <c:pt idx="66">
                  <c:v>41796</c:v>
                </c:pt>
                <c:pt idx="67">
                  <c:v>41797</c:v>
                </c:pt>
                <c:pt idx="68">
                  <c:v>41798</c:v>
                </c:pt>
                <c:pt idx="69">
                  <c:v>41799</c:v>
                </c:pt>
                <c:pt idx="70">
                  <c:v>41800</c:v>
                </c:pt>
                <c:pt idx="71">
                  <c:v>41801</c:v>
                </c:pt>
                <c:pt idx="72">
                  <c:v>41802</c:v>
                </c:pt>
                <c:pt idx="73">
                  <c:v>41803</c:v>
                </c:pt>
                <c:pt idx="74">
                  <c:v>41804</c:v>
                </c:pt>
                <c:pt idx="75">
                  <c:v>41805</c:v>
                </c:pt>
                <c:pt idx="76">
                  <c:v>41806</c:v>
                </c:pt>
                <c:pt idx="77">
                  <c:v>41807</c:v>
                </c:pt>
                <c:pt idx="78">
                  <c:v>41808</c:v>
                </c:pt>
                <c:pt idx="79">
                  <c:v>41809</c:v>
                </c:pt>
                <c:pt idx="80">
                  <c:v>41810</c:v>
                </c:pt>
                <c:pt idx="81">
                  <c:v>41811</c:v>
                </c:pt>
                <c:pt idx="82">
                  <c:v>41812</c:v>
                </c:pt>
                <c:pt idx="83">
                  <c:v>41813</c:v>
                </c:pt>
                <c:pt idx="84">
                  <c:v>41814</c:v>
                </c:pt>
                <c:pt idx="85">
                  <c:v>41815</c:v>
                </c:pt>
                <c:pt idx="86">
                  <c:v>41816</c:v>
                </c:pt>
                <c:pt idx="87">
                  <c:v>41817</c:v>
                </c:pt>
                <c:pt idx="88">
                  <c:v>41818</c:v>
                </c:pt>
                <c:pt idx="89">
                  <c:v>41819</c:v>
                </c:pt>
                <c:pt idx="90">
                  <c:v>41820</c:v>
                </c:pt>
                <c:pt idx="91">
                  <c:v>41821</c:v>
                </c:pt>
                <c:pt idx="92">
                  <c:v>41822</c:v>
                </c:pt>
                <c:pt idx="93">
                  <c:v>41823</c:v>
                </c:pt>
                <c:pt idx="94">
                  <c:v>41824</c:v>
                </c:pt>
                <c:pt idx="95">
                  <c:v>41825</c:v>
                </c:pt>
                <c:pt idx="96">
                  <c:v>41826</c:v>
                </c:pt>
                <c:pt idx="97">
                  <c:v>41827</c:v>
                </c:pt>
                <c:pt idx="98">
                  <c:v>41828</c:v>
                </c:pt>
                <c:pt idx="99">
                  <c:v>41829</c:v>
                </c:pt>
                <c:pt idx="100">
                  <c:v>41830</c:v>
                </c:pt>
                <c:pt idx="101">
                  <c:v>41831</c:v>
                </c:pt>
                <c:pt idx="102">
                  <c:v>41832</c:v>
                </c:pt>
                <c:pt idx="103">
                  <c:v>41833</c:v>
                </c:pt>
                <c:pt idx="104">
                  <c:v>41834</c:v>
                </c:pt>
                <c:pt idx="105">
                  <c:v>41835</c:v>
                </c:pt>
                <c:pt idx="106">
                  <c:v>41836</c:v>
                </c:pt>
                <c:pt idx="107">
                  <c:v>41837</c:v>
                </c:pt>
                <c:pt idx="108">
                  <c:v>41838</c:v>
                </c:pt>
                <c:pt idx="109">
                  <c:v>41839</c:v>
                </c:pt>
                <c:pt idx="110">
                  <c:v>41840</c:v>
                </c:pt>
                <c:pt idx="111">
                  <c:v>41841</c:v>
                </c:pt>
                <c:pt idx="112">
                  <c:v>41842</c:v>
                </c:pt>
                <c:pt idx="113">
                  <c:v>41843</c:v>
                </c:pt>
                <c:pt idx="114">
                  <c:v>41844</c:v>
                </c:pt>
                <c:pt idx="115">
                  <c:v>41845</c:v>
                </c:pt>
                <c:pt idx="116">
                  <c:v>41846</c:v>
                </c:pt>
                <c:pt idx="117">
                  <c:v>41847</c:v>
                </c:pt>
                <c:pt idx="118">
                  <c:v>41848</c:v>
                </c:pt>
                <c:pt idx="119">
                  <c:v>41849</c:v>
                </c:pt>
                <c:pt idx="120">
                  <c:v>41850</c:v>
                </c:pt>
                <c:pt idx="121">
                  <c:v>41851</c:v>
                </c:pt>
                <c:pt idx="122">
                  <c:v>41852</c:v>
                </c:pt>
                <c:pt idx="123">
                  <c:v>41853</c:v>
                </c:pt>
                <c:pt idx="124">
                  <c:v>41854</c:v>
                </c:pt>
                <c:pt idx="125">
                  <c:v>41855</c:v>
                </c:pt>
                <c:pt idx="126">
                  <c:v>41856</c:v>
                </c:pt>
                <c:pt idx="127">
                  <c:v>41857</c:v>
                </c:pt>
                <c:pt idx="128">
                  <c:v>41858</c:v>
                </c:pt>
                <c:pt idx="129">
                  <c:v>41859</c:v>
                </c:pt>
                <c:pt idx="130">
                  <c:v>41860</c:v>
                </c:pt>
                <c:pt idx="131">
                  <c:v>41861</c:v>
                </c:pt>
                <c:pt idx="132">
                  <c:v>41862</c:v>
                </c:pt>
                <c:pt idx="133">
                  <c:v>41863</c:v>
                </c:pt>
                <c:pt idx="134">
                  <c:v>41864</c:v>
                </c:pt>
                <c:pt idx="135">
                  <c:v>41865</c:v>
                </c:pt>
                <c:pt idx="136">
                  <c:v>41866</c:v>
                </c:pt>
                <c:pt idx="137">
                  <c:v>41867</c:v>
                </c:pt>
                <c:pt idx="138">
                  <c:v>41868</c:v>
                </c:pt>
                <c:pt idx="139">
                  <c:v>41869</c:v>
                </c:pt>
                <c:pt idx="140">
                  <c:v>41870</c:v>
                </c:pt>
                <c:pt idx="141">
                  <c:v>41871</c:v>
                </c:pt>
                <c:pt idx="142">
                  <c:v>41872</c:v>
                </c:pt>
                <c:pt idx="143">
                  <c:v>41873</c:v>
                </c:pt>
                <c:pt idx="144">
                  <c:v>41874</c:v>
                </c:pt>
                <c:pt idx="145">
                  <c:v>41875</c:v>
                </c:pt>
                <c:pt idx="146">
                  <c:v>41876</c:v>
                </c:pt>
                <c:pt idx="147">
                  <c:v>41877</c:v>
                </c:pt>
                <c:pt idx="148">
                  <c:v>41878</c:v>
                </c:pt>
                <c:pt idx="149">
                  <c:v>41879</c:v>
                </c:pt>
                <c:pt idx="150">
                  <c:v>41880</c:v>
                </c:pt>
                <c:pt idx="151">
                  <c:v>41881</c:v>
                </c:pt>
                <c:pt idx="152">
                  <c:v>41882</c:v>
                </c:pt>
                <c:pt idx="153">
                  <c:v>41883</c:v>
                </c:pt>
                <c:pt idx="154">
                  <c:v>41884</c:v>
                </c:pt>
                <c:pt idx="155">
                  <c:v>41885</c:v>
                </c:pt>
                <c:pt idx="156">
                  <c:v>41886</c:v>
                </c:pt>
                <c:pt idx="157">
                  <c:v>41887</c:v>
                </c:pt>
                <c:pt idx="158">
                  <c:v>41888</c:v>
                </c:pt>
                <c:pt idx="159">
                  <c:v>41889</c:v>
                </c:pt>
                <c:pt idx="160">
                  <c:v>41890</c:v>
                </c:pt>
                <c:pt idx="161">
                  <c:v>41891</c:v>
                </c:pt>
                <c:pt idx="162">
                  <c:v>41892</c:v>
                </c:pt>
                <c:pt idx="163">
                  <c:v>41893</c:v>
                </c:pt>
                <c:pt idx="164">
                  <c:v>41894</c:v>
                </c:pt>
                <c:pt idx="165">
                  <c:v>41895</c:v>
                </c:pt>
                <c:pt idx="166">
                  <c:v>41896</c:v>
                </c:pt>
                <c:pt idx="167">
                  <c:v>41897</c:v>
                </c:pt>
                <c:pt idx="168">
                  <c:v>41898</c:v>
                </c:pt>
                <c:pt idx="169">
                  <c:v>41899</c:v>
                </c:pt>
                <c:pt idx="170">
                  <c:v>41900</c:v>
                </c:pt>
                <c:pt idx="171">
                  <c:v>41901</c:v>
                </c:pt>
                <c:pt idx="172">
                  <c:v>41902</c:v>
                </c:pt>
                <c:pt idx="173">
                  <c:v>41903</c:v>
                </c:pt>
                <c:pt idx="174">
                  <c:v>41904</c:v>
                </c:pt>
                <c:pt idx="175">
                  <c:v>41905</c:v>
                </c:pt>
                <c:pt idx="176">
                  <c:v>41906</c:v>
                </c:pt>
                <c:pt idx="177">
                  <c:v>41907</c:v>
                </c:pt>
                <c:pt idx="178">
                  <c:v>41908</c:v>
                </c:pt>
                <c:pt idx="179">
                  <c:v>41909</c:v>
                </c:pt>
                <c:pt idx="180">
                  <c:v>41910</c:v>
                </c:pt>
                <c:pt idx="181">
                  <c:v>41911</c:v>
                </c:pt>
                <c:pt idx="182">
                  <c:v>41912</c:v>
                </c:pt>
                <c:pt idx="183">
                  <c:v>41913</c:v>
                </c:pt>
                <c:pt idx="184">
                  <c:v>41914</c:v>
                </c:pt>
                <c:pt idx="185">
                  <c:v>41915</c:v>
                </c:pt>
                <c:pt idx="186">
                  <c:v>41916</c:v>
                </c:pt>
                <c:pt idx="187">
                  <c:v>41917</c:v>
                </c:pt>
                <c:pt idx="188">
                  <c:v>41918</c:v>
                </c:pt>
                <c:pt idx="189">
                  <c:v>41919</c:v>
                </c:pt>
                <c:pt idx="190">
                  <c:v>41920</c:v>
                </c:pt>
                <c:pt idx="191">
                  <c:v>41921</c:v>
                </c:pt>
                <c:pt idx="192">
                  <c:v>41922</c:v>
                </c:pt>
                <c:pt idx="193">
                  <c:v>41923</c:v>
                </c:pt>
                <c:pt idx="194">
                  <c:v>41924</c:v>
                </c:pt>
                <c:pt idx="195">
                  <c:v>41925</c:v>
                </c:pt>
                <c:pt idx="196">
                  <c:v>41926</c:v>
                </c:pt>
                <c:pt idx="197">
                  <c:v>41927</c:v>
                </c:pt>
                <c:pt idx="198">
                  <c:v>41928</c:v>
                </c:pt>
                <c:pt idx="199">
                  <c:v>41929</c:v>
                </c:pt>
                <c:pt idx="200">
                  <c:v>41930</c:v>
                </c:pt>
                <c:pt idx="201">
                  <c:v>41931</c:v>
                </c:pt>
                <c:pt idx="202">
                  <c:v>41932</c:v>
                </c:pt>
                <c:pt idx="203">
                  <c:v>41933</c:v>
                </c:pt>
                <c:pt idx="204">
                  <c:v>41934</c:v>
                </c:pt>
                <c:pt idx="205">
                  <c:v>41935</c:v>
                </c:pt>
                <c:pt idx="206">
                  <c:v>41936</c:v>
                </c:pt>
                <c:pt idx="207">
                  <c:v>41937</c:v>
                </c:pt>
                <c:pt idx="208">
                  <c:v>41938</c:v>
                </c:pt>
                <c:pt idx="209">
                  <c:v>41939</c:v>
                </c:pt>
                <c:pt idx="210">
                  <c:v>41940</c:v>
                </c:pt>
                <c:pt idx="211">
                  <c:v>41941</c:v>
                </c:pt>
                <c:pt idx="212">
                  <c:v>41942</c:v>
                </c:pt>
                <c:pt idx="213">
                  <c:v>41943</c:v>
                </c:pt>
                <c:pt idx="214">
                  <c:v>41944</c:v>
                </c:pt>
                <c:pt idx="215">
                  <c:v>41945</c:v>
                </c:pt>
                <c:pt idx="216">
                  <c:v>41946</c:v>
                </c:pt>
                <c:pt idx="217">
                  <c:v>41947</c:v>
                </c:pt>
                <c:pt idx="218">
                  <c:v>41948</c:v>
                </c:pt>
                <c:pt idx="219">
                  <c:v>41949</c:v>
                </c:pt>
                <c:pt idx="220">
                  <c:v>41950</c:v>
                </c:pt>
                <c:pt idx="221">
                  <c:v>41951</c:v>
                </c:pt>
                <c:pt idx="222">
                  <c:v>41952</c:v>
                </c:pt>
                <c:pt idx="223">
                  <c:v>41953</c:v>
                </c:pt>
                <c:pt idx="224">
                  <c:v>41954</c:v>
                </c:pt>
                <c:pt idx="225">
                  <c:v>41955</c:v>
                </c:pt>
                <c:pt idx="226">
                  <c:v>41956</c:v>
                </c:pt>
                <c:pt idx="227">
                  <c:v>41957</c:v>
                </c:pt>
                <c:pt idx="228">
                  <c:v>41958</c:v>
                </c:pt>
                <c:pt idx="229">
                  <c:v>41959</c:v>
                </c:pt>
                <c:pt idx="230">
                  <c:v>41960</c:v>
                </c:pt>
                <c:pt idx="231">
                  <c:v>41961</c:v>
                </c:pt>
                <c:pt idx="232">
                  <c:v>41962</c:v>
                </c:pt>
                <c:pt idx="233">
                  <c:v>41963</c:v>
                </c:pt>
                <c:pt idx="234">
                  <c:v>41964</c:v>
                </c:pt>
                <c:pt idx="235">
                  <c:v>41965</c:v>
                </c:pt>
                <c:pt idx="236">
                  <c:v>41966</c:v>
                </c:pt>
                <c:pt idx="237">
                  <c:v>41967</c:v>
                </c:pt>
                <c:pt idx="238">
                  <c:v>41968</c:v>
                </c:pt>
                <c:pt idx="239">
                  <c:v>41969</c:v>
                </c:pt>
                <c:pt idx="240">
                  <c:v>41970</c:v>
                </c:pt>
                <c:pt idx="241">
                  <c:v>41971</c:v>
                </c:pt>
                <c:pt idx="242">
                  <c:v>41972</c:v>
                </c:pt>
                <c:pt idx="243">
                  <c:v>41973</c:v>
                </c:pt>
                <c:pt idx="244">
                  <c:v>41974</c:v>
                </c:pt>
                <c:pt idx="245">
                  <c:v>41975</c:v>
                </c:pt>
                <c:pt idx="246">
                  <c:v>41976</c:v>
                </c:pt>
                <c:pt idx="247">
                  <c:v>41977</c:v>
                </c:pt>
                <c:pt idx="248">
                  <c:v>41978</c:v>
                </c:pt>
                <c:pt idx="249">
                  <c:v>41979</c:v>
                </c:pt>
                <c:pt idx="250">
                  <c:v>41980</c:v>
                </c:pt>
                <c:pt idx="251">
                  <c:v>41981</c:v>
                </c:pt>
                <c:pt idx="252">
                  <c:v>41982</c:v>
                </c:pt>
                <c:pt idx="253">
                  <c:v>41983</c:v>
                </c:pt>
                <c:pt idx="254">
                  <c:v>41984</c:v>
                </c:pt>
                <c:pt idx="255">
                  <c:v>41985</c:v>
                </c:pt>
                <c:pt idx="256">
                  <c:v>41986</c:v>
                </c:pt>
                <c:pt idx="257">
                  <c:v>41987</c:v>
                </c:pt>
                <c:pt idx="258">
                  <c:v>41988</c:v>
                </c:pt>
                <c:pt idx="259">
                  <c:v>41989</c:v>
                </c:pt>
                <c:pt idx="260">
                  <c:v>41990</c:v>
                </c:pt>
                <c:pt idx="261">
                  <c:v>41991</c:v>
                </c:pt>
                <c:pt idx="262">
                  <c:v>41992</c:v>
                </c:pt>
                <c:pt idx="263">
                  <c:v>41993</c:v>
                </c:pt>
                <c:pt idx="264">
                  <c:v>41994</c:v>
                </c:pt>
                <c:pt idx="265">
                  <c:v>41995</c:v>
                </c:pt>
                <c:pt idx="266">
                  <c:v>41996</c:v>
                </c:pt>
                <c:pt idx="267">
                  <c:v>41997</c:v>
                </c:pt>
                <c:pt idx="268">
                  <c:v>41998</c:v>
                </c:pt>
                <c:pt idx="269">
                  <c:v>41999</c:v>
                </c:pt>
                <c:pt idx="270">
                  <c:v>42000</c:v>
                </c:pt>
                <c:pt idx="271">
                  <c:v>42001</c:v>
                </c:pt>
                <c:pt idx="272">
                  <c:v>42002</c:v>
                </c:pt>
                <c:pt idx="273">
                  <c:v>42003</c:v>
                </c:pt>
                <c:pt idx="274">
                  <c:v>42004</c:v>
                </c:pt>
                <c:pt idx="275">
                  <c:v>42005</c:v>
                </c:pt>
                <c:pt idx="276">
                  <c:v>42006</c:v>
                </c:pt>
                <c:pt idx="277">
                  <c:v>42007</c:v>
                </c:pt>
                <c:pt idx="278">
                  <c:v>42008</c:v>
                </c:pt>
                <c:pt idx="279">
                  <c:v>42009</c:v>
                </c:pt>
                <c:pt idx="280">
                  <c:v>42010</c:v>
                </c:pt>
                <c:pt idx="281">
                  <c:v>42011</c:v>
                </c:pt>
                <c:pt idx="282">
                  <c:v>42012</c:v>
                </c:pt>
                <c:pt idx="283">
                  <c:v>42013</c:v>
                </c:pt>
                <c:pt idx="284">
                  <c:v>42014</c:v>
                </c:pt>
                <c:pt idx="285">
                  <c:v>42015</c:v>
                </c:pt>
                <c:pt idx="286">
                  <c:v>42016</c:v>
                </c:pt>
                <c:pt idx="287">
                  <c:v>42017</c:v>
                </c:pt>
                <c:pt idx="288">
                  <c:v>42018</c:v>
                </c:pt>
                <c:pt idx="289">
                  <c:v>42019</c:v>
                </c:pt>
                <c:pt idx="290">
                  <c:v>42020</c:v>
                </c:pt>
                <c:pt idx="291">
                  <c:v>42021</c:v>
                </c:pt>
                <c:pt idx="292">
                  <c:v>42022</c:v>
                </c:pt>
                <c:pt idx="293">
                  <c:v>42023</c:v>
                </c:pt>
                <c:pt idx="294">
                  <c:v>42024</c:v>
                </c:pt>
                <c:pt idx="295">
                  <c:v>42025</c:v>
                </c:pt>
                <c:pt idx="296">
                  <c:v>42026</c:v>
                </c:pt>
                <c:pt idx="297">
                  <c:v>42027</c:v>
                </c:pt>
                <c:pt idx="298">
                  <c:v>42028</c:v>
                </c:pt>
                <c:pt idx="299">
                  <c:v>42029</c:v>
                </c:pt>
                <c:pt idx="300">
                  <c:v>42030</c:v>
                </c:pt>
                <c:pt idx="301">
                  <c:v>42031</c:v>
                </c:pt>
                <c:pt idx="302">
                  <c:v>42032</c:v>
                </c:pt>
                <c:pt idx="303">
                  <c:v>42033</c:v>
                </c:pt>
                <c:pt idx="304">
                  <c:v>42034</c:v>
                </c:pt>
                <c:pt idx="305">
                  <c:v>42035</c:v>
                </c:pt>
                <c:pt idx="306">
                  <c:v>42036</c:v>
                </c:pt>
                <c:pt idx="307">
                  <c:v>42037</c:v>
                </c:pt>
                <c:pt idx="308">
                  <c:v>42038</c:v>
                </c:pt>
                <c:pt idx="309">
                  <c:v>42039</c:v>
                </c:pt>
                <c:pt idx="310">
                  <c:v>42040</c:v>
                </c:pt>
                <c:pt idx="311">
                  <c:v>42041</c:v>
                </c:pt>
                <c:pt idx="312">
                  <c:v>42042</c:v>
                </c:pt>
                <c:pt idx="313">
                  <c:v>42043</c:v>
                </c:pt>
                <c:pt idx="314">
                  <c:v>42044</c:v>
                </c:pt>
                <c:pt idx="315">
                  <c:v>42045</c:v>
                </c:pt>
                <c:pt idx="316">
                  <c:v>42046</c:v>
                </c:pt>
                <c:pt idx="317">
                  <c:v>42047</c:v>
                </c:pt>
                <c:pt idx="318">
                  <c:v>42048</c:v>
                </c:pt>
                <c:pt idx="319">
                  <c:v>42049</c:v>
                </c:pt>
                <c:pt idx="320">
                  <c:v>42050</c:v>
                </c:pt>
                <c:pt idx="321">
                  <c:v>42051</c:v>
                </c:pt>
                <c:pt idx="322">
                  <c:v>42052</c:v>
                </c:pt>
                <c:pt idx="323">
                  <c:v>42053</c:v>
                </c:pt>
                <c:pt idx="324">
                  <c:v>42054</c:v>
                </c:pt>
                <c:pt idx="325">
                  <c:v>42055</c:v>
                </c:pt>
                <c:pt idx="326">
                  <c:v>42056</c:v>
                </c:pt>
                <c:pt idx="327">
                  <c:v>42057</c:v>
                </c:pt>
                <c:pt idx="328">
                  <c:v>42058</c:v>
                </c:pt>
                <c:pt idx="329">
                  <c:v>42059</c:v>
                </c:pt>
                <c:pt idx="330">
                  <c:v>42060</c:v>
                </c:pt>
                <c:pt idx="331">
                  <c:v>42061</c:v>
                </c:pt>
                <c:pt idx="332">
                  <c:v>42062</c:v>
                </c:pt>
                <c:pt idx="333">
                  <c:v>42063</c:v>
                </c:pt>
                <c:pt idx="334">
                  <c:v>42064</c:v>
                </c:pt>
                <c:pt idx="335">
                  <c:v>42065</c:v>
                </c:pt>
                <c:pt idx="336">
                  <c:v>42066</c:v>
                </c:pt>
                <c:pt idx="337">
                  <c:v>42067</c:v>
                </c:pt>
                <c:pt idx="338">
                  <c:v>42068</c:v>
                </c:pt>
                <c:pt idx="339">
                  <c:v>42069</c:v>
                </c:pt>
                <c:pt idx="340">
                  <c:v>42070</c:v>
                </c:pt>
                <c:pt idx="341">
                  <c:v>42071</c:v>
                </c:pt>
                <c:pt idx="342">
                  <c:v>42072</c:v>
                </c:pt>
                <c:pt idx="343">
                  <c:v>42073</c:v>
                </c:pt>
                <c:pt idx="344">
                  <c:v>42074</c:v>
                </c:pt>
                <c:pt idx="345">
                  <c:v>42075</c:v>
                </c:pt>
                <c:pt idx="346">
                  <c:v>42076</c:v>
                </c:pt>
                <c:pt idx="347">
                  <c:v>42077</c:v>
                </c:pt>
                <c:pt idx="348">
                  <c:v>42078</c:v>
                </c:pt>
                <c:pt idx="349">
                  <c:v>42079</c:v>
                </c:pt>
                <c:pt idx="350">
                  <c:v>42080</c:v>
                </c:pt>
                <c:pt idx="351">
                  <c:v>42081</c:v>
                </c:pt>
                <c:pt idx="352">
                  <c:v>42082</c:v>
                </c:pt>
                <c:pt idx="353">
                  <c:v>42083</c:v>
                </c:pt>
                <c:pt idx="354">
                  <c:v>42084</c:v>
                </c:pt>
                <c:pt idx="355">
                  <c:v>42085</c:v>
                </c:pt>
                <c:pt idx="356">
                  <c:v>42086</c:v>
                </c:pt>
                <c:pt idx="357">
                  <c:v>42087</c:v>
                </c:pt>
                <c:pt idx="358">
                  <c:v>42088</c:v>
                </c:pt>
                <c:pt idx="359">
                  <c:v>42089</c:v>
                </c:pt>
                <c:pt idx="360">
                  <c:v>42090</c:v>
                </c:pt>
                <c:pt idx="361">
                  <c:v>42091</c:v>
                </c:pt>
                <c:pt idx="362">
                  <c:v>42092</c:v>
                </c:pt>
                <c:pt idx="363">
                  <c:v>42093</c:v>
                </c:pt>
                <c:pt idx="364">
                  <c:v>42094</c:v>
                </c:pt>
              </c:numCache>
            </c:numRef>
          </c:cat>
          <c:val>
            <c:numRef>
              <c:f>マアナゴ!$AI$3:$AI$367</c:f>
              <c:numCache>
                <c:formatCode>0</c:formatCode>
                <c:ptCount val="365"/>
                <c:pt idx="0">
                  <c:v>86750.030926482999</c:v>
                </c:pt>
                <c:pt idx="1">
                  <c:v>86897.66051854947</c:v>
                </c:pt>
                <c:pt idx="2">
                  <c:v>87235.455321211848</c:v>
                </c:pt>
                <c:pt idx="3">
                  <c:v>87368.293277314137</c:v>
                </c:pt>
                <c:pt idx="4">
                  <c:v>87946.372420962653</c:v>
                </c:pt>
                <c:pt idx="5">
                  <c:v>87695.581757414766</c:v>
                </c:pt>
                <c:pt idx="6">
                  <c:v>88370.267300110427</c:v>
                </c:pt>
                <c:pt idx="7">
                  <c:v>88443.506080024876</c:v>
                </c:pt>
                <c:pt idx="8">
                  <c:v>88765.659844631969</c:v>
                </c:pt>
                <c:pt idx="9">
                  <c:v>88714.227041517035</c:v>
                </c:pt>
                <c:pt idx="10">
                  <c:v>89373.933231813469</c:v>
                </c:pt>
                <c:pt idx="11">
                  <c:v>89065.820635871685</c:v>
                </c:pt>
                <c:pt idx="12">
                  <c:v>89716.844573833252</c:v>
                </c:pt>
                <c:pt idx="13">
                  <c:v>89725.767229842342</c:v>
                </c:pt>
                <c:pt idx="14">
                  <c:v>89926.499973631464</c:v>
                </c:pt>
                <c:pt idx="15">
                  <c:v>89920.220361983404</c:v>
                </c:pt>
                <c:pt idx="16">
                  <c:v>90554.810583024693</c:v>
                </c:pt>
                <c:pt idx="17">
                  <c:v>90187.663483711163</c:v>
                </c:pt>
                <c:pt idx="18">
                  <c:v>90813.446628947029</c:v>
                </c:pt>
                <c:pt idx="19">
                  <c:v>90650.90997126486</c:v>
                </c:pt>
                <c:pt idx="20">
                  <c:v>90936.288258015775</c:v>
                </c:pt>
                <c:pt idx="21">
                  <c:v>90871.754682069062</c:v>
                </c:pt>
                <c:pt idx="22">
                  <c:v>91480.601017696667</c:v>
                </c:pt>
                <c:pt idx="23">
                  <c:v>91059.433560088757</c:v>
                </c:pt>
                <c:pt idx="24">
                  <c:v>91545.520377932597</c:v>
                </c:pt>
                <c:pt idx="25">
                  <c:v>91442.871010643881</c:v>
                </c:pt>
                <c:pt idx="26">
                  <c:v>91701.32963971424</c:v>
                </c:pt>
                <c:pt idx="27">
                  <c:v>91579.299821897512</c:v>
                </c:pt>
                <c:pt idx="28">
                  <c:v>92161.410811852984</c:v>
                </c:pt>
                <c:pt idx="29">
                  <c:v>91572.561301940485</c:v>
                </c:pt>
                <c:pt idx="30">
                  <c:v>92144.437625425824</c:v>
                </c:pt>
                <c:pt idx="31">
                  <c:v>92036.881504739853</c:v>
                </c:pt>
                <c:pt idx="32">
                  <c:v>92036.188361918918</c:v>
                </c:pt>
                <c:pt idx="33">
                  <c:v>91908.093324654707</c:v>
                </c:pt>
                <c:pt idx="34">
                  <c:v>92237.108412280679</c:v>
                </c:pt>
                <c:pt idx="35">
                  <c:v>91538.077263621046</c:v>
                </c:pt>
                <c:pt idx="36">
                  <c:v>92080.291614682064</c:v>
                </c:pt>
                <c:pt idx="37">
                  <c:v>91921.272861201476</c:v>
                </c:pt>
                <c:pt idx="38">
                  <c:v>91897.446305272591</c:v>
                </c:pt>
                <c:pt idx="39">
                  <c:v>91502.339760495597</c:v>
                </c:pt>
                <c:pt idx="40">
                  <c:v>92025.644524116156</c:v>
                </c:pt>
                <c:pt idx="41">
                  <c:v>91282.316968348387</c:v>
                </c:pt>
                <c:pt idx="42">
                  <c:v>91795.175728827337</c:v>
                </c:pt>
                <c:pt idx="43">
                  <c:v>91600.983555448693</c:v>
                </c:pt>
                <c:pt idx="44">
                  <c:v>91324.582226890954</c:v>
                </c:pt>
                <c:pt idx="45">
                  <c:v>91104.567787569904</c:v>
                </c:pt>
                <c:pt idx="46">
                  <c:v>91598.50099599715</c:v>
                </c:pt>
                <c:pt idx="47">
                  <c:v>90829.117136689267</c:v>
                </c:pt>
                <c:pt idx="48">
                  <c:v>91312.918313356204</c:v>
                </c:pt>
                <c:pt idx="49">
                  <c:v>90837.816624076455</c:v>
                </c:pt>
                <c:pt idx="50">
                  <c:v>90762.012613082392</c:v>
                </c:pt>
                <c:pt idx="51">
                  <c:v>90518.240525072513</c:v>
                </c:pt>
                <c:pt idx="52">
                  <c:v>90983.869037798097</c:v>
                </c:pt>
                <c:pt idx="53">
                  <c:v>90163.308531080504</c:v>
                </c:pt>
                <c:pt idx="54">
                  <c:v>90392.027431291208</c:v>
                </c:pt>
                <c:pt idx="55">
                  <c:v>90121.064588040099</c:v>
                </c:pt>
                <c:pt idx="56">
                  <c:v>90022.322103524566</c:v>
                </c:pt>
                <c:pt idx="57">
                  <c:v>89726.060961866271</c:v>
                </c:pt>
                <c:pt idx="58">
                  <c:v>90163.466037855469</c:v>
                </c:pt>
                <c:pt idx="59">
                  <c:v>89098.768869054649</c:v>
                </c:pt>
                <c:pt idx="60">
                  <c:v>89525.430418450313</c:v>
                </c:pt>
                <c:pt idx="61">
                  <c:v>88954.593966260756</c:v>
                </c:pt>
                <c:pt idx="62">
                  <c:v>88610.576896244631</c:v>
                </c:pt>
                <c:pt idx="63">
                  <c:v>88021.955890426441</c:v>
                </c:pt>
                <c:pt idx="64">
                  <c:v>88102.736645828438</c:v>
                </c:pt>
                <c:pt idx="65">
                  <c:v>86705.553602755448</c:v>
                </c:pt>
                <c:pt idx="66">
                  <c:v>87099.641104948692</c:v>
                </c:pt>
                <c:pt idx="67">
                  <c:v>86464.239529806087</c:v>
                </c:pt>
                <c:pt idx="68">
                  <c:v>86043.436517835144</c:v>
                </c:pt>
                <c:pt idx="69">
                  <c:v>85028.287523602514</c:v>
                </c:pt>
                <c:pt idx="70">
                  <c:v>85401.585718579561</c:v>
                </c:pt>
                <c:pt idx="71">
                  <c:v>83871.970934344776</c:v>
                </c:pt>
                <c:pt idx="72">
                  <c:v>84233.898604227114</c:v>
                </c:pt>
                <c:pt idx="73">
                  <c:v>83490.351478279175</c:v>
                </c:pt>
                <c:pt idx="74">
                  <c:v>82585.062243870561</c:v>
                </c:pt>
                <c:pt idx="75">
                  <c:v>81792.793706523502</c:v>
                </c:pt>
                <c:pt idx="76">
                  <c:v>82133.349641141089</c:v>
                </c:pt>
                <c:pt idx="77">
                  <c:v>80329.255710008103</c:v>
                </c:pt>
                <c:pt idx="78">
                  <c:v>80657.917026497395</c:v>
                </c:pt>
                <c:pt idx="79">
                  <c:v>79314.144366123859</c:v>
                </c:pt>
                <c:pt idx="80">
                  <c:v>78638.509802485656</c:v>
                </c:pt>
                <c:pt idx="81">
                  <c:v>77724.815306518271</c:v>
                </c:pt>
                <c:pt idx="82">
                  <c:v>78032.23423071322</c:v>
                </c:pt>
                <c:pt idx="83">
                  <c:v>76041.537457360435</c:v>
                </c:pt>
                <c:pt idx="84">
                  <c:v>75887.873982027522</c:v>
                </c:pt>
                <c:pt idx="85">
                  <c:v>74905.594691730978</c:v>
                </c:pt>
                <c:pt idx="86">
                  <c:v>74183.932194028617</c:v>
                </c:pt>
                <c:pt idx="87">
                  <c:v>73187.315836346359</c:v>
                </c:pt>
                <c:pt idx="88">
                  <c:v>73462.411873291087</c:v>
                </c:pt>
                <c:pt idx="89">
                  <c:v>70972.225478443026</c:v>
                </c:pt>
                <c:pt idx="90">
                  <c:v>71233.722394344484</c:v>
                </c:pt>
                <c:pt idx="91">
                  <c:v>70382.271023094232</c:v>
                </c:pt>
                <c:pt idx="92">
                  <c:v>69590.530010555594</c:v>
                </c:pt>
                <c:pt idx="93">
                  <c:v>68729.316742491297</c:v>
                </c:pt>
                <c:pt idx="94">
                  <c:v>68432.734891536587</c:v>
                </c:pt>
                <c:pt idx="95">
                  <c:v>66644.869860183026</c:v>
                </c:pt>
                <c:pt idx="96">
                  <c:v>66878.427028031278</c:v>
                </c:pt>
                <c:pt idx="97">
                  <c:v>66030.380376134242</c:v>
                </c:pt>
                <c:pt idx="98">
                  <c:v>65270.953206068705</c:v>
                </c:pt>
                <c:pt idx="99">
                  <c:v>63904.91213978803</c:v>
                </c:pt>
                <c:pt idx="100">
                  <c:v>64121.700684671443</c:v>
                </c:pt>
                <c:pt idx="101">
                  <c:v>62329.587085125371</c:v>
                </c:pt>
                <c:pt idx="102">
                  <c:v>62537.760945062015</c:v>
                </c:pt>
                <c:pt idx="103">
                  <c:v>61702.048250427695</c:v>
                </c:pt>
                <c:pt idx="104">
                  <c:v>60416.125969283938</c:v>
                </c:pt>
                <c:pt idx="105">
                  <c:v>59604.889058878725</c:v>
                </c:pt>
                <c:pt idx="106">
                  <c:v>59797.470825126104</c:v>
                </c:pt>
                <c:pt idx="107">
                  <c:v>57948.911648173307</c:v>
                </c:pt>
                <c:pt idx="108">
                  <c:v>58132.487395670352</c:v>
                </c:pt>
                <c:pt idx="109">
                  <c:v>56848.396671936425</c:v>
                </c:pt>
                <c:pt idx="110">
                  <c:v>56090.534648172928</c:v>
                </c:pt>
                <c:pt idx="111">
                  <c:v>55265.344238717997</c:v>
                </c:pt>
                <c:pt idx="112">
                  <c:v>55434.885421522151</c:v>
                </c:pt>
                <c:pt idx="113">
                  <c:v>53642.968961296327</c:v>
                </c:pt>
                <c:pt idx="114">
                  <c:v>53327.044879103305</c:v>
                </c:pt>
                <c:pt idx="115">
                  <c:v>52437.599338724009</c:v>
                </c:pt>
                <c:pt idx="116">
                  <c:v>51589.475074274633</c:v>
                </c:pt>
                <c:pt idx="117">
                  <c:v>50789.893097076842</c:v>
                </c:pt>
                <c:pt idx="118">
                  <c:v>50938.341238140696</c:v>
                </c:pt>
                <c:pt idx="119">
                  <c:v>48691.940535302529</c:v>
                </c:pt>
                <c:pt idx="120">
                  <c:v>48832.519797785506</c:v>
                </c:pt>
                <c:pt idx="121">
                  <c:v>48020.307739921969</c:v>
                </c:pt>
                <c:pt idx="122">
                  <c:v>47536.849885060881</c:v>
                </c:pt>
                <c:pt idx="123">
                  <c:v>46693.327779900421</c:v>
                </c:pt>
                <c:pt idx="124">
                  <c:v>46462.664399068912</c:v>
                </c:pt>
                <c:pt idx="125">
                  <c:v>45186.907313502605</c:v>
                </c:pt>
                <c:pt idx="126">
                  <c:v>45305.013072539798</c:v>
                </c:pt>
                <c:pt idx="127">
                  <c:v>44581.068214838378</c:v>
                </c:pt>
                <c:pt idx="128">
                  <c:v>44043.486391245802</c:v>
                </c:pt>
                <c:pt idx="129">
                  <c:v>42886.432660970037</c:v>
                </c:pt>
                <c:pt idx="130">
                  <c:v>43000.363247024368</c:v>
                </c:pt>
                <c:pt idx="131">
                  <c:v>41651.76339001632</c:v>
                </c:pt>
                <c:pt idx="132">
                  <c:v>41761.044486376755</c:v>
                </c:pt>
                <c:pt idx="133">
                  <c:v>41014.678543634589</c:v>
                </c:pt>
                <c:pt idx="134">
                  <c:v>40004.040908836367</c:v>
                </c:pt>
                <c:pt idx="135">
                  <c:v>39468.173407402348</c:v>
                </c:pt>
                <c:pt idx="136">
                  <c:v>39568.12226340636</c:v>
                </c:pt>
                <c:pt idx="137">
                  <c:v>38247.892310399839</c:v>
                </c:pt>
                <c:pt idx="138">
                  <c:v>38343.671269771512</c:v>
                </c:pt>
                <c:pt idx="139">
                  <c:v>37223.417779905474</c:v>
                </c:pt>
                <c:pt idx="140">
                  <c:v>36373.40811044912</c:v>
                </c:pt>
                <c:pt idx="141">
                  <c:v>35848.597061148605</c:v>
                </c:pt>
                <c:pt idx="142">
                  <c:v>35935.626602191194</c:v>
                </c:pt>
                <c:pt idx="143">
                  <c:v>34629.183587849526</c:v>
                </c:pt>
                <c:pt idx="144">
                  <c:v>34286.244972102337</c:v>
                </c:pt>
                <c:pt idx="145">
                  <c:v>33761.482469182054</c:v>
                </c:pt>
                <c:pt idx="146">
                  <c:v>33025.503046012644</c:v>
                </c:pt>
                <c:pt idx="147">
                  <c:v>32536.370865577399</c:v>
                </c:pt>
                <c:pt idx="148">
                  <c:v>32610.619974994381</c:v>
                </c:pt>
                <c:pt idx="149">
                  <c:v>31097.267132560864</c:v>
                </c:pt>
                <c:pt idx="150">
                  <c:v>31168.449396078111</c:v>
                </c:pt>
                <c:pt idx="151">
                  <c:v>30671.932708728335</c:v>
                </c:pt>
                <c:pt idx="152">
                  <c:v>30022.391415987735</c:v>
                </c:pt>
                <c:pt idx="153">
                  <c:v>26474.739913675177</c:v>
                </c:pt>
                <c:pt idx="154">
                  <c:v>25077.704989350561</c:v>
                </c:pt>
                <c:pt idx="155">
                  <c:v>23648.930169994459</c:v>
                </c:pt>
                <c:pt idx="156">
                  <c:v>22894.840247877277</c:v>
                </c:pt>
                <c:pt idx="157">
                  <c:v>21910.407035662392</c:v>
                </c:pt>
                <c:pt idx="158">
                  <c:v>20976.866234530844</c:v>
                </c:pt>
                <c:pt idx="159">
                  <c:v>19886.202079824729</c:v>
                </c:pt>
                <c:pt idx="160">
                  <c:v>19272.105141129628</c:v>
                </c:pt>
                <c:pt idx="161">
                  <c:v>18163.473088845269</c:v>
                </c:pt>
                <c:pt idx="162">
                  <c:v>17725.002572134596</c:v>
                </c:pt>
                <c:pt idx="163">
                  <c:v>17140.906765273481</c:v>
                </c:pt>
                <c:pt idx="164">
                  <c:v>16369.47687017731</c:v>
                </c:pt>
                <c:pt idx="165">
                  <c:v>15781.791539671358</c:v>
                </c:pt>
                <c:pt idx="166">
                  <c:v>15465.577924601124</c:v>
                </c:pt>
                <c:pt idx="167">
                  <c:v>14774.784058354026</c:v>
                </c:pt>
                <c:pt idx="168">
                  <c:v>14524.541233229358</c:v>
                </c:pt>
                <c:pt idx="169">
                  <c:v>13979.263000018234</c:v>
                </c:pt>
                <c:pt idx="170">
                  <c:v>13579.419345337603</c:v>
                </c:pt>
                <c:pt idx="171">
                  <c:v>13141.604620340795</c:v>
                </c:pt>
                <c:pt idx="172">
                  <c:v>12966.508547506812</c:v>
                </c:pt>
                <c:pt idx="173">
                  <c:v>12380.180714965754</c:v>
                </c:pt>
                <c:pt idx="174">
                  <c:v>12108.880602465562</c:v>
                </c:pt>
                <c:pt idx="175">
                  <c:v>11739.219696650263</c:v>
                </c:pt>
                <c:pt idx="176">
                  <c:v>11455.355965172845</c:v>
                </c:pt>
                <c:pt idx="177">
                  <c:v>11114.030542902063</c:v>
                </c:pt>
                <c:pt idx="178">
                  <c:v>11015.163246640857</c:v>
                </c:pt>
                <c:pt idx="179">
                  <c:v>10444.701861000698</c:v>
                </c:pt>
                <c:pt idx="180">
                  <c:v>10364.619705635911</c:v>
                </c:pt>
                <c:pt idx="181">
                  <c:v>10112.76990559285</c:v>
                </c:pt>
                <c:pt idx="182">
                  <c:v>9915.4069447179791</c:v>
                </c:pt>
                <c:pt idx="183">
                  <c:v>9669.4173570123348</c:v>
                </c:pt>
                <c:pt idx="184">
                  <c:v>9516.6288433253321</c:v>
                </c:pt>
                <c:pt idx="185">
                  <c:v>9206.8340620996933</c:v>
                </c:pt>
                <c:pt idx="186">
                  <c:v>9152.3074988017779</c:v>
                </c:pt>
                <c:pt idx="187">
                  <c:v>8969.9158986503153</c:v>
                </c:pt>
                <c:pt idx="188">
                  <c:v>8795.7551424819467</c:v>
                </c:pt>
                <c:pt idx="189">
                  <c:v>8552.7364022363035</c:v>
                </c:pt>
                <c:pt idx="190">
                  <c:v>8509.7127067957881</c:v>
                </c:pt>
                <c:pt idx="191">
                  <c:v>8283.2288553082344</c:v>
                </c:pt>
                <c:pt idx="192">
                  <c:v>8244.0226961625867</c:v>
                </c:pt>
                <c:pt idx="193">
                  <c:v>8098.4119211082198</c:v>
                </c:pt>
                <c:pt idx="194">
                  <c:v>7933.6991400187226</c:v>
                </c:pt>
                <c:pt idx="195">
                  <c:v>7809.7091993466129</c:v>
                </c:pt>
                <c:pt idx="196">
                  <c:v>7778.4832248855992</c:v>
                </c:pt>
                <c:pt idx="197">
                  <c:v>7603.0982516367376</c:v>
                </c:pt>
                <c:pt idx="198">
                  <c:v>7576.0245659270022</c:v>
                </c:pt>
                <c:pt idx="199">
                  <c:v>7432.1650936623819</c:v>
                </c:pt>
                <c:pt idx="200">
                  <c:v>7339.1884914783805</c:v>
                </c:pt>
                <c:pt idx="201">
                  <c:v>7228.2208316663655</c:v>
                </c:pt>
                <c:pt idx="202">
                  <c:v>7205.7673442648393</c:v>
                </c:pt>
                <c:pt idx="203">
                  <c:v>7035.5257292559763</c:v>
                </c:pt>
                <c:pt idx="204">
                  <c:v>6963.5769967405749</c:v>
                </c:pt>
                <c:pt idx="205">
                  <c:v>6837.8087836088171</c:v>
                </c:pt>
                <c:pt idx="206">
                  <c:v>6746.0967525619662</c:v>
                </c:pt>
                <c:pt idx="207">
                  <c:v>6635.6178044273765</c:v>
                </c:pt>
                <c:pt idx="208">
                  <c:v>6614.8898708312563</c:v>
                </c:pt>
                <c:pt idx="209">
                  <c:v>6434.6681444525348</c:v>
                </c:pt>
                <c:pt idx="210">
                  <c:v>6415.5105269578871</c:v>
                </c:pt>
                <c:pt idx="211">
                  <c:v>6309.8428335990766</c:v>
                </c:pt>
                <c:pt idx="212">
                  <c:v>6254.3825174570557</c:v>
                </c:pt>
                <c:pt idx="213">
                  <c:v>6153.5032218566457</c:v>
                </c:pt>
                <c:pt idx="214">
                  <c:v>6112.3489769235857</c:v>
                </c:pt>
                <c:pt idx="215">
                  <c:v>6003.5870343149463</c:v>
                </c:pt>
                <c:pt idx="216">
                  <c:v>5986.2001119068682</c:v>
                </c:pt>
                <c:pt idx="217">
                  <c:v>5894.6100514992386</c:v>
                </c:pt>
                <c:pt idx="218">
                  <c:v>5870.3269833191289</c:v>
                </c:pt>
                <c:pt idx="219">
                  <c:v>5763.3033437455379</c:v>
                </c:pt>
                <c:pt idx="220">
                  <c:v>5747.2846570270958</c:v>
                </c:pt>
                <c:pt idx="221">
                  <c:v>5657.0362181557466</c:v>
                </c:pt>
                <c:pt idx="222">
                  <c:v>5641.1660068903639</c:v>
                </c:pt>
                <c:pt idx="223">
                  <c:v>5560.7980456942796</c:v>
                </c:pt>
                <c:pt idx="224">
                  <c:v>5517.2994467425124</c:v>
                </c:pt>
                <c:pt idx="225">
                  <c:v>5443.9059236083658</c:v>
                </c:pt>
                <c:pt idx="226">
                  <c:v>5427.7693270550153</c:v>
                </c:pt>
                <c:pt idx="227">
                  <c:v>5353.1566081477195</c:v>
                </c:pt>
                <c:pt idx="228">
                  <c:v>5337.2293806511689</c:v>
                </c:pt>
                <c:pt idx="229">
                  <c:v>5252.4301736388397</c:v>
                </c:pt>
                <c:pt idx="230">
                  <c:v>5228.9153963612935</c:v>
                </c:pt>
                <c:pt idx="231">
                  <c:v>5165.6311599824739</c:v>
                </c:pt>
                <c:pt idx="232">
                  <c:v>5149.5382742519005</c:v>
                </c:pt>
                <c:pt idx="233">
                  <c:v>5077.882674299879</c:v>
                </c:pt>
                <c:pt idx="234">
                  <c:v>5043.9184312222496</c:v>
                </c:pt>
                <c:pt idx="235">
                  <c:v>4978.3013587105115</c:v>
                </c:pt>
                <c:pt idx="236">
                  <c:v>4954.79783650835</c:v>
                </c:pt>
                <c:pt idx="237">
                  <c:v>4888.6291644306575</c:v>
                </c:pt>
                <c:pt idx="238">
                  <c:v>4872.6538314868294</c:v>
                </c:pt>
                <c:pt idx="239">
                  <c:v>4784.6114482985786</c:v>
                </c:pt>
                <c:pt idx="240">
                  <c:v>4768.8714576980365</c:v>
                </c:pt>
                <c:pt idx="241">
                  <c:v>4702.8240481712419</c:v>
                </c:pt>
                <c:pt idx="242">
                  <c:v>4678.7856134510321</c:v>
                </c:pt>
                <c:pt idx="243">
                  <c:v>4612.8189801201288</c:v>
                </c:pt>
                <c:pt idx="244">
                  <c:v>4587.7966915556335</c:v>
                </c:pt>
                <c:pt idx="245">
                  <c:v>4528.0868084251806</c:v>
                </c:pt>
                <c:pt idx="246">
                  <c:v>4511.9780299611421</c:v>
                </c:pt>
                <c:pt idx="247">
                  <c:v>4456.752402763811</c:v>
                </c:pt>
                <c:pt idx="248">
                  <c:v>4436.6294848507905</c:v>
                </c:pt>
                <c:pt idx="249">
                  <c:v>4373.5004285092609</c:v>
                </c:pt>
                <c:pt idx="250">
                  <c:v>4357.4110219895965</c:v>
                </c:pt>
                <c:pt idx="251">
                  <c:v>4298.1721068542092</c:v>
                </c:pt>
                <c:pt idx="252">
                  <c:v>4282.4171509244952</c:v>
                </c:pt>
                <c:pt idx="253">
                  <c:v>4228.9911454393277</c:v>
                </c:pt>
                <c:pt idx="254">
                  <c:v>4201.0438345131606</c:v>
                </c:pt>
                <c:pt idx="255">
                  <c:v>4147.8128886308659</c:v>
                </c:pt>
                <c:pt idx="256">
                  <c:v>4132.1213463050744</c:v>
                </c:pt>
                <c:pt idx="257">
                  <c:v>4075.3320556810559</c:v>
                </c:pt>
                <c:pt idx="258">
                  <c:v>4059.3693266749019</c:v>
                </c:pt>
                <c:pt idx="259">
                  <c:v>3999.6282485168072</c:v>
                </c:pt>
                <c:pt idx="260">
                  <c:v>3978.9520960714876</c:v>
                </c:pt>
                <c:pt idx="261">
                  <c:v>3928.9373811392056</c:v>
                </c:pt>
                <c:pt idx="262">
                  <c:v>3913.0750254725872</c:v>
                </c:pt>
                <c:pt idx="263">
                  <c:v>3856.311147071805</c:v>
                </c:pt>
                <c:pt idx="264">
                  <c:v>3833.8008146109714</c:v>
                </c:pt>
                <c:pt idx="265">
                  <c:v>3784.9390595098353</c:v>
                </c:pt>
                <c:pt idx="266">
                  <c:v>3764.7147031318041</c:v>
                </c:pt>
                <c:pt idx="267">
                  <c:v>3714.2030164438893</c:v>
                </c:pt>
                <c:pt idx="268">
                  <c:v>3698.8597156964129</c:v>
                </c:pt>
                <c:pt idx="269">
                  <c:v>3639.609258259924</c:v>
                </c:pt>
                <c:pt idx="270">
                  <c:v>3624.0147193371572</c:v>
                </c:pt>
                <c:pt idx="271">
                  <c:v>3574.0606127790047</c:v>
                </c:pt>
                <c:pt idx="272">
                  <c:v>3553.6987311497273</c:v>
                </c:pt>
                <c:pt idx="273">
                  <c:v>3507.279090751354</c:v>
                </c:pt>
                <c:pt idx="274">
                  <c:v>3484.7188573284398</c:v>
                </c:pt>
                <c:pt idx="275">
                  <c:v>3447.0746603381226</c:v>
                </c:pt>
                <c:pt idx="276">
                  <c:v>3430.7955123733191</c:v>
                </c:pt>
                <c:pt idx="277">
                  <c:v>3393.5238788056677</c:v>
                </c:pt>
                <c:pt idx="278">
                  <c:v>3375.7302294798919</c:v>
                </c:pt>
                <c:pt idx="279">
                  <c:v>3333.5913131858292</c:v>
                </c:pt>
                <c:pt idx="280">
                  <c:v>3317.5489011089103</c:v>
                </c:pt>
                <c:pt idx="281">
                  <c:v>3277.7443464036705</c:v>
                </c:pt>
                <c:pt idx="282">
                  <c:v>3261.4986969478068</c:v>
                </c:pt>
                <c:pt idx="283">
                  <c:v>3222.072025353295</c:v>
                </c:pt>
                <c:pt idx="284">
                  <c:v>3201.6588280876317</c:v>
                </c:pt>
                <c:pt idx="285">
                  <c:v>3162.610315420889</c:v>
                </c:pt>
                <c:pt idx="286">
                  <c:v>3146.6215578765632</c:v>
                </c:pt>
                <c:pt idx="287">
                  <c:v>3107.3013421610581</c:v>
                </c:pt>
                <c:pt idx="288">
                  <c:v>3091.118160373182</c:v>
                </c:pt>
                <c:pt idx="289">
                  <c:v>3047.5281573907687</c:v>
                </c:pt>
                <c:pt idx="290">
                  <c:v>3030.4774112035652</c:v>
                </c:pt>
                <c:pt idx="291">
                  <c:v>2993.2850087819934</c:v>
                </c:pt>
                <c:pt idx="292">
                  <c:v>2977.3826830865905</c:v>
                </c:pt>
                <c:pt idx="293">
                  <c:v>2937.9238056023405</c:v>
                </c:pt>
                <c:pt idx="294">
                  <c:v>2919.8185184079225</c:v>
                </c:pt>
                <c:pt idx="295">
                  <c:v>2883.4594849348991</c:v>
                </c:pt>
                <c:pt idx="296">
                  <c:v>2867.1863500586023</c:v>
                </c:pt>
                <c:pt idx="297">
                  <c:v>2829.9071827170592</c:v>
                </c:pt>
                <c:pt idx="298">
                  <c:v>2814.805946238047</c:v>
                </c:pt>
                <c:pt idx="299">
                  <c:v>2775.9271545646257</c:v>
                </c:pt>
                <c:pt idx="300">
                  <c:v>2760.650420753303</c:v>
                </c:pt>
                <c:pt idx="301">
                  <c:v>2721.5214504817654</c:v>
                </c:pt>
                <c:pt idx="302">
                  <c:v>2704.7089202861948</c:v>
                </c:pt>
                <c:pt idx="303">
                  <c:v>2670.1004403043839</c:v>
                </c:pt>
                <c:pt idx="304">
                  <c:v>2652.4325332162098</c:v>
                </c:pt>
                <c:pt idx="305">
                  <c:v>2618.2790937014806</c:v>
                </c:pt>
                <c:pt idx="306">
                  <c:v>2603.1767409348731</c:v>
                </c:pt>
                <c:pt idx="307">
                  <c:v>2569.488926702536</c:v>
                </c:pt>
                <c:pt idx="308">
                  <c:v>2554.2273135590603</c:v>
                </c:pt>
                <c:pt idx="309">
                  <c:v>2524.4516389414857</c:v>
                </c:pt>
                <c:pt idx="310">
                  <c:v>2509.7270053639559</c:v>
                </c:pt>
                <c:pt idx="311">
                  <c:v>2479.0660376843721</c:v>
                </c:pt>
                <c:pt idx="312">
                  <c:v>2464.1921269666418</c:v>
                </c:pt>
                <c:pt idx="313">
                  <c:v>2433.3337221904576</c:v>
                </c:pt>
                <c:pt idx="314">
                  <c:v>2417.6179339135388</c:v>
                </c:pt>
                <c:pt idx="315">
                  <c:v>2387.2562703217259</c:v>
                </c:pt>
                <c:pt idx="316">
                  <c:v>2372.0859637399703</c:v>
                </c:pt>
                <c:pt idx="317">
                  <c:v>2340.1387692050876</c:v>
                </c:pt>
                <c:pt idx="318">
                  <c:v>2325.5177942783293</c:v>
                </c:pt>
                <c:pt idx="319">
                  <c:v>2294.770725456317</c:v>
                </c:pt>
                <c:pt idx="320">
                  <c:v>2278.6082759900405</c:v>
                </c:pt>
                <c:pt idx="321">
                  <c:v>2246.9685652599646</c:v>
                </c:pt>
                <c:pt idx="322">
                  <c:v>2230.6572313694805</c:v>
                </c:pt>
                <c:pt idx="323">
                  <c:v>2199.5259370127887</c:v>
                </c:pt>
                <c:pt idx="324">
                  <c:v>2183.7712045890798</c:v>
                </c:pt>
                <c:pt idx="325">
                  <c:v>2151.7457590269869</c:v>
                </c:pt>
                <c:pt idx="326">
                  <c:v>2135.8466100433466</c:v>
                </c:pt>
                <c:pt idx="327">
                  <c:v>2107.1638153348208</c:v>
                </c:pt>
                <c:pt idx="328">
                  <c:v>2091.1260669312592</c:v>
                </c:pt>
                <c:pt idx="329">
                  <c:v>2062.9767710793312</c:v>
                </c:pt>
                <c:pt idx="330">
                  <c:v>2047.5120304233237</c:v>
                </c:pt>
                <c:pt idx="331">
                  <c:v>2018.48115399266</c:v>
                </c:pt>
                <c:pt idx="332">
                  <c:v>2002.8821285492652</c:v>
                </c:pt>
                <c:pt idx="333">
                  <c:v>1976.5304093016391</c:v>
                </c:pt>
                <c:pt idx="334">
                  <c:v>1961.5158466703215</c:v>
                </c:pt>
                <c:pt idx="335">
                  <c:v>1932.1448193189342</c:v>
                </c:pt>
                <c:pt idx="336">
                  <c:v>1917.7163105061854</c:v>
                </c:pt>
                <c:pt idx="337">
                  <c:v>1888.1757152619173</c:v>
                </c:pt>
                <c:pt idx="338">
                  <c:v>1870.7482369574313</c:v>
                </c:pt>
                <c:pt idx="339">
                  <c:v>1845.3496029304081</c:v>
                </c:pt>
                <c:pt idx="340">
                  <c:v>1831.3910096244799</c:v>
                </c:pt>
                <c:pt idx="341">
                  <c:v>1801.5163252329287</c:v>
                </c:pt>
                <c:pt idx="342">
                  <c:v>1788.1576446521888</c:v>
                </c:pt>
                <c:pt idx="343">
                  <c:v>1763.1798495817502</c:v>
                </c:pt>
                <c:pt idx="344">
                  <c:v>1747.5368656577098</c:v>
                </c:pt>
                <c:pt idx="345">
                  <c:v>1723.1375384986989</c:v>
                </c:pt>
                <c:pt idx="346">
                  <c:v>1711.0064867306992</c:v>
                </c:pt>
                <c:pt idx="347">
                  <c:v>1685.0145464500558</c:v>
                </c:pt>
                <c:pt idx="348">
                  <c:v>1673.5060708735671</c:v>
                </c:pt>
                <c:pt idx="349">
                  <c:v>1651.0177496241324</c:v>
                </c:pt>
                <c:pt idx="350">
                  <c:v>1635.7608249080849</c:v>
                </c:pt>
                <c:pt idx="351">
                  <c:v>1614.6029429077096</c:v>
                </c:pt>
                <c:pt idx="352">
                  <c:v>1603.6297357779781</c:v>
                </c:pt>
                <c:pt idx="353">
                  <c:v>1578.6860377679377</c:v>
                </c:pt>
                <c:pt idx="354">
                  <c:v>1568.3507065248791</c:v>
                </c:pt>
                <c:pt idx="355">
                  <c:v>1548.4206434891976</c:v>
                </c:pt>
                <c:pt idx="356">
                  <c:v>1535.0543479470707</c:v>
                </c:pt>
                <c:pt idx="357">
                  <c:v>1515.7458450756155</c:v>
                </c:pt>
                <c:pt idx="358">
                  <c:v>1505.9740861114724</c:v>
                </c:pt>
                <c:pt idx="359">
                  <c:v>1483.6014283985407</c:v>
                </c:pt>
                <c:pt idx="360">
                  <c:v>1474.4845773286474</c:v>
                </c:pt>
                <c:pt idx="361">
                  <c:v>1457.1824838336156</c:v>
                </c:pt>
                <c:pt idx="362">
                  <c:v>1445.0218511364546</c:v>
                </c:pt>
                <c:pt idx="363">
                  <c:v>1428.3623480777092</c:v>
                </c:pt>
                <c:pt idx="364">
                  <c:v>1419.8368657511958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31-4795-809D-58E9666CED18}"/>
            </c:ext>
          </c:extLst>
        </c:ser>
        <c:ser>
          <c:idx val="2"/>
          <c:order val="2"/>
          <c:tx>
            <c:v>3年目級群</c:v>
          </c:tx>
          <c:spPr>
            <a:solidFill>
              <a:srgbClr val="00CC00"/>
            </a:solidFill>
            <a:ln w="25400">
              <a:noFill/>
            </a:ln>
            <a:effectLst/>
          </c:spPr>
          <c:val>
            <c:numRef>
              <c:f>マアナゴ!$AJ$3:$AJ$367</c:f>
              <c:numCache>
                <c:formatCode>0</c:formatCode>
                <c:ptCount val="365"/>
                <c:pt idx="0">
                  <c:v>1412.0266306478397</c:v>
                </c:pt>
                <c:pt idx="1">
                  <c:v>1386.2817718656315</c:v>
                </c:pt>
                <c:pt idx="2">
                  <c:v>1375.4039370200346</c:v>
                </c:pt>
                <c:pt idx="3">
                  <c:v>1351.0251721056632</c:v>
                </c:pt>
                <c:pt idx="4">
                  <c:v>1340.8077191120501</c:v>
                </c:pt>
                <c:pt idx="5">
                  <c:v>1314.0561119109436</c:v>
                </c:pt>
                <c:pt idx="6">
                  <c:v>1307.5053880528635</c:v>
                </c:pt>
                <c:pt idx="7">
                  <c:v>1284.3874867354309</c:v>
                </c:pt>
                <c:pt idx="8">
                  <c:v>1275.5094229258443</c:v>
                </c:pt>
                <c:pt idx="9">
                  <c:v>1250.7695694819702</c:v>
                </c:pt>
                <c:pt idx="10">
                  <c:v>1244.8322387525136</c:v>
                </c:pt>
                <c:pt idx="11">
                  <c:v>1219.2208816658108</c:v>
                </c:pt>
                <c:pt idx="12">
                  <c:v>1213.2156650965856</c:v>
                </c:pt>
                <c:pt idx="13">
                  <c:v>1192.7908315750499</c:v>
                </c:pt>
                <c:pt idx="14">
                  <c:v>1181.4133540147641</c:v>
                </c:pt>
                <c:pt idx="15">
                  <c:v>1159.3648341005096</c:v>
                </c:pt>
                <c:pt idx="16">
                  <c:v>1153.9902273687478</c:v>
                </c:pt>
                <c:pt idx="17">
                  <c:v>1131.0781288263129</c:v>
                </c:pt>
                <c:pt idx="18">
                  <c:v>1125.6432093614549</c:v>
                </c:pt>
                <c:pt idx="19">
                  <c:v>1102.6266656043056</c:v>
                </c:pt>
                <c:pt idx="20">
                  <c:v>1094.8380285597843</c:v>
                </c:pt>
                <c:pt idx="21">
                  <c:v>1075.5420705733823</c:v>
                </c:pt>
                <c:pt idx="22">
                  <c:v>1070.7556571293831</c:v>
                </c:pt>
                <c:pt idx="23">
                  <c:v>1048.3015791182504</c:v>
                </c:pt>
                <c:pt idx="24">
                  <c:v>1040.3858965523079</c:v>
                </c:pt>
                <c:pt idx="25">
                  <c:v>1022.4444268575869</c:v>
                </c:pt>
                <c:pt idx="26">
                  <c:v>1015.2377877728852</c:v>
                </c:pt>
                <c:pt idx="27">
                  <c:v>996.44012963153079</c:v>
                </c:pt>
                <c:pt idx="28">
                  <c:v>991.49095496822827</c:v>
                </c:pt>
                <c:pt idx="29">
                  <c:v>969.51608100154294</c:v>
                </c:pt>
                <c:pt idx="30">
                  <c:v>965.28686713019954</c:v>
                </c:pt>
                <c:pt idx="31">
                  <c:v>948.6424337278554</c:v>
                </c:pt>
                <c:pt idx="32">
                  <c:v>938.93691069372278</c:v>
                </c:pt>
                <c:pt idx="33">
                  <c:v>923.76508007018504</c:v>
                </c:pt>
                <c:pt idx="34">
                  <c:v>915.55308857565421</c:v>
                </c:pt>
                <c:pt idx="35">
                  <c:v>895.6349559882201</c:v>
                </c:pt>
                <c:pt idx="36">
                  <c:v>891.25976226989076</c:v>
                </c:pt>
                <c:pt idx="37">
                  <c:v>876.7210899612744</c:v>
                </c:pt>
                <c:pt idx="38">
                  <c:v>867.6150232194509</c:v>
                </c:pt>
                <c:pt idx="39">
                  <c:v>849.0924398778684</c:v>
                </c:pt>
                <c:pt idx="40">
                  <c:v>845.40848234858345</c:v>
                </c:pt>
                <c:pt idx="41">
                  <c:v>827.59205114583835</c:v>
                </c:pt>
                <c:pt idx="42">
                  <c:v>823.08105935774688</c:v>
                </c:pt>
                <c:pt idx="43">
                  <c:v>809.12004143533375</c:v>
                </c:pt>
                <c:pt idx="44">
                  <c:v>797.48418088134804</c:v>
                </c:pt>
                <c:pt idx="45">
                  <c:v>785.02920215052916</c:v>
                </c:pt>
                <c:pt idx="46">
                  <c:v>781.22172095075643</c:v>
                </c:pt>
                <c:pt idx="47">
                  <c:v>763.97128403673764</c:v>
                </c:pt>
                <c:pt idx="48">
                  <c:v>760.12357558353256</c:v>
                </c:pt>
                <c:pt idx="49">
                  <c:v>744.38521131669734</c:v>
                </c:pt>
                <c:pt idx="50">
                  <c:v>736.53515917574782</c:v>
                </c:pt>
                <c:pt idx="51">
                  <c:v>723.90123381792307</c:v>
                </c:pt>
                <c:pt idx="52">
                  <c:v>720.77099687264263</c:v>
                </c:pt>
                <c:pt idx="53">
                  <c:v>704.90096827463503</c:v>
                </c:pt>
                <c:pt idx="54">
                  <c:v>698.54949848298168</c:v>
                </c:pt>
                <c:pt idx="55">
                  <c:v>686.59840696095193</c:v>
                </c:pt>
                <c:pt idx="56">
                  <c:v>680.20548405397255</c:v>
                </c:pt>
                <c:pt idx="57">
                  <c:v>668.99941373158231</c:v>
                </c:pt>
                <c:pt idx="58">
                  <c:v>665.76690917247117</c:v>
                </c:pt>
                <c:pt idx="59">
                  <c:v>648.1042364835223</c:v>
                </c:pt>
                <c:pt idx="60">
                  <c:v>644.83516197874837</c:v>
                </c:pt>
                <c:pt idx="61">
                  <c:v>633.52660400619482</c:v>
                </c:pt>
                <c:pt idx="62">
                  <c:v>625.40523950091358</c:v>
                </c:pt>
                <c:pt idx="63">
                  <c:v>613.2390907634815</c:v>
                </c:pt>
                <c:pt idx="64">
                  <c:v>606.68276650175403</c:v>
                </c:pt>
                <c:pt idx="65">
                  <c:v>588.81687833638318</c:v>
                </c:pt>
                <c:pt idx="66">
                  <c:v>586.25101659976269</c:v>
                </c:pt>
                <c:pt idx="67">
                  <c:v>573.97612569532942</c:v>
                </c:pt>
                <c:pt idx="68">
                  <c:v>565.71806230316554</c:v>
                </c:pt>
                <c:pt idx="69">
                  <c:v>549.33700462845206</c:v>
                </c:pt>
                <c:pt idx="70">
                  <c:v>546.70652320090437</c:v>
                </c:pt>
                <c:pt idx="71">
                  <c:v>529.45135417653614</c:v>
                </c:pt>
                <c:pt idx="72">
                  <c:v>526.78875564446992</c:v>
                </c:pt>
                <c:pt idx="73">
                  <c:v>514.35209118596367</c:v>
                </c:pt>
                <c:pt idx="74">
                  <c:v>501.88591440813065</c:v>
                </c:pt>
                <c:pt idx="75">
                  <c:v>488.57462487976215</c:v>
                </c:pt>
                <c:pt idx="76">
                  <c:v>485.8472743282378</c:v>
                </c:pt>
                <c:pt idx="77">
                  <c:v>467.58060423847007</c:v>
                </c:pt>
                <c:pt idx="78">
                  <c:v>464.8206213957381</c:v>
                </c:pt>
                <c:pt idx="79">
                  <c:v>446.48727667854604</c:v>
                </c:pt>
                <c:pt idx="80">
                  <c:v>437.13368499145548</c:v>
                </c:pt>
                <c:pt idx="81">
                  <c:v>423.65291186403192</c:v>
                </c:pt>
                <c:pt idx="82">
                  <c:v>420.82626493849472</c:v>
                </c:pt>
                <c:pt idx="83">
                  <c:v>402.35840238467864</c:v>
                </c:pt>
                <c:pt idx="84">
                  <c:v>395.38096167602339</c:v>
                </c:pt>
                <c:pt idx="85">
                  <c:v>382.61479648372301</c:v>
                </c:pt>
                <c:pt idx="86">
                  <c:v>375.59811990594778</c:v>
                </c:pt>
                <c:pt idx="87">
                  <c:v>363.6067139039784</c:v>
                </c:pt>
                <c:pt idx="88">
                  <c:v>360.6881597959117</c:v>
                </c:pt>
                <c:pt idx="89">
                  <c:v>341.19901702991967</c:v>
                </c:pt>
                <c:pt idx="90">
                  <c:v>339.07674405982527</c:v>
                </c:pt>
                <c:pt idx="91">
                  <c:v>329.47944820943269</c:v>
                </c:pt>
                <c:pt idx="92">
                  <c:v>324.01457534621102</c:v>
                </c:pt>
                <c:pt idx="93">
                  <c:v>314.37850848265259</c:v>
                </c:pt>
                <c:pt idx="94">
                  <c:v>308.05118199778923</c:v>
                </c:pt>
                <c:pt idx="95">
                  <c:v>295.87523414520922</c:v>
                </c:pt>
                <c:pt idx="96">
                  <c:v>294.5188367430132</c:v>
                </c:pt>
                <c:pt idx="97">
                  <c:v>286.47689934945214</c:v>
                </c:pt>
                <c:pt idx="98">
                  <c:v>281.76141191672707</c:v>
                </c:pt>
                <c:pt idx="99">
                  <c:v>269.50239305866097</c:v>
                </c:pt>
                <c:pt idx="100">
                  <c:v>268.10868933766653</c:v>
                </c:pt>
                <c:pt idx="101">
                  <c:v>259.16274307781896</c:v>
                </c:pt>
                <c:pt idx="102">
                  <c:v>257.7535556498454</c:v>
                </c:pt>
                <c:pt idx="103">
                  <c:v>251.29781100303484</c:v>
                </c:pt>
                <c:pt idx="104">
                  <c:v>243.98648645710469</c:v>
                </c:pt>
                <c:pt idx="105">
                  <c:v>237.50140031090399</c:v>
                </c:pt>
                <c:pt idx="106">
                  <c:v>236.90362921454295</c:v>
                </c:pt>
                <c:pt idx="107">
                  <c:v>229.55230897184691</c:v>
                </c:pt>
                <c:pt idx="108">
                  <c:v>228.09876615298225</c:v>
                </c:pt>
                <c:pt idx="109">
                  <c:v>219.03039810261171</c:v>
                </c:pt>
                <c:pt idx="110">
                  <c:v>215.8685203194436</c:v>
                </c:pt>
                <c:pt idx="111">
                  <c:v>210.15724820323345</c:v>
                </c:pt>
                <c:pt idx="112">
                  <c:v>209.52326795171106</c:v>
                </c:pt>
                <c:pt idx="113">
                  <c:v>203.79251069554419</c:v>
                </c:pt>
                <c:pt idx="114">
                  <c:v>198.89944406259153</c:v>
                </c:pt>
                <c:pt idx="115">
                  <c:v>193.9958132525376</c:v>
                </c:pt>
                <c:pt idx="116">
                  <c:v>190.78507393232141</c:v>
                </c:pt>
                <c:pt idx="117">
                  <c:v>185.86208584693466</c:v>
                </c:pt>
                <c:pt idx="118">
                  <c:v>185.19576768863226</c:v>
                </c:pt>
                <c:pt idx="119">
                  <c:v>175.1302920013128</c:v>
                </c:pt>
                <c:pt idx="120">
                  <c:v>174.45071143554787</c:v>
                </c:pt>
                <c:pt idx="121">
                  <c:v>170.34520105491879</c:v>
                </c:pt>
                <c:pt idx="122">
                  <c:v>167.08781234267906</c:v>
                </c:pt>
                <c:pt idx="123">
                  <c:v>162.96569219202516</c:v>
                </c:pt>
                <c:pt idx="124">
                  <c:v>159.69342788280667</c:v>
                </c:pt>
                <c:pt idx="125">
                  <c:v>155.55475188662103</c:v>
                </c:pt>
                <c:pt idx="126">
                  <c:v>153.98820058270306</c:v>
                </c:pt>
                <c:pt idx="127">
                  <c:v>151.5569602950907</c:v>
                </c:pt>
                <c:pt idx="128">
                  <c:v>148.25849025728277</c:v>
                </c:pt>
                <c:pt idx="129">
                  <c:v>142.3646235342905</c:v>
                </c:pt>
                <c:pt idx="130">
                  <c:v>141.64071469709097</c:v>
                </c:pt>
                <c:pt idx="131">
                  <c:v>135.72790524183242</c:v>
                </c:pt>
                <c:pt idx="132">
                  <c:v>134.12988078544882</c:v>
                </c:pt>
                <c:pt idx="133">
                  <c:v>130.79593614051575</c:v>
                </c:pt>
                <c:pt idx="134">
                  <c:v>124.85397609798153</c:v>
                </c:pt>
                <c:pt idx="135">
                  <c:v>122.3716179073205</c:v>
                </c:pt>
                <c:pt idx="136">
                  <c:v>121.62152750337872</c:v>
                </c:pt>
                <c:pt idx="137">
                  <c:v>117.39136224578984</c:v>
                </c:pt>
                <c:pt idx="138">
                  <c:v>116.63429216869284</c:v>
                </c:pt>
                <c:pt idx="139">
                  <c:v>110.6479568873954</c:v>
                </c:pt>
                <c:pt idx="140">
                  <c:v>107.26601417383455</c:v>
                </c:pt>
                <c:pt idx="141">
                  <c:v>104.75017794670839</c:v>
                </c:pt>
                <c:pt idx="142">
                  <c:v>103.97672083170363</c:v>
                </c:pt>
                <c:pt idx="143">
                  <c:v>100.57771638194072</c:v>
                </c:pt>
                <c:pt idx="144">
                  <c:v>97.171930263934399</c:v>
                </c:pt>
                <c:pt idx="145">
                  <c:v>95.511885336146193</c:v>
                </c:pt>
                <c:pt idx="146">
                  <c:v>93.848409569701644</c:v>
                </c:pt>
                <c:pt idx="147">
                  <c:v>92.181508603232487</c:v>
                </c:pt>
                <c:pt idx="148">
                  <c:v>91.389937465456399</c:v>
                </c:pt>
                <c:pt idx="149">
                  <c:v>87.078296085055698</c:v>
                </c:pt>
                <c:pt idx="150">
                  <c:v>86.279903581751071</c:v>
                </c:pt>
                <c:pt idx="151">
                  <c:v>84.598530516781679</c:v>
                </c:pt>
                <c:pt idx="152">
                  <c:v>82.913761233827373</c:v>
                </c:pt>
                <c:pt idx="153">
                  <c:v>82.108488290869644</c:v>
                </c:pt>
                <c:pt idx="154">
                  <c:v>79.534056354250154</c:v>
                </c:pt>
                <c:pt idx="155">
                  <c:v>77.83913190743823</c:v>
                </c:pt>
                <c:pt idx="156">
                  <c:v>77.026192071967273</c:v>
                </c:pt>
                <c:pt idx="157">
                  <c:v>76.211527928657645</c:v>
                </c:pt>
                <c:pt idx="158">
                  <c:v>73.621138943360663</c:v>
                </c:pt>
                <c:pt idx="159">
                  <c:v>71.025750447513715</c:v>
                </c:pt>
                <c:pt idx="160">
                  <c:v>70.202653057933531</c:v>
                </c:pt>
                <c:pt idx="161">
                  <c:v>66.709467523530918</c:v>
                </c:pt>
                <c:pt idx="162">
                  <c:v>66.770778643807319</c:v>
                </c:pt>
                <c:pt idx="163">
                  <c:v>65.94092814998892</c:v>
                </c:pt>
                <c:pt idx="164">
                  <c:v>62.433650513990038</c:v>
                </c:pt>
                <c:pt idx="165">
                  <c:v>61.597959980440457</c:v>
                </c:pt>
                <c:pt idx="166">
                  <c:v>61.654116370475485</c:v>
                </c:pt>
                <c:pt idx="167">
                  <c:v>59.027157822580769</c:v>
                </c:pt>
                <c:pt idx="168">
                  <c:v>59.080753486303003</c:v>
                </c:pt>
                <c:pt idx="169">
                  <c:v>57.34234149135461</c:v>
                </c:pt>
                <c:pt idx="170">
                  <c:v>55.600629050663542</c:v>
                </c:pt>
                <c:pt idx="171">
                  <c:v>54.753215311473966</c:v>
                </c:pt>
                <c:pt idx="172">
                  <c:v>54.802531086314829</c:v>
                </c:pt>
                <c:pt idx="173">
                  <c:v>52.15416296769952</c:v>
                </c:pt>
                <c:pt idx="174">
                  <c:v>51.300932896995967</c:v>
                </c:pt>
                <c:pt idx="175">
                  <c:v>49.545217183355454</c:v>
                </c:pt>
                <c:pt idx="176">
                  <c:v>48.687857953560588</c:v>
                </c:pt>
                <c:pt idx="177">
                  <c:v>47.828841570743677</c:v>
                </c:pt>
                <c:pt idx="178">
                  <c:v>46.968170761142673</c:v>
                </c:pt>
                <c:pt idx="179">
                  <c:v>44.297775767218909</c:v>
                </c:pt>
                <c:pt idx="180">
                  <c:v>44.337039214172229</c:v>
                </c:pt>
                <c:pt idx="181">
                  <c:v>43.470621043528865</c:v>
                </c:pt>
                <c:pt idx="182">
                  <c:v>42.602560207100517</c:v>
                </c:pt>
                <c:pt idx="183">
                  <c:v>41.732859413173138</c:v>
                </c:pt>
                <c:pt idx="184">
                  <c:v>40.861521366677898</c:v>
                </c:pt>
                <c:pt idx="185">
                  <c:v>39.988548769214646</c:v>
                </c:pt>
                <c:pt idx="186">
                  <c:v>40.023570931146402</c:v>
                </c:pt>
                <c:pt idx="187">
                  <c:v>39.148132394866018</c:v>
                </c:pt>
                <c:pt idx="188">
                  <c:v>38.271066506733504</c:v>
                </c:pt>
                <c:pt idx="189">
                  <c:v>37.392375956017425</c:v>
                </c:pt>
                <c:pt idx="190">
                  <c:v>37.424865014481398</c:v>
                </c:pt>
                <c:pt idx="191">
                  <c:v>35.630131607809716</c:v>
                </c:pt>
                <c:pt idx="192">
                  <c:v>35.660966940524581</c:v>
                </c:pt>
                <c:pt idx="193">
                  <c:v>35.691767870572647</c:v>
                </c:pt>
                <c:pt idx="194">
                  <c:v>34.806572005990091</c:v>
                </c:pt>
                <c:pt idx="195">
                  <c:v>33.919765786208572</c:v>
                </c:pt>
                <c:pt idx="196">
                  <c:v>33.948889432062515</c:v>
                </c:pt>
                <c:pt idx="197">
                  <c:v>33.059656751064601</c:v>
                </c:pt>
                <c:pt idx="198">
                  <c:v>33.087929999717822</c:v>
                </c:pt>
                <c:pt idx="199">
                  <c:v>32.196277995184374</c:v>
                </c:pt>
                <c:pt idx="200">
                  <c:v>32.223704464338908</c:v>
                </c:pt>
                <c:pt idx="201">
                  <c:v>31.329640258351201</c:v>
                </c:pt>
                <c:pt idx="202">
                  <c:v>31.356223556038994</c:v>
                </c:pt>
                <c:pt idx="203">
                  <c:v>30.459754255261402</c:v>
                </c:pt>
                <c:pt idx="204">
                  <c:v>30.485497979973793</c:v>
                </c:pt>
                <c:pt idx="205">
                  <c:v>29.586630675830467</c:v>
                </c:pt>
                <c:pt idx="206">
                  <c:v>29.611538416642478</c:v>
                </c:pt>
                <c:pt idx="207">
                  <c:v>28.710280185488081</c:v>
                </c:pt>
                <c:pt idx="208">
                  <c:v>28.734355522178816</c:v>
                </c:pt>
                <c:pt idx="209">
                  <c:v>27.830713425463177</c:v>
                </c:pt>
                <c:pt idx="210">
                  <c:v>27.853959928631348</c:v>
                </c:pt>
                <c:pt idx="211">
                  <c:v>26.947941013058319</c:v>
                </c:pt>
                <c:pt idx="212">
                  <c:v>26.970362244233719</c:v>
                </c:pt>
                <c:pt idx="213">
                  <c:v>26.061973541914696</c:v>
                </c:pt>
                <c:pt idx="214">
                  <c:v>26.08357305366588</c:v>
                </c:pt>
                <c:pt idx="215">
                  <c:v>25.172821582267559</c:v>
                </c:pt>
                <c:pt idx="216">
                  <c:v>25.193602918305114</c:v>
                </c:pt>
                <c:pt idx="217">
                  <c:v>25.214360899699447</c:v>
                </c:pt>
                <c:pt idx="218">
                  <c:v>24.300462376468225</c:v>
                </c:pt>
                <c:pt idx="219">
                  <c:v>24.320406617354138</c:v>
                </c:pt>
                <c:pt idx="220">
                  <c:v>24.340328421390822</c:v>
                </c:pt>
                <c:pt idx="221">
                  <c:v>23.423295967365007</c:v>
                </c:pt>
                <c:pt idx="222">
                  <c:v>23.442408450752776</c:v>
                </c:pt>
                <c:pt idx="223">
                  <c:v>23.461499410504825</c:v>
                </c:pt>
                <c:pt idx="224">
                  <c:v>23.48056886326312</c:v>
                </c:pt>
                <c:pt idx="225">
                  <c:v>22.559632152591014</c:v>
                </c:pt>
                <c:pt idx="226">
                  <c:v>22.57789758153374</c:v>
                </c:pt>
                <c:pt idx="227">
                  <c:v>22.596142411384633</c:v>
                </c:pt>
                <c:pt idx="228">
                  <c:v>22.614366657918524</c:v>
                </c:pt>
                <c:pt idx="229">
                  <c:v>21.689546572826206</c:v>
                </c:pt>
                <c:pt idx="230">
                  <c:v>21.706972069565865</c:v>
                </c:pt>
                <c:pt idx="231">
                  <c:v>21.724377885705699</c:v>
                </c:pt>
                <c:pt idx="232">
                  <c:v>21.74176403618349</c:v>
                </c:pt>
                <c:pt idx="233">
                  <c:v>20.813081382159289</c:v>
                </c:pt>
                <c:pt idx="234">
                  <c:v>20.829674034485326</c:v>
                </c:pt>
                <c:pt idx="235">
                  <c:v>20.846247918798888</c:v>
                </c:pt>
                <c:pt idx="236">
                  <c:v>20.862803049228066</c:v>
                </c:pt>
                <c:pt idx="237">
                  <c:v>19.930278556232462</c:v>
                </c:pt>
                <c:pt idx="238">
                  <c:v>19.946045418175018</c:v>
                </c:pt>
                <c:pt idx="239">
                  <c:v>19.961794418923567</c:v>
                </c:pt>
                <c:pt idx="240">
                  <c:v>19.977525571821939</c:v>
                </c:pt>
                <c:pt idx="241">
                  <c:v>19.04117989540946</c:v>
                </c:pt>
                <c:pt idx="242">
                  <c:v>19.05612798788005</c:v>
                </c:pt>
                <c:pt idx="243">
                  <c:v>19.071059120331665</c:v>
                </c:pt>
                <c:pt idx="244">
                  <c:v>19.085973305347007</c:v>
                </c:pt>
                <c:pt idx="245">
                  <c:v>19.100870555478775</c:v>
                </c:pt>
                <c:pt idx="246">
                  <c:v>18.159963339087895</c:v>
                </c:pt>
                <c:pt idx="247">
                  <c:v>18.174083586098632</c:v>
                </c:pt>
                <c:pt idx="248">
                  <c:v>18.188187780580115</c:v>
                </c:pt>
                <c:pt idx="249">
                  <c:v>18.202275934349004</c:v>
                </c:pt>
                <c:pt idx="250">
                  <c:v>18.216348059196172</c:v>
                </c:pt>
                <c:pt idx="251">
                  <c:v>17.27090921073523</c:v>
                </c:pt>
                <c:pt idx="252">
                  <c:v>17.284210360259515</c:v>
                </c:pt>
                <c:pt idx="253">
                  <c:v>17.297496357858581</c:v>
                </c:pt>
                <c:pt idx="254">
                  <c:v>17.310767214609644</c:v>
                </c:pt>
                <c:pt idx="255">
                  <c:v>17.324022941567804</c:v>
                </c:pt>
                <c:pt idx="256">
                  <c:v>17.337263549766625</c:v>
                </c:pt>
                <c:pt idx="257">
                  <c:v>16.386572991872907</c:v>
                </c:pt>
                <c:pt idx="258">
                  <c:v>16.399049484252597</c:v>
                </c:pt>
                <c:pt idx="259">
                  <c:v>16.411511728946991</c:v>
                </c:pt>
                <c:pt idx="260">
                  <c:v>16.423959736298933</c:v>
                </c:pt>
                <c:pt idx="261">
                  <c:v>16.436393516632812</c:v>
                </c:pt>
                <c:pt idx="262">
                  <c:v>16.44881308025511</c:v>
                </c:pt>
                <c:pt idx="263">
                  <c:v>15.492911470545465</c:v>
                </c:pt>
                <c:pt idx="264">
                  <c:v>15.504573739767187</c:v>
                </c:pt>
                <c:pt idx="265">
                  <c:v>15.51622265755678</c:v>
                </c:pt>
                <c:pt idx="266">
                  <c:v>15.527858233550027</c:v>
                </c:pt>
                <c:pt idx="267">
                  <c:v>15.539480477367766</c:v>
                </c:pt>
                <c:pt idx="268">
                  <c:v>14.579146311202313</c:v>
                </c:pt>
                <c:pt idx="269">
                  <c:v>14.590017193955129</c:v>
                </c:pt>
                <c:pt idx="270">
                  <c:v>14.600875604769303</c:v>
                </c:pt>
                <c:pt idx="271">
                  <c:v>14.611721552610518</c:v>
                </c:pt>
                <c:pt idx="272">
                  <c:v>14.622555046431678</c:v>
                </c:pt>
                <c:pt idx="273">
                  <c:v>14.633376095173253</c:v>
                </c:pt>
                <c:pt idx="274">
                  <c:v>13.667905727246191</c:v>
                </c:pt>
                <c:pt idx="275">
                  <c:v>13.677982166911839</c:v>
                </c:pt>
                <c:pt idx="276">
                  <c:v>13.688047016136803</c:v>
                </c:pt>
                <c:pt idx="277">
                  <c:v>13.698100283221981</c:v>
                </c:pt>
                <c:pt idx="278">
                  <c:v>13.708141976458165</c:v>
                </c:pt>
                <c:pt idx="279">
                  <c:v>13.718172104126063</c:v>
                </c:pt>
                <c:pt idx="280">
                  <c:v>13.728190674496767</c:v>
                </c:pt>
                <c:pt idx="281">
                  <c:v>12.756897860415261</c:v>
                </c:pt>
                <c:pt idx="282">
                  <c:v>12.766179378070444</c:v>
                </c:pt>
                <c:pt idx="283">
                  <c:v>12.775450186938555</c:v>
                </c:pt>
                <c:pt idx="284">
                  <c:v>12.784710294666001</c:v>
                </c:pt>
                <c:pt idx="285">
                  <c:v>12.793959708891313</c:v>
                </c:pt>
                <c:pt idx="286">
                  <c:v>12.803198437245342</c:v>
                </c:pt>
                <c:pt idx="287">
                  <c:v>12.812426487351463</c:v>
                </c:pt>
                <c:pt idx="288">
                  <c:v>12.821643866825777</c:v>
                </c:pt>
                <c:pt idx="289">
                  <c:v>11.843862076871339</c:v>
                </c:pt>
                <c:pt idx="290">
                  <c:v>11.852350748592245</c:v>
                </c:pt>
                <c:pt idx="291">
                  <c:v>11.860829591551546</c:v>
                </c:pt>
                <c:pt idx="292">
                  <c:v>11.869298612754584</c:v>
                </c:pt>
                <c:pt idx="293">
                  <c:v>11.877757819200868</c:v>
                </c:pt>
                <c:pt idx="294">
                  <c:v>11.886207217884321</c:v>
                </c:pt>
                <c:pt idx="295">
                  <c:v>11.894646815793434</c:v>
                </c:pt>
                <c:pt idx="296">
                  <c:v>10.911153568252153</c:v>
                </c:pt>
                <c:pt idx="297">
                  <c:v>10.918871917448444</c:v>
                </c:pt>
                <c:pt idx="298">
                  <c:v>10.926581301791646</c:v>
                </c:pt>
                <c:pt idx="299">
                  <c:v>10.934281727669507</c:v>
                </c:pt>
                <c:pt idx="300">
                  <c:v>10.941973201465604</c:v>
                </c:pt>
                <c:pt idx="301">
                  <c:v>10.949655729559405</c:v>
                </c:pt>
                <c:pt idx="302">
                  <c:v>10.957329318326492</c:v>
                </c:pt>
                <c:pt idx="303">
                  <c:v>10.964993974138645</c:v>
                </c:pt>
                <c:pt idx="304">
                  <c:v>10.972649703364029</c:v>
                </c:pt>
                <c:pt idx="305">
                  <c:v>9.9820877385157427</c:v>
                </c:pt>
                <c:pt idx="306">
                  <c:v>9.989031279554295</c:v>
                </c:pt>
                <c:pt idx="307">
                  <c:v>9.9959667228630895</c:v>
                </c:pt>
                <c:pt idx="308">
                  <c:v>10.00289407421934</c:v>
                </c:pt>
                <c:pt idx="309">
                  <c:v>10.009813339397555</c:v>
                </c:pt>
                <c:pt idx="310">
                  <c:v>10.016724524169685</c:v>
                </c:pt>
                <c:pt idx="311">
                  <c:v>10.023627634305255</c:v>
                </c:pt>
                <c:pt idx="312">
                  <c:v>10.030522675571419</c:v>
                </c:pt>
                <c:pt idx="313">
                  <c:v>10.037409653733009</c:v>
                </c:pt>
                <c:pt idx="314">
                  <c:v>9.0398597170975119</c:v>
                </c:pt>
                <c:pt idx="315">
                  <c:v>9.046043499412372</c:v>
                </c:pt>
                <c:pt idx="316">
                  <c:v>9.0522200404871889</c:v>
                </c:pt>
                <c:pt idx="317">
                  <c:v>9.0583893455032669</c:v>
                </c:pt>
                <c:pt idx="318">
                  <c:v>9.0645514196403152</c:v>
                </c:pt>
                <c:pt idx="319">
                  <c:v>9.0707062680766661</c:v>
                </c:pt>
                <c:pt idx="320">
                  <c:v>9.07685389598924</c:v>
                </c:pt>
                <c:pt idx="321">
                  <c:v>9.0829943085536744</c:v>
                </c:pt>
                <c:pt idx="322">
                  <c:v>9.0891275109444667</c:v>
                </c:pt>
                <c:pt idx="323">
                  <c:v>9.0952535083349346</c:v>
                </c:pt>
                <c:pt idx="324">
                  <c:v>8.0901087163533028</c:v>
                </c:pt>
                <c:pt idx="325">
                  <c:v>8.095541252269733</c:v>
                </c:pt>
                <c:pt idx="326">
                  <c:v>8.1009673975319423</c:v>
                </c:pt>
                <c:pt idx="327">
                  <c:v>8.1063871567352752</c:v>
                </c:pt>
                <c:pt idx="328">
                  <c:v>8.1118005344744866</c:v>
                </c:pt>
                <c:pt idx="329">
                  <c:v>8.1172075353437592</c:v>
                </c:pt>
                <c:pt idx="330">
                  <c:v>8.1226081639367642</c:v>
                </c:pt>
                <c:pt idx="331">
                  <c:v>8.1280024248468212</c:v>
                </c:pt>
                <c:pt idx="332">
                  <c:v>8.1333903226668252</c:v>
                </c:pt>
                <c:pt idx="333">
                  <c:v>8.1387718619894667</c:v>
                </c:pt>
                <c:pt idx="334">
                  <c:v>7.1261286664812271</c:v>
                </c:pt>
                <c:pt idx="335">
                  <c:v>7.130826398073026</c:v>
                </c:pt>
                <c:pt idx="336">
                  <c:v>7.1355185780343389</c:v>
                </c:pt>
                <c:pt idx="337">
                  <c:v>7.1402052103832485</c:v>
                </c:pt>
                <c:pt idx="338">
                  <c:v>7.1448862991378483</c:v>
                </c:pt>
                <c:pt idx="339">
                  <c:v>7.1495618483163499</c:v>
                </c:pt>
                <c:pt idx="340">
                  <c:v>7.1542318619370064</c:v>
                </c:pt>
                <c:pt idx="341">
                  <c:v>7.1588963440182809</c:v>
                </c:pt>
                <c:pt idx="342">
                  <c:v>7.1635552985788555</c:v>
                </c:pt>
                <c:pt idx="343">
                  <c:v>7.1682087296376471</c:v>
                </c:pt>
                <c:pt idx="344">
                  <c:v>7.1728566412138566</c:v>
                </c:pt>
                <c:pt idx="345">
                  <c:v>7.1774990373270988</c:v>
                </c:pt>
                <c:pt idx="346">
                  <c:v>6.1561165045691393</c:v>
                </c:pt>
                <c:pt idx="347">
                  <c:v>6.1600862564956778</c:v>
                </c:pt>
                <c:pt idx="348">
                  <c:v>6.1640512912207717</c:v>
                </c:pt>
                <c:pt idx="349">
                  <c:v>6.1680116121913251</c:v>
                </c:pt>
                <c:pt idx="350">
                  <c:v>6.1719672228547715</c:v>
                </c:pt>
                <c:pt idx="351">
                  <c:v>6.1759181266590497</c:v>
                </c:pt>
                <c:pt idx="352">
                  <c:v>6.179864327052619</c:v>
                </c:pt>
                <c:pt idx="353">
                  <c:v>6.183805827484588</c:v>
                </c:pt>
                <c:pt idx="354">
                  <c:v>6.1877426314046202</c:v>
                </c:pt>
                <c:pt idx="355">
                  <c:v>6.1916747422630927</c:v>
                </c:pt>
                <c:pt idx="356">
                  <c:v>6.1956021635110297</c:v>
                </c:pt>
                <c:pt idx="357">
                  <c:v>6.1995248986001599</c:v>
                </c:pt>
                <c:pt idx="358">
                  <c:v>6.2034429509829758</c:v>
                </c:pt>
                <c:pt idx="359">
                  <c:v>6.2073563241127827</c:v>
                </c:pt>
                <c:pt idx="360">
                  <c:v>5.176054184536337</c:v>
                </c:pt>
                <c:pt idx="361">
                  <c:v>5.1793075386919636</c:v>
                </c:pt>
                <c:pt idx="362">
                  <c:v>5.1825570021073606</c:v>
                </c:pt>
                <c:pt idx="363">
                  <c:v>5.1858025776630452</c:v>
                </c:pt>
                <c:pt idx="364">
                  <c:v>5.1890442682403259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31-4795-809D-58E9666CE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7000720"/>
        <c:axId val="-1886995824"/>
      </c:areaChart>
      <c:dateAx>
        <c:axId val="-1887000720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6995824"/>
        <c:crosses val="autoZero"/>
        <c:auto val="1"/>
        <c:lblOffset val="100"/>
        <c:baseTimeUnit val="days"/>
        <c:majorUnit val="3"/>
        <c:majorTimeUnit val="months"/>
      </c:dateAx>
      <c:valAx>
        <c:axId val="-188699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/>
                  <a:t>入網ポテンシャル重量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7000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v>1年目級群</c:v>
          </c:tx>
          <c:spPr>
            <a:solidFill>
              <a:srgbClr val="0066FF"/>
            </a:solidFill>
            <a:ln>
              <a:noFill/>
            </a:ln>
            <a:effectLst/>
          </c:spPr>
          <c:cat>
            <c:numRef>
              <c:f>マアナゴ!$A$3:$A$367</c:f>
              <c:numCache>
                <c:formatCode>m/d/yyyy</c:formatCode>
                <c:ptCount val="365"/>
                <c:pt idx="0">
                  <c:v>41730</c:v>
                </c:pt>
                <c:pt idx="1">
                  <c:v>41731</c:v>
                </c:pt>
                <c:pt idx="2">
                  <c:v>41732</c:v>
                </c:pt>
                <c:pt idx="3">
                  <c:v>41733</c:v>
                </c:pt>
                <c:pt idx="4">
                  <c:v>41734</c:v>
                </c:pt>
                <c:pt idx="5">
                  <c:v>41735</c:v>
                </c:pt>
                <c:pt idx="6">
                  <c:v>41736</c:v>
                </c:pt>
                <c:pt idx="7">
                  <c:v>41737</c:v>
                </c:pt>
                <c:pt idx="8">
                  <c:v>41738</c:v>
                </c:pt>
                <c:pt idx="9">
                  <c:v>41739</c:v>
                </c:pt>
                <c:pt idx="10">
                  <c:v>41740</c:v>
                </c:pt>
                <c:pt idx="11">
                  <c:v>41741</c:v>
                </c:pt>
                <c:pt idx="12">
                  <c:v>41742</c:v>
                </c:pt>
                <c:pt idx="13">
                  <c:v>41743</c:v>
                </c:pt>
                <c:pt idx="14">
                  <c:v>41744</c:v>
                </c:pt>
                <c:pt idx="15">
                  <c:v>41745</c:v>
                </c:pt>
                <c:pt idx="16">
                  <c:v>41746</c:v>
                </c:pt>
                <c:pt idx="17">
                  <c:v>41747</c:v>
                </c:pt>
                <c:pt idx="18">
                  <c:v>41748</c:v>
                </c:pt>
                <c:pt idx="19">
                  <c:v>41749</c:v>
                </c:pt>
                <c:pt idx="20">
                  <c:v>41750</c:v>
                </c:pt>
                <c:pt idx="21">
                  <c:v>41751</c:v>
                </c:pt>
                <c:pt idx="22">
                  <c:v>41752</c:v>
                </c:pt>
                <c:pt idx="23">
                  <c:v>41753</c:v>
                </c:pt>
                <c:pt idx="24">
                  <c:v>41754</c:v>
                </c:pt>
                <c:pt idx="25">
                  <c:v>41755</c:v>
                </c:pt>
                <c:pt idx="26">
                  <c:v>41756</c:v>
                </c:pt>
                <c:pt idx="27">
                  <c:v>41757</c:v>
                </c:pt>
                <c:pt idx="28">
                  <c:v>41758</c:v>
                </c:pt>
                <c:pt idx="29">
                  <c:v>41759</c:v>
                </c:pt>
                <c:pt idx="30">
                  <c:v>41760</c:v>
                </c:pt>
                <c:pt idx="31">
                  <c:v>41761</c:v>
                </c:pt>
                <c:pt idx="32">
                  <c:v>41762</c:v>
                </c:pt>
                <c:pt idx="33">
                  <c:v>41763</c:v>
                </c:pt>
                <c:pt idx="34">
                  <c:v>41764</c:v>
                </c:pt>
                <c:pt idx="35">
                  <c:v>41765</c:v>
                </c:pt>
                <c:pt idx="36">
                  <c:v>41766</c:v>
                </c:pt>
                <c:pt idx="37">
                  <c:v>41767</c:v>
                </c:pt>
                <c:pt idx="38">
                  <c:v>41768</c:v>
                </c:pt>
                <c:pt idx="39">
                  <c:v>41769</c:v>
                </c:pt>
                <c:pt idx="40">
                  <c:v>41770</c:v>
                </c:pt>
                <c:pt idx="41">
                  <c:v>41771</c:v>
                </c:pt>
                <c:pt idx="42">
                  <c:v>41772</c:v>
                </c:pt>
                <c:pt idx="43">
                  <c:v>41773</c:v>
                </c:pt>
                <c:pt idx="44">
                  <c:v>41774</c:v>
                </c:pt>
                <c:pt idx="45">
                  <c:v>41775</c:v>
                </c:pt>
                <c:pt idx="46">
                  <c:v>41776</c:v>
                </c:pt>
                <c:pt idx="47">
                  <c:v>41777</c:v>
                </c:pt>
                <c:pt idx="48">
                  <c:v>41778</c:v>
                </c:pt>
                <c:pt idx="49">
                  <c:v>41779</c:v>
                </c:pt>
                <c:pt idx="50">
                  <c:v>41780</c:v>
                </c:pt>
                <c:pt idx="51">
                  <c:v>41781</c:v>
                </c:pt>
                <c:pt idx="52">
                  <c:v>41782</c:v>
                </c:pt>
                <c:pt idx="53">
                  <c:v>41783</c:v>
                </c:pt>
                <c:pt idx="54">
                  <c:v>41784</c:v>
                </c:pt>
                <c:pt idx="55">
                  <c:v>41785</c:v>
                </c:pt>
                <c:pt idx="56">
                  <c:v>41786</c:v>
                </c:pt>
                <c:pt idx="57">
                  <c:v>41787</c:v>
                </c:pt>
                <c:pt idx="58">
                  <c:v>41788</c:v>
                </c:pt>
                <c:pt idx="59">
                  <c:v>41789</c:v>
                </c:pt>
                <c:pt idx="60">
                  <c:v>41790</c:v>
                </c:pt>
                <c:pt idx="61">
                  <c:v>41791</c:v>
                </c:pt>
                <c:pt idx="62">
                  <c:v>41792</c:v>
                </c:pt>
                <c:pt idx="63">
                  <c:v>41793</c:v>
                </c:pt>
                <c:pt idx="64">
                  <c:v>41794</c:v>
                </c:pt>
                <c:pt idx="65">
                  <c:v>41795</c:v>
                </c:pt>
                <c:pt idx="66">
                  <c:v>41796</c:v>
                </c:pt>
                <c:pt idx="67">
                  <c:v>41797</c:v>
                </c:pt>
                <c:pt idx="68">
                  <c:v>41798</c:v>
                </c:pt>
                <c:pt idx="69">
                  <c:v>41799</c:v>
                </c:pt>
                <c:pt idx="70">
                  <c:v>41800</c:v>
                </c:pt>
                <c:pt idx="71">
                  <c:v>41801</c:v>
                </c:pt>
                <c:pt idx="72">
                  <c:v>41802</c:v>
                </c:pt>
                <c:pt idx="73">
                  <c:v>41803</c:v>
                </c:pt>
                <c:pt idx="74">
                  <c:v>41804</c:v>
                </c:pt>
                <c:pt idx="75">
                  <c:v>41805</c:v>
                </c:pt>
                <c:pt idx="76">
                  <c:v>41806</c:v>
                </c:pt>
                <c:pt idx="77">
                  <c:v>41807</c:v>
                </c:pt>
                <c:pt idx="78">
                  <c:v>41808</c:v>
                </c:pt>
                <c:pt idx="79">
                  <c:v>41809</c:v>
                </c:pt>
                <c:pt idx="80">
                  <c:v>41810</c:v>
                </c:pt>
                <c:pt idx="81">
                  <c:v>41811</c:v>
                </c:pt>
                <c:pt idx="82">
                  <c:v>41812</c:v>
                </c:pt>
                <c:pt idx="83">
                  <c:v>41813</c:v>
                </c:pt>
                <c:pt idx="84">
                  <c:v>41814</c:v>
                </c:pt>
                <c:pt idx="85">
                  <c:v>41815</c:v>
                </c:pt>
                <c:pt idx="86">
                  <c:v>41816</c:v>
                </c:pt>
                <c:pt idx="87">
                  <c:v>41817</c:v>
                </c:pt>
                <c:pt idx="88">
                  <c:v>41818</c:v>
                </c:pt>
                <c:pt idx="89">
                  <c:v>41819</c:v>
                </c:pt>
                <c:pt idx="90">
                  <c:v>41820</c:v>
                </c:pt>
                <c:pt idx="91">
                  <c:v>41821</c:v>
                </c:pt>
                <c:pt idx="92">
                  <c:v>41822</c:v>
                </c:pt>
                <c:pt idx="93">
                  <c:v>41823</c:v>
                </c:pt>
                <c:pt idx="94">
                  <c:v>41824</c:v>
                </c:pt>
                <c:pt idx="95">
                  <c:v>41825</c:v>
                </c:pt>
                <c:pt idx="96">
                  <c:v>41826</c:v>
                </c:pt>
                <c:pt idx="97">
                  <c:v>41827</c:v>
                </c:pt>
                <c:pt idx="98">
                  <c:v>41828</c:v>
                </c:pt>
                <c:pt idx="99">
                  <c:v>41829</c:v>
                </c:pt>
                <c:pt idx="100">
                  <c:v>41830</c:v>
                </c:pt>
                <c:pt idx="101">
                  <c:v>41831</c:v>
                </c:pt>
                <c:pt idx="102">
                  <c:v>41832</c:v>
                </c:pt>
                <c:pt idx="103">
                  <c:v>41833</c:v>
                </c:pt>
                <c:pt idx="104">
                  <c:v>41834</c:v>
                </c:pt>
                <c:pt idx="105">
                  <c:v>41835</c:v>
                </c:pt>
                <c:pt idx="106">
                  <c:v>41836</c:v>
                </c:pt>
                <c:pt idx="107">
                  <c:v>41837</c:v>
                </c:pt>
                <c:pt idx="108">
                  <c:v>41838</c:v>
                </c:pt>
                <c:pt idx="109">
                  <c:v>41839</c:v>
                </c:pt>
                <c:pt idx="110">
                  <c:v>41840</c:v>
                </c:pt>
                <c:pt idx="111">
                  <c:v>41841</c:v>
                </c:pt>
                <c:pt idx="112">
                  <c:v>41842</c:v>
                </c:pt>
                <c:pt idx="113">
                  <c:v>41843</c:v>
                </c:pt>
                <c:pt idx="114">
                  <c:v>41844</c:v>
                </c:pt>
                <c:pt idx="115">
                  <c:v>41845</c:v>
                </c:pt>
                <c:pt idx="116">
                  <c:v>41846</c:v>
                </c:pt>
                <c:pt idx="117">
                  <c:v>41847</c:v>
                </c:pt>
                <c:pt idx="118">
                  <c:v>41848</c:v>
                </c:pt>
                <c:pt idx="119">
                  <c:v>41849</c:v>
                </c:pt>
                <c:pt idx="120">
                  <c:v>41850</c:v>
                </c:pt>
                <c:pt idx="121">
                  <c:v>41851</c:v>
                </c:pt>
                <c:pt idx="122">
                  <c:v>41852</c:v>
                </c:pt>
                <c:pt idx="123">
                  <c:v>41853</c:v>
                </c:pt>
                <c:pt idx="124">
                  <c:v>41854</c:v>
                </c:pt>
                <c:pt idx="125">
                  <c:v>41855</c:v>
                </c:pt>
                <c:pt idx="126">
                  <c:v>41856</c:v>
                </c:pt>
                <c:pt idx="127">
                  <c:v>41857</c:v>
                </c:pt>
                <c:pt idx="128">
                  <c:v>41858</c:v>
                </c:pt>
                <c:pt idx="129">
                  <c:v>41859</c:v>
                </c:pt>
                <c:pt idx="130">
                  <c:v>41860</c:v>
                </c:pt>
                <c:pt idx="131">
                  <c:v>41861</c:v>
                </c:pt>
                <c:pt idx="132">
                  <c:v>41862</c:v>
                </c:pt>
                <c:pt idx="133">
                  <c:v>41863</c:v>
                </c:pt>
                <c:pt idx="134">
                  <c:v>41864</c:v>
                </c:pt>
                <c:pt idx="135">
                  <c:v>41865</c:v>
                </c:pt>
                <c:pt idx="136">
                  <c:v>41866</c:v>
                </c:pt>
                <c:pt idx="137">
                  <c:v>41867</c:v>
                </c:pt>
                <c:pt idx="138">
                  <c:v>41868</c:v>
                </c:pt>
                <c:pt idx="139">
                  <c:v>41869</c:v>
                </c:pt>
                <c:pt idx="140">
                  <c:v>41870</c:v>
                </c:pt>
                <c:pt idx="141">
                  <c:v>41871</c:v>
                </c:pt>
                <c:pt idx="142">
                  <c:v>41872</c:v>
                </c:pt>
                <c:pt idx="143">
                  <c:v>41873</c:v>
                </c:pt>
                <c:pt idx="144">
                  <c:v>41874</c:v>
                </c:pt>
                <c:pt idx="145">
                  <c:v>41875</c:v>
                </c:pt>
                <c:pt idx="146">
                  <c:v>41876</c:v>
                </c:pt>
                <c:pt idx="147">
                  <c:v>41877</c:v>
                </c:pt>
                <c:pt idx="148">
                  <c:v>41878</c:v>
                </c:pt>
                <c:pt idx="149">
                  <c:v>41879</c:v>
                </c:pt>
                <c:pt idx="150">
                  <c:v>41880</c:v>
                </c:pt>
                <c:pt idx="151">
                  <c:v>41881</c:v>
                </c:pt>
                <c:pt idx="152">
                  <c:v>41882</c:v>
                </c:pt>
                <c:pt idx="153">
                  <c:v>41883</c:v>
                </c:pt>
                <c:pt idx="154">
                  <c:v>41884</c:v>
                </c:pt>
                <c:pt idx="155">
                  <c:v>41885</c:v>
                </c:pt>
                <c:pt idx="156">
                  <c:v>41886</c:v>
                </c:pt>
                <c:pt idx="157">
                  <c:v>41887</c:v>
                </c:pt>
                <c:pt idx="158">
                  <c:v>41888</c:v>
                </c:pt>
                <c:pt idx="159">
                  <c:v>41889</c:v>
                </c:pt>
                <c:pt idx="160">
                  <c:v>41890</c:v>
                </c:pt>
                <c:pt idx="161">
                  <c:v>41891</c:v>
                </c:pt>
                <c:pt idx="162">
                  <c:v>41892</c:v>
                </c:pt>
                <c:pt idx="163">
                  <c:v>41893</c:v>
                </c:pt>
                <c:pt idx="164">
                  <c:v>41894</c:v>
                </c:pt>
                <c:pt idx="165">
                  <c:v>41895</c:v>
                </c:pt>
                <c:pt idx="166">
                  <c:v>41896</c:v>
                </c:pt>
                <c:pt idx="167">
                  <c:v>41897</c:v>
                </c:pt>
                <c:pt idx="168">
                  <c:v>41898</c:v>
                </c:pt>
                <c:pt idx="169">
                  <c:v>41899</c:v>
                </c:pt>
                <c:pt idx="170">
                  <c:v>41900</c:v>
                </c:pt>
                <c:pt idx="171">
                  <c:v>41901</c:v>
                </c:pt>
                <c:pt idx="172">
                  <c:v>41902</c:v>
                </c:pt>
                <c:pt idx="173">
                  <c:v>41903</c:v>
                </c:pt>
                <c:pt idx="174">
                  <c:v>41904</c:v>
                </c:pt>
                <c:pt idx="175">
                  <c:v>41905</c:v>
                </c:pt>
                <c:pt idx="176">
                  <c:v>41906</c:v>
                </c:pt>
                <c:pt idx="177">
                  <c:v>41907</c:v>
                </c:pt>
                <c:pt idx="178">
                  <c:v>41908</c:v>
                </c:pt>
                <c:pt idx="179">
                  <c:v>41909</c:v>
                </c:pt>
                <c:pt idx="180">
                  <c:v>41910</c:v>
                </c:pt>
                <c:pt idx="181">
                  <c:v>41911</c:v>
                </c:pt>
                <c:pt idx="182">
                  <c:v>41912</c:v>
                </c:pt>
                <c:pt idx="183">
                  <c:v>41913</c:v>
                </c:pt>
                <c:pt idx="184">
                  <c:v>41914</c:v>
                </c:pt>
                <c:pt idx="185">
                  <c:v>41915</c:v>
                </c:pt>
                <c:pt idx="186">
                  <c:v>41916</c:v>
                </c:pt>
                <c:pt idx="187">
                  <c:v>41917</c:v>
                </c:pt>
                <c:pt idx="188">
                  <c:v>41918</c:v>
                </c:pt>
                <c:pt idx="189">
                  <c:v>41919</c:v>
                </c:pt>
                <c:pt idx="190">
                  <c:v>41920</c:v>
                </c:pt>
                <c:pt idx="191">
                  <c:v>41921</c:v>
                </c:pt>
                <c:pt idx="192">
                  <c:v>41922</c:v>
                </c:pt>
                <c:pt idx="193">
                  <c:v>41923</c:v>
                </c:pt>
                <c:pt idx="194">
                  <c:v>41924</c:v>
                </c:pt>
                <c:pt idx="195">
                  <c:v>41925</c:v>
                </c:pt>
                <c:pt idx="196">
                  <c:v>41926</c:v>
                </c:pt>
                <c:pt idx="197">
                  <c:v>41927</c:v>
                </c:pt>
                <c:pt idx="198">
                  <c:v>41928</c:v>
                </c:pt>
                <c:pt idx="199">
                  <c:v>41929</c:v>
                </c:pt>
                <c:pt idx="200">
                  <c:v>41930</c:v>
                </c:pt>
                <c:pt idx="201">
                  <c:v>41931</c:v>
                </c:pt>
                <c:pt idx="202">
                  <c:v>41932</c:v>
                </c:pt>
                <c:pt idx="203">
                  <c:v>41933</c:v>
                </c:pt>
                <c:pt idx="204">
                  <c:v>41934</c:v>
                </c:pt>
                <c:pt idx="205">
                  <c:v>41935</c:v>
                </c:pt>
                <c:pt idx="206">
                  <c:v>41936</c:v>
                </c:pt>
                <c:pt idx="207">
                  <c:v>41937</c:v>
                </c:pt>
                <c:pt idx="208">
                  <c:v>41938</c:v>
                </c:pt>
                <c:pt idx="209">
                  <c:v>41939</c:v>
                </c:pt>
                <c:pt idx="210">
                  <c:v>41940</c:v>
                </c:pt>
                <c:pt idx="211">
                  <c:v>41941</c:v>
                </c:pt>
                <c:pt idx="212">
                  <c:v>41942</c:v>
                </c:pt>
                <c:pt idx="213">
                  <c:v>41943</c:v>
                </c:pt>
                <c:pt idx="214">
                  <c:v>41944</c:v>
                </c:pt>
                <c:pt idx="215">
                  <c:v>41945</c:v>
                </c:pt>
                <c:pt idx="216">
                  <c:v>41946</c:v>
                </c:pt>
                <c:pt idx="217">
                  <c:v>41947</c:v>
                </c:pt>
                <c:pt idx="218">
                  <c:v>41948</c:v>
                </c:pt>
                <c:pt idx="219">
                  <c:v>41949</c:v>
                </c:pt>
                <c:pt idx="220">
                  <c:v>41950</c:v>
                </c:pt>
                <c:pt idx="221">
                  <c:v>41951</c:v>
                </c:pt>
                <c:pt idx="222">
                  <c:v>41952</c:v>
                </c:pt>
                <c:pt idx="223">
                  <c:v>41953</c:v>
                </c:pt>
                <c:pt idx="224">
                  <c:v>41954</c:v>
                </c:pt>
                <c:pt idx="225">
                  <c:v>41955</c:v>
                </c:pt>
                <c:pt idx="226">
                  <c:v>41956</c:v>
                </c:pt>
                <c:pt idx="227">
                  <c:v>41957</c:v>
                </c:pt>
                <c:pt idx="228">
                  <c:v>41958</c:v>
                </c:pt>
                <c:pt idx="229">
                  <c:v>41959</c:v>
                </c:pt>
                <c:pt idx="230">
                  <c:v>41960</c:v>
                </c:pt>
                <c:pt idx="231">
                  <c:v>41961</c:v>
                </c:pt>
                <c:pt idx="232">
                  <c:v>41962</c:v>
                </c:pt>
                <c:pt idx="233">
                  <c:v>41963</c:v>
                </c:pt>
                <c:pt idx="234">
                  <c:v>41964</c:v>
                </c:pt>
                <c:pt idx="235">
                  <c:v>41965</c:v>
                </c:pt>
                <c:pt idx="236">
                  <c:v>41966</c:v>
                </c:pt>
                <c:pt idx="237">
                  <c:v>41967</c:v>
                </c:pt>
                <c:pt idx="238">
                  <c:v>41968</c:v>
                </c:pt>
                <c:pt idx="239">
                  <c:v>41969</c:v>
                </c:pt>
                <c:pt idx="240">
                  <c:v>41970</c:v>
                </c:pt>
                <c:pt idx="241">
                  <c:v>41971</c:v>
                </c:pt>
                <c:pt idx="242">
                  <c:v>41972</c:v>
                </c:pt>
                <c:pt idx="243">
                  <c:v>41973</c:v>
                </c:pt>
                <c:pt idx="244">
                  <c:v>41974</c:v>
                </c:pt>
                <c:pt idx="245">
                  <c:v>41975</c:v>
                </c:pt>
                <c:pt idx="246">
                  <c:v>41976</c:v>
                </c:pt>
                <c:pt idx="247">
                  <c:v>41977</c:v>
                </c:pt>
                <c:pt idx="248">
                  <c:v>41978</c:v>
                </c:pt>
                <c:pt idx="249">
                  <c:v>41979</c:v>
                </c:pt>
                <c:pt idx="250">
                  <c:v>41980</c:v>
                </c:pt>
                <c:pt idx="251">
                  <c:v>41981</c:v>
                </c:pt>
                <c:pt idx="252">
                  <c:v>41982</c:v>
                </c:pt>
                <c:pt idx="253">
                  <c:v>41983</c:v>
                </c:pt>
                <c:pt idx="254">
                  <c:v>41984</c:v>
                </c:pt>
                <c:pt idx="255">
                  <c:v>41985</c:v>
                </c:pt>
                <c:pt idx="256">
                  <c:v>41986</c:v>
                </c:pt>
                <c:pt idx="257">
                  <c:v>41987</c:v>
                </c:pt>
                <c:pt idx="258">
                  <c:v>41988</c:v>
                </c:pt>
                <c:pt idx="259">
                  <c:v>41989</c:v>
                </c:pt>
                <c:pt idx="260">
                  <c:v>41990</c:v>
                </c:pt>
                <c:pt idx="261">
                  <c:v>41991</c:v>
                </c:pt>
                <c:pt idx="262">
                  <c:v>41992</c:v>
                </c:pt>
                <c:pt idx="263">
                  <c:v>41993</c:v>
                </c:pt>
                <c:pt idx="264">
                  <c:v>41994</c:v>
                </c:pt>
                <c:pt idx="265">
                  <c:v>41995</c:v>
                </c:pt>
                <c:pt idx="266">
                  <c:v>41996</c:v>
                </c:pt>
                <c:pt idx="267">
                  <c:v>41997</c:v>
                </c:pt>
                <c:pt idx="268">
                  <c:v>41998</c:v>
                </c:pt>
                <c:pt idx="269">
                  <c:v>41999</c:v>
                </c:pt>
                <c:pt idx="270">
                  <c:v>42000</c:v>
                </c:pt>
                <c:pt idx="271">
                  <c:v>42001</c:v>
                </c:pt>
                <c:pt idx="272">
                  <c:v>42002</c:v>
                </c:pt>
                <c:pt idx="273">
                  <c:v>42003</c:v>
                </c:pt>
                <c:pt idx="274">
                  <c:v>42004</c:v>
                </c:pt>
                <c:pt idx="275">
                  <c:v>42005</c:v>
                </c:pt>
                <c:pt idx="276">
                  <c:v>42006</c:v>
                </c:pt>
                <c:pt idx="277">
                  <c:v>42007</c:v>
                </c:pt>
                <c:pt idx="278">
                  <c:v>42008</c:v>
                </c:pt>
                <c:pt idx="279">
                  <c:v>42009</c:v>
                </c:pt>
                <c:pt idx="280">
                  <c:v>42010</c:v>
                </c:pt>
                <c:pt idx="281">
                  <c:v>42011</c:v>
                </c:pt>
                <c:pt idx="282">
                  <c:v>42012</c:v>
                </c:pt>
                <c:pt idx="283">
                  <c:v>42013</c:v>
                </c:pt>
                <c:pt idx="284">
                  <c:v>42014</c:v>
                </c:pt>
                <c:pt idx="285">
                  <c:v>42015</c:v>
                </c:pt>
                <c:pt idx="286">
                  <c:v>42016</c:v>
                </c:pt>
                <c:pt idx="287">
                  <c:v>42017</c:v>
                </c:pt>
                <c:pt idx="288">
                  <c:v>42018</c:v>
                </c:pt>
                <c:pt idx="289">
                  <c:v>42019</c:v>
                </c:pt>
                <c:pt idx="290">
                  <c:v>42020</c:v>
                </c:pt>
                <c:pt idx="291">
                  <c:v>42021</c:v>
                </c:pt>
                <c:pt idx="292">
                  <c:v>42022</c:v>
                </c:pt>
                <c:pt idx="293">
                  <c:v>42023</c:v>
                </c:pt>
                <c:pt idx="294">
                  <c:v>42024</c:v>
                </c:pt>
                <c:pt idx="295">
                  <c:v>42025</c:v>
                </c:pt>
                <c:pt idx="296">
                  <c:v>42026</c:v>
                </c:pt>
                <c:pt idx="297">
                  <c:v>42027</c:v>
                </c:pt>
                <c:pt idx="298">
                  <c:v>42028</c:v>
                </c:pt>
                <c:pt idx="299">
                  <c:v>42029</c:v>
                </c:pt>
                <c:pt idx="300">
                  <c:v>42030</c:v>
                </c:pt>
                <c:pt idx="301">
                  <c:v>42031</c:v>
                </c:pt>
                <c:pt idx="302">
                  <c:v>42032</c:v>
                </c:pt>
                <c:pt idx="303">
                  <c:v>42033</c:v>
                </c:pt>
                <c:pt idx="304">
                  <c:v>42034</c:v>
                </c:pt>
                <c:pt idx="305">
                  <c:v>42035</c:v>
                </c:pt>
                <c:pt idx="306">
                  <c:v>42036</c:v>
                </c:pt>
                <c:pt idx="307">
                  <c:v>42037</c:v>
                </c:pt>
                <c:pt idx="308">
                  <c:v>42038</c:v>
                </c:pt>
                <c:pt idx="309">
                  <c:v>42039</c:v>
                </c:pt>
                <c:pt idx="310">
                  <c:v>42040</c:v>
                </c:pt>
                <c:pt idx="311">
                  <c:v>42041</c:v>
                </c:pt>
                <c:pt idx="312">
                  <c:v>42042</c:v>
                </c:pt>
                <c:pt idx="313">
                  <c:v>42043</c:v>
                </c:pt>
                <c:pt idx="314">
                  <c:v>42044</c:v>
                </c:pt>
                <c:pt idx="315">
                  <c:v>42045</c:v>
                </c:pt>
                <c:pt idx="316">
                  <c:v>42046</c:v>
                </c:pt>
                <c:pt idx="317">
                  <c:v>42047</c:v>
                </c:pt>
                <c:pt idx="318">
                  <c:v>42048</c:v>
                </c:pt>
                <c:pt idx="319">
                  <c:v>42049</c:v>
                </c:pt>
                <c:pt idx="320">
                  <c:v>42050</c:v>
                </c:pt>
                <c:pt idx="321">
                  <c:v>42051</c:v>
                </c:pt>
                <c:pt idx="322">
                  <c:v>42052</c:v>
                </c:pt>
                <c:pt idx="323">
                  <c:v>42053</c:v>
                </c:pt>
                <c:pt idx="324">
                  <c:v>42054</c:v>
                </c:pt>
                <c:pt idx="325">
                  <c:v>42055</c:v>
                </c:pt>
                <c:pt idx="326">
                  <c:v>42056</c:v>
                </c:pt>
                <c:pt idx="327">
                  <c:v>42057</c:v>
                </c:pt>
                <c:pt idx="328">
                  <c:v>42058</c:v>
                </c:pt>
                <c:pt idx="329">
                  <c:v>42059</c:v>
                </c:pt>
                <c:pt idx="330">
                  <c:v>42060</c:v>
                </c:pt>
                <c:pt idx="331">
                  <c:v>42061</c:v>
                </c:pt>
                <c:pt idx="332">
                  <c:v>42062</c:v>
                </c:pt>
                <c:pt idx="333">
                  <c:v>42063</c:v>
                </c:pt>
                <c:pt idx="334">
                  <c:v>42064</c:v>
                </c:pt>
                <c:pt idx="335">
                  <c:v>42065</c:v>
                </c:pt>
                <c:pt idx="336">
                  <c:v>42066</c:v>
                </c:pt>
                <c:pt idx="337">
                  <c:v>42067</c:v>
                </c:pt>
                <c:pt idx="338">
                  <c:v>42068</c:v>
                </c:pt>
                <c:pt idx="339">
                  <c:v>42069</c:v>
                </c:pt>
                <c:pt idx="340">
                  <c:v>42070</c:v>
                </c:pt>
                <c:pt idx="341">
                  <c:v>42071</c:v>
                </c:pt>
                <c:pt idx="342">
                  <c:v>42072</c:v>
                </c:pt>
                <c:pt idx="343">
                  <c:v>42073</c:v>
                </c:pt>
                <c:pt idx="344">
                  <c:v>42074</c:v>
                </c:pt>
                <c:pt idx="345">
                  <c:v>42075</c:v>
                </c:pt>
                <c:pt idx="346">
                  <c:v>42076</c:v>
                </c:pt>
                <c:pt idx="347">
                  <c:v>42077</c:v>
                </c:pt>
                <c:pt idx="348">
                  <c:v>42078</c:v>
                </c:pt>
                <c:pt idx="349">
                  <c:v>42079</c:v>
                </c:pt>
                <c:pt idx="350">
                  <c:v>42080</c:v>
                </c:pt>
                <c:pt idx="351">
                  <c:v>42081</c:v>
                </c:pt>
                <c:pt idx="352">
                  <c:v>42082</c:v>
                </c:pt>
                <c:pt idx="353">
                  <c:v>42083</c:v>
                </c:pt>
                <c:pt idx="354">
                  <c:v>42084</c:v>
                </c:pt>
                <c:pt idx="355">
                  <c:v>42085</c:v>
                </c:pt>
                <c:pt idx="356">
                  <c:v>42086</c:v>
                </c:pt>
                <c:pt idx="357">
                  <c:v>42087</c:v>
                </c:pt>
                <c:pt idx="358">
                  <c:v>42088</c:v>
                </c:pt>
                <c:pt idx="359">
                  <c:v>42089</c:v>
                </c:pt>
                <c:pt idx="360">
                  <c:v>42090</c:v>
                </c:pt>
                <c:pt idx="361">
                  <c:v>42091</c:v>
                </c:pt>
                <c:pt idx="362">
                  <c:v>42092</c:v>
                </c:pt>
                <c:pt idx="363">
                  <c:v>42093</c:v>
                </c:pt>
                <c:pt idx="364">
                  <c:v>42094</c:v>
                </c:pt>
              </c:numCache>
            </c:numRef>
          </c:cat>
          <c:val>
            <c:numRef>
              <c:f>マアナゴ!$AL$3:$AL$367</c:f>
              <c:numCache>
                <c:formatCode>0</c:formatCode>
                <c:ptCount val="365"/>
                <c:pt idx="0">
                  <c:v>6.7164127103184479E-2</c:v>
                </c:pt>
                <c:pt idx="1">
                  <c:v>7.2782260191994422E-2</c:v>
                </c:pt>
                <c:pt idx="2">
                  <c:v>7.8842897635121867E-2</c:v>
                </c:pt>
                <c:pt idx="3">
                  <c:v>8.5378492703835282E-2</c:v>
                </c:pt>
                <c:pt idx="4">
                  <c:v>9.2423819873586791E-2</c:v>
                </c:pt>
                <c:pt idx="5">
                  <c:v>0.10001600943804229</c:v>
                </c:pt>
                <c:pt idx="6">
                  <c:v>0.10819486047076814</c:v>
                </c:pt>
                <c:pt idx="7">
                  <c:v>0.11700252031702302</c:v>
                </c:pt>
                <c:pt idx="8">
                  <c:v>0.12648409681024764</c:v>
                </c:pt>
                <c:pt idx="9">
                  <c:v>0.13668789843340964</c:v>
                </c:pt>
                <c:pt idx="10">
                  <c:v>0.14766501381597288</c:v>
                </c:pt>
                <c:pt idx="11">
                  <c:v>0.15947007230376481</c:v>
                </c:pt>
                <c:pt idx="12">
                  <c:v>0.17216153046986482</c:v>
                </c:pt>
                <c:pt idx="13">
                  <c:v>0.18580112405067406</c:v>
                </c:pt>
                <c:pt idx="14">
                  <c:v>0.20045481098872034</c:v>
                </c:pt>
                <c:pt idx="15">
                  <c:v>0.2161931124553976</c:v>
                </c:pt>
                <c:pt idx="16">
                  <c:v>0.23309004008232834</c:v>
                </c:pt>
                <c:pt idx="17">
                  <c:v>0.25122568569617792</c:v>
                </c:pt>
                <c:pt idx="18">
                  <c:v>0.27068453290717492</c:v>
                </c:pt>
                <c:pt idx="19">
                  <c:v>0.29155591240078998</c:v>
                </c:pt>
                <c:pt idx="20">
                  <c:v>0.31393510708676398</c:v>
                </c:pt>
                <c:pt idx="21">
                  <c:v>0.33792330427135242</c:v>
                </c:pt>
                <c:pt idx="22">
                  <c:v>0.36362849459121854</c:v>
                </c:pt>
                <c:pt idx="23">
                  <c:v>0.39116358915433591</c:v>
                </c:pt>
                <c:pt idx="24">
                  <c:v>0.42065138273399533</c:v>
                </c:pt>
                <c:pt idx="25">
                  <c:v>0.45221832780201093</c:v>
                </c:pt>
                <c:pt idx="26">
                  <c:v>0.48600181388684233</c:v>
                </c:pt>
                <c:pt idx="27">
                  <c:v>0.522145357413348</c:v>
                </c:pt>
                <c:pt idx="28">
                  <c:v>0.56080172078947887</c:v>
                </c:pt>
                <c:pt idx="29">
                  <c:v>0.60213365955850962</c:v>
                </c:pt>
                <c:pt idx="30">
                  <c:v>0.64631170717816666</c:v>
                </c:pt>
                <c:pt idx="31">
                  <c:v>0.69351724983093932</c:v>
                </c:pt>
                <c:pt idx="32">
                  <c:v>0.74394340530897518</c:v>
                </c:pt>
                <c:pt idx="33">
                  <c:v>0.79779223327246129</c:v>
                </c:pt>
                <c:pt idx="34">
                  <c:v>0.85527849861792937</c:v>
                </c:pt>
                <c:pt idx="35">
                  <c:v>0.91663070338174335</c:v>
                </c:pt>
                <c:pt idx="36">
                  <c:v>0.98208603844907183</c:v>
                </c:pt>
                <c:pt idx="37">
                  <c:v>1.0519010680716079</c:v>
                </c:pt>
                <c:pt idx="38">
                  <c:v>1.1263439675782447</c:v>
                </c:pt>
                <c:pt idx="39">
                  <c:v>1.2056960325956565</c:v>
                </c:pt>
                <c:pt idx="40">
                  <c:v>1.2902537965903562</c:v>
                </c:pt>
                <c:pt idx="41">
                  <c:v>1.3803384678213706</c:v>
                </c:pt>
                <c:pt idx="42">
                  <c:v>1.4762763260093119</c:v>
                </c:pt>
                <c:pt idx="43">
                  <c:v>1.5784224867371095</c:v>
                </c:pt>
                <c:pt idx="44">
                  <c:v>1.687144416039587</c:v>
                </c:pt>
                <c:pt idx="45">
                  <c:v>1.8028345976544125</c:v>
                </c:pt>
                <c:pt idx="46">
                  <c:v>1.9259011116898443</c:v>
                </c:pt>
                <c:pt idx="47">
                  <c:v>2.0567764652655316</c:v>
                </c:pt>
                <c:pt idx="48">
                  <c:v>2.1959161257906472</c:v>
                </c:pt>
                <c:pt idx="49">
                  <c:v>2.3438033299491603</c:v>
                </c:pt>
                <c:pt idx="50">
                  <c:v>2.5009395154718459</c:v>
                </c:pt>
                <c:pt idx="51">
                  <c:v>2.6678557164097541</c:v>
                </c:pt>
                <c:pt idx="52">
                  <c:v>2.8451105035264836</c:v>
                </c:pt>
                <c:pt idx="53">
                  <c:v>3.0332960841161172</c:v>
                </c:pt>
                <c:pt idx="54">
                  <c:v>3.2330257251854486</c:v>
                </c:pt>
                <c:pt idx="55">
                  <c:v>3.444953913671196</c:v>
                </c:pt>
                <c:pt idx="56">
                  <c:v>3.6697518449617421</c:v>
                </c:pt>
                <c:pt idx="57">
                  <c:v>3.9081471137935546</c:v>
                </c:pt>
                <c:pt idx="58">
                  <c:v>4.160892961420009</c:v>
                </c:pt>
                <c:pt idx="59">
                  <c:v>4.4287659889478466</c:v>
                </c:pt>
                <c:pt idx="60">
                  <c:v>4.7126085530872155</c:v>
                </c:pt>
                <c:pt idx="61">
                  <c:v>5.0132833386177866</c:v>
                </c:pt>
                <c:pt idx="62">
                  <c:v>5.3317107396983321</c:v>
                </c:pt>
                <c:pt idx="63">
                  <c:v>5.668830293305172</c:v>
                </c:pt>
                <c:pt idx="64">
                  <c:v>6.0256620184223522</c:v>
                </c:pt>
                <c:pt idx="65">
                  <c:v>6.4032581344494677</c:v>
                </c:pt>
                <c:pt idx="66">
                  <c:v>6.8026992631511627</c:v>
                </c:pt>
                <c:pt idx="67">
                  <c:v>7.2251595091793543</c:v>
                </c:pt>
                <c:pt idx="68">
                  <c:v>7.6718357731737861</c:v>
                </c:pt>
                <c:pt idx="69">
                  <c:v>8.1440049521341731</c:v>
                </c:pt>
                <c:pt idx="70">
                  <c:v>8.6429781166576092</c:v>
                </c:pt>
                <c:pt idx="71">
                  <c:v>9.1701391880119569</c:v>
                </c:pt>
                <c:pt idx="72">
                  <c:v>9.7269357326884212</c:v>
                </c:pt>
                <c:pt idx="73">
                  <c:v>10.314898175069308</c:v>
                </c:pt>
                <c:pt idx="74">
                  <c:v>10.935594347064434</c:v>
                </c:pt>
                <c:pt idx="75">
                  <c:v>11.590678355493262</c:v>
                </c:pt>
                <c:pt idx="76">
                  <c:v>12.281878525492507</c:v>
                </c:pt>
                <c:pt idx="77">
                  <c:v>13.011021365601142</c:v>
                </c:pt>
                <c:pt idx="78">
                  <c:v>13.779973684400868</c:v>
                </c:pt>
                <c:pt idx="79">
                  <c:v>14.590727829293941</c:v>
                </c:pt>
                <c:pt idx="80">
                  <c:v>15.44529257746011</c:v>
                </c:pt>
                <c:pt idx="81">
                  <c:v>16.345861072142821</c:v>
                </c:pt>
                <c:pt idx="82">
                  <c:v>17.294674835124823</c:v>
                </c:pt>
                <c:pt idx="83">
                  <c:v>18.29401233650459</c:v>
                </c:pt>
                <c:pt idx="84">
                  <c:v>19.346364451762128</c:v>
                </c:pt>
                <c:pt idx="85">
                  <c:v>20.454239185330373</c:v>
                </c:pt>
                <c:pt idx="86">
                  <c:v>21.620279581394904</c:v>
                </c:pt>
                <c:pt idx="87">
                  <c:v>22.847276688315866</c:v>
                </c:pt>
                <c:pt idx="88">
                  <c:v>24.138065728369433</c:v>
                </c:pt>
                <c:pt idx="89">
                  <c:v>25.495633891778386</c:v>
                </c:pt>
                <c:pt idx="90">
                  <c:v>26.923002900326118</c:v>
                </c:pt>
                <c:pt idx="91">
                  <c:v>28.423580918014373</c:v>
                </c:pt>
                <c:pt idx="92">
                  <c:v>30.000554162348191</c:v>
                </c:pt>
                <c:pt idx="93">
                  <c:v>31.657513715676906</c:v>
                </c:pt>
                <c:pt idx="94">
                  <c:v>33.398047827624026</c:v>
                </c:pt>
                <c:pt idx="95">
                  <c:v>35.226282563891473</c:v>
                </c:pt>
                <c:pt idx="96">
                  <c:v>37.145897541454055</c:v>
                </c:pt>
                <c:pt idx="97">
                  <c:v>39.161051123657344</c:v>
                </c:pt>
                <c:pt idx="98">
                  <c:v>41.275803547443601</c:v>
                </c:pt>
                <c:pt idx="99">
                  <c:v>43.494838029674632</c:v>
                </c:pt>
                <c:pt idx="100">
                  <c:v>45.822614477556655</c:v>
                </c:pt>
                <c:pt idx="101">
                  <c:v>48.263976650140137</c:v>
                </c:pt>
                <c:pt idx="102">
                  <c:v>50.823798454273827</c:v>
                </c:pt>
                <c:pt idx="103">
                  <c:v>53.507211936093341</c:v>
                </c:pt>
                <c:pt idx="104">
                  <c:v>56.319541344498887</c:v>
                </c:pt>
                <c:pt idx="105">
                  <c:v>59.266407025230755</c:v>
                </c:pt>
                <c:pt idx="106">
                  <c:v>62.353447600420033</c:v>
                </c:pt>
                <c:pt idx="107">
                  <c:v>65.585405059311512</c:v>
                </c:pt>
                <c:pt idx="108">
                  <c:v>68.970189042513525</c:v>
                </c:pt>
                <c:pt idx="109">
                  <c:v>72.514274081878312</c:v>
                </c:pt>
                <c:pt idx="110">
                  <c:v>76.223614308757746</c:v>
                </c:pt>
                <c:pt idx="111">
                  <c:v>80.105051557342861</c:v>
                </c:pt>
                <c:pt idx="112">
                  <c:v>84.165810070434304</c:v>
                </c:pt>
                <c:pt idx="113">
                  <c:v>88.412509609789652</c:v>
                </c:pt>
                <c:pt idx="114">
                  <c:v>92.853733161893075</c:v>
                </c:pt>
                <c:pt idx="115">
                  <c:v>97.496427010153553</c:v>
                </c:pt>
                <c:pt idx="116">
                  <c:v>102.3479586899672</c:v>
                </c:pt>
                <c:pt idx="117">
                  <c:v>107.42013015140424</c:v>
                </c:pt>
                <c:pt idx="118">
                  <c:v>112.71895581401293</c:v>
                </c:pt>
                <c:pt idx="119">
                  <c:v>118.25432222650524</c:v>
                </c:pt>
                <c:pt idx="120">
                  <c:v>124.03536099823502</c:v>
                </c:pt>
                <c:pt idx="121">
                  <c:v>130.07147635363577</c:v>
                </c:pt>
                <c:pt idx="122">
                  <c:v>136.37280533855559</c:v>
                </c:pt>
                <c:pt idx="123">
                  <c:v>142.94841745429608</c:v>
                </c:pt>
                <c:pt idx="124">
                  <c:v>149.81074876637129</c:v>
                </c:pt>
                <c:pt idx="125">
                  <c:v>156.96979417793301</c:v>
                </c:pt>
                <c:pt idx="126">
                  <c:v>164.41666276638173</c:v>
                </c:pt>
                <c:pt idx="127">
                  <c:v>172.18956907855687</c:v>
                </c:pt>
                <c:pt idx="128">
                  <c:v>180.30369423279919</c:v>
                </c:pt>
                <c:pt idx="129">
                  <c:v>188.76398167658587</c:v>
                </c:pt>
                <c:pt idx="130">
                  <c:v>197.58151900056328</c:v>
                </c:pt>
                <c:pt idx="131">
                  <c:v>206.76848428132874</c:v>
                </c:pt>
                <c:pt idx="132">
                  <c:v>216.33909180796175</c:v>
                </c:pt>
                <c:pt idx="133">
                  <c:v>226.30618984758883</c:v>
                </c:pt>
                <c:pt idx="134">
                  <c:v>236.6860332912519</c:v>
                </c:pt>
                <c:pt idx="135">
                  <c:v>247.48939625534888</c:v>
                </c:pt>
                <c:pt idx="136">
                  <c:v>258.7332929502582</c:v>
                </c:pt>
                <c:pt idx="137">
                  <c:v>270.43875556591149</c:v>
                </c:pt>
                <c:pt idx="138">
                  <c:v>282.61774199388134</c:v>
                </c:pt>
                <c:pt idx="139">
                  <c:v>295.28735718239989</c:v>
                </c:pt>
                <c:pt idx="140">
                  <c:v>308.19442743089229</c:v>
                </c:pt>
                <c:pt idx="141">
                  <c:v>321.82765625782133</c:v>
                </c:pt>
                <c:pt idx="142">
                  <c:v>336.05646475978705</c:v>
                </c:pt>
                <c:pt idx="143">
                  <c:v>350.84725761474584</c:v>
                </c:pt>
                <c:pt idx="144">
                  <c:v>366.21800526573588</c:v>
                </c:pt>
                <c:pt idx="145">
                  <c:v>382.18829434012889</c:v>
                </c:pt>
                <c:pt idx="146">
                  <c:v>398.77756491232816</c:v>
                </c:pt>
                <c:pt idx="147">
                  <c:v>416.00851744202987</c:v>
                </c:pt>
                <c:pt idx="148">
                  <c:v>433.87737809215639</c:v>
                </c:pt>
                <c:pt idx="149">
                  <c:v>452.45227564526994</c:v>
                </c:pt>
                <c:pt idx="150">
                  <c:v>471.73125056145074</c:v>
                </c:pt>
                <c:pt idx="151">
                  <c:v>491.73702559134585</c:v>
                </c:pt>
                <c:pt idx="152">
                  <c:v>512.493775153157</c:v>
                </c:pt>
                <c:pt idx="153">
                  <c:v>534.03280752916271</c:v>
                </c:pt>
                <c:pt idx="154">
                  <c:v>556.37202426582326</c:v>
                </c:pt>
                <c:pt idx="155">
                  <c:v>579.53865136197533</c:v>
                </c:pt>
                <c:pt idx="156">
                  <c:v>603.55879873584433</c:v>
                </c:pt>
                <c:pt idx="157">
                  <c:v>628.45598678050317</c:v>
                </c:pt>
                <c:pt idx="158">
                  <c:v>654.25722427506662</c:v>
                </c:pt>
                <c:pt idx="159">
                  <c:v>680.98196104350905</c:v>
                </c:pt>
                <c:pt idx="160">
                  <c:v>708.25267204918737</c:v>
                </c:pt>
                <c:pt idx="161">
                  <c:v>736.67684504213673</c:v>
                </c:pt>
                <c:pt idx="162">
                  <c:v>766.36089184551281</c:v>
                </c:pt>
                <c:pt idx="163">
                  <c:v>797.0991887469911</c:v>
                </c:pt>
                <c:pt idx="164">
                  <c:v>828.86754582192555</c:v>
                </c:pt>
                <c:pt idx="165">
                  <c:v>861.80772388001139</c:v>
                </c:pt>
                <c:pt idx="166">
                  <c:v>895.86199848656122</c:v>
                </c:pt>
                <c:pt idx="167">
                  <c:v>931.13065482479169</c:v>
                </c:pt>
                <c:pt idx="168">
                  <c:v>967.61513941344424</c:v>
                </c:pt>
                <c:pt idx="169">
                  <c:v>1005.3451768189299</c:v>
                </c:pt>
                <c:pt idx="170">
                  <c:v>1044.3685227352678</c:v>
                </c:pt>
                <c:pt idx="171">
                  <c:v>1084.5812844325449</c:v>
                </c:pt>
                <c:pt idx="172">
                  <c:v>1126.2494888311724</c:v>
                </c:pt>
                <c:pt idx="173">
                  <c:v>1169.3497701195804</c:v>
                </c:pt>
                <c:pt idx="174">
                  <c:v>1213.8870049200245</c:v>
                </c:pt>
                <c:pt idx="175">
                  <c:v>1259.9007311993146</c:v>
                </c:pt>
                <c:pt idx="176">
                  <c:v>1307.4335481605826</c:v>
                </c:pt>
                <c:pt idx="177">
                  <c:v>1356.5244646267558</c:v>
                </c:pt>
                <c:pt idx="178">
                  <c:v>1407.2153950760346</c:v>
                </c:pt>
                <c:pt idx="179">
                  <c:v>1459.5490528793857</c:v>
                </c:pt>
                <c:pt idx="180">
                  <c:v>1513.5689543332041</c:v>
                </c:pt>
                <c:pt idx="181">
                  <c:v>1569.3221647624107</c:v>
                </c:pt>
                <c:pt idx="182">
                  <c:v>1626.8541242413276</c:v>
                </c:pt>
                <c:pt idx="183">
                  <c:v>1684.1396654517075</c:v>
                </c:pt>
                <c:pt idx="184">
                  <c:v>1742.773717333665</c:v>
                </c:pt>
                <c:pt idx="185">
                  <c:v>1801.4360560950363</c:v>
                </c:pt>
                <c:pt idx="186">
                  <c:v>1866.21189423396</c:v>
                </c:pt>
                <c:pt idx="187">
                  <c:v>1930.9428070699762</c:v>
                </c:pt>
                <c:pt idx="188">
                  <c:v>1996.9250477287217</c:v>
                </c:pt>
                <c:pt idx="189">
                  <c:v>2062.4987065399268</c:v>
                </c:pt>
                <c:pt idx="190">
                  <c:v>2135.2345383739912</c:v>
                </c:pt>
                <c:pt idx="191">
                  <c:v>2204.8805482849116</c:v>
                </c:pt>
                <c:pt idx="192">
                  <c:v>2281.8796962427923</c:v>
                </c:pt>
                <c:pt idx="193">
                  <c:v>2358.5739757759989</c:v>
                </c:pt>
                <c:pt idx="194">
                  <c:v>2434.0748321794254</c:v>
                </c:pt>
                <c:pt idx="195">
                  <c:v>2514.9994605929892</c:v>
                </c:pt>
                <c:pt idx="196">
                  <c:v>2601.1242360289825</c:v>
                </c:pt>
                <c:pt idx="197">
                  <c:v>2682.9029125566685</c:v>
                </c:pt>
                <c:pt idx="198">
                  <c:v>2773.8709175605709</c:v>
                </c:pt>
                <c:pt idx="199">
                  <c:v>2860.6733673054127</c:v>
                </c:pt>
                <c:pt idx="200">
                  <c:v>2952.9514418757053</c:v>
                </c:pt>
                <c:pt idx="201">
                  <c:v>3047.8573844707362</c:v>
                </c:pt>
                <c:pt idx="202">
                  <c:v>3149.1635476810793</c:v>
                </c:pt>
                <c:pt idx="203">
                  <c:v>3244.9548058301639</c:v>
                </c:pt>
                <c:pt idx="204">
                  <c:v>3347.6741672759695</c:v>
                </c:pt>
                <c:pt idx="205">
                  <c:v>3452.695443509474</c:v>
                </c:pt>
                <c:pt idx="206">
                  <c:v>3560.7101585164864</c:v>
                </c:pt>
                <c:pt idx="207">
                  <c:v>3671.2029249376169</c:v>
                </c:pt>
                <c:pt idx="208">
                  <c:v>3789.5947927863049</c:v>
                </c:pt>
                <c:pt idx="209">
                  <c:v>3896.8499345270407</c:v>
                </c:pt>
                <c:pt idx="210">
                  <c:v>4021.2486043332883</c:v>
                </c:pt>
                <c:pt idx="211">
                  <c:v>4143.5469125068566</c:v>
                </c:pt>
                <c:pt idx="212">
                  <c:v>4269.0197712418585</c:v>
                </c:pt>
                <c:pt idx="213">
                  <c:v>4397.3980973755206</c:v>
                </c:pt>
                <c:pt idx="214">
                  <c:v>4532.39471078934</c:v>
                </c:pt>
                <c:pt idx="215">
                  <c:v>4662.8704508835535</c:v>
                </c:pt>
                <c:pt idx="216">
                  <c:v>4807.2067211700323</c:v>
                </c:pt>
                <c:pt idx="217">
                  <c:v>4948.7832646546058</c:v>
                </c:pt>
                <c:pt idx="218">
                  <c:v>5095.3825097286572</c:v>
                </c:pt>
                <c:pt idx="219">
                  <c:v>5240.8990599121653</c:v>
                </c:pt>
                <c:pt idx="220">
                  <c:v>5399.7906959778202</c:v>
                </c:pt>
                <c:pt idx="221">
                  <c:v>5549.5225411841866</c:v>
                </c:pt>
                <c:pt idx="222">
                  <c:v>5716.0104645006622</c:v>
                </c:pt>
                <c:pt idx="223">
                  <c:v>5878.1813988154818</c:v>
                </c:pt>
                <c:pt idx="224">
                  <c:v>6043.5100283197708</c:v>
                </c:pt>
                <c:pt idx="225">
                  <c:v>6212.7946847039757</c:v>
                </c:pt>
                <c:pt idx="226">
                  <c:v>6395.2807712124732</c:v>
                </c:pt>
                <c:pt idx="227">
                  <c:v>6565.4297092591059</c:v>
                </c:pt>
                <c:pt idx="228">
                  <c:v>6756.2193398586496</c:v>
                </c:pt>
                <c:pt idx="229">
                  <c:v>6937.1579459666018</c:v>
                </c:pt>
                <c:pt idx="230">
                  <c:v>7129.2917228340875</c:v>
                </c:pt>
                <c:pt idx="231">
                  <c:v>7320.9514934615099</c:v>
                </c:pt>
                <c:pt idx="232">
                  <c:v>7529.1626234397172</c:v>
                </c:pt>
                <c:pt idx="233">
                  <c:v>7720.8087080032319</c:v>
                </c:pt>
                <c:pt idx="234">
                  <c:v>7934.2366303582448</c:v>
                </c:pt>
                <c:pt idx="235">
                  <c:v>8141.6604630026231</c:v>
                </c:pt>
                <c:pt idx="236">
                  <c:v>8359.2131136495464</c:v>
                </c:pt>
                <c:pt idx="237">
                  <c:v>8574.8050820340177</c:v>
                </c:pt>
                <c:pt idx="238">
                  <c:v>8810.787664052712</c:v>
                </c:pt>
                <c:pt idx="239">
                  <c:v>9019.9177096717394</c:v>
                </c:pt>
                <c:pt idx="240">
                  <c:v>9265.396823093035</c:v>
                </c:pt>
                <c:pt idx="241">
                  <c:v>9497.5028648118769</c:v>
                </c:pt>
                <c:pt idx="242">
                  <c:v>9742.0012354602386</c:v>
                </c:pt>
                <c:pt idx="243">
                  <c:v>9982.3643751681266</c:v>
                </c:pt>
                <c:pt idx="244">
                  <c:v>10243.672484759856</c:v>
                </c:pt>
                <c:pt idx="245">
                  <c:v>10490.78284401879</c:v>
                </c:pt>
                <c:pt idx="246">
                  <c:v>10766.832579610418</c:v>
                </c:pt>
                <c:pt idx="247">
                  <c:v>11029.686831598612</c:v>
                </c:pt>
                <c:pt idx="248">
                  <c:v>11309.521985174279</c:v>
                </c:pt>
                <c:pt idx="249">
                  <c:v>11576.115170318131</c:v>
                </c:pt>
                <c:pt idx="250">
                  <c:v>11873.815871881128</c:v>
                </c:pt>
                <c:pt idx="251">
                  <c:v>12147.298745236185</c:v>
                </c:pt>
                <c:pt idx="252">
                  <c:v>12456.111193958926</c:v>
                </c:pt>
                <c:pt idx="253">
                  <c:v>12746.729182281295</c:v>
                </c:pt>
                <c:pt idx="254">
                  <c:v>13051.774272063803</c:v>
                </c:pt>
                <c:pt idx="255">
                  <c:v>13351.957465081992</c:v>
                </c:pt>
                <c:pt idx="256">
                  <c:v>13683.528393661236</c:v>
                </c:pt>
                <c:pt idx="257">
                  <c:v>13983.480051280721</c:v>
                </c:pt>
                <c:pt idx="258">
                  <c:v>14326.668723220668</c:v>
                </c:pt>
                <c:pt idx="259">
                  <c:v>14638.584448368896</c:v>
                </c:pt>
                <c:pt idx="260">
                  <c:v>14982.822152674915</c:v>
                </c:pt>
                <c:pt idx="261">
                  <c:v>15311.362998746121</c:v>
                </c:pt>
                <c:pt idx="262">
                  <c:v>15678.236418473425</c:v>
                </c:pt>
                <c:pt idx="263">
                  <c:v>16005.147957923584</c:v>
                </c:pt>
                <c:pt idx="264">
                  <c:v>16374.880203959023</c:v>
                </c:pt>
                <c:pt idx="265">
                  <c:v>16722.452248407473</c:v>
                </c:pt>
                <c:pt idx="266">
                  <c:v>17100.454944932731</c:v>
                </c:pt>
                <c:pt idx="267">
                  <c:v>17457.960987306273</c:v>
                </c:pt>
                <c:pt idx="268">
                  <c:v>17861.279685813617</c:v>
                </c:pt>
                <c:pt idx="269">
                  <c:v>18202.564083988978</c:v>
                </c:pt>
                <c:pt idx="270">
                  <c:v>18617.927299981802</c:v>
                </c:pt>
                <c:pt idx="271">
                  <c:v>18994.80062187785</c:v>
                </c:pt>
                <c:pt idx="272">
                  <c:v>19406.76982935701</c:v>
                </c:pt>
                <c:pt idx="273">
                  <c:v>19790.970742530495</c:v>
                </c:pt>
                <c:pt idx="274">
                  <c:v>20218.235121579724</c:v>
                </c:pt>
                <c:pt idx="275">
                  <c:v>20621.435330030694</c:v>
                </c:pt>
                <c:pt idx="276">
                  <c:v>21074.592274768718</c:v>
                </c:pt>
                <c:pt idx="277">
                  <c:v>21494.552784742311</c:v>
                </c:pt>
                <c:pt idx="278">
                  <c:v>21953.533799120294</c:v>
                </c:pt>
                <c:pt idx="279">
                  <c:v>22380.831470856159</c:v>
                </c:pt>
                <c:pt idx="280">
                  <c:v>22860.211182272171</c:v>
                </c:pt>
                <c:pt idx="281">
                  <c:v>23295.367248266488</c:v>
                </c:pt>
                <c:pt idx="282">
                  <c:v>23787.911968609005</c:v>
                </c:pt>
                <c:pt idx="283">
                  <c:v>24240.112694960411</c:v>
                </c:pt>
                <c:pt idx="284">
                  <c:v>24729.766986347291</c:v>
                </c:pt>
                <c:pt idx="285">
                  <c:v>25192.378628812334</c:v>
                </c:pt>
                <c:pt idx="286">
                  <c:v>25711.250982140853</c:v>
                </c:pt>
                <c:pt idx="287">
                  <c:v>26172.91567629603</c:v>
                </c:pt>
                <c:pt idx="288">
                  <c:v>26704.940331786871</c:v>
                </c:pt>
                <c:pt idx="289">
                  <c:v>27171.410828294265</c:v>
                </c:pt>
                <c:pt idx="290">
                  <c:v>27705.739464894963</c:v>
                </c:pt>
                <c:pt idx="291">
                  <c:v>28195.485451641158</c:v>
                </c:pt>
                <c:pt idx="292">
                  <c:v>28753.454540538063</c:v>
                </c:pt>
                <c:pt idx="293">
                  <c:v>29237.851486222156</c:v>
                </c:pt>
                <c:pt idx="294">
                  <c:v>29798.393301729975</c:v>
                </c:pt>
                <c:pt idx="295">
                  <c:v>30306.487984139105</c:v>
                </c:pt>
                <c:pt idx="296">
                  <c:v>30876.95156372782</c:v>
                </c:pt>
                <c:pt idx="297">
                  <c:v>31390.941415642661</c:v>
                </c:pt>
                <c:pt idx="298">
                  <c:v>31987.270430499353</c:v>
                </c:pt>
                <c:pt idx="299">
                  <c:v>32483.928320578634</c:v>
                </c:pt>
                <c:pt idx="300">
                  <c:v>33092.590191528099</c:v>
                </c:pt>
                <c:pt idx="301">
                  <c:v>33620.141745730092</c:v>
                </c:pt>
                <c:pt idx="302">
                  <c:v>34225.664989672143</c:v>
                </c:pt>
                <c:pt idx="303">
                  <c:v>34764.353984799527</c:v>
                </c:pt>
                <c:pt idx="304">
                  <c:v>35384.522536089353</c:v>
                </c:pt>
                <c:pt idx="305">
                  <c:v>35913.204564253523</c:v>
                </c:pt>
                <c:pt idx="306">
                  <c:v>36558.330583629744</c:v>
                </c:pt>
                <c:pt idx="307">
                  <c:v>37129.954657065871</c:v>
                </c:pt>
                <c:pt idx="308">
                  <c:v>37780.654070494005</c:v>
                </c:pt>
                <c:pt idx="309">
                  <c:v>38359.135077558465</c:v>
                </c:pt>
                <c:pt idx="310">
                  <c:v>39028.900557476212</c:v>
                </c:pt>
                <c:pt idx="311">
                  <c:v>39607.103405914357</c:v>
                </c:pt>
                <c:pt idx="312">
                  <c:v>40288.762785434548</c:v>
                </c:pt>
                <c:pt idx="313">
                  <c:v>40877.833474532825</c:v>
                </c:pt>
                <c:pt idx="314">
                  <c:v>41562.646426482657</c:v>
                </c:pt>
                <c:pt idx="315">
                  <c:v>42160.461975705781</c:v>
                </c:pt>
                <c:pt idx="316">
                  <c:v>42865.2519559637</c:v>
                </c:pt>
                <c:pt idx="317">
                  <c:v>43458.91542161032</c:v>
                </c:pt>
                <c:pt idx="318">
                  <c:v>44174.915095285636</c:v>
                </c:pt>
                <c:pt idx="319">
                  <c:v>44780.768545920735</c:v>
                </c:pt>
                <c:pt idx="320">
                  <c:v>45496.85259096232</c:v>
                </c:pt>
                <c:pt idx="321">
                  <c:v>46106.535703415408</c:v>
                </c:pt>
                <c:pt idx="322">
                  <c:v>46843.963253954011</c:v>
                </c:pt>
                <c:pt idx="323">
                  <c:v>47446.749983504495</c:v>
                </c:pt>
                <c:pt idx="324">
                  <c:v>48194.342797345969</c:v>
                </c:pt>
                <c:pt idx="325">
                  <c:v>48810.234093168954</c:v>
                </c:pt>
                <c:pt idx="326">
                  <c:v>49554.220135508214</c:v>
                </c:pt>
                <c:pt idx="327">
                  <c:v>50178.32663776644</c:v>
                </c:pt>
                <c:pt idx="328">
                  <c:v>50945.580483333455</c:v>
                </c:pt>
                <c:pt idx="329">
                  <c:v>51562.62470701956</c:v>
                </c:pt>
                <c:pt idx="330">
                  <c:v>52339.146457913303</c:v>
                </c:pt>
                <c:pt idx="331">
                  <c:v>52984.966230023158</c:v>
                </c:pt>
                <c:pt idx="332">
                  <c:v>53754.980262961042</c:v>
                </c:pt>
                <c:pt idx="333">
                  <c:v>54403.823423154514</c:v>
                </c:pt>
                <c:pt idx="334">
                  <c:v>55198.55823713557</c:v>
                </c:pt>
                <c:pt idx="335">
                  <c:v>55692.583207257099</c:v>
                </c:pt>
                <c:pt idx="336">
                  <c:v>56493.592415165091</c:v>
                </c:pt>
                <c:pt idx="337">
                  <c:v>57125.344346726168</c:v>
                </c:pt>
                <c:pt idx="338">
                  <c:v>57763.18858058528</c:v>
                </c:pt>
                <c:pt idx="339">
                  <c:v>58401.21645434908</c:v>
                </c:pt>
                <c:pt idx="340">
                  <c:v>59215.649112124047</c:v>
                </c:pt>
                <c:pt idx="341">
                  <c:v>59660.395828849687</c:v>
                </c:pt>
                <c:pt idx="342">
                  <c:v>60479.495670281234</c:v>
                </c:pt>
                <c:pt idx="343">
                  <c:v>61112.407238713698</c:v>
                </c:pt>
                <c:pt idx="344">
                  <c:v>61752.127543454721</c:v>
                </c:pt>
                <c:pt idx="345">
                  <c:v>62371.253093525134</c:v>
                </c:pt>
                <c:pt idx="346">
                  <c:v>63201.219656113426</c:v>
                </c:pt>
                <c:pt idx="347">
                  <c:v>63646.775673586875</c:v>
                </c:pt>
                <c:pt idx="348">
                  <c:v>64480.45517189856</c:v>
                </c:pt>
                <c:pt idx="349">
                  <c:v>65106.838882479919</c:v>
                </c:pt>
                <c:pt idx="350">
                  <c:v>65764.144126671483</c:v>
                </c:pt>
                <c:pt idx="351">
                  <c:v>66388.666891660498</c:v>
                </c:pt>
                <c:pt idx="352">
                  <c:v>67231.080191865141</c:v>
                </c:pt>
                <c:pt idx="353">
                  <c:v>67658.973657334325</c:v>
                </c:pt>
                <c:pt idx="354">
                  <c:v>68503.934186588551</c:v>
                </c:pt>
                <c:pt idx="355">
                  <c:v>69129.896420009187</c:v>
                </c:pt>
                <c:pt idx="356">
                  <c:v>69793.688061360415</c:v>
                </c:pt>
                <c:pt idx="357">
                  <c:v>70410.901064682403</c:v>
                </c:pt>
                <c:pt idx="358">
                  <c:v>71262.51071814129</c:v>
                </c:pt>
                <c:pt idx="359">
                  <c:v>71673.105796181131</c:v>
                </c:pt>
                <c:pt idx="360">
                  <c:v>72526.172708155602</c:v>
                </c:pt>
                <c:pt idx="361">
                  <c:v>73144.797920216952</c:v>
                </c:pt>
                <c:pt idx="362">
                  <c:v>73777.320163635857</c:v>
                </c:pt>
                <c:pt idx="363">
                  <c:v>74375.56287399889</c:v>
                </c:pt>
                <c:pt idx="364">
                  <c:v>75232.867577354686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3-46E4-B0C8-C5A0601B75BD}"/>
            </c:ext>
          </c:extLst>
        </c:ser>
        <c:ser>
          <c:idx val="1"/>
          <c:order val="1"/>
          <c:tx>
            <c:v>2年目級群</c:v>
          </c:tx>
          <c:spPr>
            <a:solidFill>
              <a:srgbClr val="FF5050"/>
            </a:solidFill>
            <a:ln>
              <a:noFill/>
            </a:ln>
            <a:effectLst/>
          </c:spPr>
          <c:cat>
            <c:numRef>
              <c:f>マアナゴ!$A$3:$A$367</c:f>
              <c:numCache>
                <c:formatCode>m/d/yyyy</c:formatCode>
                <c:ptCount val="365"/>
                <c:pt idx="0">
                  <c:v>41730</c:v>
                </c:pt>
                <c:pt idx="1">
                  <c:v>41731</c:v>
                </c:pt>
                <c:pt idx="2">
                  <c:v>41732</c:v>
                </c:pt>
                <c:pt idx="3">
                  <c:v>41733</c:v>
                </c:pt>
                <c:pt idx="4">
                  <c:v>41734</c:v>
                </c:pt>
                <c:pt idx="5">
                  <c:v>41735</c:v>
                </c:pt>
                <c:pt idx="6">
                  <c:v>41736</c:v>
                </c:pt>
                <c:pt idx="7">
                  <c:v>41737</c:v>
                </c:pt>
                <c:pt idx="8">
                  <c:v>41738</c:v>
                </c:pt>
                <c:pt idx="9">
                  <c:v>41739</c:v>
                </c:pt>
                <c:pt idx="10">
                  <c:v>41740</c:v>
                </c:pt>
                <c:pt idx="11">
                  <c:v>41741</c:v>
                </c:pt>
                <c:pt idx="12">
                  <c:v>41742</c:v>
                </c:pt>
                <c:pt idx="13">
                  <c:v>41743</c:v>
                </c:pt>
                <c:pt idx="14">
                  <c:v>41744</c:v>
                </c:pt>
                <c:pt idx="15">
                  <c:v>41745</c:v>
                </c:pt>
                <c:pt idx="16">
                  <c:v>41746</c:v>
                </c:pt>
                <c:pt idx="17">
                  <c:v>41747</c:v>
                </c:pt>
                <c:pt idx="18">
                  <c:v>41748</c:v>
                </c:pt>
                <c:pt idx="19">
                  <c:v>41749</c:v>
                </c:pt>
                <c:pt idx="20">
                  <c:v>41750</c:v>
                </c:pt>
                <c:pt idx="21">
                  <c:v>41751</c:v>
                </c:pt>
                <c:pt idx="22">
                  <c:v>41752</c:v>
                </c:pt>
                <c:pt idx="23">
                  <c:v>41753</c:v>
                </c:pt>
                <c:pt idx="24">
                  <c:v>41754</c:v>
                </c:pt>
                <c:pt idx="25">
                  <c:v>41755</c:v>
                </c:pt>
                <c:pt idx="26">
                  <c:v>41756</c:v>
                </c:pt>
                <c:pt idx="27">
                  <c:v>41757</c:v>
                </c:pt>
                <c:pt idx="28">
                  <c:v>41758</c:v>
                </c:pt>
                <c:pt idx="29">
                  <c:v>41759</c:v>
                </c:pt>
                <c:pt idx="30">
                  <c:v>41760</c:v>
                </c:pt>
                <c:pt idx="31">
                  <c:v>41761</c:v>
                </c:pt>
                <c:pt idx="32">
                  <c:v>41762</c:v>
                </c:pt>
                <c:pt idx="33">
                  <c:v>41763</c:v>
                </c:pt>
                <c:pt idx="34">
                  <c:v>41764</c:v>
                </c:pt>
                <c:pt idx="35">
                  <c:v>41765</c:v>
                </c:pt>
                <c:pt idx="36">
                  <c:v>41766</c:v>
                </c:pt>
                <c:pt idx="37">
                  <c:v>41767</c:v>
                </c:pt>
                <c:pt idx="38">
                  <c:v>41768</c:v>
                </c:pt>
                <c:pt idx="39">
                  <c:v>41769</c:v>
                </c:pt>
                <c:pt idx="40">
                  <c:v>41770</c:v>
                </c:pt>
                <c:pt idx="41">
                  <c:v>41771</c:v>
                </c:pt>
                <c:pt idx="42">
                  <c:v>41772</c:v>
                </c:pt>
                <c:pt idx="43">
                  <c:v>41773</c:v>
                </c:pt>
                <c:pt idx="44">
                  <c:v>41774</c:v>
                </c:pt>
                <c:pt idx="45">
                  <c:v>41775</c:v>
                </c:pt>
                <c:pt idx="46">
                  <c:v>41776</c:v>
                </c:pt>
                <c:pt idx="47">
                  <c:v>41777</c:v>
                </c:pt>
                <c:pt idx="48">
                  <c:v>41778</c:v>
                </c:pt>
                <c:pt idx="49">
                  <c:v>41779</c:v>
                </c:pt>
                <c:pt idx="50">
                  <c:v>41780</c:v>
                </c:pt>
                <c:pt idx="51">
                  <c:v>41781</c:v>
                </c:pt>
                <c:pt idx="52">
                  <c:v>41782</c:v>
                </c:pt>
                <c:pt idx="53">
                  <c:v>41783</c:v>
                </c:pt>
                <c:pt idx="54">
                  <c:v>41784</c:v>
                </c:pt>
                <c:pt idx="55">
                  <c:v>41785</c:v>
                </c:pt>
                <c:pt idx="56">
                  <c:v>41786</c:v>
                </c:pt>
                <c:pt idx="57">
                  <c:v>41787</c:v>
                </c:pt>
                <c:pt idx="58">
                  <c:v>41788</c:v>
                </c:pt>
                <c:pt idx="59">
                  <c:v>41789</c:v>
                </c:pt>
                <c:pt idx="60">
                  <c:v>41790</c:v>
                </c:pt>
                <c:pt idx="61">
                  <c:v>41791</c:v>
                </c:pt>
                <c:pt idx="62">
                  <c:v>41792</c:v>
                </c:pt>
                <c:pt idx="63">
                  <c:v>41793</c:v>
                </c:pt>
                <c:pt idx="64">
                  <c:v>41794</c:v>
                </c:pt>
                <c:pt idx="65">
                  <c:v>41795</c:v>
                </c:pt>
                <c:pt idx="66">
                  <c:v>41796</c:v>
                </c:pt>
                <c:pt idx="67">
                  <c:v>41797</c:v>
                </c:pt>
                <c:pt idx="68">
                  <c:v>41798</c:v>
                </c:pt>
                <c:pt idx="69">
                  <c:v>41799</c:v>
                </c:pt>
                <c:pt idx="70">
                  <c:v>41800</c:v>
                </c:pt>
                <c:pt idx="71">
                  <c:v>41801</c:v>
                </c:pt>
                <c:pt idx="72">
                  <c:v>41802</c:v>
                </c:pt>
                <c:pt idx="73">
                  <c:v>41803</c:v>
                </c:pt>
                <c:pt idx="74">
                  <c:v>41804</c:v>
                </c:pt>
                <c:pt idx="75">
                  <c:v>41805</c:v>
                </c:pt>
                <c:pt idx="76">
                  <c:v>41806</c:v>
                </c:pt>
                <c:pt idx="77">
                  <c:v>41807</c:v>
                </c:pt>
                <c:pt idx="78">
                  <c:v>41808</c:v>
                </c:pt>
                <c:pt idx="79">
                  <c:v>41809</c:v>
                </c:pt>
                <c:pt idx="80">
                  <c:v>41810</c:v>
                </c:pt>
                <c:pt idx="81">
                  <c:v>41811</c:v>
                </c:pt>
                <c:pt idx="82">
                  <c:v>41812</c:v>
                </c:pt>
                <c:pt idx="83">
                  <c:v>41813</c:v>
                </c:pt>
                <c:pt idx="84">
                  <c:v>41814</c:v>
                </c:pt>
                <c:pt idx="85">
                  <c:v>41815</c:v>
                </c:pt>
                <c:pt idx="86">
                  <c:v>41816</c:v>
                </c:pt>
                <c:pt idx="87">
                  <c:v>41817</c:v>
                </c:pt>
                <c:pt idx="88">
                  <c:v>41818</c:v>
                </c:pt>
                <c:pt idx="89">
                  <c:v>41819</c:v>
                </c:pt>
                <c:pt idx="90">
                  <c:v>41820</c:v>
                </c:pt>
                <c:pt idx="91">
                  <c:v>41821</c:v>
                </c:pt>
                <c:pt idx="92">
                  <c:v>41822</c:v>
                </c:pt>
                <c:pt idx="93">
                  <c:v>41823</c:v>
                </c:pt>
                <c:pt idx="94">
                  <c:v>41824</c:v>
                </c:pt>
                <c:pt idx="95">
                  <c:v>41825</c:v>
                </c:pt>
                <c:pt idx="96">
                  <c:v>41826</c:v>
                </c:pt>
                <c:pt idx="97">
                  <c:v>41827</c:v>
                </c:pt>
                <c:pt idx="98">
                  <c:v>41828</c:v>
                </c:pt>
                <c:pt idx="99">
                  <c:v>41829</c:v>
                </c:pt>
                <c:pt idx="100">
                  <c:v>41830</c:v>
                </c:pt>
                <c:pt idx="101">
                  <c:v>41831</c:v>
                </c:pt>
                <c:pt idx="102">
                  <c:v>41832</c:v>
                </c:pt>
                <c:pt idx="103">
                  <c:v>41833</c:v>
                </c:pt>
                <c:pt idx="104">
                  <c:v>41834</c:v>
                </c:pt>
                <c:pt idx="105">
                  <c:v>41835</c:v>
                </c:pt>
                <c:pt idx="106">
                  <c:v>41836</c:v>
                </c:pt>
                <c:pt idx="107">
                  <c:v>41837</c:v>
                </c:pt>
                <c:pt idx="108">
                  <c:v>41838</c:v>
                </c:pt>
                <c:pt idx="109">
                  <c:v>41839</c:v>
                </c:pt>
                <c:pt idx="110">
                  <c:v>41840</c:v>
                </c:pt>
                <c:pt idx="111">
                  <c:v>41841</c:v>
                </c:pt>
                <c:pt idx="112">
                  <c:v>41842</c:v>
                </c:pt>
                <c:pt idx="113">
                  <c:v>41843</c:v>
                </c:pt>
                <c:pt idx="114">
                  <c:v>41844</c:v>
                </c:pt>
                <c:pt idx="115">
                  <c:v>41845</c:v>
                </c:pt>
                <c:pt idx="116">
                  <c:v>41846</c:v>
                </c:pt>
                <c:pt idx="117">
                  <c:v>41847</c:v>
                </c:pt>
                <c:pt idx="118">
                  <c:v>41848</c:v>
                </c:pt>
                <c:pt idx="119">
                  <c:v>41849</c:v>
                </c:pt>
                <c:pt idx="120">
                  <c:v>41850</c:v>
                </c:pt>
                <c:pt idx="121">
                  <c:v>41851</c:v>
                </c:pt>
                <c:pt idx="122">
                  <c:v>41852</c:v>
                </c:pt>
                <c:pt idx="123">
                  <c:v>41853</c:v>
                </c:pt>
                <c:pt idx="124">
                  <c:v>41854</c:v>
                </c:pt>
                <c:pt idx="125">
                  <c:v>41855</c:v>
                </c:pt>
                <c:pt idx="126">
                  <c:v>41856</c:v>
                </c:pt>
                <c:pt idx="127">
                  <c:v>41857</c:v>
                </c:pt>
                <c:pt idx="128">
                  <c:v>41858</c:v>
                </c:pt>
                <c:pt idx="129">
                  <c:v>41859</c:v>
                </c:pt>
                <c:pt idx="130">
                  <c:v>41860</c:v>
                </c:pt>
                <c:pt idx="131">
                  <c:v>41861</c:v>
                </c:pt>
                <c:pt idx="132">
                  <c:v>41862</c:v>
                </c:pt>
                <c:pt idx="133">
                  <c:v>41863</c:v>
                </c:pt>
                <c:pt idx="134">
                  <c:v>41864</c:v>
                </c:pt>
                <c:pt idx="135">
                  <c:v>41865</c:v>
                </c:pt>
                <c:pt idx="136">
                  <c:v>41866</c:v>
                </c:pt>
                <c:pt idx="137">
                  <c:v>41867</c:v>
                </c:pt>
                <c:pt idx="138">
                  <c:v>41868</c:v>
                </c:pt>
                <c:pt idx="139">
                  <c:v>41869</c:v>
                </c:pt>
                <c:pt idx="140">
                  <c:v>41870</c:v>
                </c:pt>
                <c:pt idx="141">
                  <c:v>41871</c:v>
                </c:pt>
                <c:pt idx="142">
                  <c:v>41872</c:v>
                </c:pt>
                <c:pt idx="143">
                  <c:v>41873</c:v>
                </c:pt>
                <c:pt idx="144">
                  <c:v>41874</c:v>
                </c:pt>
                <c:pt idx="145">
                  <c:v>41875</c:v>
                </c:pt>
                <c:pt idx="146">
                  <c:v>41876</c:v>
                </c:pt>
                <c:pt idx="147">
                  <c:v>41877</c:v>
                </c:pt>
                <c:pt idx="148">
                  <c:v>41878</c:v>
                </c:pt>
                <c:pt idx="149">
                  <c:v>41879</c:v>
                </c:pt>
                <c:pt idx="150">
                  <c:v>41880</c:v>
                </c:pt>
                <c:pt idx="151">
                  <c:v>41881</c:v>
                </c:pt>
                <c:pt idx="152">
                  <c:v>41882</c:v>
                </c:pt>
                <c:pt idx="153">
                  <c:v>41883</c:v>
                </c:pt>
                <c:pt idx="154">
                  <c:v>41884</c:v>
                </c:pt>
                <c:pt idx="155">
                  <c:v>41885</c:v>
                </c:pt>
                <c:pt idx="156">
                  <c:v>41886</c:v>
                </c:pt>
                <c:pt idx="157">
                  <c:v>41887</c:v>
                </c:pt>
                <c:pt idx="158">
                  <c:v>41888</c:v>
                </c:pt>
                <c:pt idx="159">
                  <c:v>41889</c:v>
                </c:pt>
                <c:pt idx="160">
                  <c:v>41890</c:v>
                </c:pt>
                <c:pt idx="161">
                  <c:v>41891</c:v>
                </c:pt>
                <c:pt idx="162">
                  <c:v>41892</c:v>
                </c:pt>
                <c:pt idx="163">
                  <c:v>41893</c:v>
                </c:pt>
                <c:pt idx="164">
                  <c:v>41894</c:v>
                </c:pt>
                <c:pt idx="165">
                  <c:v>41895</c:v>
                </c:pt>
                <c:pt idx="166">
                  <c:v>41896</c:v>
                </c:pt>
                <c:pt idx="167">
                  <c:v>41897</c:v>
                </c:pt>
                <c:pt idx="168">
                  <c:v>41898</c:v>
                </c:pt>
                <c:pt idx="169">
                  <c:v>41899</c:v>
                </c:pt>
                <c:pt idx="170">
                  <c:v>41900</c:v>
                </c:pt>
                <c:pt idx="171">
                  <c:v>41901</c:v>
                </c:pt>
                <c:pt idx="172">
                  <c:v>41902</c:v>
                </c:pt>
                <c:pt idx="173">
                  <c:v>41903</c:v>
                </c:pt>
                <c:pt idx="174">
                  <c:v>41904</c:v>
                </c:pt>
                <c:pt idx="175">
                  <c:v>41905</c:v>
                </c:pt>
                <c:pt idx="176">
                  <c:v>41906</c:v>
                </c:pt>
                <c:pt idx="177">
                  <c:v>41907</c:v>
                </c:pt>
                <c:pt idx="178">
                  <c:v>41908</c:v>
                </c:pt>
                <c:pt idx="179">
                  <c:v>41909</c:v>
                </c:pt>
                <c:pt idx="180">
                  <c:v>41910</c:v>
                </c:pt>
                <c:pt idx="181">
                  <c:v>41911</c:v>
                </c:pt>
                <c:pt idx="182">
                  <c:v>41912</c:v>
                </c:pt>
                <c:pt idx="183">
                  <c:v>41913</c:v>
                </c:pt>
                <c:pt idx="184">
                  <c:v>41914</c:v>
                </c:pt>
                <c:pt idx="185">
                  <c:v>41915</c:v>
                </c:pt>
                <c:pt idx="186">
                  <c:v>41916</c:v>
                </c:pt>
                <c:pt idx="187">
                  <c:v>41917</c:v>
                </c:pt>
                <c:pt idx="188">
                  <c:v>41918</c:v>
                </c:pt>
                <c:pt idx="189">
                  <c:v>41919</c:v>
                </c:pt>
                <c:pt idx="190">
                  <c:v>41920</c:v>
                </c:pt>
                <c:pt idx="191">
                  <c:v>41921</c:v>
                </c:pt>
                <c:pt idx="192">
                  <c:v>41922</c:v>
                </c:pt>
                <c:pt idx="193">
                  <c:v>41923</c:v>
                </c:pt>
                <c:pt idx="194">
                  <c:v>41924</c:v>
                </c:pt>
                <c:pt idx="195">
                  <c:v>41925</c:v>
                </c:pt>
                <c:pt idx="196">
                  <c:v>41926</c:v>
                </c:pt>
                <c:pt idx="197">
                  <c:v>41927</c:v>
                </c:pt>
                <c:pt idx="198">
                  <c:v>41928</c:v>
                </c:pt>
                <c:pt idx="199">
                  <c:v>41929</c:v>
                </c:pt>
                <c:pt idx="200">
                  <c:v>41930</c:v>
                </c:pt>
                <c:pt idx="201">
                  <c:v>41931</c:v>
                </c:pt>
                <c:pt idx="202">
                  <c:v>41932</c:v>
                </c:pt>
                <c:pt idx="203">
                  <c:v>41933</c:v>
                </c:pt>
                <c:pt idx="204">
                  <c:v>41934</c:v>
                </c:pt>
                <c:pt idx="205">
                  <c:v>41935</c:v>
                </c:pt>
                <c:pt idx="206">
                  <c:v>41936</c:v>
                </c:pt>
                <c:pt idx="207">
                  <c:v>41937</c:v>
                </c:pt>
                <c:pt idx="208">
                  <c:v>41938</c:v>
                </c:pt>
                <c:pt idx="209">
                  <c:v>41939</c:v>
                </c:pt>
                <c:pt idx="210">
                  <c:v>41940</c:v>
                </c:pt>
                <c:pt idx="211">
                  <c:v>41941</c:v>
                </c:pt>
                <c:pt idx="212">
                  <c:v>41942</c:v>
                </c:pt>
                <c:pt idx="213">
                  <c:v>41943</c:v>
                </c:pt>
                <c:pt idx="214">
                  <c:v>41944</c:v>
                </c:pt>
                <c:pt idx="215">
                  <c:v>41945</c:v>
                </c:pt>
                <c:pt idx="216">
                  <c:v>41946</c:v>
                </c:pt>
                <c:pt idx="217">
                  <c:v>41947</c:v>
                </c:pt>
                <c:pt idx="218">
                  <c:v>41948</c:v>
                </c:pt>
                <c:pt idx="219">
                  <c:v>41949</c:v>
                </c:pt>
                <c:pt idx="220">
                  <c:v>41950</c:v>
                </c:pt>
                <c:pt idx="221">
                  <c:v>41951</c:v>
                </c:pt>
                <c:pt idx="222">
                  <c:v>41952</c:v>
                </c:pt>
                <c:pt idx="223">
                  <c:v>41953</c:v>
                </c:pt>
                <c:pt idx="224">
                  <c:v>41954</c:v>
                </c:pt>
                <c:pt idx="225">
                  <c:v>41955</c:v>
                </c:pt>
                <c:pt idx="226">
                  <c:v>41956</c:v>
                </c:pt>
                <c:pt idx="227">
                  <c:v>41957</c:v>
                </c:pt>
                <c:pt idx="228">
                  <c:v>41958</c:v>
                </c:pt>
                <c:pt idx="229">
                  <c:v>41959</c:v>
                </c:pt>
                <c:pt idx="230">
                  <c:v>41960</c:v>
                </c:pt>
                <c:pt idx="231">
                  <c:v>41961</c:v>
                </c:pt>
                <c:pt idx="232">
                  <c:v>41962</c:v>
                </c:pt>
                <c:pt idx="233">
                  <c:v>41963</c:v>
                </c:pt>
                <c:pt idx="234">
                  <c:v>41964</c:v>
                </c:pt>
                <c:pt idx="235">
                  <c:v>41965</c:v>
                </c:pt>
                <c:pt idx="236">
                  <c:v>41966</c:v>
                </c:pt>
                <c:pt idx="237">
                  <c:v>41967</c:v>
                </c:pt>
                <c:pt idx="238">
                  <c:v>41968</c:v>
                </c:pt>
                <c:pt idx="239">
                  <c:v>41969</c:v>
                </c:pt>
                <c:pt idx="240">
                  <c:v>41970</c:v>
                </c:pt>
                <c:pt idx="241">
                  <c:v>41971</c:v>
                </c:pt>
                <c:pt idx="242">
                  <c:v>41972</c:v>
                </c:pt>
                <c:pt idx="243">
                  <c:v>41973</c:v>
                </c:pt>
                <c:pt idx="244">
                  <c:v>41974</c:v>
                </c:pt>
                <c:pt idx="245">
                  <c:v>41975</c:v>
                </c:pt>
                <c:pt idx="246">
                  <c:v>41976</c:v>
                </c:pt>
                <c:pt idx="247">
                  <c:v>41977</c:v>
                </c:pt>
                <c:pt idx="248">
                  <c:v>41978</c:v>
                </c:pt>
                <c:pt idx="249">
                  <c:v>41979</c:v>
                </c:pt>
                <c:pt idx="250">
                  <c:v>41980</c:v>
                </c:pt>
                <c:pt idx="251">
                  <c:v>41981</c:v>
                </c:pt>
                <c:pt idx="252">
                  <c:v>41982</c:v>
                </c:pt>
                <c:pt idx="253">
                  <c:v>41983</c:v>
                </c:pt>
                <c:pt idx="254">
                  <c:v>41984</c:v>
                </c:pt>
                <c:pt idx="255">
                  <c:v>41985</c:v>
                </c:pt>
                <c:pt idx="256">
                  <c:v>41986</c:v>
                </c:pt>
                <c:pt idx="257">
                  <c:v>41987</c:v>
                </c:pt>
                <c:pt idx="258">
                  <c:v>41988</c:v>
                </c:pt>
                <c:pt idx="259">
                  <c:v>41989</c:v>
                </c:pt>
                <c:pt idx="260">
                  <c:v>41990</c:v>
                </c:pt>
                <c:pt idx="261">
                  <c:v>41991</c:v>
                </c:pt>
                <c:pt idx="262">
                  <c:v>41992</c:v>
                </c:pt>
                <c:pt idx="263">
                  <c:v>41993</c:v>
                </c:pt>
                <c:pt idx="264">
                  <c:v>41994</c:v>
                </c:pt>
                <c:pt idx="265">
                  <c:v>41995</c:v>
                </c:pt>
                <c:pt idx="266">
                  <c:v>41996</c:v>
                </c:pt>
                <c:pt idx="267">
                  <c:v>41997</c:v>
                </c:pt>
                <c:pt idx="268">
                  <c:v>41998</c:v>
                </c:pt>
                <c:pt idx="269">
                  <c:v>41999</c:v>
                </c:pt>
                <c:pt idx="270">
                  <c:v>42000</c:v>
                </c:pt>
                <c:pt idx="271">
                  <c:v>42001</c:v>
                </c:pt>
                <c:pt idx="272">
                  <c:v>42002</c:v>
                </c:pt>
                <c:pt idx="273">
                  <c:v>42003</c:v>
                </c:pt>
                <c:pt idx="274">
                  <c:v>42004</c:v>
                </c:pt>
                <c:pt idx="275">
                  <c:v>42005</c:v>
                </c:pt>
                <c:pt idx="276">
                  <c:v>42006</c:v>
                </c:pt>
                <c:pt idx="277">
                  <c:v>42007</c:v>
                </c:pt>
                <c:pt idx="278">
                  <c:v>42008</c:v>
                </c:pt>
                <c:pt idx="279">
                  <c:v>42009</c:v>
                </c:pt>
                <c:pt idx="280">
                  <c:v>42010</c:v>
                </c:pt>
                <c:pt idx="281">
                  <c:v>42011</c:v>
                </c:pt>
                <c:pt idx="282">
                  <c:v>42012</c:v>
                </c:pt>
                <c:pt idx="283">
                  <c:v>42013</c:v>
                </c:pt>
                <c:pt idx="284">
                  <c:v>42014</c:v>
                </c:pt>
                <c:pt idx="285">
                  <c:v>42015</c:v>
                </c:pt>
                <c:pt idx="286">
                  <c:v>42016</c:v>
                </c:pt>
                <c:pt idx="287">
                  <c:v>42017</c:v>
                </c:pt>
                <c:pt idx="288">
                  <c:v>42018</c:v>
                </c:pt>
                <c:pt idx="289">
                  <c:v>42019</c:v>
                </c:pt>
                <c:pt idx="290">
                  <c:v>42020</c:v>
                </c:pt>
                <c:pt idx="291">
                  <c:v>42021</c:v>
                </c:pt>
                <c:pt idx="292">
                  <c:v>42022</c:v>
                </c:pt>
                <c:pt idx="293">
                  <c:v>42023</c:v>
                </c:pt>
                <c:pt idx="294">
                  <c:v>42024</c:v>
                </c:pt>
                <c:pt idx="295">
                  <c:v>42025</c:v>
                </c:pt>
                <c:pt idx="296">
                  <c:v>42026</c:v>
                </c:pt>
                <c:pt idx="297">
                  <c:v>42027</c:v>
                </c:pt>
                <c:pt idx="298">
                  <c:v>42028</c:v>
                </c:pt>
                <c:pt idx="299">
                  <c:v>42029</c:v>
                </c:pt>
                <c:pt idx="300">
                  <c:v>42030</c:v>
                </c:pt>
                <c:pt idx="301">
                  <c:v>42031</c:v>
                </c:pt>
                <c:pt idx="302">
                  <c:v>42032</c:v>
                </c:pt>
                <c:pt idx="303">
                  <c:v>42033</c:v>
                </c:pt>
                <c:pt idx="304">
                  <c:v>42034</c:v>
                </c:pt>
                <c:pt idx="305">
                  <c:v>42035</c:v>
                </c:pt>
                <c:pt idx="306">
                  <c:v>42036</c:v>
                </c:pt>
                <c:pt idx="307">
                  <c:v>42037</c:v>
                </c:pt>
                <c:pt idx="308">
                  <c:v>42038</c:v>
                </c:pt>
                <c:pt idx="309">
                  <c:v>42039</c:v>
                </c:pt>
                <c:pt idx="310">
                  <c:v>42040</c:v>
                </c:pt>
                <c:pt idx="311">
                  <c:v>42041</c:v>
                </c:pt>
                <c:pt idx="312">
                  <c:v>42042</c:v>
                </c:pt>
                <c:pt idx="313">
                  <c:v>42043</c:v>
                </c:pt>
                <c:pt idx="314">
                  <c:v>42044</c:v>
                </c:pt>
                <c:pt idx="315">
                  <c:v>42045</c:v>
                </c:pt>
                <c:pt idx="316">
                  <c:v>42046</c:v>
                </c:pt>
                <c:pt idx="317">
                  <c:v>42047</c:v>
                </c:pt>
                <c:pt idx="318">
                  <c:v>42048</c:v>
                </c:pt>
                <c:pt idx="319">
                  <c:v>42049</c:v>
                </c:pt>
                <c:pt idx="320">
                  <c:v>42050</c:v>
                </c:pt>
                <c:pt idx="321">
                  <c:v>42051</c:v>
                </c:pt>
                <c:pt idx="322">
                  <c:v>42052</c:v>
                </c:pt>
                <c:pt idx="323">
                  <c:v>42053</c:v>
                </c:pt>
                <c:pt idx="324">
                  <c:v>42054</c:v>
                </c:pt>
                <c:pt idx="325">
                  <c:v>42055</c:v>
                </c:pt>
                <c:pt idx="326">
                  <c:v>42056</c:v>
                </c:pt>
                <c:pt idx="327">
                  <c:v>42057</c:v>
                </c:pt>
                <c:pt idx="328">
                  <c:v>42058</c:v>
                </c:pt>
                <c:pt idx="329">
                  <c:v>42059</c:v>
                </c:pt>
                <c:pt idx="330">
                  <c:v>42060</c:v>
                </c:pt>
                <c:pt idx="331">
                  <c:v>42061</c:v>
                </c:pt>
                <c:pt idx="332">
                  <c:v>42062</c:v>
                </c:pt>
                <c:pt idx="333">
                  <c:v>42063</c:v>
                </c:pt>
                <c:pt idx="334">
                  <c:v>42064</c:v>
                </c:pt>
                <c:pt idx="335">
                  <c:v>42065</c:v>
                </c:pt>
                <c:pt idx="336">
                  <c:v>42066</c:v>
                </c:pt>
                <c:pt idx="337">
                  <c:v>42067</c:v>
                </c:pt>
                <c:pt idx="338">
                  <c:v>42068</c:v>
                </c:pt>
                <c:pt idx="339">
                  <c:v>42069</c:v>
                </c:pt>
                <c:pt idx="340">
                  <c:v>42070</c:v>
                </c:pt>
                <c:pt idx="341">
                  <c:v>42071</c:v>
                </c:pt>
                <c:pt idx="342">
                  <c:v>42072</c:v>
                </c:pt>
                <c:pt idx="343">
                  <c:v>42073</c:v>
                </c:pt>
                <c:pt idx="344">
                  <c:v>42074</c:v>
                </c:pt>
                <c:pt idx="345">
                  <c:v>42075</c:v>
                </c:pt>
                <c:pt idx="346">
                  <c:v>42076</c:v>
                </c:pt>
                <c:pt idx="347">
                  <c:v>42077</c:v>
                </c:pt>
                <c:pt idx="348">
                  <c:v>42078</c:v>
                </c:pt>
                <c:pt idx="349">
                  <c:v>42079</c:v>
                </c:pt>
                <c:pt idx="350">
                  <c:v>42080</c:v>
                </c:pt>
                <c:pt idx="351">
                  <c:v>42081</c:v>
                </c:pt>
                <c:pt idx="352">
                  <c:v>42082</c:v>
                </c:pt>
                <c:pt idx="353">
                  <c:v>42083</c:v>
                </c:pt>
                <c:pt idx="354">
                  <c:v>42084</c:v>
                </c:pt>
                <c:pt idx="355">
                  <c:v>42085</c:v>
                </c:pt>
                <c:pt idx="356">
                  <c:v>42086</c:v>
                </c:pt>
                <c:pt idx="357">
                  <c:v>42087</c:v>
                </c:pt>
                <c:pt idx="358">
                  <c:v>42088</c:v>
                </c:pt>
                <c:pt idx="359">
                  <c:v>42089</c:v>
                </c:pt>
                <c:pt idx="360">
                  <c:v>42090</c:v>
                </c:pt>
                <c:pt idx="361">
                  <c:v>42091</c:v>
                </c:pt>
                <c:pt idx="362">
                  <c:v>42092</c:v>
                </c:pt>
                <c:pt idx="363">
                  <c:v>42093</c:v>
                </c:pt>
                <c:pt idx="364">
                  <c:v>42094</c:v>
                </c:pt>
              </c:numCache>
            </c:numRef>
          </c:cat>
          <c:val>
            <c:numRef>
              <c:f>マアナゴ!$AM$3:$AM$367</c:f>
              <c:numCache>
                <c:formatCode>0</c:formatCode>
                <c:ptCount val="365"/>
                <c:pt idx="0">
                  <c:v>76097.019394200994</c:v>
                </c:pt>
                <c:pt idx="1">
                  <c:v>76477.108664894331</c:v>
                </c:pt>
                <c:pt idx="2">
                  <c:v>77024.984097884633</c:v>
                </c:pt>
                <c:pt idx="3">
                  <c:v>77392.271032002493</c:v>
                </c:pt>
                <c:pt idx="4">
                  <c:v>78155.018595644462</c:v>
                </c:pt>
                <c:pt idx="5">
                  <c:v>78181.140889923205</c:v>
                </c:pt>
                <c:pt idx="6">
                  <c:v>79032.561626539755</c:v>
                </c:pt>
                <c:pt idx="7">
                  <c:v>79347.23357611215</c:v>
                </c:pt>
                <c:pt idx="8">
                  <c:v>79885.364774372385</c:v>
                </c:pt>
                <c:pt idx="9">
                  <c:v>80087.078981041122</c:v>
                </c:pt>
                <c:pt idx="10">
                  <c:v>80931.509342233781</c:v>
                </c:pt>
                <c:pt idx="11">
                  <c:v>80899.56201629412</c:v>
                </c:pt>
                <c:pt idx="12">
                  <c:v>81738.798666262403</c:v>
                </c:pt>
                <c:pt idx="13">
                  <c:v>81993.898074957266</c:v>
                </c:pt>
                <c:pt idx="14">
                  <c:v>82423.90013875952</c:v>
                </c:pt>
                <c:pt idx="15">
                  <c:v>82663.742983977761</c:v>
                </c:pt>
                <c:pt idx="16">
                  <c:v>83493.501010189255</c:v>
                </c:pt>
                <c:pt idx="17">
                  <c:v>83399.418581249469</c:v>
                </c:pt>
                <c:pt idx="18">
                  <c:v>84223.285236312542</c:v>
                </c:pt>
                <c:pt idx="19">
                  <c:v>84316.349998331891</c:v>
                </c:pt>
                <c:pt idx="20">
                  <c:v>84825.422729604965</c:v>
                </c:pt>
                <c:pt idx="21">
                  <c:v>85007.757153032711</c:v>
                </c:pt>
                <c:pt idx="22">
                  <c:v>85820.537551261616</c:v>
                </c:pt>
                <c:pt idx="23">
                  <c:v>85666.608158631541</c:v>
                </c:pt>
                <c:pt idx="24">
                  <c:v>86365.451085575754</c:v>
                </c:pt>
                <c:pt idx="25">
                  <c:v>86508.965771115239</c:v>
                </c:pt>
                <c:pt idx="26">
                  <c:v>86993.599528021325</c:v>
                </c:pt>
                <c:pt idx="27">
                  <c:v>87116.727541136817</c:v>
                </c:pt>
                <c:pt idx="28">
                  <c:v>87909.976135373538</c:v>
                </c:pt>
                <c:pt idx="29">
                  <c:v>87585.366428585243</c:v>
                </c:pt>
                <c:pt idx="30">
                  <c:v>88370.001834024442</c:v>
                </c:pt>
                <c:pt idx="31">
                  <c:v>88503.34276783219</c:v>
                </c:pt>
                <c:pt idx="32">
                  <c:v>88738.280694950241</c:v>
                </c:pt>
                <c:pt idx="33">
                  <c:v>88849.173907673772</c:v>
                </c:pt>
                <c:pt idx="34">
                  <c:v>89401.60012561144</c:v>
                </c:pt>
                <c:pt idx="35">
                  <c:v>88955.780045592794</c:v>
                </c:pt>
                <c:pt idx="36">
                  <c:v>89714.929781875166</c:v>
                </c:pt>
                <c:pt idx="37">
                  <c:v>89790.970234168795</c:v>
                </c:pt>
                <c:pt idx="38">
                  <c:v>89997.76030040656</c:v>
                </c:pt>
                <c:pt idx="39">
                  <c:v>89839.055912244701</c:v>
                </c:pt>
                <c:pt idx="40">
                  <c:v>90581.548388065479</c:v>
                </c:pt>
                <c:pt idx="41">
                  <c:v>90075.910834034861</c:v>
                </c:pt>
                <c:pt idx="42">
                  <c:v>90808.460672931542</c:v>
                </c:pt>
                <c:pt idx="43">
                  <c:v>90841.527163353312</c:v>
                </c:pt>
                <c:pt idx="44">
                  <c:v>90791.09871948832</c:v>
                </c:pt>
                <c:pt idx="45">
                  <c:v>90794.709003430238</c:v>
                </c:pt>
                <c:pt idx="46">
                  <c:v>91509.705698199337</c:v>
                </c:pt>
                <c:pt idx="47">
                  <c:v>90961.151096782531</c:v>
                </c:pt>
                <c:pt idx="48">
                  <c:v>91666.123723711891</c:v>
                </c:pt>
                <c:pt idx="49">
                  <c:v>91407.727667200757</c:v>
                </c:pt>
                <c:pt idx="50">
                  <c:v>91549.03770100679</c:v>
                </c:pt>
                <c:pt idx="51">
                  <c:v>91519.393424600989</c:v>
                </c:pt>
                <c:pt idx="52">
                  <c:v>92206.76408492976</c:v>
                </c:pt>
                <c:pt idx="53">
                  <c:v>91589.064128224141</c:v>
                </c:pt>
                <c:pt idx="54">
                  <c:v>92035.086382790672</c:v>
                </c:pt>
                <c:pt idx="55">
                  <c:v>91971.506686551729</c:v>
                </c:pt>
                <c:pt idx="56">
                  <c:v>92082.081399144707</c:v>
                </c:pt>
                <c:pt idx="57">
                  <c:v>91988.967621102362</c:v>
                </c:pt>
                <c:pt idx="58">
                  <c:v>92647.632420142778</c:v>
                </c:pt>
                <c:pt idx="59">
                  <c:v>91760.63973660121</c:v>
                </c:pt>
                <c:pt idx="60">
                  <c:v>92407.373451011823</c:v>
                </c:pt>
                <c:pt idx="61">
                  <c:v>92023.469681924005</c:v>
                </c:pt>
                <c:pt idx="62">
                  <c:v>91871.412278395044</c:v>
                </c:pt>
                <c:pt idx="63">
                  <c:v>91462.92763789832</c:v>
                </c:pt>
                <c:pt idx="64">
                  <c:v>91748.177022919903</c:v>
                </c:pt>
                <c:pt idx="65">
                  <c:v>90490.644867556097</c:v>
                </c:pt>
                <c:pt idx="66">
                  <c:v>91099.642363872743</c:v>
                </c:pt>
                <c:pt idx="67">
                  <c:v>90630.680810547841</c:v>
                </c:pt>
                <c:pt idx="68">
                  <c:v>90383.63388194023</c:v>
                </c:pt>
                <c:pt idx="69">
                  <c:v>89508.400312255631</c:v>
                </c:pt>
                <c:pt idx="70">
                  <c:v>90092.707917304928</c:v>
                </c:pt>
                <c:pt idx="71">
                  <c:v>88666.380541226768</c:v>
                </c:pt>
                <c:pt idx="72">
                  <c:v>89236.513329175941</c:v>
                </c:pt>
                <c:pt idx="73">
                  <c:v>88634.076809144404</c:v>
                </c:pt>
                <c:pt idx="74">
                  <c:v>87855.694605590397</c:v>
                </c:pt>
                <c:pt idx="75">
                  <c:v>87193.221471693352</c:v>
                </c:pt>
                <c:pt idx="76">
                  <c:v>87736.805106551619</c:v>
                </c:pt>
                <c:pt idx="77">
                  <c:v>85985.655403997313</c:v>
                </c:pt>
                <c:pt idx="78">
                  <c:v>86513.658549208165</c:v>
                </c:pt>
                <c:pt idx="79">
                  <c:v>85245.058027039704</c:v>
                </c:pt>
                <c:pt idx="80">
                  <c:v>84689.634579003177</c:v>
                </c:pt>
                <c:pt idx="81">
                  <c:v>83873.867853670556</c:v>
                </c:pt>
                <c:pt idx="82">
                  <c:v>84373.996403674406</c:v>
                </c:pt>
                <c:pt idx="83">
                  <c:v>82385.111947661833</c:v>
                </c:pt>
                <c:pt idx="84">
                  <c:v>82381.40787945289</c:v>
                </c:pt>
                <c:pt idx="85">
                  <c:v>81475.270001237586</c:v>
                </c:pt>
                <c:pt idx="86">
                  <c:v>80848.492421190298</c:v>
                </c:pt>
                <c:pt idx="87">
                  <c:v>79917.935986059267</c:v>
                </c:pt>
                <c:pt idx="88">
                  <c:v>80374.052644219424</c:v>
                </c:pt>
                <c:pt idx="89">
                  <c:v>77799.584342681206</c:v>
                </c:pt>
                <c:pt idx="90">
                  <c:v>78236.358307624323</c:v>
                </c:pt>
                <c:pt idx="91">
                  <c:v>77449.105283299214</c:v>
                </c:pt>
                <c:pt idx="92">
                  <c:v>76723.68649860617</c:v>
                </c:pt>
                <c:pt idx="93">
                  <c:v>75917.801231981444</c:v>
                </c:pt>
                <c:pt idx="94">
                  <c:v>75732.779486555388</c:v>
                </c:pt>
                <c:pt idx="95">
                  <c:v>73892.659095030016</c:v>
                </c:pt>
                <c:pt idx="96">
                  <c:v>74290.177931273545</c:v>
                </c:pt>
                <c:pt idx="97">
                  <c:v>73484.572033028104</c:v>
                </c:pt>
                <c:pt idx="98">
                  <c:v>72773.896531862265</c:v>
                </c:pt>
                <c:pt idx="99">
                  <c:v>71382.135968526258</c:v>
                </c:pt>
                <c:pt idx="100">
                  <c:v>71755.684133271759</c:v>
                </c:pt>
                <c:pt idx="101">
                  <c:v>69877.587007014794</c:v>
                </c:pt>
                <c:pt idx="102">
                  <c:v>70238.427483705615</c:v>
                </c:pt>
                <c:pt idx="103">
                  <c:v>69425.225624315397</c:v>
                </c:pt>
                <c:pt idx="104">
                  <c:v>68100.822873726371</c:v>
                </c:pt>
                <c:pt idx="105">
                  <c:v>67306.912899566276</c:v>
                </c:pt>
                <c:pt idx="106">
                  <c:v>67644.96468884623</c:v>
                </c:pt>
                <c:pt idx="107">
                  <c:v>65670.363006969143</c:v>
                </c:pt>
                <c:pt idx="108">
                  <c:v>65995.017803620998</c:v>
                </c:pt>
                <c:pt idx="109">
                  <c:v>64650.999842550889</c:v>
                </c:pt>
                <c:pt idx="110">
                  <c:v>63901.063831397645</c:v>
                </c:pt>
                <c:pt idx="111">
                  <c:v>63070.983998556869</c:v>
                </c:pt>
                <c:pt idx="112">
                  <c:v>63374.546793292</c:v>
                </c:pt>
                <c:pt idx="113">
                  <c:v>61432.233110486566</c:v>
                </c:pt>
                <c:pt idx="114">
                  <c:v>61175.795703123265</c:v>
                </c:pt>
                <c:pt idx="115">
                  <c:v>60258.786711818044</c:v>
                </c:pt>
                <c:pt idx="116">
                  <c:v>59385.587164572004</c:v>
                </c:pt>
                <c:pt idx="117">
                  <c:v>58564.781717441263</c:v>
                </c:pt>
                <c:pt idx="118">
                  <c:v>58835.610344747154</c:v>
                </c:pt>
                <c:pt idx="119">
                  <c:v>56335.968045282294</c:v>
                </c:pt>
                <c:pt idx="120">
                  <c:v>56593.693090257781</c:v>
                </c:pt>
                <c:pt idx="121">
                  <c:v>55745.664689227437</c:v>
                </c:pt>
                <c:pt idx="122">
                  <c:v>55276.54396762995</c:v>
                </c:pt>
                <c:pt idx="123">
                  <c:v>54385.950875267998</c:v>
                </c:pt>
                <c:pt idx="124">
                  <c:v>54206.896912781274</c:v>
                </c:pt>
                <c:pt idx="125">
                  <c:v>52805.448795804834</c:v>
                </c:pt>
                <c:pt idx="126">
                  <c:v>53030.440865817509</c:v>
                </c:pt>
                <c:pt idx="127">
                  <c:v>52268.436140976322</c:v>
                </c:pt>
                <c:pt idx="128">
                  <c:v>51722.321578353418</c:v>
                </c:pt>
                <c:pt idx="129">
                  <c:v>50445.308273662871</c:v>
                </c:pt>
                <c:pt idx="130">
                  <c:v>50661.121168556732</c:v>
                </c:pt>
                <c:pt idx="131">
                  <c:v>49151.319673933998</c:v>
                </c:pt>
                <c:pt idx="132">
                  <c:v>49359.367698899434</c:v>
                </c:pt>
                <c:pt idx="133">
                  <c:v>48554.70779285919</c:v>
                </c:pt>
                <c:pt idx="134">
                  <c:v>47433.707273569358</c:v>
                </c:pt>
                <c:pt idx="135">
                  <c:v>46872.57447454238</c:v>
                </c:pt>
                <c:pt idx="136">
                  <c:v>47065.558711162761</c:v>
                </c:pt>
                <c:pt idx="137">
                  <c:v>45566.820898305035</c:v>
                </c:pt>
                <c:pt idx="138">
                  <c:v>45752.605260175442</c:v>
                </c:pt>
                <c:pt idx="139">
                  <c:v>44485.327240332706</c:v>
                </c:pt>
                <c:pt idx="140">
                  <c:v>43537.196513539529</c:v>
                </c:pt>
                <c:pt idx="141">
                  <c:v>42975.613740117034</c:v>
                </c:pt>
                <c:pt idx="142">
                  <c:v>43146.558716750071</c:v>
                </c:pt>
                <c:pt idx="143">
                  <c:v>41642.020319076808</c:v>
                </c:pt>
                <c:pt idx="144">
                  <c:v>41292.926413234687</c:v>
                </c:pt>
                <c:pt idx="145">
                  <c:v>40723.122319699905</c:v>
                </c:pt>
                <c:pt idx="146">
                  <c:v>39896.10217200769</c:v>
                </c:pt>
                <c:pt idx="147">
                  <c:v>39364.910168511778</c:v>
                </c:pt>
                <c:pt idx="148">
                  <c:v>39514.457464899024</c:v>
                </c:pt>
                <c:pt idx="149">
                  <c:v>37737.550670849829</c:v>
                </c:pt>
                <c:pt idx="150">
                  <c:v>37880.780804433969</c:v>
                </c:pt>
                <c:pt idx="151">
                  <c:v>37333.168554706579</c:v>
                </c:pt>
                <c:pt idx="152">
                  <c:v>36597.10536692608</c:v>
                </c:pt>
                <c:pt idx="153">
                  <c:v>32320.5455101056</c:v>
                </c:pt>
                <c:pt idx="154">
                  <c:v>30660.419662927339</c:v>
                </c:pt>
                <c:pt idx="155">
                  <c:v>28956.292086275509</c:v>
                </c:pt>
                <c:pt idx="156">
                  <c:v>28074.242546813341</c:v>
                </c:pt>
                <c:pt idx="157">
                  <c:v>26906.531098123822</c:v>
                </c:pt>
                <c:pt idx="158">
                  <c:v>25797.794562009167</c:v>
                </c:pt>
                <c:pt idx="159">
                  <c:v>24492.122078119912</c:v>
                </c:pt>
                <c:pt idx="160">
                  <c:v>23770.276097098944</c:v>
                </c:pt>
                <c:pt idx="161">
                  <c:v>22435.32634331199</c:v>
                </c:pt>
                <c:pt idx="162">
                  <c:v>21925.331598472698</c:v>
                </c:pt>
                <c:pt idx="163">
                  <c:v>21233.32369628999</c:v>
                </c:pt>
                <c:pt idx="164">
                  <c:v>20306.790412682505</c:v>
                </c:pt>
                <c:pt idx="165">
                  <c:v>19605.732653007755</c:v>
                </c:pt>
                <c:pt idx="166">
                  <c:v>19240.27260017705</c:v>
                </c:pt>
                <c:pt idx="167">
                  <c:v>18406.97933582027</c:v>
                </c:pt>
                <c:pt idx="168">
                  <c:v>18120.833036967371</c:v>
                </c:pt>
                <c:pt idx="169">
                  <c:v>17465.153846269401</c:v>
                </c:pt>
                <c:pt idx="170">
                  <c:v>16989.469283347637</c:v>
                </c:pt>
                <c:pt idx="171">
                  <c:v>16464.766075639665</c:v>
                </c:pt>
                <c:pt idx="172">
                  <c:v>16268.101428692777</c:v>
                </c:pt>
                <c:pt idx="173">
                  <c:v>15554.124465603767</c:v>
                </c:pt>
                <c:pt idx="174">
                  <c:v>15234.404196308347</c:v>
                </c:pt>
                <c:pt idx="175">
                  <c:v>14789.780876520372</c:v>
                </c:pt>
                <c:pt idx="176">
                  <c:v>14452.077607748852</c:v>
                </c:pt>
                <c:pt idx="177">
                  <c:v>14040.760692592919</c:v>
                </c:pt>
                <c:pt idx="178">
                  <c:v>13934.953602227106</c:v>
                </c:pt>
                <c:pt idx="179">
                  <c:v>13231.356482401066</c:v>
                </c:pt>
                <c:pt idx="180">
                  <c:v>13147.816590382932</c:v>
                </c:pt>
                <c:pt idx="181">
                  <c:v>12845.782257422698</c:v>
                </c:pt>
                <c:pt idx="182">
                  <c:v>12612.15715386444</c:v>
                </c:pt>
                <c:pt idx="183">
                  <c:v>12315.889532867366</c:v>
                </c:pt>
                <c:pt idx="184">
                  <c:v>12137.619532149563</c:v>
                </c:pt>
                <c:pt idx="185">
                  <c:v>11758.282396999861</c:v>
                </c:pt>
                <c:pt idx="186">
                  <c:v>11704.305305596426</c:v>
                </c:pt>
                <c:pt idx="187">
                  <c:v>11486.379893664382</c:v>
                </c:pt>
                <c:pt idx="188">
                  <c:v>11278.361516362958</c:v>
                </c:pt>
                <c:pt idx="189">
                  <c:v>10981.3153956076</c:v>
                </c:pt>
                <c:pt idx="190">
                  <c:v>10940.543753209611</c:v>
                </c:pt>
                <c:pt idx="191">
                  <c:v>10663.425660612947</c:v>
                </c:pt>
                <c:pt idx="192">
                  <c:v>10626.926978976282</c:v>
                </c:pt>
                <c:pt idx="193">
                  <c:v>10452.933347746059</c:v>
                </c:pt>
                <c:pt idx="194">
                  <c:v>10253.738194539099</c:v>
                </c:pt>
                <c:pt idx="195">
                  <c:v>10106.666368151127</c:v>
                </c:pt>
                <c:pt idx="196">
                  <c:v>10079.359977246075</c:v>
                </c:pt>
                <c:pt idx="197">
                  <c:v>9864.8848640588258</c:v>
                </c:pt>
                <c:pt idx="198">
                  <c:v>9842.481247971351</c:v>
                </c:pt>
                <c:pt idx="199">
                  <c:v>9668.0481872392993</c:v>
                </c:pt>
                <c:pt idx="200">
                  <c:v>9559.3899768232859</c:v>
                </c:pt>
                <c:pt idx="201">
                  <c:v>9426.9386779252054</c:v>
                </c:pt>
                <c:pt idx="202">
                  <c:v>9409.6853423643806</c:v>
                </c:pt>
                <c:pt idx="203">
                  <c:v>9199.1031687174964</c:v>
                </c:pt>
                <c:pt idx="204">
                  <c:v>9116.6203093090844</c:v>
                </c:pt>
                <c:pt idx="205">
                  <c:v>8963.3319768479269</c:v>
                </c:pt>
                <c:pt idx="206">
                  <c:v>8854.3083514835507</c:v>
                </c:pt>
                <c:pt idx="207">
                  <c:v>8720.3014623508079</c:v>
                </c:pt>
                <c:pt idx="208">
                  <c:v>8704.0090259705048</c:v>
                </c:pt>
                <c:pt idx="209">
                  <c:v>8477.5035104856834</c:v>
                </c:pt>
                <c:pt idx="210">
                  <c:v>8462.8510185108516</c:v>
                </c:pt>
                <c:pt idx="211">
                  <c:v>8333.8602443422405</c:v>
                </c:pt>
                <c:pt idx="212">
                  <c:v>8270.9018188047594</c:v>
                </c:pt>
                <c:pt idx="213">
                  <c:v>8147.6090115944389</c:v>
                </c:pt>
                <c:pt idx="214">
                  <c:v>8103.1482638865855</c:v>
                </c:pt>
                <c:pt idx="215">
                  <c:v>7968.8001250127363</c:v>
                </c:pt>
                <c:pt idx="216">
                  <c:v>7955.5173067087771</c:v>
                </c:pt>
                <c:pt idx="217">
                  <c:v>7843.4285724135416</c:v>
                </c:pt>
                <c:pt idx="218">
                  <c:v>7820.6966027575427</c:v>
                </c:pt>
                <c:pt idx="219">
                  <c:v>7687.5069402721874</c:v>
                </c:pt>
                <c:pt idx="220">
                  <c:v>7675.4928477551393</c:v>
                </c:pt>
                <c:pt idx="221">
                  <c:v>7564.1594805353252</c:v>
                </c:pt>
                <c:pt idx="222">
                  <c:v>7552.0940953325926</c:v>
                </c:pt>
                <c:pt idx="223">
                  <c:v>7453.5141115363349</c:v>
                </c:pt>
                <c:pt idx="224">
                  <c:v>7404.1397921605076</c:v>
                </c:pt>
                <c:pt idx="225">
                  <c:v>7314.4458380078049</c:v>
                </c:pt>
                <c:pt idx="226">
                  <c:v>7301.5259512176544</c:v>
                </c:pt>
                <c:pt idx="227">
                  <c:v>7209.7849676374535</c:v>
                </c:pt>
                <c:pt idx="228">
                  <c:v>7196.9258710222102</c:v>
                </c:pt>
                <c:pt idx="229">
                  <c:v>7091.0237561887243</c:v>
                </c:pt>
                <c:pt idx="230">
                  <c:v>7067.6731909191931</c:v>
                </c:pt>
                <c:pt idx="231">
                  <c:v>6990.4178568662946</c:v>
                </c:pt>
                <c:pt idx="232">
                  <c:v>6976.8863324960812</c:v>
                </c:pt>
                <c:pt idx="233">
                  <c:v>6887.9241185314222</c:v>
                </c:pt>
                <c:pt idx="234">
                  <c:v>6849.9091166984936</c:v>
                </c:pt>
                <c:pt idx="235">
                  <c:v>6768.7384873195106</c:v>
                </c:pt>
                <c:pt idx="236">
                  <c:v>6744.675054102202</c:v>
                </c:pt>
                <c:pt idx="237">
                  <c:v>6662.3811305149293</c:v>
                </c:pt>
                <c:pt idx="238">
                  <c:v>6648.3516131706756</c:v>
                </c:pt>
                <c:pt idx="239">
                  <c:v>6535.8172378296376</c:v>
                </c:pt>
                <c:pt idx="240">
                  <c:v>6521.8741091172187</c:v>
                </c:pt>
                <c:pt idx="241">
                  <c:v>6438.9917661886548</c:v>
                </c:pt>
                <c:pt idx="242">
                  <c:v>6413.4750519650688</c:v>
                </c:pt>
                <c:pt idx="243">
                  <c:v>6330.3334413101038</c:v>
                </c:pt>
                <c:pt idx="244">
                  <c:v>6303.228355490407</c:v>
                </c:pt>
                <c:pt idx="245">
                  <c:v>6228.3229379447048</c:v>
                </c:pt>
                <c:pt idx="246">
                  <c:v>6213.2618973905455</c:v>
                </c:pt>
                <c:pt idx="247">
                  <c:v>6144.2136188085315</c:v>
                </c:pt>
                <c:pt idx="248">
                  <c:v>6123.4318934734665</c:v>
                </c:pt>
                <c:pt idx="249">
                  <c:v>6043.1539393563553</c:v>
                </c:pt>
                <c:pt idx="250">
                  <c:v>6027.7411221430557</c:v>
                </c:pt>
                <c:pt idx="251">
                  <c:v>5952.5119990038775</c:v>
                </c:pt>
                <c:pt idx="252">
                  <c:v>5937.3780141451607</c:v>
                </c:pt>
                <c:pt idx="253">
                  <c:v>5869.8986452046092</c:v>
                </c:pt>
                <c:pt idx="254">
                  <c:v>5837.649092726946</c:v>
                </c:pt>
                <c:pt idx="255">
                  <c:v>5770.1317568678051</c:v>
                </c:pt>
                <c:pt idx="256">
                  <c:v>5754.7213736711756</c:v>
                </c:pt>
                <c:pt idx="257">
                  <c:v>5681.9546322139131</c:v>
                </c:pt>
                <c:pt idx="258">
                  <c:v>5665.9889666772906</c:v>
                </c:pt>
                <c:pt idx="259">
                  <c:v>5588.7934489834497</c:v>
                </c:pt>
                <c:pt idx="260">
                  <c:v>5566.0524863267901</c:v>
                </c:pt>
                <c:pt idx="261">
                  <c:v>5502.1539093671445</c:v>
                </c:pt>
                <c:pt idx="262">
                  <c:v>5485.9738604300992</c:v>
                </c:pt>
                <c:pt idx="263">
                  <c:v>5412.3323230299975</c:v>
                </c:pt>
                <c:pt idx="264">
                  <c:v>5386.6363981540435</c:v>
                </c:pt>
                <c:pt idx="265">
                  <c:v>5323.7988997418797</c:v>
                </c:pt>
                <c:pt idx="266">
                  <c:v>5301.1289217657832</c:v>
                </c:pt>
                <c:pt idx="267">
                  <c:v>5235.6956746564692</c:v>
                </c:pt>
                <c:pt idx="268">
                  <c:v>5219.7295091904016</c:v>
                </c:pt>
                <c:pt idx="269">
                  <c:v>5141.6818958030426</c:v>
                </c:pt>
                <c:pt idx="270">
                  <c:v>5125.1859991638466</c:v>
                </c:pt>
                <c:pt idx="271">
                  <c:v>5059.9911869621246</c:v>
                </c:pt>
                <c:pt idx="272">
                  <c:v>5036.5779685730831</c:v>
                </c:pt>
                <c:pt idx="273">
                  <c:v>4976.1255634122235</c:v>
                </c:pt>
                <c:pt idx="274">
                  <c:v>4949.4135994507733</c:v>
                </c:pt>
                <c:pt idx="275">
                  <c:v>4901.179866676217</c:v>
                </c:pt>
                <c:pt idx="276">
                  <c:v>4883.2357276390521</c:v>
                </c:pt>
                <c:pt idx="277">
                  <c:v>4835.3245673785077</c:v>
                </c:pt>
                <c:pt idx="278">
                  <c:v>4815.0775319997601</c:v>
                </c:pt>
                <c:pt idx="279">
                  <c:v>4760.0082594377436</c:v>
                </c:pt>
                <c:pt idx="280">
                  <c:v>4742.1081622635456</c:v>
                </c:pt>
                <c:pt idx="281">
                  <c:v>4690.1523304706607</c:v>
                </c:pt>
                <c:pt idx="282">
                  <c:v>4671.816872420768</c:v>
                </c:pt>
                <c:pt idx="283">
                  <c:v>4620.1870780373847</c:v>
                </c:pt>
                <c:pt idx="284">
                  <c:v>4595.7254154952934</c:v>
                </c:pt>
                <c:pt idx="285">
                  <c:v>4544.4193714124831</c:v>
                </c:pt>
                <c:pt idx="286">
                  <c:v>4526.1602693179802</c:v>
                </c:pt>
                <c:pt idx="287">
                  <c:v>4474.2524342704128</c:v>
                </c:pt>
                <c:pt idx="288">
                  <c:v>4455.5715077587583</c:v>
                </c:pt>
                <c:pt idx="289">
                  <c:v>4397.2914179558411</c:v>
                </c:pt>
                <c:pt idx="290">
                  <c:v>4377.2091140083112</c:v>
                </c:pt>
                <c:pt idx="291">
                  <c:v>4327.9481877130656</c:v>
                </c:pt>
                <c:pt idx="292">
                  <c:v>4309.386027539932</c:v>
                </c:pt>
                <c:pt idx="293">
                  <c:v>4256.6412744392519</c:v>
                </c:pt>
                <c:pt idx="294">
                  <c:v>4234.7443001996253</c:v>
                </c:pt>
                <c:pt idx="295">
                  <c:v>4186.2872791822665</c:v>
                </c:pt>
                <c:pt idx="296">
                  <c:v>4166.9085611834726</c:v>
                </c:pt>
                <c:pt idx="297">
                  <c:v>4116.9174149721312</c:v>
                </c:pt>
                <c:pt idx="298">
                  <c:v>4099.1081705243687</c:v>
                </c:pt>
                <c:pt idx="299">
                  <c:v>4046.5879609050307</c:v>
                </c:pt>
                <c:pt idx="300">
                  <c:v>4028.3888474872888</c:v>
                </c:pt>
                <c:pt idx="301">
                  <c:v>3975.2993020841109</c:v>
                </c:pt>
                <c:pt idx="302">
                  <c:v>3954.7201907087892</c:v>
                </c:pt>
                <c:pt idx="303">
                  <c:v>3908.0403777720098</c:v>
                </c:pt>
                <c:pt idx="304">
                  <c:v>3886.074016185969</c:v>
                </c:pt>
                <c:pt idx="305">
                  <c:v>3839.8742660173784</c:v>
                </c:pt>
                <c:pt idx="306">
                  <c:v>3821.5375733401079</c:v>
                </c:pt>
                <c:pt idx="307">
                  <c:v>3775.8411397988853</c:v>
                </c:pt>
                <c:pt idx="308">
                  <c:v>3757.1459730200258</c:v>
                </c:pt>
                <c:pt idx="309">
                  <c:v>3717.0313003164661</c:v>
                </c:pt>
                <c:pt idx="310">
                  <c:v>3699.0088254884718</c:v>
                </c:pt>
                <c:pt idx="311">
                  <c:v>3657.4279980071815</c:v>
                </c:pt>
                <c:pt idx="312">
                  <c:v>3639.067815910651</c:v>
                </c:pt>
                <c:pt idx="313">
                  <c:v>3597.0315175957962</c:v>
                </c:pt>
                <c:pt idx="314">
                  <c:v>3577.3078567927068</c:v>
                </c:pt>
                <c:pt idx="315">
                  <c:v>3535.8421387556064</c:v>
                </c:pt>
                <c:pt idx="316">
                  <c:v>3516.8069208139186</c:v>
                </c:pt>
                <c:pt idx="317">
                  <c:v>3472.8265572795513</c:v>
                </c:pt>
                <c:pt idx="318">
                  <c:v>3454.4875857073343</c:v>
                </c:pt>
                <c:pt idx="319">
                  <c:v>3412.124480708731</c:v>
                </c:pt>
                <c:pt idx="320">
                  <c:v>3391.3760191388883</c:v>
                </c:pt>
                <c:pt idx="321">
                  <c:v>3347.5193431306793</c:v>
                </c:pt>
                <c:pt idx="322">
                  <c:v>3326.426111995509</c:v>
                </c:pt>
                <c:pt idx="323">
                  <c:v>3283.1610836990617</c:v>
                </c:pt>
                <c:pt idx="324">
                  <c:v>3262.777252272841</c:v>
                </c:pt>
                <c:pt idx="325">
                  <c:v>3218.0112657142727</c:v>
                </c:pt>
                <c:pt idx="326">
                  <c:v>3197.2905755751153</c:v>
                </c:pt>
                <c:pt idx="327">
                  <c:v>3157.3659655523161</c:v>
                </c:pt>
                <c:pt idx="328">
                  <c:v>3136.3213162618194</c:v>
                </c:pt>
                <c:pt idx="329">
                  <c:v>3097.0450338086152</c:v>
                </c:pt>
                <c:pt idx="330">
                  <c:v>3076.745923348205</c:v>
                </c:pt>
                <c:pt idx="331">
                  <c:v>3035.9946568619962</c:v>
                </c:pt>
                <c:pt idx="332">
                  <c:v>3015.3794710412412</c:v>
                </c:pt>
                <c:pt idx="333">
                  <c:v>2978.5130676073677</c:v>
                </c:pt>
                <c:pt idx="334">
                  <c:v>2958.6691866591732</c:v>
                </c:pt>
                <c:pt idx="335">
                  <c:v>2917.1045505887696</c:v>
                </c:pt>
                <c:pt idx="336">
                  <c:v>2898.0346299818243</c:v>
                </c:pt>
                <c:pt idx="337">
                  <c:v>2856.0622196389158</c:v>
                </c:pt>
                <c:pt idx="338">
                  <c:v>2832.3427732551959</c:v>
                </c:pt>
                <c:pt idx="339">
                  <c:v>2796.4914516072176</c:v>
                </c:pt>
                <c:pt idx="340">
                  <c:v>2777.9182381848568</c:v>
                </c:pt>
                <c:pt idx="341">
                  <c:v>2735.1383156361612</c:v>
                </c:pt>
                <c:pt idx="342">
                  <c:v>2717.3700048575583</c:v>
                </c:pt>
                <c:pt idx="343">
                  <c:v>2681.8880420290725</c:v>
                </c:pt>
                <c:pt idx="344">
                  <c:v>2660.5450041675535</c:v>
                </c:pt>
                <c:pt idx="345">
                  <c:v>2625.811944506544</c:v>
                </c:pt>
                <c:pt idx="346">
                  <c:v>2609.7200750401512</c:v>
                </c:pt>
                <c:pt idx="347">
                  <c:v>2572.4308149067738</c:v>
                </c:pt>
                <c:pt idx="348">
                  <c:v>2557.1977064606799</c:v>
                </c:pt>
                <c:pt idx="349">
                  <c:v>2525.1367966235525</c:v>
                </c:pt>
                <c:pt idx="350">
                  <c:v>2504.0806763145547</c:v>
                </c:pt>
                <c:pt idx="351">
                  <c:v>2473.9378942177059</c:v>
                </c:pt>
                <c:pt idx="352">
                  <c:v>2459.3531142478114</c:v>
                </c:pt>
                <c:pt idx="353">
                  <c:v>2423.2905596664332</c:v>
                </c:pt>
                <c:pt idx="354">
                  <c:v>2409.6004797518708</c:v>
                </c:pt>
                <c:pt idx="355">
                  <c:v>2381.1247404104697</c:v>
                </c:pt>
                <c:pt idx="356">
                  <c:v>2362.6940844606725</c:v>
                </c:pt>
                <c:pt idx="357">
                  <c:v>2335.0698427151519</c:v>
                </c:pt>
                <c:pt idx="358">
                  <c:v>2322.0948112716205</c:v>
                </c:pt>
                <c:pt idx="359">
                  <c:v>2289.6434856894411</c:v>
                </c:pt>
                <c:pt idx="360">
                  <c:v>2277.6041396253527</c:v>
                </c:pt>
                <c:pt idx="361">
                  <c:v>2252.8825706133066</c:v>
                </c:pt>
                <c:pt idx="362">
                  <c:v>2236.0671942989898</c:v>
                </c:pt>
                <c:pt idx="363">
                  <c:v>2212.2483147839871</c:v>
                </c:pt>
                <c:pt idx="364">
                  <c:v>2200.9906348360937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53-46E4-B0C8-C5A0601B75BD}"/>
            </c:ext>
          </c:extLst>
        </c:ser>
        <c:ser>
          <c:idx val="2"/>
          <c:order val="2"/>
          <c:tx>
            <c:v>3年目級群</c:v>
          </c:tx>
          <c:spPr>
            <a:solidFill>
              <a:srgbClr val="00CC00"/>
            </a:solidFill>
            <a:ln w="25400">
              <a:noFill/>
            </a:ln>
            <a:effectLst/>
          </c:spPr>
          <c:val>
            <c:numRef>
              <c:f>マアナゴ!$AN$3:$AN$367</c:f>
              <c:numCache>
                <c:formatCode>0</c:formatCode>
                <c:ptCount val="365"/>
                <c:pt idx="0">
                  <c:v>2190.8171206800062</c:v>
                </c:pt>
                <c:pt idx="1">
                  <c:v>2152.7692001084342</c:v>
                </c:pt>
                <c:pt idx="2">
                  <c:v>2137.7561834667426</c:v>
                </c:pt>
                <c:pt idx="3">
                  <c:v>2101.7087408132993</c:v>
                </c:pt>
                <c:pt idx="4">
                  <c:v>2087.6419087989907</c:v>
                </c:pt>
                <c:pt idx="5">
                  <c:v>2047.7789158061398</c:v>
                </c:pt>
                <c:pt idx="6">
                  <c:v>2039.3489024063701</c:v>
                </c:pt>
                <c:pt idx="7">
                  <c:v>2005.0363108422912</c:v>
                </c:pt>
                <c:pt idx="8">
                  <c:v>1992.9078596331424</c:v>
                </c:pt>
                <c:pt idx="9">
                  <c:v>1955.9487533259057</c:v>
                </c:pt>
                <c:pt idx="10">
                  <c:v>1948.3494611604176</c:v>
                </c:pt>
                <c:pt idx="11">
                  <c:v>1909.9127702312421</c:v>
                </c:pt>
                <c:pt idx="12">
                  <c:v>1902.1445264530939</c:v>
                </c:pt>
                <c:pt idx="13">
                  <c:v>1871.730898278319</c:v>
                </c:pt>
                <c:pt idx="14">
                  <c:v>1855.4696819251496</c:v>
                </c:pt>
                <c:pt idx="15">
                  <c:v>1822.4022212860496</c:v>
                </c:pt>
                <c:pt idx="16">
                  <c:v>1815.5057488598095</c:v>
                </c:pt>
                <c:pt idx="17">
                  <c:v>1780.9787895836059</c:v>
                </c:pt>
                <c:pt idx="18">
                  <c:v>1773.931338058977</c:v>
                </c:pt>
                <c:pt idx="19">
                  <c:v>1739.1366744959128</c:v>
                </c:pt>
                <c:pt idx="20">
                  <c:v>1728.3175297317637</c:v>
                </c:pt>
                <c:pt idx="21">
                  <c:v>1699.2949649555324</c:v>
                </c:pt>
                <c:pt idx="22">
                  <c:v>1693.1628172893172</c:v>
                </c:pt>
                <c:pt idx="23">
                  <c:v>1659.0551935270212</c:v>
                </c:pt>
                <c:pt idx="24">
                  <c:v>1647.9141170307394</c:v>
                </c:pt>
                <c:pt idx="25">
                  <c:v>1620.8567332349869</c:v>
                </c:pt>
                <c:pt idx="26">
                  <c:v>1610.7820041505722</c:v>
                </c:pt>
                <c:pt idx="27">
                  <c:v>1582.2808125373795</c:v>
                </c:pt>
                <c:pt idx="28">
                  <c:v>1575.7370536598262</c:v>
                </c:pt>
                <c:pt idx="29">
                  <c:v>1542.0978452923493</c:v>
                </c:pt>
                <c:pt idx="30">
                  <c:v>1536.6484377302374</c:v>
                </c:pt>
                <c:pt idx="31">
                  <c:v>1511.4060744306157</c:v>
                </c:pt>
                <c:pt idx="32">
                  <c:v>1497.1827415102257</c:v>
                </c:pt>
                <c:pt idx="33">
                  <c:v>1474.2088575925684</c:v>
                </c:pt>
                <c:pt idx="34">
                  <c:v>1462.3097470833479</c:v>
                </c:pt>
                <c:pt idx="35">
                  <c:v>1431.6753263452506</c:v>
                </c:pt>
                <c:pt idx="36">
                  <c:v>1425.8530311511827</c:v>
                </c:pt>
                <c:pt idx="37">
                  <c:v>1403.7448428645725</c:v>
                </c:pt>
                <c:pt idx="38">
                  <c:v>1390.302615488645</c:v>
                </c:pt>
                <c:pt idx="39">
                  <c:v>1361.7334585716285</c:v>
                </c:pt>
                <c:pt idx="40">
                  <c:v>1356.9314142701351</c:v>
                </c:pt>
                <c:pt idx="41">
                  <c:v>1329.4165264850974</c:v>
                </c:pt>
                <c:pt idx="42">
                  <c:v>1323.2446420703502</c:v>
                </c:pt>
                <c:pt idx="43">
                  <c:v>1301.8548853571294</c:v>
                </c:pt>
                <c:pt idx="44">
                  <c:v>1284.1716808461629</c:v>
                </c:pt>
                <c:pt idx="45">
                  <c:v>1265.1369165465749</c:v>
                </c:pt>
                <c:pt idx="46">
                  <c:v>1260.0159563973825</c:v>
                </c:pt>
                <c:pt idx="47">
                  <c:v>1233.1846327631401</c:v>
                </c:pt>
                <c:pt idx="48">
                  <c:v>1227.9591616158993</c:v>
                </c:pt>
                <c:pt idx="49">
                  <c:v>1203.498153088311</c:v>
                </c:pt>
                <c:pt idx="50">
                  <c:v>1191.7590707675668</c:v>
                </c:pt>
                <c:pt idx="51">
                  <c:v>1172.25181417815</c:v>
                </c:pt>
                <c:pt idx="52">
                  <c:v>1168.1129458685359</c:v>
                </c:pt>
                <c:pt idx="53">
                  <c:v>1143.3018465631105</c:v>
                </c:pt>
                <c:pt idx="54">
                  <c:v>1133.8995260442666</c:v>
                </c:pt>
                <c:pt idx="55">
                  <c:v>1115.3832025517784</c:v>
                </c:pt>
                <c:pt idx="56">
                  <c:v>1105.8715563007679</c:v>
                </c:pt>
                <c:pt idx="57">
                  <c:v>1088.5111418911015</c:v>
                </c:pt>
                <c:pt idx="58">
                  <c:v>1084.1047912605125</c:v>
                </c:pt>
                <c:pt idx="59">
                  <c:v>1056.1732674225102</c:v>
                </c:pt>
                <c:pt idx="60">
                  <c:v>1051.6703042716988</c:v>
                </c:pt>
                <c:pt idx="61">
                  <c:v>1034.0360632222373</c:v>
                </c:pt>
                <c:pt idx="62">
                  <c:v>1021.5781899544494</c:v>
                </c:pt>
                <c:pt idx="63">
                  <c:v>1002.4865137814675</c:v>
                </c:pt>
                <c:pt idx="64">
                  <c:v>992.54069135267309</c:v>
                </c:pt>
                <c:pt idx="65">
                  <c:v>964.06032921343512</c:v>
                </c:pt>
                <c:pt idx="66">
                  <c:v>960.60361523283336</c:v>
                </c:pt>
                <c:pt idx="67">
                  <c:v>941.21844855642803</c:v>
                </c:pt>
                <c:pt idx="68">
                  <c:v>928.39328874505418</c:v>
                </c:pt>
                <c:pt idx="69">
                  <c:v>902.20555819989477</c:v>
                </c:pt>
                <c:pt idx="70">
                  <c:v>898.57627576138316</c:v>
                </c:pt>
                <c:pt idx="71">
                  <c:v>870.88369463093193</c:v>
                </c:pt>
                <c:pt idx="72">
                  <c:v>867.16821736912084</c:v>
                </c:pt>
                <c:pt idx="73">
                  <c:v>847.34346262510462</c:v>
                </c:pt>
                <c:pt idx="74">
                  <c:v>827.43799099394221</c:v>
                </c:pt>
                <c:pt idx="75">
                  <c:v>806.10607601716708</c:v>
                </c:pt>
                <c:pt idx="76">
                  <c:v>802.21588560159012</c:v>
                </c:pt>
                <c:pt idx="77">
                  <c:v>772.64062322358006</c:v>
                </c:pt>
                <c:pt idx="78">
                  <c:v>768.66191963516462</c:v>
                </c:pt>
                <c:pt idx="79">
                  <c:v>738.90288503792431</c:v>
                </c:pt>
                <c:pt idx="80">
                  <c:v>723.96940369380172</c:v>
                </c:pt>
                <c:pt idx="81">
                  <c:v>702.17145087893721</c:v>
                </c:pt>
                <c:pt idx="82">
                  <c:v>698.01091578251726</c:v>
                </c:pt>
                <c:pt idx="83">
                  <c:v>667.87967847741561</c:v>
                </c:pt>
                <c:pt idx="84">
                  <c:v>656.78928576652584</c:v>
                </c:pt>
                <c:pt idx="85">
                  <c:v>636.05781732209255</c:v>
                </c:pt>
                <c:pt idx="86">
                  <c:v>624.85917025693357</c:v>
                </c:pt>
                <c:pt idx="87">
                  <c:v>605.36027050736743</c:v>
                </c:pt>
                <c:pt idx="88">
                  <c:v>600.94755228408519</c:v>
                </c:pt>
                <c:pt idx="89">
                  <c:v>568.89812258790039</c:v>
                </c:pt>
                <c:pt idx="90">
                  <c:v>565.77813685739829</c:v>
                </c:pt>
                <c:pt idx="91">
                  <c:v>550.17049881782134</c:v>
                </c:pt>
                <c:pt idx="92">
                  <c:v>541.44420973809133</c:v>
                </c:pt>
                <c:pt idx="93">
                  <c:v>525.72859715410505</c:v>
                </c:pt>
                <c:pt idx="94">
                  <c:v>515.52603805000228</c:v>
                </c:pt>
                <c:pt idx="95">
                  <c:v>495.51260241251742</c:v>
                </c:pt>
                <c:pt idx="96">
                  <c:v>493.6020124557225</c:v>
                </c:pt>
                <c:pt idx="97">
                  <c:v>480.47478489540356</c:v>
                </c:pt>
                <c:pt idx="98">
                  <c:v>472.91060271634564</c:v>
                </c:pt>
                <c:pt idx="99">
                  <c:v>452.66414969080733</c:v>
                </c:pt>
                <c:pt idx="100">
                  <c:v>450.6503363726701</c:v>
                </c:pt>
                <c:pt idx="101">
                  <c:v>435.92935204093635</c:v>
                </c:pt>
                <c:pt idx="102">
                  <c:v>433.87271827342175</c:v>
                </c:pt>
                <c:pt idx="103">
                  <c:v>423.31135515751009</c:v>
                </c:pt>
                <c:pt idx="104">
                  <c:v>411.29167929012817</c:v>
                </c:pt>
                <c:pt idx="105">
                  <c:v>400.64771190196313</c:v>
                </c:pt>
                <c:pt idx="106">
                  <c:v>399.92628897145897</c:v>
                </c:pt>
                <c:pt idx="107">
                  <c:v>387.79397616292852</c:v>
                </c:pt>
                <c:pt idx="108">
                  <c:v>385.6140871662783</c:v>
                </c:pt>
                <c:pt idx="109">
                  <c:v>370.54786799137128</c:v>
                </c:pt>
                <c:pt idx="110">
                  <c:v>365.45896759749888</c:v>
                </c:pt>
                <c:pt idx="111">
                  <c:v>356.04301969719882</c:v>
                </c:pt>
                <c:pt idx="112">
                  <c:v>355.22094837969524</c:v>
                </c:pt>
                <c:pt idx="113">
                  <c:v>345.74997108783242</c:v>
                </c:pt>
                <c:pt idx="114">
                  <c:v>337.68715444759192</c:v>
                </c:pt>
                <c:pt idx="115">
                  <c:v>329.59436987005597</c:v>
                </c:pt>
                <c:pt idx="116">
                  <c:v>324.36777117254064</c:v>
                </c:pt>
                <c:pt idx="117">
                  <c:v>316.22005039680056</c:v>
                </c:pt>
                <c:pt idx="118">
                  <c:v>315.30755035222023</c:v>
                </c:pt>
                <c:pt idx="119">
                  <c:v>298.37932265588756</c:v>
                </c:pt>
                <c:pt idx="120">
                  <c:v>297.42930737182974</c:v>
                </c:pt>
                <c:pt idx="121">
                  <c:v>290.63231834273671</c:v>
                </c:pt>
                <c:pt idx="122">
                  <c:v>285.27334252746226</c:v>
                </c:pt>
                <c:pt idx="123">
                  <c:v>278.42898624973543</c:v>
                </c:pt>
                <c:pt idx="124">
                  <c:v>273.02761516578965</c:v>
                </c:pt>
                <c:pt idx="125">
                  <c:v>266.13593376320802</c:v>
                </c:pt>
                <c:pt idx="126">
                  <c:v>263.63788124013627</c:v>
                </c:pt>
                <c:pt idx="127">
                  <c:v>259.65448101345208</c:v>
                </c:pt>
                <c:pt idx="128">
                  <c:v>254.17832310619761</c:v>
                </c:pt>
                <c:pt idx="129">
                  <c:v>244.24149954818361</c:v>
                </c:pt>
                <c:pt idx="130">
                  <c:v>243.16628326015308</c:v>
                </c:pt>
                <c:pt idx="131">
                  <c:v>233.17484963161274</c:v>
                </c:pt>
                <c:pt idx="132">
                  <c:v>230.58701560364716</c:v>
                </c:pt>
                <c:pt idx="133">
                  <c:v>225.00892870171967</c:v>
                </c:pt>
                <c:pt idx="134">
                  <c:v>214.93320368156654</c:v>
                </c:pt>
                <c:pt idx="135">
                  <c:v>210.80306108127141</c:v>
                </c:pt>
                <c:pt idx="136">
                  <c:v>209.65305019934877</c:v>
                </c:pt>
                <c:pt idx="137">
                  <c:v>202.4980475102266</c:v>
                </c:pt>
                <c:pt idx="138">
                  <c:v>201.32808781751038</c:v>
                </c:pt>
                <c:pt idx="139">
                  <c:v>191.12362350314305</c:v>
                </c:pt>
                <c:pt idx="140">
                  <c:v>185.40670030107358</c:v>
                </c:pt>
                <c:pt idx="141">
                  <c:v>181.17981480364463</c:v>
                </c:pt>
                <c:pt idx="142">
                  <c:v>179.9626463425505</c:v>
                </c:pt>
                <c:pt idx="143">
                  <c:v>174.19620516525802</c:v>
                </c:pt>
                <c:pt idx="144">
                  <c:v>168.40999687772353</c:v>
                </c:pt>
                <c:pt idx="145">
                  <c:v>165.64335947939821</c:v>
                </c:pt>
                <c:pt idx="146">
                  <c:v>162.86679870517045</c:v>
                </c:pt>
                <c:pt idx="147">
                  <c:v>160.08031954371751</c:v>
                </c:pt>
                <c:pt idx="148">
                  <c:v>158.81095543485438</c:v>
                </c:pt>
                <c:pt idx="149">
                  <c:v>151.41866328660964</c:v>
                </c:pt>
                <c:pt idx="150">
                  <c:v>150.12948856819372</c:v>
                </c:pt>
                <c:pt idx="151">
                  <c:v>147.30093522887145</c:v>
                </c:pt>
                <c:pt idx="152">
                  <c:v>144.46248987590275</c:v>
                </c:pt>
                <c:pt idx="153">
                  <c:v>143.15344202537449</c:v>
                </c:pt>
                <c:pt idx="154">
                  <c:v>138.75594393523261</c:v>
                </c:pt>
                <c:pt idx="155">
                  <c:v>135.88785383377714</c:v>
                </c:pt>
                <c:pt idx="156">
                  <c:v>134.55651935028072</c:v>
                </c:pt>
                <c:pt idx="157">
                  <c:v>133.22021025782072</c:v>
                </c:pt>
                <c:pt idx="158">
                  <c:v>128.77589543179653</c:v>
                </c:pt>
                <c:pt idx="159">
                  <c:v>124.31683644174257</c:v>
                </c:pt>
                <c:pt idx="160">
                  <c:v>122.95584786309016</c:v>
                </c:pt>
                <c:pt idx="161">
                  <c:v>116.91336407474138</c:v>
                </c:pt>
                <c:pt idx="162">
                  <c:v>117.0964201452354</c:v>
                </c:pt>
                <c:pt idx="163">
                  <c:v>115.71567784477008</c:v>
                </c:pt>
                <c:pt idx="164">
                  <c:v>109.63149213254232</c:v>
                </c:pt>
                <c:pt idx="165">
                  <c:v>108.23353724281326</c:v>
                </c:pt>
                <c:pt idx="166">
                  <c:v>108.40167853621422</c:v>
                </c:pt>
                <c:pt idx="167">
                  <c:v>103.84932758097942</c:v>
                </c:pt>
                <c:pt idx="168">
                  <c:v>104.01002751931939</c:v>
                </c:pt>
                <c:pt idx="169">
                  <c:v>101.01397491255439</c:v>
                </c:pt>
                <c:pt idx="170">
                  <c:v>98.008124817663528</c:v>
                </c:pt>
                <c:pt idx="171">
                  <c:v>96.575691053465377</c:v>
                </c:pt>
                <c:pt idx="172">
                  <c:v>96.723971922853266</c:v>
                </c:pt>
                <c:pt idx="173">
                  <c:v>92.107984862636286</c:v>
                </c:pt>
                <c:pt idx="174">
                  <c:v>90.658357940232165</c:v>
                </c:pt>
                <c:pt idx="175">
                  <c:v>87.610890927960739</c:v>
                </c:pt>
                <c:pt idx="176">
                  <c:v>86.149010494568017</c:v>
                </c:pt>
                <c:pt idx="177">
                  <c:v>84.682221998660424</c:v>
                </c:pt>
                <c:pt idx="178">
                  <c:v>83.210528322759245</c:v>
                </c:pt>
                <c:pt idx="179">
                  <c:v>78.528680115917325</c:v>
                </c:pt>
                <c:pt idx="180">
                  <c:v>78.647388300994194</c:v>
                </c:pt>
                <c:pt idx="181">
                  <c:v>77.158574970625608</c:v>
                </c:pt>
                <c:pt idx="182">
                  <c:v>75.664869200502864</c:v>
                </c:pt>
                <c:pt idx="183">
                  <c:v>74.166273957519451</c:v>
                </c:pt>
                <c:pt idx="184">
                  <c:v>72.662792224550259</c:v>
                </c:pt>
                <c:pt idx="185">
                  <c:v>71.154427000415822</c:v>
                </c:pt>
                <c:pt idx="186">
                  <c:v>71.260743655657279</c:v>
                </c:pt>
                <c:pt idx="187">
                  <c:v>69.745035728529388</c:v>
                </c:pt>
                <c:pt idx="188">
                  <c:v>68.224452329794588</c:v>
                </c:pt>
                <c:pt idx="189">
                  <c:v>66.698996517830935</c:v>
                </c:pt>
                <c:pt idx="190">
                  <c:v>66.797888150954535</c:v>
                </c:pt>
                <c:pt idx="191">
                  <c:v>63.633479966533621</c:v>
                </c:pt>
                <c:pt idx="192">
                  <c:v>63.727462933767605</c:v>
                </c:pt>
                <c:pt idx="193">
                  <c:v>63.821403335061881</c:v>
                </c:pt>
                <c:pt idx="194">
                  <c:v>62.276447149145298</c:v>
                </c:pt>
                <c:pt idx="195">
                  <c:v>60.72663503192517</c:v>
                </c:pt>
                <c:pt idx="196">
                  <c:v>60.815635981062599</c:v>
                </c:pt>
                <c:pt idx="197">
                  <c:v>59.258525822149309</c:v>
                </c:pt>
                <c:pt idx="198">
                  <c:v>59.345041524664502</c:v>
                </c:pt>
                <c:pt idx="199">
                  <c:v>57.780641639940875</c:v>
                </c:pt>
                <c:pt idx="200">
                  <c:v>57.864676001476695</c:v>
                </c:pt>
                <c:pt idx="201">
                  <c:v>56.29299478486476</c:v>
                </c:pt>
                <c:pt idx="202">
                  <c:v>56.374551758774558</c:v>
                </c:pt>
                <c:pt idx="203">
                  <c:v>54.795597681842409</c:v>
                </c:pt>
                <c:pt idx="204">
                  <c:v>54.874681268937508</c:v>
                </c:pt>
                <c:pt idx="205">
                  <c:v>53.288462880500553</c:v>
                </c:pt>
                <c:pt idx="206">
                  <c:v>53.365077128791</c:v>
                </c:pt>
                <c:pt idx="207">
                  <c:v>51.771603054505654</c:v>
                </c:pt>
                <c:pt idx="208">
                  <c:v>51.845752058937315</c:v>
                </c:pt>
                <c:pt idx="209">
                  <c:v>50.245031000887586</c:v>
                </c:pt>
                <c:pt idx="210">
                  <c:v>50.316718903072314</c:v>
                </c:pt>
                <c:pt idx="211">
                  <c:v>48.708759639350262</c:v>
                </c:pt>
                <c:pt idx="212">
                  <c:v>48.77799062729261</c:v>
                </c:pt>
                <c:pt idx="213">
                  <c:v>47.162802011571991</c:v>
                </c:pt>
                <c:pt idx="214">
                  <c:v>47.229580319391161</c:v>
                </c:pt>
                <c:pt idx="215">
                  <c:v>45.607171280495507</c:v>
                </c:pt>
                <c:pt idx="216">
                  <c:v>45.67150118814174</c:v>
                </c:pt>
                <c:pt idx="217">
                  <c:v>45.735799219205639</c:v>
                </c:pt>
                <c:pt idx="218">
                  <c:v>44.10376656257295</c:v>
                </c:pt>
                <c:pt idx="219">
                  <c:v>44.165621512685874</c:v>
                </c:pt>
                <c:pt idx="220">
                  <c:v>44.227445486882843</c:v>
                </c:pt>
                <c:pt idx="221">
                  <c:v>42.585806146499074</c:v>
                </c:pt>
                <c:pt idx="222">
                  <c:v>42.645192439006557</c:v>
                </c:pt>
                <c:pt idx="223">
                  <c:v>42.704548680015819</c:v>
                </c:pt>
                <c:pt idx="224">
                  <c:v>42.763874781036925</c:v>
                </c:pt>
                <c:pt idx="225">
                  <c:v>41.110243827676193</c:v>
                </c:pt>
                <c:pt idx="226">
                  <c:v>41.167138761988525</c:v>
                </c:pt>
                <c:pt idx="227">
                  <c:v>41.224004508505075</c:v>
                </c:pt>
                <c:pt idx="228">
                  <c:v>41.280840983241838</c:v>
                </c:pt>
                <c:pt idx="229">
                  <c:v>39.615246098189608</c:v>
                </c:pt>
                <c:pt idx="230">
                  <c:v>39.669658041716147</c:v>
                </c:pt>
                <c:pt idx="231">
                  <c:v>39.724041693071932</c:v>
                </c:pt>
                <c:pt idx="232">
                  <c:v>39.77839697271213</c:v>
                </c:pt>
                <c:pt idx="233">
                  <c:v>38.100866244749135</c:v>
                </c:pt>
                <c:pt idx="234">
                  <c:v>38.152803747683748</c:v>
                </c:pt>
                <c:pt idx="235">
                  <c:v>38.204713885558974</c:v>
                </c:pt>
                <c:pt idx="236">
                  <c:v>38.256596583199155</c:v>
                </c:pt>
                <c:pt idx="237">
                  <c:v>36.567158503582618</c:v>
                </c:pt>
                <c:pt idx="238">
                  <c:v>36.616630296482413</c:v>
                </c:pt>
                <c:pt idx="239">
                  <c:v>36.666075682471437</c:v>
                </c:pt>
                <c:pt idx="240">
                  <c:v>36.715494590671355</c:v>
                </c:pt>
                <c:pt idx="241">
                  <c:v>35.014178048023673</c:v>
                </c:pt>
                <c:pt idx="242">
                  <c:v>35.061193039330377</c:v>
                </c:pt>
                <c:pt idx="243">
                  <c:v>35.108182612452623</c:v>
                </c:pt>
                <c:pt idx="244">
                  <c:v>35.155146700734235</c:v>
                </c:pt>
                <c:pt idx="245">
                  <c:v>35.202085237731815</c:v>
                </c:pt>
                <c:pt idx="246">
                  <c:v>33.486548249355522</c:v>
                </c:pt>
                <c:pt idx="247">
                  <c:v>33.531091123513733</c:v>
                </c:pt>
                <c:pt idx="248">
                  <c:v>33.575609535809519</c:v>
                </c:pt>
                <c:pt idx="249">
                  <c:v>33.620103423936705</c:v>
                </c:pt>
                <c:pt idx="250">
                  <c:v>33.664572725794201</c:v>
                </c:pt>
                <c:pt idx="251">
                  <c:v>31.934858570039321</c:v>
                </c:pt>
                <c:pt idx="252">
                  <c:v>31.976940622094499</c:v>
                </c:pt>
                <c:pt idx="253">
                  <c:v>32.018999206564644</c:v>
                </c:pt>
                <c:pt idx="254">
                  <c:v>32.061034265397581</c:v>
                </c:pt>
                <c:pt idx="255">
                  <c:v>32.103045740736867</c:v>
                </c:pt>
                <c:pt idx="256">
                  <c:v>32.145033574923119</c:v>
                </c:pt>
                <c:pt idx="257">
                  <c:v>30.398831171021428</c:v>
                </c:pt>
                <c:pt idx="258">
                  <c:v>30.438441529616039</c:v>
                </c:pt>
                <c:pt idx="259">
                  <c:v>30.478029398202377</c:v>
                </c:pt>
                <c:pt idx="260">
                  <c:v>30.517594723069585</c:v>
                </c:pt>
                <c:pt idx="261">
                  <c:v>30.557137450694043</c:v>
                </c:pt>
                <c:pt idx="262">
                  <c:v>30.596657527739655</c:v>
                </c:pt>
                <c:pt idx="263">
                  <c:v>28.834028142172176</c:v>
                </c:pt>
                <c:pt idx="264">
                  <c:v>28.871180722530394</c:v>
                </c:pt>
                <c:pt idx="265">
                  <c:v>28.908311835162049</c:v>
                </c:pt>
                <c:pt idx="266">
                  <c:v>28.945421430576637</c:v>
                </c:pt>
                <c:pt idx="267">
                  <c:v>28.982509459462104</c:v>
                </c:pt>
                <c:pt idx="268">
                  <c:v>27.205852380641062</c:v>
                </c:pt>
                <c:pt idx="269">
                  <c:v>27.240581832455206</c:v>
                </c:pt>
                <c:pt idx="270">
                  <c:v>27.275290927959009</c:v>
                </c:pt>
                <c:pt idx="271">
                  <c:v>27.309979621591093</c:v>
                </c:pt>
                <c:pt idx="272">
                  <c:v>27.344647867957534</c:v>
                </c:pt>
                <c:pt idx="273">
                  <c:v>27.37929562183222</c:v>
                </c:pt>
                <c:pt idx="274">
                  <c:v>25.586327982280444</c:v>
                </c:pt>
                <c:pt idx="275">
                  <c:v>25.618627507241087</c:v>
                </c:pt>
                <c:pt idx="276">
                  <c:v>25.650907780185722</c:v>
                </c:pt>
                <c:pt idx="277">
                  <c:v>25.683168759532016</c:v>
                </c:pt>
                <c:pt idx="278">
                  <c:v>25.715410403855294</c:v>
                </c:pt>
                <c:pt idx="279">
                  <c:v>25.747632671888436</c:v>
                </c:pt>
                <c:pt idx="280">
                  <c:v>25.779835522522287</c:v>
                </c:pt>
                <c:pt idx="281">
                  <c:v>23.968303278033719</c:v>
                </c:pt>
                <c:pt idx="282">
                  <c:v>23.998169750234645</c:v>
                </c:pt>
                <c:pt idx="283">
                  <c:v>24.028018078355366</c:v>
                </c:pt>
                <c:pt idx="284">
                  <c:v>24.057848224810396</c:v>
                </c:pt>
                <c:pt idx="285">
                  <c:v>24.087660152161426</c:v>
                </c:pt>
                <c:pt idx="286">
                  <c:v>24.117453823117376</c:v>
                </c:pt>
                <c:pt idx="287">
                  <c:v>24.14722920053455</c:v>
                </c:pt>
                <c:pt idx="288">
                  <c:v>24.176986247416586</c:v>
                </c:pt>
                <c:pt idx="289">
                  <c:v>22.344669163305721</c:v>
                </c:pt>
                <c:pt idx="290">
                  <c:v>22.372103263686846</c:v>
                </c:pt>
                <c:pt idx="291">
                  <c:v>22.399520341939798</c:v>
                </c:pt>
                <c:pt idx="292">
                  <c:v>22.426920364459278</c:v>
                </c:pt>
                <c:pt idx="293">
                  <c:v>22.454303297776288</c:v>
                </c:pt>
                <c:pt idx="294">
                  <c:v>22.481669108558425</c:v>
                </c:pt>
                <c:pt idx="295">
                  <c:v>22.509017763609741</c:v>
                </c:pt>
                <c:pt idx="296">
                  <c:v>20.658320127381717</c:v>
                </c:pt>
                <c:pt idx="297">
                  <c:v>20.683358184884465</c:v>
                </c:pt>
                <c:pt idx="298">
                  <c:v>20.708380425763398</c:v>
                </c:pt>
                <c:pt idx="299">
                  <c:v>20.733386820089979</c:v>
                </c:pt>
                <c:pt idx="300">
                  <c:v>20.758377338061166</c:v>
                </c:pt>
                <c:pt idx="301">
                  <c:v>20.783351949999243</c:v>
                </c:pt>
                <c:pt idx="302">
                  <c:v>20.808310626351961</c:v>
                </c:pt>
                <c:pt idx="303">
                  <c:v>20.833253337692408</c:v>
                </c:pt>
                <c:pt idx="304">
                  <c:v>20.858180054719313</c:v>
                </c:pt>
                <c:pt idx="305">
                  <c:v>18.984627952960672</c:v>
                </c:pt>
                <c:pt idx="306">
                  <c:v>19.007259444776505</c:v>
                </c:pt>
                <c:pt idx="307">
                  <c:v>19.029876317079008</c:v>
                </c:pt>
                <c:pt idx="308">
                  <c:v>19.052478543686771</c:v>
                </c:pt>
                <c:pt idx="309">
                  <c:v>19.075066098532545</c:v>
                </c:pt>
                <c:pt idx="310">
                  <c:v>19.097638955663285</c:v>
                </c:pt>
                <c:pt idx="311">
                  <c:v>19.120197089240023</c:v>
                </c:pt>
                <c:pt idx="312">
                  <c:v>19.142740473537962</c:v>
                </c:pt>
                <c:pt idx="313">
                  <c:v>19.165269082946057</c:v>
                </c:pt>
                <c:pt idx="314">
                  <c:v>17.269004602770853</c:v>
                </c:pt>
                <c:pt idx="315">
                  <c:v>17.289253687697961</c:v>
                </c:pt>
                <c:pt idx="316">
                  <c:v>17.309489406690897</c:v>
                </c:pt>
                <c:pt idx="317">
                  <c:v>17.329711737110511</c:v>
                </c:pt>
                <c:pt idx="318">
                  <c:v>17.349920656420021</c:v>
                </c:pt>
                <c:pt idx="319">
                  <c:v>17.370116142185459</c:v>
                </c:pt>
                <c:pt idx="320">
                  <c:v>17.39029817207533</c:v>
                </c:pt>
                <c:pt idx="321">
                  <c:v>17.410466723860559</c:v>
                </c:pt>
                <c:pt idx="322">
                  <c:v>17.430621775414615</c:v>
                </c:pt>
                <c:pt idx="323">
                  <c:v>17.450763304713369</c:v>
                </c:pt>
                <c:pt idx="324">
                  <c:v>15.529681146520204</c:v>
                </c:pt>
                <c:pt idx="325">
                  <c:v>15.547560630187403</c:v>
                </c:pt>
                <c:pt idx="326">
                  <c:v>15.565428035887306</c:v>
                </c:pt>
                <c:pt idx="327">
                  <c:v>15.583283344406846</c:v>
                </c:pt>
                <c:pt idx="328">
                  <c:v>15.601126536623902</c:v>
                </c:pt>
                <c:pt idx="329">
                  <c:v>15.618957593507213</c:v>
                </c:pt>
                <c:pt idx="330">
                  <c:v>15.636776496116211</c:v>
                </c:pt>
                <c:pt idx="331">
                  <c:v>15.654583225601229</c:v>
                </c:pt>
                <c:pt idx="332">
                  <c:v>15.672377763203196</c:v>
                </c:pt>
                <c:pt idx="333">
                  <c:v>15.69016009025391</c:v>
                </c:pt>
                <c:pt idx="334">
                  <c:v>13.744438914653598</c:v>
                </c:pt>
                <c:pt idx="335">
                  <c:v>13.759977033670808</c:v>
                </c:pt>
                <c:pt idx="336">
                  <c:v>13.775504419926811</c:v>
                </c:pt>
                <c:pt idx="337">
                  <c:v>13.791021057403693</c:v>
                </c:pt>
                <c:pt idx="338">
                  <c:v>13.806526930162635</c:v>
                </c:pt>
                <c:pt idx="339">
                  <c:v>13.822022022343967</c:v>
                </c:pt>
                <c:pt idx="340">
                  <c:v>13.837506318166843</c:v>
                </c:pt>
                <c:pt idx="341">
                  <c:v>13.852979801929505</c:v>
                </c:pt>
                <c:pt idx="342">
                  <c:v>13.868442458009101</c:v>
                </c:pt>
                <c:pt idx="343">
                  <c:v>13.883894270861527</c:v>
                </c:pt>
                <c:pt idx="344">
                  <c:v>13.899335225021412</c:v>
                </c:pt>
                <c:pt idx="345">
                  <c:v>13.914765305102314</c:v>
                </c:pt>
                <c:pt idx="346">
                  <c:v>11.940158139253876</c:v>
                </c:pt>
                <c:pt idx="347">
                  <c:v>11.95336524160607</c:v>
                </c:pt>
                <c:pt idx="348">
                  <c:v>11.966562984157919</c:v>
                </c:pt>
                <c:pt idx="349">
                  <c:v>11.979751353990206</c:v>
                </c:pt>
                <c:pt idx="350">
                  <c:v>11.992930338251025</c:v>
                </c:pt>
                <c:pt idx="351">
                  <c:v>12.006099924155569</c:v>
                </c:pt>
                <c:pt idx="352">
                  <c:v>12.019260098986054</c:v>
                </c:pt>
                <c:pt idx="353">
                  <c:v>12.032410850091846</c:v>
                </c:pt>
                <c:pt idx="354">
                  <c:v>12.045552164889132</c:v>
                </c:pt>
                <c:pt idx="355">
                  <c:v>12.058684030861098</c:v>
                </c:pt>
                <c:pt idx="356">
                  <c:v>12.071806435557752</c:v>
                </c:pt>
                <c:pt idx="357">
                  <c:v>12.084919366595768</c:v>
                </c:pt>
                <c:pt idx="358">
                  <c:v>12.098022811658597</c:v>
                </c:pt>
                <c:pt idx="359">
                  <c:v>12.111116758496463</c:v>
                </c:pt>
                <c:pt idx="360">
                  <c:v>10.103500995771563</c:v>
                </c:pt>
                <c:pt idx="361">
                  <c:v>10.114396757358373</c:v>
                </c:pt>
                <c:pt idx="362">
                  <c:v>10.125284573465525</c:v>
                </c:pt>
                <c:pt idx="363">
                  <c:v>10.136164434106252</c:v>
                </c:pt>
                <c:pt idx="364">
                  <c:v>10.147036329349095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53-46E4-B0C8-C5A0601B7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93008128"/>
        <c:axId val="-1933499584"/>
      </c:areaChart>
      <c:dateAx>
        <c:axId val="-1893008128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33499584"/>
        <c:crosses val="autoZero"/>
        <c:auto val="1"/>
        <c:lblOffset val="100"/>
        <c:baseTimeUnit val="days"/>
        <c:majorUnit val="3"/>
        <c:majorTimeUnit val="months"/>
      </c:dateAx>
      <c:valAx>
        <c:axId val="-193349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/>
                  <a:t>金額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93008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13442194884239"/>
          <c:y val="0.90821254244300265"/>
          <c:w val="0.51841415200161822"/>
          <c:h val="7.00159543404148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v>1年目級群</c:v>
          </c:tx>
          <c:spPr>
            <a:solidFill>
              <a:schemeClr val="accent1"/>
            </a:solidFill>
            <a:ln w="25400">
              <a:noFill/>
            </a:ln>
            <a:effectLst/>
          </c:spPr>
          <c:val>
            <c:numRef>
              <c:f>シャコ!$AD$3:$AD$367</c:f>
              <c:numCache>
                <c:formatCode>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21193.146551941427</c:v>
                </c:pt>
                <c:pt idx="184">
                  <c:v>21781.454921028766</c:v>
                </c:pt>
                <c:pt idx="185">
                  <c:v>22377.664538163652</c:v>
                </c:pt>
                <c:pt idx="186">
                  <c:v>22981.990741787842</c:v>
                </c:pt>
                <c:pt idx="187">
                  <c:v>23596.157410410538</c:v>
                </c:pt>
                <c:pt idx="188">
                  <c:v>24218.236248493715</c:v>
                </c:pt>
                <c:pt idx="189">
                  <c:v>24845.123550303662</c:v>
                </c:pt>
                <c:pt idx="190">
                  <c:v>25443.488809966271</c:v>
                </c:pt>
                <c:pt idx="191">
                  <c:v>26084.187859391855</c:v>
                </c:pt>
                <c:pt idx="192">
                  <c:v>26732.69402977798</c:v>
                </c:pt>
                <c:pt idx="193">
                  <c:v>27376.800291162494</c:v>
                </c:pt>
                <c:pt idx="194">
                  <c:v>28008.760962749173</c:v>
                </c:pt>
                <c:pt idx="195">
                  <c:v>28681.241858661062</c:v>
                </c:pt>
                <c:pt idx="196">
                  <c:v>29360.946949267742</c:v>
                </c:pt>
                <c:pt idx="197">
                  <c:v>30050.345355989994</c:v>
                </c:pt>
                <c:pt idx="198">
                  <c:v>30745.456951144617</c:v>
                </c:pt>
                <c:pt idx="199">
                  <c:v>31450.993947188752</c:v>
                </c:pt>
                <c:pt idx="200">
                  <c:v>32164.026346210539</c:v>
                </c:pt>
                <c:pt idx="201">
                  <c:v>32884.510997100842</c:v>
                </c:pt>
                <c:pt idx="202">
                  <c:v>33612.395912083237</c:v>
                </c:pt>
                <c:pt idx="203">
                  <c:v>34346.337539692373</c:v>
                </c:pt>
                <c:pt idx="204">
                  <c:v>35080.323663754069</c:v>
                </c:pt>
                <c:pt idx="205">
                  <c:v>35800.38070018377</c:v>
                </c:pt>
                <c:pt idx="206">
                  <c:v>36555.703166239124</c:v>
                </c:pt>
                <c:pt idx="207">
                  <c:v>37318.859107043208</c:v>
                </c:pt>
                <c:pt idx="208">
                  <c:v>38089.097823419892</c:v>
                </c:pt>
                <c:pt idx="209">
                  <c:v>38866.337765776167</c:v>
                </c:pt>
                <c:pt idx="210">
                  <c:v>39650.37151761257</c:v>
                </c:pt>
                <c:pt idx="211">
                  <c:v>40441.185298565208</c:v>
                </c:pt>
                <c:pt idx="212">
                  <c:v>41239.020806503213</c:v>
                </c:pt>
                <c:pt idx="213">
                  <c:v>42043.649369005856</c:v>
                </c:pt>
                <c:pt idx="214">
                  <c:v>42854.972047212046</c:v>
                </c:pt>
                <c:pt idx="215">
                  <c:v>43672.933617258794</c:v>
                </c:pt>
                <c:pt idx="216">
                  <c:v>44497.466707907581</c:v>
                </c:pt>
                <c:pt idx="217">
                  <c:v>45328.465673713821</c:v>
                </c:pt>
                <c:pt idx="218">
                  <c:v>46165.935048217812</c:v>
                </c:pt>
                <c:pt idx="219">
                  <c:v>47009.813412808478</c:v>
                </c:pt>
                <c:pt idx="220">
                  <c:v>47860.005917117116</c:v>
                </c:pt>
                <c:pt idx="221">
                  <c:v>48716.461915842963</c:v>
                </c:pt>
                <c:pt idx="222">
                  <c:v>49579.05574439394</c:v>
                </c:pt>
                <c:pt idx="223">
                  <c:v>50447.832048808836</c:v>
                </c:pt>
                <c:pt idx="224">
                  <c:v>51322.657759905749</c:v>
                </c:pt>
                <c:pt idx="225">
                  <c:v>52203.481600510968</c:v>
                </c:pt>
                <c:pt idx="226">
                  <c:v>53090.230795648022</c:v>
                </c:pt>
                <c:pt idx="227">
                  <c:v>53982.846918598116</c:v>
                </c:pt>
                <c:pt idx="228">
                  <c:v>54881.256400336933</c:v>
                </c:pt>
                <c:pt idx="229">
                  <c:v>55785.384860572944</c:v>
                </c:pt>
                <c:pt idx="230">
                  <c:v>56695.181209761722</c:v>
                </c:pt>
                <c:pt idx="231">
                  <c:v>57610.562620294673</c:v>
                </c:pt>
                <c:pt idx="232">
                  <c:v>58531.469885277809</c:v>
                </c:pt>
                <c:pt idx="233">
                  <c:v>59457.835750050355</c:v>
                </c:pt>
                <c:pt idx="234">
                  <c:v>60389.584170929782</c:v>
                </c:pt>
                <c:pt idx="235">
                  <c:v>61326.647147842232</c:v>
                </c:pt>
                <c:pt idx="236">
                  <c:v>62268.956557055739</c:v>
                </c:pt>
                <c:pt idx="237">
                  <c:v>63216.453281400165</c:v>
                </c:pt>
                <c:pt idx="238">
                  <c:v>64169.060202611057</c:v>
                </c:pt>
                <c:pt idx="239">
                  <c:v>65126.699486063379</c:v>
                </c:pt>
                <c:pt idx="240">
                  <c:v>66089.321381681264</c:v>
                </c:pt>
                <c:pt idx="241">
                  <c:v>67056.838340478615</c:v>
                </c:pt>
                <c:pt idx="242">
                  <c:v>68029.181320694493</c:v>
                </c:pt>
                <c:pt idx="243">
                  <c:v>69006.301450149273</c:v>
                </c:pt>
                <c:pt idx="244">
                  <c:v>69988.099853474239</c:v>
                </c:pt>
                <c:pt idx="245">
                  <c:v>70974.527818619012</c:v>
                </c:pt>
                <c:pt idx="246">
                  <c:v>71965.506180090175</c:v>
                </c:pt>
                <c:pt idx="247">
                  <c:v>72960.965896500449</c:v>
                </c:pt>
                <c:pt idx="248">
                  <c:v>73960.837964216043</c:v>
                </c:pt>
                <c:pt idx="249">
                  <c:v>74965.053429947104</c:v>
                </c:pt>
                <c:pt idx="250">
                  <c:v>75973.532088727152</c:v>
                </c:pt>
                <c:pt idx="251">
                  <c:v>76986.227574154196</c:v>
                </c:pt>
                <c:pt idx="252">
                  <c:v>78003.048346158015</c:v>
                </c:pt>
                <c:pt idx="253">
                  <c:v>79023.925227271393</c:v>
                </c:pt>
                <c:pt idx="254">
                  <c:v>80048.789141273926</c:v>
                </c:pt>
                <c:pt idx="255">
                  <c:v>81077.583350254601</c:v>
                </c:pt>
                <c:pt idx="256">
                  <c:v>82110.227161460512</c:v>
                </c:pt>
                <c:pt idx="257">
                  <c:v>83146.651873453826</c:v>
                </c:pt>
                <c:pt idx="258">
                  <c:v>84186.788929831018</c:v>
                </c:pt>
                <c:pt idx="259">
                  <c:v>85230.569929649428</c:v>
                </c:pt>
                <c:pt idx="260">
                  <c:v>86277.913464680139</c:v>
                </c:pt>
                <c:pt idx="261">
                  <c:v>87328.764260959157</c:v>
                </c:pt>
                <c:pt idx="262">
                  <c:v>88383.054440232634</c:v>
                </c:pt>
                <c:pt idx="263">
                  <c:v>89440.702561144237</c:v>
                </c:pt>
                <c:pt idx="264">
                  <c:v>90501.64055147818</c:v>
                </c:pt>
                <c:pt idx="265">
                  <c:v>91565.814699970681</c:v>
                </c:pt>
                <c:pt idx="266">
                  <c:v>92633.129244102936</c:v>
                </c:pt>
                <c:pt idx="267">
                  <c:v>93703.545269598544</c:v>
                </c:pt>
                <c:pt idx="268">
                  <c:v>94776.966666711858</c:v>
                </c:pt>
                <c:pt idx="269">
                  <c:v>95853.355802441831</c:v>
                </c:pt>
                <c:pt idx="270">
                  <c:v>96932.61624286625</c:v>
                </c:pt>
                <c:pt idx="271">
                  <c:v>98014.696300243464</c:v>
                </c:pt>
                <c:pt idx="272">
                  <c:v>99099.514200729856</c:v>
                </c:pt>
                <c:pt idx="273">
                  <c:v>100187.01920202497</c:v>
                </c:pt>
                <c:pt idx="274">
                  <c:v>101277.12965801163</c:v>
                </c:pt>
                <c:pt idx="275">
                  <c:v>102369.77958329966</c:v>
                </c:pt>
                <c:pt idx="276">
                  <c:v>103464.9032800377</c:v>
                </c:pt>
                <c:pt idx="277">
                  <c:v>104562.4520002127</c:v>
                </c:pt>
                <c:pt idx="278">
                  <c:v>105662.32754957942</c:v>
                </c:pt>
                <c:pt idx="279">
                  <c:v>106764.48157487652</c:v>
                </c:pt>
                <c:pt idx="280">
                  <c:v>107868.84959907104</c:v>
                </c:pt>
                <c:pt idx="281">
                  <c:v>108975.36746722057</c:v>
                </c:pt>
                <c:pt idx="282">
                  <c:v>110083.95359865644</c:v>
                </c:pt>
                <c:pt idx="283">
                  <c:v>111194.56180840977</c:v>
                </c:pt>
                <c:pt idx="284">
                  <c:v>112307.11073868608</c:v>
                </c:pt>
                <c:pt idx="285">
                  <c:v>113421.53690254303</c:v>
                </c:pt>
                <c:pt idx="286">
                  <c:v>114537.77715804431</c:v>
                </c:pt>
                <c:pt idx="287">
                  <c:v>115655.78760063274</c:v>
                </c:pt>
                <c:pt idx="288">
                  <c:v>116775.46825273686</c:v>
                </c:pt>
                <c:pt idx="289">
                  <c:v>117896.79504769878</c:v>
                </c:pt>
                <c:pt idx="290">
                  <c:v>119019.66781551045</c:v>
                </c:pt>
                <c:pt idx="291">
                  <c:v>120144.04434004035</c:v>
                </c:pt>
                <c:pt idx="292">
                  <c:v>121269.84361421519</c:v>
                </c:pt>
                <c:pt idx="293">
                  <c:v>122397.02464285487</c:v>
                </c:pt>
                <c:pt idx="294">
                  <c:v>123525.50671002519</c:v>
                </c:pt>
                <c:pt idx="295">
                  <c:v>124655.25006606574</c:v>
                </c:pt>
                <c:pt idx="296">
                  <c:v>125786.17430001494</c:v>
                </c:pt>
                <c:pt idx="297">
                  <c:v>126918.21968286164</c:v>
                </c:pt>
                <c:pt idx="298">
                  <c:v>128051.32688358422</c:v>
                </c:pt>
                <c:pt idx="299">
                  <c:v>129185.43697342281</c:v>
                </c:pt>
                <c:pt idx="300">
                  <c:v>130320.4914300355</c:v>
                </c:pt>
                <c:pt idx="301">
                  <c:v>131456.4321415388</c:v>
                </c:pt>
                <c:pt idx="302">
                  <c:v>132593.17893379903</c:v>
                </c:pt>
                <c:pt idx="303">
                  <c:v>133730.69650544465</c:v>
                </c:pt>
                <c:pt idx="304">
                  <c:v>134868.92799540824</c:v>
                </c:pt>
                <c:pt idx="305">
                  <c:v>136007.77051141657</c:v>
                </c:pt>
                <c:pt idx="306">
                  <c:v>137147.23697298212</c:v>
                </c:pt>
                <c:pt idx="307">
                  <c:v>138287.2013545869</c:v>
                </c:pt>
                <c:pt idx="308">
                  <c:v>139427.65496362827</c:v>
                </c:pt>
                <c:pt idx="309">
                  <c:v>140568.49459443704</c:v>
                </c:pt>
                <c:pt idx="310">
                  <c:v>141709.71344256043</c:v>
                </c:pt>
                <c:pt idx="311">
                  <c:v>142851.20814851232</c:v>
                </c:pt>
                <c:pt idx="312">
                  <c:v>143992.94879304746</c:v>
                </c:pt>
                <c:pt idx="313">
                  <c:v>145134.88165289542</c:v>
                </c:pt>
                <c:pt idx="314">
                  <c:v>146276.95345111337</c:v>
                </c:pt>
                <c:pt idx="315">
                  <c:v>147419.0855475729</c:v>
                </c:pt>
                <c:pt idx="316">
                  <c:v>148561.22477127486</c:v>
                </c:pt>
                <c:pt idx="317">
                  <c:v>149703.34474125909</c:v>
                </c:pt>
                <c:pt idx="318">
                  <c:v>150845.36737432954</c:v>
                </c:pt>
                <c:pt idx="319">
                  <c:v>151987.24085121261</c:v>
                </c:pt>
                <c:pt idx="320">
                  <c:v>153128.91380664648</c:v>
                </c:pt>
                <c:pt idx="321">
                  <c:v>154270.33533153855</c:v>
                </c:pt>
                <c:pt idx="322">
                  <c:v>155411.45497503609</c:v>
                </c:pt>
                <c:pt idx="323">
                  <c:v>156552.22274651562</c:v>
                </c:pt>
                <c:pt idx="324">
                  <c:v>157692.58911748693</c:v>
                </c:pt>
                <c:pt idx="325">
                  <c:v>158832.47651155776</c:v>
                </c:pt>
                <c:pt idx="326">
                  <c:v>159971.86428949281</c:v>
                </c:pt>
                <c:pt idx="327">
                  <c:v>161110.67525131052</c:v>
                </c:pt>
                <c:pt idx="328">
                  <c:v>162248.89023981435</c:v>
                </c:pt>
                <c:pt idx="329">
                  <c:v>163386.43243349731</c:v>
                </c:pt>
                <c:pt idx="330">
                  <c:v>164523.25426428832</c:v>
                </c:pt>
                <c:pt idx="331">
                  <c:v>165659.30863097674</c:v>
                </c:pt>
                <c:pt idx="332">
                  <c:v>166794.54890055873</c:v>
                </c:pt>
                <c:pt idx="333">
                  <c:v>167928.95966087715</c:v>
                </c:pt>
                <c:pt idx="334">
                  <c:v>169062.43400112691</c:v>
                </c:pt>
                <c:pt idx="335">
                  <c:v>170194.95716794897</c:v>
                </c:pt>
                <c:pt idx="336">
                  <c:v>171326.4528044108</c:v>
                </c:pt>
                <c:pt idx="337">
                  <c:v>172456.9395659588</c:v>
                </c:pt>
                <c:pt idx="338">
                  <c:v>173586.27795995606</c:v>
                </c:pt>
                <c:pt idx="339">
                  <c:v>174714.52034967265</c:v>
                </c:pt>
                <c:pt idx="340">
                  <c:v>175841.52645490426</c:v>
                </c:pt>
                <c:pt idx="341">
                  <c:v>176967.31826773414</c:v>
                </c:pt>
                <c:pt idx="342">
                  <c:v>178091.82053532565</c:v>
                </c:pt>
                <c:pt idx="343">
                  <c:v>179214.99095297069</c:v>
                </c:pt>
                <c:pt idx="344">
                  <c:v>180336.78768910194</c:v>
                </c:pt>
                <c:pt idx="345">
                  <c:v>181457.20362254416</c:v>
                </c:pt>
                <c:pt idx="346">
                  <c:v>182576.12969322904</c:v>
                </c:pt>
                <c:pt idx="347">
                  <c:v>183693.5246010671</c:v>
                </c:pt>
                <c:pt idx="348">
                  <c:v>184809.41777644178</c:v>
                </c:pt>
                <c:pt idx="349">
                  <c:v>185923.69979631327</c:v>
                </c:pt>
                <c:pt idx="350">
                  <c:v>187036.36650637808</c:v>
                </c:pt>
                <c:pt idx="351">
                  <c:v>188147.34336307753</c:v>
                </c:pt>
                <c:pt idx="352">
                  <c:v>189256.62776001421</c:v>
                </c:pt>
                <c:pt idx="353">
                  <c:v>190364.14549632531</c:v>
                </c:pt>
                <c:pt idx="354">
                  <c:v>191469.85857320734</c:v>
                </c:pt>
                <c:pt idx="355">
                  <c:v>192573.72946245634</c:v>
                </c:pt>
                <c:pt idx="356">
                  <c:v>193675.72110648706</c:v>
                </c:pt>
                <c:pt idx="357">
                  <c:v>194775.79691830435</c:v>
                </c:pt>
                <c:pt idx="358">
                  <c:v>195873.95895429372</c:v>
                </c:pt>
                <c:pt idx="359">
                  <c:v>196970.09553196095</c:v>
                </c:pt>
                <c:pt idx="360">
                  <c:v>198064.17054741574</c:v>
                </c:pt>
                <c:pt idx="361">
                  <c:v>199156.22656853212</c:v>
                </c:pt>
                <c:pt idx="362">
                  <c:v>200246.15146132879</c:v>
                </c:pt>
                <c:pt idx="363">
                  <c:v>201333.91052031046</c:v>
                </c:pt>
                <c:pt idx="364">
                  <c:v>202419.50954615296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7F-46F4-8493-D48F07A4DF89}"/>
            </c:ext>
          </c:extLst>
        </c:ser>
        <c:ser>
          <c:idx val="1"/>
          <c:order val="1"/>
          <c:tx>
            <c:v>2年目級群</c:v>
          </c:tx>
          <c:spPr>
            <a:solidFill>
              <a:srgbClr val="FF5050"/>
            </a:solidFill>
            <a:ln>
              <a:noFill/>
            </a:ln>
            <a:effectLst/>
          </c:spPr>
          <c:cat>
            <c:numRef>
              <c:f>シャコ!$A$3:$A$367</c:f>
              <c:numCache>
                <c:formatCode>m/d/yyyy</c:formatCode>
                <c:ptCount val="365"/>
                <c:pt idx="0">
                  <c:v>41730</c:v>
                </c:pt>
                <c:pt idx="1">
                  <c:v>41731</c:v>
                </c:pt>
                <c:pt idx="2">
                  <c:v>41732</c:v>
                </c:pt>
                <c:pt idx="3">
                  <c:v>41733</c:v>
                </c:pt>
                <c:pt idx="4">
                  <c:v>41734</c:v>
                </c:pt>
                <c:pt idx="5">
                  <c:v>41735</c:v>
                </c:pt>
                <c:pt idx="6">
                  <c:v>41736</c:v>
                </c:pt>
                <c:pt idx="7">
                  <c:v>41737</c:v>
                </c:pt>
                <c:pt idx="8">
                  <c:v>41738</c:v>
                </c:pt>
                <c:pt idx="9">
                  <c:v>41739</c:v>
                </c:pt>
                <c:pt idx="10">
                  <c:v>41740</c:v>
                </c:pt>
                <c:pt idx="11">
                  <c:v>41741</c:v>
                </c:pt>
                <c:pt idx="12">
                  <c:v>41742</c:v>
                </c:pt>
                <c:pt idx="13">
                  <c:v>41743</c:v>
                </c:pt>
                <c:pt idx="14">
                  <c:v>41744</c:v>
                </c:pt>
                <c:pt idx="15">
                  <c:v>41745</c:v>
                </c:pt>
                <c:pt idx="16">
                  <c:v>41746</c:v>
                </c:pt>
                <c:pt idx="17">
                  <c:v>41747</c:v>
                </c:pt>
                <c:pt idx="18">
                  <c:v>41748</c:v>
                </c:pt>
                <c:pt idx="19">
                  <c:v>41749</c:v>
                </c:pt>
                <c:pt idx="20">
                  <c:v>41750</c:v>
                </c:pt>
                <c:pt idx="21">
                  <c:v>41751</c:v>
                </c:pt>
                <c:pt idx="22">
                  <c:v>41752</c:v>
                </c:pt>
                <c:pt idx="23">
                  <c:v>41753</c:v>
                </c:pt>
                <c:pt idx="24">
                  <c:v>41754</c:v>
                </c:pt>
                <c:pt idx="25">
                  <c:v>41755</c:v>
                </c:pt>
                <c:pt idx="26">
                  <c:v>41756</c:v>
                </c:pt>
                <c:pt idx="27">
                  <c:v>41757</c:v>
                </c:pt>
                <c:pt idx="28">
                  <c:v>41758</c:v>
                </c:pt>
                <c:pt idx="29">
                  <c:v>41759</c:v>
                </c:pt>
                <c:pt idx="30">
                  <c:v>41760</c:v>
                </c:pt>
                <c:pt idx="31">
                  <c:v>41761</c:v>
                </c:pt>
                <c:pt idx="32">
                  <c:v>41762</c:v>
                </c:pt>
                <c:pt idx="33">
                  <c:v>41763</c:v>
                </c:pt>
                <c:pt idx="34">
                  <c:v>41764</c:v>
                </c:pt>
                <c:pt idx="35">
                  <c:v>41765</c:v>
                </c:pt>
                <c:pt idx="36">
                  <c:v>41766</c:v>
                </c:pt>
                <c:pt idx="37">
                  <c:v>41767</c:v>
                </c:pt>
                <c:pt idx="38">
                  <c:v>41768</c:v>
                </c:pt>
                <c:pt idx="39">
                  <c:v>41769</c:v>
                </c:pt>
                <c:pt idx="40">
                  <c:v>41770</c:v>
                </c:pt>
                <c:pt idx="41">
                  <c:v>41771</c:v>
                </c:pt>
                <c:pt idx="42">
                  <c:v>41772</c:v>
                </c:pt>
                <c:pt idx="43">
                  <c:v>41773</c:v>
                </c:pt>
                <c:pt idx="44">
                  <c:v>41774</c:v>
                </c:pt>
                <c:pt idx="45">
                  <c:v>41775</c:v>
                </c:pt>
                <c:pt idx="46">
                  <c:v>41776</c:v>
                </c:pt>
                <c:pt idx="47">
                  <c:v>41777</c:v>
                </c:pt>
                <c:pt idx="48">
                  <c:v>41778</c:v>
                </c:pt>
                <c:pt idx="49">
                  <c:v>41779</c:v>
                </c:pt>
                <c:pt idx="50">
                  <c:v>41780</c:v>
                </c:pt>
                <c:pt idx="51">
                  <c:v>41781</c:v>
                </c:pt>
                <c:pt idx="52">
                  <c:v>41782</c:v>
                </c:pt>
                <c:pt idx="53">
                  <c:v>41783</c:v>
                </c:pt>
                <c:pt idx="54">
                  <c:v>41784</c:v>
                </c:pt>
                <c:pt idx="55">
                  <c:v>41785</c:v>
                </c:pt>
                <c:pt idx="56">
                  <c:v>41786</c:v>
                </c:pt>
                <c:pt idx="57">
                  <c:v>41787</c:v>
                </c:pt>
                <c:pt idx="58">
                  <c:v>41788</c:v>
                </c:pt>
                <c:pt idx="59">
                  <c:v>41789</c:v>
                </c:pt>
                <c:pt idx="60">
                  <c:v>41790</c:v>
                </c:pt>
                <c:pt idx="61">
                  <c:v>41791</c:v>
                </c:pt>
                <c:pt idx="62">
                  <c:v>41792</c:v>
                </c:pt>
                <c:pt idx="63">
                  <c:v>41793</c:v>
                </c:pt>
                <c:pt idx="64">
                  <c:v>41794</c:v>
                </c:pt>
                <c:pt idx="65">
                  <c:v>41795</c:v>
                </c:pt>
                <c:pt idx="66">
                  <c:v>41796</c:v>
                </c:pt>
                <c:pt idx="67">
                  <c:v>41797</c:v>
                </c:pt>
                <c:pt idx="68">
                  <c:v>41798</c:v>
                </c:pt>
                <c:pt idx="69">
                  <c:v>41799</c:v>
                </c:pt>
                <c:pt idx="70">
                  <c:v>41800</c:v>
                </c:pt>
                <c:pt idx="71">
                  <c:v>41801</c:v>
                </c:pt>
                <c:pt idx="72">
                  <c:v>41802</c:v>
                </c:pt>
                <c:pt idx="73">
                  <c:v>41803</c:v>
                </c:pt>
                <c:pt idx="74">
                  <c:v>41804</c:v>
                </c:pt>
                <c:pt idx="75">
                  <c:v>41805</c:v>
                </c:pt>
                <c:pt idx="76">
                  <c:v>41806</c:v>
                </c:pt>
                <c:pt idx="77">
                  <c:v>41807</c:v>
                </c:pt>
                <c:pt idx="78">
                  <c:v>41808</c:v>
                </c:pt>
                <c:pt idx="79">
                  <c:v>41809</c:v>
                </c:pt>
                <c:pt idx="80">
                  <c:v>41810</c:v>
                </c:pt>
                <c:pt idx="81">
                  <c:v>41811</c:v>
                </c:pt>
                <c:pt idx="82">
                  <c:v>41812</c:v>
                </c:pt>
                <c:pt idx="83">
                  <c:v>41813</c:v>
                </c:pt>
                <c:pt idx="84">
                  <c:v>41814</c:v>
                </c:pt>
                <c:pt idx="85">
                  <c:v>41815</c:v>
                </c:pt>
                <c:pt idx="86">
                  <c:v>41816</c:v>
                </c:pt>
                <c:pt idx="87">
                  <c:v>41817</c:v>
                </c:pt>
                <c:pt idx="88">
                  <c:v>41818</c:v>
                </c:pt>
                <c:pt idx="89">
                  <c:v>41819</c:v>
                </c:pt>
                <c:pt idx="90">
                  <c:v>41820</c:v>
                </c:pt>
                <c:pt idx="91">
                  <c:v>41821</c:v>
                </c:pt>
                <c:pt idx="92">
                  <c:v>41822</c:v>
                </c:pt>
                <c:pt idx="93">
                  <c:v>41823</c:v>
                </c:pt>
                <c:pt idx="94">
                  <c:v>41824</c:v>
                </c:pt>
                <c:pt idx="95">
                  <c:v>41825</c:v>
                </c:pt>
                <c:pt idx="96">
                  <c:v>41826</c:v>
                </c:pt>
                <c:pt idx="97">
                  <c:v>41827</c:v>
                </c:pt>
                <c:pt idx="98">
                  <c:v>41828</c:v>
                </c:pt>
                <c:pt idx="99">
                  <c:v>41829</c:v>
                </c:pt>
                <c:pt idx="100">
                  <c:v>41830</c:v>
                </c:pt>
                <c:pt idx="101">
                  <c:v>41831</c:v>
                </c:pt>
                <c:pt idx="102">
                  <c:v>41832</c:v>
                </c:pt>
                <c:pt idx="103">
                  <c:v>41833</c:v>
                </c:pt>
                <c:pt idx="104">
                  <c:v>41834</c:v>
                </c:pt>
                <c:pt idx="105">
                  <c:v>41835</c:v>
                </c:pt>
                <c:pt idx="106">
                  <c:v>41836</c:v>
                </c:pt>
                <c:pt idx="107">
                  <c:v>41837</c:v>
                </c:pt>
                <c:pt idx="108">
                  <c:v>41838</c:v>
                </c:pt>
                <c:pt idx="109">
                  <c:v>41839</c:v>
                </c:pt>
                <c:pt idx="110">
                  <c:v>41840</c:v>
                </c:pt>
                <c:pt idx="111">
                  <c:v>41841</c:v>
                </c:pt>
                <c:pt idx="112">
                  <c:v>41842</c:v>
                </c:pt>
                <c:pt idx="113">
                  <c:v>41843</c:v>
                </c:pt>
                <c:pt idx="114">
                  <c:v>41844</c:v>
                </c:pt>
                <c:pt idx="115">
                  <c:v>41845</c:v>
                </c:pt>
                <c:pt idx="116">
                  <c:v>41846</c:v>
                </c:pt>
                <c:pt idx="117">
                  <c:v>41847</c:v>
                </c:pt>
                <c:pt idx="118">
                  <c:v>41848</c:v>
                </c:pt>
                <c:pt idx="119">
                  <c:v>41849</c:v>
                </c:pt>
                <c:pt idx="120">
                  <c:v>41850</c:v>
                </c:pt>
                <c:pt idx="121">
                  <c:v>41851</c:v>
                </c:pt>
                <c:pt idx="122">
                  <c:v>41852</c:v>
                </c:pt>
                <c:pt idx="123">
                  <c:v>41853</c:v>
                </c:pt>
                <c:pt idx="124">
                  <c:v>41854</c:v>
                </c:pt>
                <c:pt idx="125">
                  <c:v>41855</c:v>
                </c:pt>
                <c:pt idx="126">
                  <c:v>41856</c:v>
                </c:pt>
                <c:pt idx="127">
                  <c:v>41857</c:v>
                </c:pt>
                <c:pt idx="128">
                  <c:v>41858</c:v>
                </c:pt>
                <c:pt idx="129">
                  <c:v>41859</c:v>
                </c:pt>
                <c:pt idx="130">
                  <c:v>41860</c:v>
                </c:pt>
                <c:pt idx="131">
                  <c:v>41861</c:v>
                </c:pt>
                <c:pt idx="132">
                  <c:v>41862</c:v>
                </c:pt>
                <c:pt idx="133">
                  <c:v>41863</c:v>
                </c:pt>
                <c:pt idx="134">
                  <c:v>41864</c:v>
                </c:pt>
                <c:pt idx="135">
                  <c:v>41865</c:v>
                </c:pt>
                <c:pt idx="136">
                  <c:v>41866</c:v>
                </c:pt>
                <c:pt idx="137">
                  <c:v>41867</c:v>
                </c:pt>
                <c:pt idx="138">
                  <c:v>41868</c:v>
                </c:pt>
                <c:pt idx="139">
                  <c:v>41869</c:v>
                </c:pt>
                <c:pt idx="140">
                  <c:v>41870</c:v>
                </c:pt>
                <c:pt idx="141">
                  <c:v>41871</c:v>
                </c:pt>
                <c:pt idx="142">
                  <c:v>41872</c:v>
                </c:pt>
                <c:pt idx="143">
                  <c:v>41873</c:v>
                </c:pt>
                <c:pt idx="144">
                  <c:v>41874</c:v>
                </c:pt>
                <c:pt idx="145">
                  <c:v>41875</c:v>
                </c:pt>
                <c:pt idx="146">
                  <c:v>41876</c:v>
                </c:pt>
                <c:pt idx="147">
                  <c:v>41877</c:v>
                </c:pt>
                <c:pt idx="148">
                  <c:v>41878</c:v>
                </c:pt>
                <c:pt idx="149">
                  <c:v>41879</c:v>
                </c:pt>
                <c:pt idx="150">
                  <c:v>41880</c:v>
                </c:pt>
                <c:pt idx="151">
                  <c:v>41881</c:v>
                </c:pt>
                <c:pt idx="152">
                  <c:v>41882</c:v>
                </c:pt>
                <c:pt idx="153">
                  <c:v>41883</c:v>
                </c:pt>
                <c:pt idx="154">
                  <c:v>41884</c:v>
                </c:pt>
                <c:pt idx="155">
                  <c:v>41885</c:v>
                </c:pt>
                <c:pt idx="156">
                  <c:v>41886</c:v>
                </c:pt>
                <c:pt idx="157">
                  <c:v>41887</c:v>
                </c:pt>
                <c:pt idx="158">
                  <c:v>41888</c:v>
                </c:pt>
                <c:pt idx="159">
                  <c:v>41889</c:v>
                </c:pt>
                <c:pt idx="160">
                  <c:v>41890</c:v>
                </c:pt>
                <c:pt idx="161">
                  <c:v>41891</c:v>
                </c:pt>
                <c:pt idx="162">
                  <c:v>41892</c:v>
                </c:pt>
                <c:pt idx="163">
                  <c:v>41893</c:v>
                </c:pt>
                <c:pt idx="164">
                  <c:v>41894</c:v>
                </c:pt>
                <c:pt idx="165">
                  <c:v>41895</c:v>
                </c:pt>
                <c:pt idx="166">
                  <c:v>41896</c:v>
                </c:pt>
                <c:pt idx="167">
                  <c:v>41897</c:v>
                </c:pt>
                <c:pt idx="168">
                  <c:v>41898</c:v>
                </c:pt>
                <c:pt idx="169">
                  <c:v>41899</c:v>
                </c:pt>
                <c:pt idx="170">
                  <c:v>41900</c:v>
                </c:pt>
                <c:pt idx="171">
                  <c:v>41901</c:v>
                </c:pt>
                <c:pt idx="172">
                  <c:v>41902</c:v>
                </c:pt>
                <c:pt idx="173">
                  <c:v>41903</c:v>
                </c:pt>
                <c:pt idx="174">
                  <c:v>41904</c:v>
                </c:pt>
                <c:pt idx="175">
                  <c:v>41905</c:v>
                </c:pt>
                <c:pt idx="176">
                  <c:v>41906</c:v>
                </c:pt>
                <c:pt idx="177">
                  <c:v>41907</c:v>
                </c:pt>
                <c:pt idx="178">
                  <c:v>41908</c:v>
                </c:pt>
                <c:pt idx="179">
                  <c:v>41909</c:v>
                </c:pt>
                <c:pt idx="180">
                  <c:v>41910</c:v>
                </c:pt>
                <c:pt idx="181">
                  <c:v>41911</c:v>
                </c:pt>
                <c:pt idx="182">
                  <c:v>41912</c:v>
                </c:pt>
                <c:pt idx="183">
                  <c:v>41913</c:v>
                </c:pt>
                <c:pt idx="184">
                  <c:v>41914</c:v>
                </c:pt>
                <c:pt idx="185">
                  <c:v>41915</c:v>
                </c:pt>
                <c:pt idx="186">
                  <c:v>41916</c:v>
                </c:pt>
                <c:pt idx="187">
                  <c:v>41917</c:v>
                </c:pt>
                <c:pt idx="188">
                  <c:v>41918</c:v>
                </c:pt>
                <c:pt idx="189">
                  <c:v>41919</c:v>
                </c:pt>
                <c:pt idx="190">
                  <c:v>41920</c:v>
                </c:pt>
                <c:pt idx="191">
                  <c:v>41921</c:v>
                </c:pt>
                <c:pt idx="192">
                  <c:v>41922</c:v>
                </c:pt>
                <c:pt idx="193">
                  <c:v>41923</c:v>
                </c:pt>
                <c:pt idx="194">
                  <c:v>41924</c:v>
                </c:pt>
                <c:pt idx="195">
                  <c:v>41925</c:v>
                </c:pt>
                <c:pt idx="196">
                  <c:v>41926</c:v>
                </c:pt>
                <c:pt idx="197">
                  <c:v>41927</c:v>
                </c:pt>
                <c:pt idx="198">
                  <c:v>41928</c:v>
                </c:pt>
                <c:pt idx="199">
                  <c:v>41929</c:v>
                </c:pt>
                <c:pt idx="200">
                  <c:v>41930</c:v>
                </c:pt>
                <c:pt idx="201">
                  <c:v>41931</c:v>
                </c:pt>
                <c:pt idx="202">
                  <c:v>41932</c:v>
                </c:pt>
                <c:pt idx="203">
                  <c:v>41933</c:v>
                </c:pt>
                <c:pt idx="204">
                  <c:v>41934</c:v>
                </c:pt>
                <c:pt idx="205">
                  <c:v>41935</c:v>
                </c:pt>
                <c:pt idx="206">
                  <c:v>41936</c:v>
                </c:pt>
                <c:pt idx="207">
                  <c:v>41937</c:v>
                </c:pt>
                <c:pt idx="208">
                  <c:v>41938</c:v>
                </c:pt>
                <c:pt idx="209">
                  <c:v>41939</c:v>
                </c:pt>
                <c:pt idx="210">
                  <c:v>41940</c:v>
                </c:pt>
                <c:pt idx="211">
                  <c:v>41941</c:v>
                </c:pt>
                <c:pt idx="212">
                  <c:v>41942</c:v>
                </c:pt>
                <c:pt idx="213">
                  <c:v>41943</c:v>
                </c:pt>
                <c:pt idx="214">
                  <c:v>41944</c:v>
                </c:pt>
                <c:pt idx="215">
                  <c:v>41945</c:v>
                </c:pt>
                <c:pt idx="216">
                  <c:v>41946</c:v>
                </c:pt>
                <c:pt idx="217">
                  <c:v>41947</c:v>
                </c:pt>
                <c:pt idx="218">
                  <c:v>41948</c:v>
                </c:pt>
                <c:pt idx="219">
                  <c:v>41949</c:v>
                </c:pt>
                <c:pt idx="220">
                  <c:v>41950</c:v>
                </c:pt>
                <c:pt idx="221">
                  <c:v>41951</c:v>
                </c:pt>
                <c:pt idx="222">
                  <c:v>41952</c:v>
                </c:pt>
                <c:pt idx="223">
                  <c:v>41953</c:v>
                </c:pt>
                <c:pt idx="224">
                  <c:v>41954</c:v>
                </c:pt>
                <c:pt idx="225">
                  <c:v>41955</c:v>
                </c:pt>
                <c:pt idx="226">
                  <c:v>41956</c:v>
                </c:pt>
                <c:pt idx="227">
                  <c:v>41957</c:v>
                </c:pt>
                <c:pt idx="228">
                  <c:v>41958</c:v>
                </c:pt>
                <c:pt idx="229">
                  <c:v>41959</c:v>
                </c:pt>
                <c:pt idx="230">
                  <c:v>41960</c:v>
                </c:pt>
                <c:pt idx="231">
                  <c:v>41961</c:v>
                </c:pt>
                <c:pt idx="232">
                  <c:v>41962</c:v>
                </c:pt>
                <c:pt idx="233">
                  <c:v>41963</c:v>
                </c:pt>
                <c:pt idx="234">
                  <c:v>41964</c:v>
                </c:pt>
                <c:pt idx="235">
                  <c:v>41965</c:v>
                </c:pt>
                <c:pt idx="236">
                  <c:v>41966</c:v>
                </c:pt>
                <c:pt idx="237">
                  <c:v>41967</c:v>
                </c:pt>
                <c:pt idx="238">
                  <c:v>41968</c:v>
                </c:pt>
                <c:pt idx="239">
                  <c:v>41969</c:v>
                </c:pt>
                <c:pt idx="240">
                  <c:v>41970</c:v>
                </c:pt>
                <c:pt idx="241">
                  <c:v>41971</c:v>
                </c:pt>
                <c:pt idx="242">
                  <c:v>41972</c:v>
                </c:pt>
                <c:pt idx="243">
                  <c:v>41973</c:v>
                </c:pt>
                <c:pt idx="244">
                  <c:v>41974</c:v>
                </c:pt>
                <c:pt idx="245">
                  <c:v>41975</c:v>
                </c:pt>
                <c:pt idx="246">
                  <c:v>41976</c:v>
                </c:pt>
                <c:pt idx="247">
                  <c:v>41977</c:v>
                </c:pt>
                <c:pt idx="248">
                  <c:v>41978</c:v>
                </c:pt>
                <c:pt idx="249">
                  <c:v>41979</c:v>
                </c:pt>
                <c:pt idx="250">
                  <c:v>41980</c:v>
                </c:pt>
                <c:pt idx="251">
                  <c:v>41981</c:v>
                </c:pt>
                <c:pt idx="252">
                  <c:v>41982</c:v>
                </c:pt>
                <c:pt idx="253">
                  <c:v>41983</c:v>
                </c:pt>
                <c:pt idx="254">
                  <c:v>41984</c:v>
                </c:pt>
                <c:pt idx="255">
                  <c:v>41985</c:v>
                </c:pt>
                <c:pt idx="256">
                  <c:v>41986</c:v>
                </c:pt>
                <c:pt idx="257">
                  <c:v>41987</c:v>
                </c:pt>
                <c:pt idx="258">
                  <c:v>41988</c:v>
                </c:pt>
                <c:pt idx="259">
                  <c:v>41989</c:v>
                </c:pt>
                <c:pt idx="260">
                  <c:v>41990</c:v>
                </c:pt>
                <c:pt idx="261">
                  <c:v>41991</c:v>
                </c:pt>
                <c:pt idx="262">
                  <c:v>41992</c:v>
                </c:pt>
                <c:pt idx="263">
                  <c:v>41993</c:v>
                </c:pt>
                <c:pt idx="264">
                  <c:v>41994</c:v>
                </c:pt>
                <c:pt idx="265">
                  <c:v>41995</c:v>
                </c:pt>
                <c:pt idx="266">
                  <c:v>41996</c:v>
                </c:pt>
                <c:pt idx="267">
                  <c:v>41997</c:v>
                </c:pt>
                <c:pt idx="268">
                  <c:v>41998</c:v>
                </c:pt>
                <c:pt idx="269">
                  <c:v>41999</c:v>
                </c:pt>
                <c:pt idx="270">
                  <c:v>42000</c:v>
                </c:pt>
                <c:pt idx="271">
                  <c:v>42001</c:v>
                </c:pt>
                <c:pt idx="272">
                  <c:v>42002</c:v>
                </c:pt>
                <c:pt idx="273">
                  <c:v>42003</c:v>
                </c:pt>
                <c:pt idx="274">
                  <c:v>42004</c:v>
                </c:pt>
                <c:pt idx="275">
                  <c:v>42005</c:v>
                </c:pt>
                <c:pt idx="276">
                  <c:v>42006</c:v>
                </c:pt>
                <c:pt idx="277">
                  <c:v>42007</c:v>
                </c:pt>
                <c:pt idx="278">
                  <c:v>42008</c:v>
                </c:pt>
                <c:pt idx="279">
                  <c:v>42009</c:v>
                </c:pt>
                <c:pt idx="280">
                  <c:v>42010</c:v>
                </c:pt>
                <c:pt idx="281">
                  <c:v>42011</c:v>
                </c:pt>
                <c:pt idx="282">
                  <c:v>42012</c:v>
                </c:pt>
                <c:pt idx="283">
                  <c:v>42013</c:v>
                </c:pt>
                <c:pt idx="284">
                  <c:v>42014</c:v>
                </c:pt>
                <c:pt idx="285">
                  <c:v>42015</c:v>
                </c:pt>
                <c:pt idx="286">
                  <c:v>42016</c:v>
                </c:pt>
                <c:pt idx="287">
                  <c:v>42017</c:v>
                </c:pt>
                <c:pt idx="288">
                  <c:v>42018</c:v>
                </c:pt>
                <c:pt idx="289">
                  <c:v>42019</c:v>
                </c:pt>
                <c:pt idx="290">
                  <c:v>42020</c:v>
                </c:pt>
                <c:pt idx="291">
                  <c:v>42021</c:v>
                </c:pt>
                <c:pt idx="292">
                  <c:v>42022</c:v>
                </c:pt>
                <c:pt idx="293">
                  <c:v>42023</c:v>
                </c:pt>
                <c:pt idx="294">
                  <c:v>42024</c:v>
                </c:pt>
                <c:pt idx="295">
                  <c:v>42025</c:v>
                </c:pt>
                <c:pt idx="296">
                  <c:v>42026</c:v>
                </c:pt>
                <c:pt idx="297">
                  <c:v>42027</c:v>
                </c:pt>
                <c:pt idx="298">
                  <c:v>42028</c:v>
                </c:pt>
                <c:pt idx="299">
                  <c:v>42029</c:v>
                </c:pt>
                <c:pt idx="300">
                  <c:v>42030</c:v>
                </c:pt>
                <c:pt idx="301">
                  <c:v>42031</c:v>
                </c:pt>
                <c:pt idx="302">
                  <c:v>42032</c:v>
                </c:pt>
                <c:pt idx="303">
                  <c:v>42033</c:v>
                </c:pt>
                <c:pt idx="304">
                  <c:v>42034</c:v>
                </c:pt>
                <c:pt idx="305">
                  <c:v>42035</c:v>
                </c:pt>
                <c:pt idx="306">
                  <c:v>42036</c:v>
                </c:pt>
                <c:pt idx="307">
                  <c:v>42037</c:v>
                </c:pt>
                <c:pt idx="308">
                  <c:v>42038</c:v>
                </c:pt>
                <c:pt idx="309">
                  <c:v>42039</c:v>
                </c:pt>
                <c:pt idx="310">
                  <c:v>42040</c:v>
                </c:pt>
                <c:pt idx="311">
                  <c:v>42041</c:v>
                </c:pt>
                <c:pt idx="312">
                  <c:v>42042</c:v>
                </c:pt>
                <c:pt idx="313">
                  <c:v>42043</c:v>
                </c:pt>
                <c:pt idx="314">
                  <c:v>42044</c:v>
                </c:pt>
                <c:pt idx="315">
                  <c:v>42045</c:v>
                </c:pt>
                <c:pt idx="316">
                  <c:v>42046</c:v>
                </c:pt>
                <c:pt idx="317">
                  <c:v>42047</c:v>
                </c:pt>
                <c:pt idx="318">
                  <c:v>42048</c:v>
                </c:pt>
                <c:pt idx="319">
                  <c:v>42049</c:v>
                </c:pt>
                <c:pt idx="320">
                  <c:v>42050</c:v>
                </c:pt>
                <c:pt idx="321">
                  <c:v>42051</c:v>
                </c:pt>
                <c:pt idx="322">
                  <c:v>42052</c:v>
                </c:pt>
                <c:pt idx="323">
                  <c:v>42053</c:v>
                </c:pt>
                <c:pt idx="324">
                  <c:v>42054</c:v>
                </c:pt>
                <c:pt idx="325">
                  <c:v>42055</c:v>
                </c:pt>
                <c:pt idx="326">
                  <c:v>42056</c:v>
                </c:pt>
                <c:pt idx="327">
                  <c:v>42057</c:v>
                </c:pt>
                <c:pt idx="328">
                  <c:v>42058</c:v>
                </c:pt>
                <c:pt idx="329">
                  <c:v>42059</c:v>
                </c:pt>
                <c:pt idx="330">
                  <c:v>42060</c:v>
                </c:pt>
                <c:pt idx="331">
                  <c:v>42061</c:v>
                </c:pt>
                <c:pt idx="332">
                  <c:v>42062</c:v>
                </c:pt>
                <c:pt idx="333">
                  <c:v>42063</c:v>
                </c:pt>
                <c:pt idx="334">
                  <c:v>42064</c:v>
                </c:pt>
                <c:pt idx="335">
                  <c:v>42065</c:v>
                </c:pt>
                <c:pt idx="336">
                  <c:v>42066</c:v>
                </c:pt>
                <c:pt idx="337">
                  <c:v>42067</c:v>
                </c:pt>
                <c:pt idx="338">
                  <c:v>42068</c:v>
                </c:pt>
                <c:pt idx="339">
                  <c:v>42069</c:v>
                </c:pt>
                <c:pt idx="340">
                  <c:v>42070</c:v>
                </c:pt>
                <c:pt idx="341">
                  <c:v>42071</c:v>
                </c:pt>
                <c:pt idx="342">
                  <c:v>42072</c:v>
                </c:pt>
                <c:pt idx="343">
                  <c:v>42073</c:v>
                </c:pt>
                <c:pt idx="344">
                  <c:v>42074</c:v>
                </c:pt>
                <c:pt idx="345">
                  <c:v>42075</c:v>
                </c:pt>
                <c:pt idx="346">
                  <c:v>42076</c:v>
                </c:pt>
                <c:pt idx="347">
                  <c:v>42077</c:v>
                </c:pt>
                <c:pt idx="348">
                  <c:v>42078</c:v>
                </c:pt>
                <c:pt idx="349">
                  <c:v>42079</c:v>
                </c:pt>
                <c:pt idx="350">
                  <c:v>42080</c:v>
                </c:pt>
                <c:pt idx="351">
                  <c:v>42081</c:v>
                </c:pt>
                <c:pt idx="352">
                  <c:v>42082</c:v>
                </c:pt>
                <c:pt idx="353">
                  <c:v>42083</c:v>
                </c:pt>
                <c:pt idx="354">
                  <c:v>42084</c:v>
                </c:pt>
                <c:pt idx="355">
                  <c:v>42085</c:v>
                </c:pt>
                <c:pt idx="356">
                  <c:v>42086</c:v>
                </c:pt>
                <c:pt idx="357">
                  <c:v>42087</c:v>
                </c:pt>
                <c:pt idx="358">
                  <c:v>42088</c:v>
                </c:pt>
                <c:pt idx="359">
                  <c:v>42089</c:v>
                </c:pt>
                <c:pt idx="360">
                  <c:v>42090</c:v>
                </c:pt>
                <c:pt idx="361">
                  <c:v>42091</c:v>
                </c:pt>
                <c:pt idx="362">
                  <c:v>42092</c:v>
                </c:pt>
                <c:pt idx="363">
                  <c:v>42093</c:v>
                </c:pt>
                <c:pt idx="364">
                  <c:v>42094</c:v>
                </c:pt>
              </c:numCache>
            </c:numRef>
          </c:cat>
          <c:val>
            <c:numRef>
              <c:f>シャコ!$AE$3:$AE$367</c:f>
              <c:numCache>
                <c:formatCode>0</c:formatCode>
                <c:ptCount val="365"/>
                <c:pt idx="0">
                  <c:v>203502.91570467711</c:v>
                </c:pt>
                <c:pt idx="1">
                  <c:v>204584.01528472401</c:v>
                </c:pt>
                <c:pt idx="2">
                  <c:v>205662.85646782586</c:v>
                </c:pt>
                <c:pt idx="3">
                  <c:v>206739.36651174261</c:v>
                </c:pt>
                <c:pt idx="4">
                  <c:v>207813.51349297923</c:v>
                </c:pt>
                <c:pt idx="5">
                  <c:v>208885.26594917179</c:v>
                </c:pt>
                <c:pt idx="6">
                  <c:v>209954.59287851537</c:v>
                </c:pt>
                <c:pt idx="7">
                  <c:v>211021.42115513037</c:v>
                </c:pt>
                <c:pt idx="8">
                  <c:v>212085.8055430025</c:v>
                </c:pt>
                <c:pt idx="9">
                  <c:v>213147.63092699254</c:v>
                </c:pt>
                <c:pt idx="10">
                  <c:v>214206.86717161728</c:v>
                </c:pt>
                <c:pt idx="11">
                  <c:v>215263.52846863342</c:v>
                </c:pt>
                <c:pt idx="12">
                  <c:v>216317.58656067163</c:v>
                </c:pt>
                <c:pt idx="13">
                  <c:v>217368.96912062395</c:v>
                </c:pt>
                <c:pt idx="14">
                  <c:v>218417.64782231985</c:v>
                </c:pt>
                <c:pt idx="15">
                  <c:v>219463.59478868623</c:v>
                </c:pt>
                <c:pt idx="16">
                  <c:v>220506.82809768341</c:v>
                </c:pt>
                <c:pt idx="17">
                  <c:v>221547.2300829468</c:v>
                </c:pt>
                <c:pt idx="18">
                  <c:v>222584.86555326713</c:v>
                </c:pt>
                <c:pt idx="19">
                  <c:v>223619.61641925896</c:v>
                </c:pt>
                <c:pt idx="20">
                  <c:v>224651.50287130702</c:v>
                </c:pt>
                <c:pt idx="21">
                  <c:v>225680.49970774606</c:v>
                </c:pt>
                <c:pt idx="22">
                  <c:v>226706.58216934057</c:v>
                </c:pt>
                <c:pt idx="23">
                  <c:v>227729.67811432201</c:v>
                </c:pt>
                <c:pt idx="24">
                  <c:v>228749.81082094877</c:v>
                </c:pt>
                <c:pt idx="25">
                  <c:v>229766.9083559039</c:v>
                </c:pt>
                <c:pt idx="26">
                  <c:v>230780.99553824464</c:v>
                </c:pt>
                <c:pt idx="27">
                  <c:v>231792.00063568211</c:v>
                </c:pt>
                <c:pt idx="28">
                  <c:v>232799.90050518198</c:v>
                </c:pt>
                <c:pt idx="29">
                  <c:v>233804.72227273107</c:v>
                </c:pt>
                <c:pt idx="30">
                  <c:v>234806.34431510113</c:v>
                </c:pt>
                <c:pt idx="31">
                  <c:v>235804.84479359843</c:v>
                </c:pt>
                <c:pt idx="32">
                  <c:v>236800.10158600015</c:v>
                </c:pt>
                <c:pt idx="33">
                  <c:v>237792.14386516399</c:v>
                </c:pt>
                <c:pt idx="34">
                  <c:v>238780.95105076942</c:v>
                </c:pt>
                <c:pt idx="35">
                  <c:v>239766.50298517256</c:v>
                </c:pt>
                <c:pt idx="36">
                  <c:v>240748.77993207786</c:v>
                </c:pt>
                <c:pt idx="37">
                  <c:v>241727.71001054681</c:v>
                </c:pt>
                <c:pt idx="38">
                  <c:v>242703.32620006023</c:v>
                </c:pt>
                <c:pt idx="39">
                  <c:v>243675.55676544076</c:v>
                </c:pt>
                <c:pt idx="40">
                  <c:v>244644.38260501105</c:v>
                </c:pt>
                <c:pt idx="41">
                  <c:v>245609.83897119237</c:v>
                </c:pt>
                <c:pt idx="42">
                  <c:v>246571.85433118246</c:v>
                </c:pt>
                <c:pt idx="43">
                  <c:v>247530.41081271775</c:v>
                </c:pt>
                <c:pt idx="44">
                  <c:v>248485.54593423777</c:v>
                </c:pt>
                <c:pt idx="45">
                  <c:v>249437.13301409612</c:v>
                </c:pt>
                <c:pt idx="46">
                  <c:v>250385.21003142674</c:v>
                </c:pt>
                <c:pt idx="47">
                  <c:v>251329.7607304847</c:v>
                </c:pt>
                <c:pt idx="48">
                  <c:v>252270.7692559548</c:v>
                </c:pt>
                <c:pt idx="49">
                  <c:v>253208.22015143707</c:v>
                </c:pt>
                <c:pt idx="50">
                  <c:v>254142.09835791797</c:v>
                </c:pt>
                <c:pt idx="51">
                  <c:v>255072.33177775788</c:v>
                </c:pt>
                <c:pt idx="52">
                  <c:v>255998.90508493394</c:v>
                </c:pt>
                <c:pt idx="53">
                  <c:v>256921.86148247976</c:v>
                </c:pt>
                <c:pt idx="54">
                  <c:v>257841.18748191916</c:v>
                </c:pt>
                <c:pt idx="55">
                  <c:v>258756.81113693066</c:v>
                </c:pt>
                <c:pt idx="56">
                  <c:v>259668.71867260733</c:v>
                </c:pt>
                <c:pt idx="57">
                  <c:v>260576.8966970375</c:v>
                </c:pt>
                <c:pt idx="58">
                  <c:v>261481.33219971592</c:v>
                </c:pt>
                <c:pt idx="59">
                  <c:v>262382.07281922398</c:v>
                </c:pt>
                <c:pt idx="60">
                  <c:v>263278.98612131597</c:v>
                </c:pt>
                <c:pt idx="61">
                  <c:v>262999.83507286519</c:v>
                </c:pt>
                <c:pt idx="62">
                  <c:v>263885.3044746489</c:v>
                </c:pt>
                <c:pt idx="63">
                  <c:v>263705.39125833014</c:v>
                </c:pt>
                <c:pt idx="64">
                  <c:v>264579.66535190988</c:v>
                </c:pt>
                <c:pt idx="65">
                  <c:v>264390.36578046263</c:v>
                </c:pt>
                <c:pt idx="66">
                  <c:v>265253.60179247707</c:v>
                </c:pt>
                <c:pt idx="67">
                  <c:v>265013.94944604626</c:v>
                </c:pt>
                <c:pt idx="68">
                  <c:v>265865.94891431415</c:v>
                </c:pt>
                <c:pt idx="69">
                  <c:v>265614.36747569725</c:v>
                </c:pt>
                <c:pt idx="70">
                  <c:v>266455.21904368338</c:v>
                </c:pt>
                <c:pt idx="71">
                  <c:v>266111.62658003194</c:v>
                </c:pt>
                <c:pt idx="72">
                  <c:v>266941.03704480699</c:v>
                </c:pt>
                <c:pt idx="73">
                  <c:v>266546.93860116031</c:v>
                </c:pt>
                <c:pt idx="74">
                  <c:v>267346.0775650533</c:v>
                </c:pt>
                <c:pt idx="75">
                  <c:v>266873.7711595876</c:v>
                </c:pt>
                <c:pt idx="76">
                  <c:v>267512.30694522284</c:v>
                </c:pt>
                <c:pt idx="77">
                  <c:v>266799.33559244953</c:v>
                </c:pt>
                <c:pt idx="78">
                  <c:v>267090.24834390543</c:v>
                </c:pt>
                <c:pt idx="79">
                  <c:v>265428.3578961406</c:v>
                </c:pt>
                <c:pt idx="80">
                  <c:v>265538.78158190736</c:v>
                </c:pt>
                <c:pt idx="81">
                  <c:v>264354.38049548934</c:v>
                </c:pt>
                <c:pt idx="82">
                  <c:v>264846.93145553645</c:v>
                </c:pt>
                <c:pt idx="83">
                  <c:v>263760.00687490992</c:v>
                </c:pt>
                <c:pt idx="84">
                  <c:v>264407.75887502235</c:v>
                </c:pt>
                <c:pt idx="85">
                  <c:v>263267.16862926929</c:v>
                </c:pt>
                <c:pt idx="86">
                  <c:v>263996.81697496527</c:v>
                </c:pt>
                <c:pt idx="87">
                  <c:v>262839.61924228835</c:v>
                </c:pt>
                <c:pt idx="88">
                  <c:v>263550.70029527077</c:v>
                </c:pt>
                <c:pt idx="89">
                  <c:v>262340.89436341013</c:v>
                </c:pt>
                <c:pt idx="90">
                  <c:v>263033.10417399753</c:v>
                </c:pt>
                <c:pt idx="91">
                  <c:v>261227.30207200613</c:v>
                </c:pt>
                <c:pt idx="92">
                  <c:v>261887.9174154943</c:v>
                </c:pt>
                <c:pt idx="93">
                  <c:v>260246.19680294677</c:v>
                </c:pt>
                <c:pt idx="94">
                  <c:v>260912.47544929001</c:v>
                </c:pt>
                <c:pt idx="95">
                  <c:v>259344.74188273089</c:v>
                </c:pt>
                <c:pt idx="96">
                  <c:v>259920.48164307553</c:v>
                </c:pt>
                <c:pt idx="97">
                  <c:v>258260.6216945721</c:v>
                </c:pt>
                <c:pt idx="98">
                  <c:v>258881.07492055855</c:v>
                </c:pt>
                <c:pt idx="99">
                  <c:v>257247.31346494716</c:v>
                </c:pt>
                <c:pt idx="100">
                  <c:v>257866.30578043355</c:v>
                </c:pt>
                <c:pt idx="101">
                  <c:v>256171.393175459</c:v>
                </c:pt>
                <c:pt idx="102">
                  <c:v>256759.04405246145</c:v>
                </c:pt>
                <c:pt idx="103">
                  <c:v>255147.21695046467</c:v>
                </c:pt>
                <c:pt idx="104">
                  <c:v>255751.24959913481</c:v>
                </c:pt>
                <c:pt idx="105">
                  <c:v>254027.08532082825</c:v>
                </c:pt>
                <c:pt idx="106">
                  <c:v>254527.10442050663</c:v>
                </c:pt>
                <c:pt idx="107">
                  <c:v>252272.73329696275</c:v>
                </c:pt>
                <c:pt idx="108">
                  <c:v>252727.76157754243</c:v>
                </c:pt>
                <c:pt idx="109">
                  <c:v>250898.39452726077</c:v>
                </c:pt>
                <c:pt idx="110">
                  <c:v>251447.72260061666</c:v>
                </c:pt>
                <c:pt idx="111">
                  <c:v>249482.78216239292</c:v>
                </c:pt>
                <c:pt idx="112">
                  <c:v>250036.83507991879</c:v>
                </c:pt>
                <c:pt idx="113">
                  <c:v>247875.22088692017</c:v>
                </c:pt>
                <c:pt idx="114">
                  <c:v>248363.01747137302</c:v>
                </c:pt>
                <c:pt idx="115">
                  <c:v>246127.72228001012</c:v>
                </c:pt>
                <c:pt idx="116">
                  <c:v>246354.99705499955</c:v>
                </c:pt>
                <c:pt idx="117">
                  <c:v>243920.27285558649</c:v>
                </c:pt>
                <c:pt idx="118">
                  <c:v>244353.63203392917</c:v>
                </c:pt>
                <c:pt idx="119">
                  <c:v>241739.54266431453</c:v>
                </c:pt>
                <c:pt idx="120">
                  <c:v>242075.34703703329</c:v>
                </c:pt>
                <c:pt idx="121">
                  <c:v>239323.56954737165</c:v>
                </c:pt>
                <c:pt idx="122">
                  <c:v>239616.75803212816</c:v>
                </c:pt>
                <c:pt idx="123">
                  <c:v>236570.25059435744</c:v>
                </c:pt>
                <c:pt idx="124">
                  <c:v>236810.58406673194</c:v>
                </c:pt>
                <c:pt idx="125">
                  <c:v>232714.70482768837</c:v>
                </c:pt>
                <c:pt idx="126">
                  <c:v>232299.79913110586</c:v>
                </c:pt>
                <c:pt idx="127">
                  <c:v>229037.73283188089</c:v>
                </c:pt>
                <c:pt idx="128">
                  <c:v>229269.99473075851</c:v>
                </c:pt>
                <c:pt idx="129">
                  <c:v>226146.96794174906</c:v>
                </c:pt>
                <c:pt idx="130">
                  <c:v>226323.78285956115</c:v>
                </c:pt>
                <c:pt idx="131">
                  <c:v>223324.02289918068</c:v>
                </c:pt>
                <c:pt idx="132">
                  <c:v>223701.54826108017</c:v>
                </c:pt>
                <c:pt idx="133">
                  <c:v>220837.89148796271</c:v>
                </c:pt>
                <c:pt idx="134">
                  <c:v>220690.12764128717</c:v>
                </c:pt>
                <c:pt idx="135">
                  <c:v>217549.78635676007</c:v>
                </c:pt>
                <c:pt idx="136">
                  <c:v>217583.05385359735</c:v>
                </c:pt>
                <c:pt idx="137">
                  <c:v>214048.41801823105</c:v>
                </c:pt>
                <c:pt idx="138">
                  <c:v>214404.59633002398</c:v>
                </c:pt>
                <c:pt idx="139">
                  <c:v>211844.1002970986</c:v>
                </c:pt>
                <c:pt idx="140">
                  <c:v>211846.65570420292</c:v>
                </c:pt>
                <c:pt idx="141">
                  <c:v>207051.67914949899</c:v>
                </c:pt>
                <c:pt idx="142">
                  <c:v>207290.72778328141</c:v>
                </c:pt>
                <c:pt idx="143">
                  <c:v>204857.21466356813</c:v>
                </c:pt>
                <c:pt idx="144">
                  <c:v>205165.34201320854</c:v>
                </c:pt>
                <c:pt idx="145">
                  <c:v>202847.43580636769</c:v>
                </c:pt>
                <c:pt idx="146">
                  <c:v>203108.48196677607</c:v>
                </c:pt>
                <c:pt idx="147">
                  <c:v>200813.44858137897</c:v>
                </c:pt>
                <c:pt idx="148">
                  <c:v>201124.60432611275</c:v>
                </c:pt>
                <c:pt idx="149">
                  <c:v>198760.16443552123</c:v>
                </c:pt>
                <c:pt idx="150">
                  <c:v>199050.64306007314</c:v>
                </c:pt>
                <c:pt idx="151">
                  <c:v>196801.43322898066</c:v>
                </c:pt>
                <c:pt idx="152">
                  <c:v>197037.17517814078</c:v>
                </c:pt>
                <c:pt idx="153">
                  <c:v>195245.51225686845</c:v>
                </c:pt>
                <c:pt idx="154">
                  <c:v>195458.21440645211</c:v>
                </c:pt>
                <c:pt idx="155">
                  <c:v>193344.86964767359</c:v>
                </c:pt>
                <c:pt idx="156">
                  <c:v>193618.42037909196</c:v>
                </c:pt>
                <c:pt idx="157">
                  <c:v>191585.76209672523</c:v>
                </c:pt>
                <c:pt idx="158">
                  <c:v>191852.52826365322</c:v>
                </c:pt>
                <c:pt idx="159">
                  <c:v>189485.00023849666</c:v>
                </c:pt>
                <c:pt idx="160">
                  <c:v>187787.78925445615</c:v>
                </c:pt>
                <c:pt idx="161">
                  <c:v>183653.15849991268</c:v>
                </c:pt>
                <c:pt idx="162">
                  <c:v>182766.69556423451</c:v>
                </c:pt>
                <c:pt idx="163">
                  <c:v>180719.04862096053</c:v>
                </c:pt>
                <c:pt idx="164">
                  <c:v>180912.95169522249</c:v>
                </c:pt>
                <c:pt idx="165">
                  <c:v>178986.98410160144</c:v>
                </c:pt>
                <c:pt idx="166">
                  <c:v>179010.6120596554</c:v>
                </c:pt>
                <c:pt idx="167">
                  <c:v>177009.39574075019</c:v>
                </c:pt>
                <c:pt idx="168">
                  <c:v>177134.1614072588</c:v>
                </c:pt>
                <c:pt idx="169">
                  <c:v>175240.4403748679</c:v>
                </c:pt>
                <c:pt idx="170">
                  <c:v>175399.64030571326</c:v>
                </c:pt>
                <c:pt idx="171">
                  <c:v>173385.21482724772</c:v>
                </c:pt>
                <c:pt idx="172">
                  <c:v>173504.08976838604</c:v>
                </c:pt>
                <c:pt idx="173">
                  <c:v>171617.04018052266</c:v>
                </c:pt>
                <c:pt idx="174">
                  <c:v>171827.9484598093</c:v>
                </c:pt>
                <c:pt idx="175">
                  <c:v>169969.34885415735</c:v>
                </c:pt>
                <c:pt idx="176">
                  <c:v>170169.73357952113</c:v>
                </c:pt>
                <c:pt idx="177">
                  <c:v>168218.97010022617</c:v>
                </c:pt>
                <c:pt idx="178">
                  <c:v>168390.87724882315</c:v>
                </c:pt>
                <c:pt idx="179">
                  <c:v>166241.95799360264</c:v>
                </c:pt>
                <c:pt idx="180">
                  <c:v>165945.71166823135</c:v>
                </c:pt>
                <c:pt idx="181">
                  <c:v>163759.98180266458</c:v>
                </c:pt>
                <c:pt idx="182">
                  <c:v>163926.91368678972</c:v>
                </c:pt>
                <c:pt idx="183">
                  <c:v>161815.33757375414</c:v>
                </c:pt>
                <c:pt idx="184">
                  <c:v>161977.47780446371</c:v>
                </c:pt>
                <c:pt idx="185">
                  <c:v>159863.49958643859</c:v>
                </c:pt>
                <c:pt idx="186">
                  <c:v>160018.72508828802</c:v>
                </c:pt>
                <c:pt idx="187">
                  <c:v>158056.40760566955</c:v>
                </c:pt>
                <c:pt idx="188">
                  <c:v>158220.4104269942</c:v>
                </c:pt>
                <c:pt idx="189">
                  <c:v>156233.49046620593</c:v>
                </c:pt>
                <c:pt idx="190">
                  <c:v>155987.65186716671</c:v>
                </c:pt>
                <c:pt idx="191">
                  <c:v>154012.12551622375</c:v>
                </c:pt>
                <c:pt idx="192">
                  <c:v>154142.57314396775</c:v>
                </c:pt>
                <c:pt idx="193">
                  <c:v>152110.77033520504</c:v>
                </c:pt>
                <c:pt idx="194">
                  <c:v>151896.64759433756</c:v>
                </c:pt>
                <c:pt idx="195">
                  <c:v>149887.77426546725</c:v>
                </c:pt>
                <c:pt idx="196">
                  <c:v>150002.72423252923</c:v>
                </c:pt>
                <c:pt idx="197">
                  <c:v>148063.17690567946</c:v>
                </c:pt>
                <c:pt idx="198">
                  <c:v>148172.37495755457</c:v>
                </c:pt>
                <c:pt idx="199">
                  <c:v>146314.59501255647</c:v>
                </c:pt>
                <c:pt idx="200">
                  <c:v>146448.05906090821</c:v>
                </c:pt>
                <c:pt idx="201">
                  <c:v>144483.53343662809</c:v>
                </c:pt>
                <c:pt idx="202">
                  <c:v>144611.86263673363</c:v>
                </c:pt>
                <c:pt idx="203">
                  <c:v>142513.64639994522</c:v>
                </c:pt>
                <c:pt idx="204">
                  <c:v>142601.35634236259</c:v>
                </c:pt>
                <c:pt idx="205">
                  <c:v>139948.50452186141</c:v>
                </c:pt>
                <c:pt idx="206">
                  <c:v>140060.47898252745</c:v>
                </c:pt>
                <c:pt idx="207">
                  <c:v>137455.98637418181</c:v>
                </c:pt>
                <c:pt idx="208">
                  <c:v>137568.16396260788</c:v>
                </c:pt>
                <c:pt idx="209">
                  <c:v>135007.45411615411</c:v>
                </c:pt>
                <c:pt idx="210">
                  <c:v>135113.85375824524</c:v>
                </c:pt>
                <c:pt idx="211">
                  <c:v>132648.75852090074</c:v>
                </c:pt>
                <c:pt idx="212">
                  <c:v>132750.74706932614</c:v>
                </c:pt>
                <c:pt idx="213">
                  <c:v>130382.4218365347</c:v>
                </c:pt>
                <c:pt idx="214">
                  <c:v>130479.83533353321</c:v>
                </c:pt>
                <c:pt idx="215">
                  <c:v>128219.08148388873</c:v>
                </c:pt>
                <c:pt idx="216">
                  <c:v>128312.00774059168</c:v>
                </c:pt>
                <c:pt idx="217">
                  <c:v>126140.86391130097</c:v>
                </c:pt>
                <c:pt idx="218">
                  <c:v>126229.31562042877</c:v>
                </c:pt>
                <c:pt idx="219">
                  <c:v>124108.08407805835</c:v>
                </c:pt>
                <c:pt idx="220">
                  <c:v>124192.53785165443</c:v>
                </c:pt>
                <c:pt idx="221">
                  <c:v>122136.81684296545</c:v>
                </c:pt>
                <c:pt idx="222">
                  <c:v>122216.94312743099</c:v>
                </c:pt>
                <c:pt idx="223">
                  <c:v>120211.05149147511</c:v>
                </c:pt>
                <c:pt idx="224">
                  <c:v>120287.55674465033</c:v>
                </c:pt>
                <c:pt idx="225">
                  <c:v>118339.71334766956</c:v>
                </c:pt>
                <c:pt idx="226">
                  <c:v>118412.345348398</c:v>
                </c:pt>
                <c:pt idx="227">
                  <c:v>116528.19192505117</c:v>
                </c:pt>
                <c:pt idx="228">
                  <c:v>116597.19611174543</c:v>
                </c:pt>
                <c:pt idx="229">
                  <c:v>114750.03094939271</c:v>
                </c:pt>
                <c:pt idx="230">
                  <c:v>114815.56410548654</c:v>
                </c:pt>
                <c:pt idx="231">
                  <c:v>113024.27334897251</c:v>
                </c:pt>
                <c:pt idx="232">
                  <c:v>113086.41857595216</c:v>
                </c:pt>
                <c:pt idx="233">
                  <c:v>111336.93085680289</c:v>
                </c:pt>
                <c:pt idx="234">
                  <c:v>111395.84642197154</c:v>
                </c:pt>
                <c:pt idx="235">
                  <c:v>109666.27004808467</c:v>
                </c:pt>
                <c:pt idx="236">
                  <c:v>109721.9155621531</c:v>
                </c:pt>
                <c:pt idx="237">
                  <c:v>108037.16693575287</c:v>
                </c:pt>
                <c:pt idx="238">
                  <c:v>108089.95394549306</c:v>
                </c:pt>
                <c:pt idx="239">
                  <c:v>106395.35573355205</c:v>
                </c:pt>
                <c:pt idx="240">
                  <c:v>106445.14670749506</c:v>
                </c:pt>
                <c:pt idx="241">
                  <c:v>104798.42181817158</c:v>
                </c:pt>
                <c:pt idx="242">
                  <c:v>104845.37339556437</c:v>
                </c:pt>
                <c:pt idx="243">
                  <c:v>103181.18882361577</c:v>
                </c:pt>
                <c:pt idx="244">
                  <c:v>103225.39153041402</c:v>
                </c:pt>
                <c:pt idx="245">
                  <c:v>102138.66245057607</c:v>
                </c:pt>
                <c:pt idx="246">
                  <c:v>102180.22765403755</c:v>
                </c:pt>
                <c:pt idx="247">
                  <c:v>101060.24536109234</c:v>
                </c:pt>
                <c:pt idx="248">
                  <c:v>101099.43962685163</c:v>
                </c:pt>
                <c:pt idx="249">
                  <c:v>99975.191303631262</c:v>
                </c:pt>
                <c:pt idx="250">
                  <c:v>100012.10531722463</c:v>
                </c:pt>
                <c:pt idx="251">
                  <c:v>98880.148865954252</c:v>
                </c:pt>
                <c:pt idx="252">
                  <c:v>98914.729865487738</c:v>
                </c:pt>
                <c:pt idx="253">
                  <c:v>97780.120477849618</c:v>
                </c:pt>
                <c:pt idx="254">
                  <c:v>97812.461614423431</c:v>
                </c:pt>
                <c:pt idx="255">
                  <c:v>96672.812752291633</c:v>
                </c:pt>
                <c:pt idx="256">
                  <c:v>96702.865224415815</c:v>
                </c:pt>
                <c:pt idx="257">
                  <c:v>95563.593199489755</c:v>
                </c:pt>
                <c:pt idx="258">
                  <c:v>95591.592087974699</c:v>
                </c:pt>
                <c:pt idx="259">
                  <c:v>94456.583043732229</c:v>
                </c:pt>
                <c:pt idx="260">
                  <c:v>94482.503375990229</c:v>
                </c:pt>
                <c:pt idx="261">
                  <c:v>93345.720205472739</c:v>
                </c:pt>
                <c:pt idx="262">
                  <c:v>93369.517197900102</c:v>
                </c:pt>
                <c:pt idx="263">
                  <c:v>92228.655765698451</c:v>
                </c:pt>
                <c:pt idx="264">
                  <c:v>92250.413461201941</c:v>
                </c:pt>
                <c:pt idx="265">
                  <c:v>91116.548391058925</c:v>
                </c:pt>
                <c:pt idx="266">
                  <c:v>91136.519486105113</c:v>
                </c:pt>
                <c:pt idx="267">
                  <c:v>90011.748882760323</c:v>
                </c:pt>
                <c:pt idx="268">
                  <c:v>90029.775041888919</c:v>
                </c:pt>
                <c:pt idx="269">
                  <c:v>88908.255288327389</c:v>
                </c:pt>
                <c:pt idx="270">
                  <c:v>88924.437066058599</c:v>
                </c:pt>
                <c:pt idx="271">
                  <c:v>87789.51885261618</c:v>
                </c:pt>
                <c:pt idx="272">
                  <c:v>87803.912020505901</c:v>
                </c:pt>
                <c:pt idx="273">
                  <c:v>86695.902365727205</c:v>
                </c:pt>
                <c:pt idx="274">
                  <c:v>86708.669404461034</c:v>
                </c:pt>
                <c:pt idx="275">
                  <c:v>86005.954665099853</c:v>
                </c:pt>
                <c:pt idx="276">
                  <c:v>86017.109032093969</c:v>
                </c:pt>
                <c:pt idx="277">
                  <c:v>85297.762183903149</c:v>
                </c:pt>
                <c:pt idx="278">
                  <c:v>85307.324278278757</c:v>
                </c:pt>
                <c:pt idx="279">
                  <c:v>84574.70088529904</c:v>
                </c:pt>
                <c:pt idx="280">
                  <c:v>84582.700309775275</c:v>
                </c:pt>
                <c:pt idx="281">
                  <c:v>83851.770122725356</c:v>
                </c:pt>
                <c:pt idx="282">
                  <c:v>83858.275340491571</c:v>
                </c:pt>
                <c:pt idx="283">
                  <c:v>83121.928602246116</c:v>
                </c:pt>
                <c:pt idx="284">
                  <c:v>83127.135097100792</c:v>
                </c:pt>
                <c:pt idx="285">
                  <c:v>82393.741063271358</c:v>
                </c:pt>
                <c:pt idx="286">
                  <c:v>82397.429423619382</c:v>
                </c:pt>
                <c:pt idx="287">
                  <c:v>81657.910906739577</c:v>
                </c:pt>
                <c:pt idx="288">
                  <c:v>81660.274224821973</c:v>
                </c:pt>
                <c:pt idx="289">
                  <c:v>80933.830378540151</c:v>
                </c:pt>
                <c:pt idx="290">
                  <c:v>80934.817016238594</c:v>
                </c:pt>
                <c:pt idx="291">
                  <c:v>80193.889836137678</c:v>
                </c:pt>
                <c:pt idx="292">
                  <c:v>80193.673093522666</c:v>
                </c:pt>
                <c:pt idx="293">
                  <c:v>79457.695607671631</c:v>
                </c:pt>
                <c:pt idx="294">
                  <c:v>79456.052206687978</c:v>
                </c:pt>
                <c:pt idx="295">
                  <c:v>78716.527077706472</c:v>
                </c:pt>
                <c:pt idx="296">
                  <c:v>78713.657054930169</c:v>
                </c:pt>
                <c:pt idx="297">
                  <c:v>77961.487121742044</c:v>
                </c:pt>
                <c:pt idx="298">
                  <c:v>77957.420124585551</c:v>
                </c:pt>
                <c:pt idx="299">
                  <c:v>77232.587978503449</c:v>
                </c:pt>
                <c:pt idx="300">
                  <c:v>77227.299495965679</c:v>
                </c:pt>
                <c:pt idx="301">
                  <c:v>76479.256992355324</c:v>
                </c:pt>
                <c:pt idx="302">
                  <c:v>76472.901050884961</c:v>
                </c:pt>
                <c:pt idx="303">
                  <c:v>75732.586843383979</c:v>
                </c:pt>
                <c:pt idx="304">
                  <c:v>75725.089078182296</c:v>
                </c:pt>
                <c:pt idx="305">
                  <c:v>74979.834694663921</c:v>
                </c:pt>
                <c:pt idx="306">
                  <c:v>74971.241086561189</c:v>
                </c:pt>
                <c:pt idx="307">
                  <c:v>74307.155200284891</c:v>
                </c:pt>
                <c:pt idx="308">
                  <c:v>74297.560843471874</c:v>
                </c:pt>
                <c:pt idx="309">
                  <c:v>73690.650388595794</c:v>
                </c:pt>
                <c:pt idx="310">
                  <c:v>73679.932967804751</c:v>
                </c:pt>
                <c:pt idx="311">
                  <c:v>73045.025732720838</c:v>
                </c:pt>
                <c:pt idx="312">
                  <c:v>73033.323987922224</c:v>
                </c:pt>
                <c:pt idx="313">
                  <c:v>72419.052578064249</c:v>
                </c:pt>
                <c:pt idx="314">
                  <c:v>72406.308422211165</c:v>
                </c:pt>
                <c:pt idx="315">
                  <c:v>71787.592817872341</c:v>
                </c:pt>
                <c:pt idx="316">
                  <c:v>71774.001290435262</c:v>
                </c:pt>
                <c:pt idx="317">
                  <c:v>71150.878950614278</c:v>
                </c:pt>
                <c:pt idx="318">
                  <c:v>71136.321799789497</c:v>
                </c:pt>
                <c:pt idx="319">
                  <c:v>70530.516633669235</c:v>
                </c:pt>
                <c:pt idx="320">
                  <c:v>70515.081097646893</c:v>
                </c:pt>
                <c:pt idx="321">
                  <c:v>69902.388281445892</c:v>
                </c:pt>
                <c:pt idx="322">
                  <c:v>69886.106050636474</c:v>
                </c:pt>
                <c:pt idx="323">
                  <c:v>69262.379030665601</c:v>
                </c:pt>
                <c:pt idx="324">
                  <c:v>69245.272549251793</c:v>
                </c:pt>
                <c:pt idx="325">
                  <c:v>68637.427326630088</c:v>
                </c:pt>
                <c:pt idx="326">
                  <c:v>68619.418478727457</c:v>
                </c:pt>
                <c:pt idx="327">
                  <c:v>68040.125508128185</c:v>
                </c:pt>
                <c:pt idx="328">
                  <c:v>68021.160958081266</c:v>
                </c:pt>
                <c:pt idx="329">
                  <c:v>67443.135620677393</c:v>
                </c:pt>
                <c:pt idx="330">
                  <c:v>67423.422665233928</c:v>
                </c:pt>
                <c:pt idx="331">
                  <c:v>66821.554526312888</c:v>
                </c:pt>
                <c:pt idx="332">
                  <c:v>66801.247772692557</c:v>
                </c:pt>
                <c:pt idx="333">
                  <c:v>66210.136966871971</c:v>
                </c:pt>
                <c:pt idx="334">
                  <c:v>66188.978451048955</c:v>
                </c:pt>
                <c:pt idx="335">
                  <c:v>64978.510928161399</c:v>
                </c:pt>
                <c:pt idx="336">
                  <c:v>64956.848013016548</c:v>
                </c:pt>
                <c:pt idx="337">
                  <c:v>63862.657761164053</c:v>
                </c:pt>
                <c:pt idx="338">
                  <c:v>63840.64849178429</c:v>
                </c:pt>
                <c:pt idx="339">
                  <c:v>62789.009438220513</c:v>
                </c:pt>
                <c:pt idx="340">
                  <c:v>62766.481749602353</c:v>
                </c:pt>
                <c:pt idx="341">
                  <c:v>61787.871345587002</c:v>
                </c:pt>
                <c:pt idx="342">
                  <c:v>61764.877488817583</c:v>
                </c:pt>
                <c:pt idx="343">
                  <c:v>60757.076368535098</c:v>
                </c:pt>
                <c:pt idx="344">
                  <c:v>60733.615043386984</c:v>
                </c:pt>
                <c:pt idx="345">
                  <c:v>59786.727755319385</c:v>
                </c:pt>
                <c:pt idx="346">
                  <c:v>59762.819154397432</c:v>
                </c:pt>
                <c:pt idx="347">
                  <c:v>58775.971014837087</c:v>
                </c:pt>
                <c:pt idx="348">
                  <c:v>58751.757745491028</c:v>
                </c:pt>
                <c:pt idx="349">
                  <c:v>57796.266661352347</c:v>
                </c:pt>
                <c:pt idx="350">
                  <c:v>57771.703753175665</c:v>
                </c:pt>
                <c:pt idx="351">
                  <c:v>56835.443250882046</c:v>
                </c:pt>
                <c:pt idx="352">
                  <c:v>56810.626984328359</c:v>
                </c:pt>
                <c:pt idx="353">
                  <c:v>55890.146347587979</c:v>
                </c:pt>
                <c:pt idx="354">
                  <c:v>55864.823637296962</c:v>
                </c:pt>
                <c:pt idx="355">
                  <c:v>54922.92332504892</c:v>
                </c:pt>
                <c:pt idx="356">
                  <c:v>54897.616819905859</c:v>
                </c:pt>
                <c:pt idx="357">
                  <c:v>54000.976251896325</c:v>
                </c:pt>
                <c:pt idx="358">
                  <c:v>53975.318357785225</c:v>
                </c:pt>
                <c:pt idx="359">
                  <c:v>53077.417048586147</c:v>
                </c:pt>
                <c:pt idx="360">
                  <c:v>53051.456164264368</c:v>
                </c:pt>
                <c:pt idx="361">
                  <c:v>52145.27339873372</c:v>
                </c:pt>
                <c:pt idx="362">
                  <c:v>52119.043717481713</c:v>
                </c:pt>
                <c:pt idx="363">
                  <c:v>51255.33516196956</c:v>
                </c:pt>
                <c:pt idx="364">
                  <c:v>51229.145499532693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7F-46F4-8493-D48F07A4DF89}"/>
            </c:ext>
          </c:extLst>
        </c:ser>
        <c:ser>
          <c:idx val="2"/>
          <c:order val="2"/>
          <c:tx>
            <c:v>3年目級群</c:v>
          </c:tx>
          <c:spPr>
            <a:solidFill>
              <a:srgbClr val="00CC00"/>
            </a:solidFill>
            <a:ln w="25400">
              <a:noFill/>
            </a:ln>
            <a:effectLst/>
          </c:spPr>
          <c:val>
            <c:numRef>
              <c:f>シャコ!$AF$3:$AF$367</c:f>
              <c:numCache>
                <c:formatCode>0</c:formatCode>
                <c:ptCount val="365"/>
                <c:pt idx="0">
                  <c:v>51197.103649038887</c:v>
                </c:pt>
                <c:pt idx="1">
                  <c:v>49730.636376812392</c:v>
                </c:pt>
                <c:pt idx="2">
                  <c:v>49704.142635677868</c:v>
                </c:pt>
                <c:pt idx="3">
                  <c:v>48336.109583425263</c:v>
                </c:pt>
                <c:pt idx="4">
                  <c:v>48309.856547197007</c:v>
                </c:pt>
                <c:pt idx="5">
                  <c:v>46965.404257550028</c:v>
                </c:pt>
                <c:pt idx="6">
                  <c:v>46939.332010986269</c:v>
                </c:pt>
                <c:pt idx="7">
                  <c:v>45663.914634885899</c:v>
                </c:pt>
                <c:pt idx="8">
                  <c:v>45638.047237835584</c:v>
                </c:pt>
                <c:pt idx="9">
                  <c:v>44353.430822308153</c:v>
                </c:pt>
                <c:pt idx="10">
                  <c:v>44327.815597741814</c:v>
                </c:pt>
                <c:pt idx="11">
                  <c:v>43112.806221949853</c:v>
                </c:pt>
                <c:pt idx="12">
                  <c:v>43087.461698174811</c:v>
                </c:pt>
                <c:pt idx="13">
                  <c:v>41884.324185128236</c:v>
                </c:pt>
                <c:pt idx="14">
                  <c:v>41859.154863270305</c:v>
                </c:pt>
                <c:pt idx="15">
                  <c:v>40683.550047452562</c:v>
                </c:pt>
                <c:pt idx="16">
                  <c:v>40658.486771539567</c:v>
                </c:pt>
                <c:pt idx="17">
                  <c:v>39530.243333062026</c:v>
                </c:pt>
                <c:pt idx="18">
                  <c:v>39505.43103129384</c:v>
                </c:pt>
                <c:pt idx="19">
                  <c:v>38410.613427960721</c:v>
                </c:pt>
                <c:pt idx="20">
                  <c:v>38386.16939689975</c:v>
                </c:pt>
                <c:pt idx="21">
                  <c:v>37302.661095152063</c:v>
                </c:pt>
                <c:pt idx="22">
                  <c:v>37278.478564590412</c:v>
                </c:pt>
                <c:pt idx="23">
                  <c:v>36240.742869399117</c:v>
                </c:pt>
                <c:pt idx="24">
                  <c:v>36216.957867696517</c:v>
                </c:pt>
                <c:pt idx="25">
                  <c:v>35201.352610427006</c:v>
                </c:pt>
                <c:pt idx="26">
                  <c:v>35177.689852851508</c:v>
                </c:pt>
                <c:pt idx="27">
                  <c:v>34199.923640009365</c:v>
                </c:pt>
                <c:pt idx="28">
                  <c:v>34176.498578658066</c:v>
                </c:pt>
                <c:pt idx="29">
                  <c:v>33224.279243440345</c:v>
                </c:pt>
                <c:pt idx="30">
                  <c:v>33201.36842808588</c:v>
                </c:pt>
                <c:pt idx="31">
                  <c:v>32349.721008536857</c:v>
                </c:pt>
                <c:pt idx="32">
                  <c:v>32326.995397828854</c:v>
                </c:pt>
                <c:pt idx="33">
                  <c:v>31495.412163078923</c:v>
                </c:pt>
                <c:pt idx="34">
                  <c:v>31472.94723198119</c:v>
                </c:pt>
                <c:pt idx="35">
                  <c:v>30652.546253211549</c:v>
                </c:pt>
                <c:pt idx="36">
                  <c:v>30630.400968543643</c:v>
                </c:pt>
                <c:pt idx="37">
                  <c:v>29838.916530808023</c:v>
                </c:pt>
                <c:pt idx="38">
                  <c:v>29816.993212964277</c:v>
                </c:pt>
                <c:pt idx="39">
                  <c:v>29046.676181015537</c:v>
                </c:pt>
                <c:pt idx="40">
                  <c:v>29025.048181639202</c:v>
                </c:pt>
                <c:pt idx="41">
                  <c:v>28259.390825076523</c:v>
                </c:pt>
                <c:pt idx="42">
                  <c:v>28238.102033470823</c:v>
                </c:pt>
                <c:pt idx="43">
                  <c:v>27499.86963011403</c:v>
                </c:pt>
                <c:pt idx="44">
                  <c:v>27478.813656379407</c:v>
                </c:pt>
                <c:pt idx="45">
                  <c:v>26764.50897157783</c:v>
                </c:pt>
                <c:pt idx="46">
                  <c:v>26743.760040022196</c:v>
                </c:pt>
                <c:pt idx="47">
                  <c:v>26041.280673344045</c:v>
                </c:pt>
                <c:pt idx="48">
                  <c:v>26020.891519484212</c:v>
                </c:pt>
                <c:pt idx="49">
                  <c:v>25338.406011239236</c:v>
                </c:pt>
                <c:pt idx="50">
                  <c:v>25318.060374391956</c:v>
                </c:pt>
                <c:pt idx="51">
                  <c:v>24660.192831976383</c:v>
                </c:pt>
                <c:pt idx="52">
                  <c:v>24640.344202040134</c:v>
                </c:pt>
                <c:pt idx="53">
                  <c:v>23985.256873040929</c:v>
                </c:pt>
                <c:pt idx="54">
                  <c:v>23965.556054234767</c:v>
                </c:pt>
                <c:pt idx="55">
                  <c:v>23338.186416439636</c:v>
                </c:pt>
                <c:pt idx="56">
                  <c:v>23318.900230368516</c:v>
                </c:pt>
                <c:pt idx="57">
                  <c:v>22705.21297340134</c:v>
                </c:pt>
                <c:pt idx="58">
                  <c:v>22686.198894153877</c:v>
                </c:pt>
                <c:pt idx="59">
                  <c:v>22090.42629177163</c:v>
                </c:pt>
                <c:pt idx="60">
                  <c:v>22071.545983513126</c:v>
                </c:pt>
                <c:pt idx="61">
                  <c:v>21387.77312235775</c:v>
                </c:pt>
                <c:pt idx="62">
                  <c:v>21369.297298381753</c:v>
                </c:pt>
                <c:pt idx="63">
                  <c:v>20671.460846869439</c:v>
                </c:pt>
                <c:pt idx="64">
                  <c:v>20653.395692781338</c:v>
                </c:pt>
                <c:pt idx="65">
                  <c:v>19978.855690910397</c:v>
                </c:pt>
                <c:pt idx="66">
                  <c:v>19961.267926233086</c:v>
                </c:pt>
                <c:pt idx="67">
                  <c:v>19319.89183808638</c:v>
                </c:pt>
                <c:pt idx="68">
                  <c:v>19302.863239686409</c:v>
                </c:pt>
                <c:pt idx="69">
                  <c:v>18664.787020254455</c:v>
                </c:pt>
                <c:pt idx="70">
                  <c:v>18648.153136480782</c:v>
                </c:pt>
                <c:pt idx="71">
                  <c:v>18051.630232859919</c:v>
                </c:pt>
                <c:pt idx="72">
                  <c:v>18035.284849447806</c:v>
                </c:pt>
                <c:pt idx="73">
                  <c:v>17427.493838250073</c:v>
                </c:pt>
                <c:pt idx="74">
                  <c:v>17410.448862594039</c:v>
                </c:pt>
                <c:pt idx="75">
                  <c:v>16803.682192298147</c:v>
                </c:pt>
                <c:pt idx="76">
                  <c:v>16779.37439894594</c:v>
                </c:pt>
                <c:pt idx="77">
                  <c:v>16196.235995360834</c:v>
                </c:pt>
                <c:pt idx="78">
                  <c:v>16151.464075616537</c:v>
                </c:pt>
                <c:pt idx="79">
                  <c:v>15496.176829368796</c:v>
                </c:pt>
                <c:pt idx="80">
                  <c:v>15443.131584412225</c:v>
                </c:pt>
                <c:pt idx="81">
                  <c:v>14818.459261299495</c:v>
                </c:pt>
                <c:pt idx="82">
                  <c:v>14787.74175704198</c:v>
                </c:pt>
                <c:pt idx="83">
                  <c:v>14199.639051185422</c:v>
                </c:pt>
                <c:pt idx="84">
                  <c:v>14182.211954040975</c:v>
                </c:pt>
                <c:pt idx="85">
                  <c:v>13619.490822283375</c:v>
                </c:pt>
                <c:pt idx="86">
                  <c:v>13605.996150639417</c:v>
                </c:pt>
                <c:pt idx="87">
                  <c:v>13081.059590593197</c:v>
                </c:pt>
                <c:pt idx="88">
                  <c:v>13067.540243756221</c:v>
                </c:pt>
                <c:pt idx="89">
                  <c:v>12588.233803791494</c:v>
                </c:pt>
                <c:pt idx="90">
                  <c:v>12575.386423335076</c:v>
                </c:pt>
                <c:pt idx="91">
                  <c:v>12215.744650465747</c:v>
                </c:pt>
                <c:pt idx="92">
                  <c:v>12202.338293927003</c:v>
                </c:pt>
                <c:pt idx="93">
                  <c:v>11827.595983639992</c:v>
                </c:pt>
                <c:pt idx="94">
                  <c:v>11815.255819032051</c:v>
                </c:pt>
                <c:pt idx="95">
                  <c:v>11443.797285353419</c:v>
                </c:pt>
                <c:pt idx="96">
                  <c:v>11430.492770485116</c:v>
                </c:pt>
                <c:pt idx="97">
                  <c:v>11106.006768507468</c:v>
                </c:pt>
                <c:pt idx="98">
                  <c:v>11093.667428398026</c:v>
                </c:pt>
                <c:pt idx="99">
                  <c:v>10768.413111748348</c:v>
                </c:pt>
                <c:pt idx="100">
                  <c:v>10756.642073375891</c:v>
                </c:pt>
                <c:pt idx="101">
                  <c:v>10452.583407477237</c:v>
                </c:pt>
                <c:pt idx="102">
                  <c:v>10441.218771719999</c:v>
                </c:pt>
                <c:pt idx="103">
                  <c:v>10163.512805147489</c:v>
                </c:pt>
                <c:pt idx="104">
                  <c:v>10152.397435935669</c:v>
                </c:pt>
                <c:pt idx="105">
                  <c:v>9874.3840785801985</c:v>
                </c:pt>
                <c:pt idx="106">
                  <c:v>9861.8597639360851</c:v>
                </c:pt>
                <c:pt idx="107">
                  <c:v>9615.2992962267508</c:v>
                </c:pt>
                <c:pt idx="108">
                  <c:v>9601.200591837418</c:v>
                </c:pt>
                <c:pt idx="109">
                  <c:v>9326.6316542900022</c:v>
                </c:pt>
                <c:pt idx="110">
                  <c:v>9315.9501259823137</c:v>
                </c:pt>
                <c:pt idx="111">
                  <c:v>9064.6585166119694</c:v>
                </c:pt>
                <c:pt idx="112">
                  <c:v>9054.7252050920561</c:v>
                </c:pt>
                <c:pt idx="113">
                  <c:v>8825.4163467410199</c:v>
                </c:pt>
                <c:pt idx="114">
                  <c:v>8814.7985730018409</c:v>
                </c:pt>
                <c:pt idx="115">
                  <c:v>8577.2197193529737</c:v>
                </c:pt>
                <c:pt idx="116">
                  <c:v>8557.4467811997492</c:v>
                </c:pt>
                <c:pt idx="117">
                  <c:v>8315.9886369630603</c:v>
                </c:pt>
                <c:pt idx="118">
                  <c:v>8305.4541098603986</c:v>
                </c:pt>
                <c:pt idx="119">
                  <c:v>8100.0507628100195</c:v>
                </c:pt>
                <c:pt idx="120">
                  <c:v>8088.8783274582283</c:v>
                </c:pt>
                <c:pt idx="121">
                  <c:v>7880.3836413854724</c:v>
                </c:pt>
                <c:pt idx="122">
                  <c:v>7867.5046003810548</c:v>
                </c:pt>
                <c:pt idx="123">
                  <c:v>7658.6827212338221</c:v>
                </c:pt>
                <c:pt idx="124">
                  <c:v>7643.6636488727281</c:v>
                </c:pt>
                <c:pt idx="125">
                  <c:v>7469.2161848087917</c:v>
                </c:pt>
                <c:pt idx="126">
                  <c:v>7449.3075522728659</c:v>
                </c:pt>
                <c:pt idx="127">
                  <c:v>7251.918165392327</c:v>
                </c:pt>
                <c:pt idx="128">
                  <c:v>7232.2227167398541</c:v>
                </c:pt>
                <c:pt idx="129">
                  <c:v>7030.0497399259675</c:v>
                </c:pt>
                <c:pt idx="130">
                  <c:v>7011.6469105809238</c:v>
                </c:pt>
                <c:pt idx="131">
                  <c:v>6859.7261213275669</c:v>
                </c:pt>
                <c:pt idx="132">
                  <c:v>6850.6968709233806</c:v>
                </c:pt>
                <c:pt idx="133">
                  <c:v>6718.4286427672141</c:v>
                </c:pt>
                <c:pt idx="134">
                  <c:v>6697.6231630819702</c:v>
                </c:pt>
                <c:pt idx="135">
                  <c:v>6582.9591563770346</c:v>
                </c:pt>
                <c:pt idx="136">
                  <c:v>6572.2782278020641</c:v>
                </c:pt>
                <c:pt idx="137">
                  <c:v>6454.6804142007259</c:v>
                </c:pt>
                <c:pt idx="138">
                  <c:v>6446.3461236706426</c:v>
                </c:pt>
                <c:pt idx="139">
                  <c:v>6324.4953085828083</c:v>
                </c:pt>
                <c:pt idx="140">
                  <c:v>6292.959623573036</c:v>
                </c:pt>
                <c:pt idx="141">
                  <c:v>6057.2061120830886</c:v>
                </c:pt>
                <c:pt idx="142">
                  <c:v>6046.859650842357</c:v>
                </c:pt>
                <c:pt idx="143">
                  <c:v>5958.5939324945839</c:v>
                </c:pt>
                <c:pt idx="144">
                  <c:v>5949.5662148189549</c:v>
                </c:pt>
                <c:pt idx="145">
                  <c:v>5859.7848252631557</c:v>
                </c:pt>
                <c:pt idx="146">
                  <c:v>5847.4618270474375</c:v>
                </c:pt>
                <c:pt idx="147">
                  <c:v>5765.1939423953763</c:v>
                </c:pt>
                <c:pt idx="148">
                  <c:v>5757.9549150206931</c:v>
                </c:pt>
                <c:pt idx="149">
                  <c:v>5686.3535247050932</c:v>
                </c:pt>
                <c:pt idx="150">
                  <c:v>5678.9360983049119</c:v>
                </c:pt>
                <c:pt idx="151">
                  <c:v>5594.5863643013126</c:v>
                </c:pt>
                <c:pt idx="152">
                  <c:v>5584.9792047074889</c:v>
                </c:pt>
                <c:pt idx="153">
                  <c:v>5516.2340303993333</c:v>
                </c:pt>
                <c:pt idx="154">
                  <c:v>5507.7816284835635</c:v>
                </c:pt>
                <c:pt idx="155">
                  <c:v>5456.970909270668</c:v>
                </c:pt>
                <c:pt idx="156">
                  <c:v>5449.7051400327609</c:v>
                </c:pt>
                <c:pt idx="157">
                  <c:v>5397.0775703795252</c:v>
                </c:pt>
                <c:pt idx="158">
                  <c:v>5390.1114655738738</c:v>
                </c:pt>
                <c:pt idx="159">
                  <c:v>5324.4698428958736</c:v>
                </c:pt>
                <c:pt idx="160">
                  <c:v>5296.953800783197</c:v>
                </c:pt>
                <c:pt idx="161">
                  <c:v>5118.59235674091</c:v>
                </c:pt>
                <c:pt idx="162">
                  <c:v>5078.3509715458767</c:v>
                </c:pt>
                <c:pt idx="163">
                  <c:v>5037.7612936123351</c:v>
                </c:pt>
                <c:pt idx="164">
                  <c:v>5030.5957472657528</c:v>
                </c:pt>
                <c:pt idx="165">
                  <c:v>4979.6554569463005</c:v>
                </c:pt>
                <c:pt idx="166">
                  <c:v>4962.64787824427</c:v>
                </c:pt>
                <c:pt idx="167">
                  <c:v>4911.9055311062857</c:v>
                </c:pt>
                <c:pt idx="168">
                  <c:v>4901.9668406296896</c:v>
                </c:pt>
                <c:pt idx="169">
                  <c:v>4857.0977081018518</c:v>
                </c:pt>
                <c:pt idx="170">
                  <c:v>4850.4240256298363</c:v>
                </c:pt>
                <c:pt idx="171">
                  <c:v>4802.8416648330121</c:v>
                </c:pt>
                <c:pt idx="172">
                  <c:v>4794.6771495656458</c:v>
                </c:pt>
                <c:pt idx="173">
                  <c:v>4716.3723215897689</c:v>
                </c:pt>
                <c:pt idx="174">
                  <c:v>4710.3192864947414</c:v>
                </c:pt>
                <c:pt idx="175">
                  <c:v>4641.7225946305452</c:v>
                </c:pt>
                <c:pt idx="176">
                  <c:v>4635.2947488136278</c:v>
                </c:pt>
                <c:pt idx="177">
                  <c:v>4560.9170920249117</c:v>
                </c:pt>
                <c:pt idx="178">
                  <c:v>4554.1074634594406</c:v>
                </c:pt>
                <c:pt idx="179">
                  <c:v>4460.3952354216408</c:v>
                </c:pt>
                <c:pt idx="180">
                  <c:v>4434.365293142414</c:v>
                </c:pt>
                <c:pt idx="181">
                  <c:v>4352.6602708881346</c:v>
                </c:pt>
                <c:pt idx="182">
                  <c:v>4346.4140610391278</c:v>
                </c:pt>
                <c:pt idx="183">
                  <c:v>4265.0694106298643</c:v>
                </c:pt>
                <c:pt idx="184">
                  <c:v>4258.4379536631586</c:v>
                </c:pt>
                <c:pt idx="185">
                  <c:v>4191.0751868133784</c:v>
                </c:pt>
                <c:pt idx="186">
                  <c:v>4184.7674912626353</c:v>
                </c:pt>
                <c:pt idx="187">
                  <c:v>4125.6873126090541</c:v>
                </c:pt>
                <c:pt idx="188">
                  <c:v>4119.9480345482898</c:v>
                </c:pt>
                <c:pt idx="189">
                  <c:v>4059.9274686264539</c:v>
                </c:pt>
                <c:pt idx="190">
                  <c:v>4035.0320493450913</c:v>
                </c:pt>
                <c:pt idx="191">
                  <c:v>3980.3205387503281</c:v>
                </c:pt>
                <c:pt idx="192">
                  <c:v>3974.3186717858034</c:v>
                </c:pt>
                <c:pt idx="193">
                  <c:v>3904.9423011464951</c:v>
                </c:pt>
                <c:pt idx="194">
                  <c:v>3884.8194468560041</c:v>
                </c:pt>
                <c:pt idx="195">
                  <c:v>3824.9567622325517</c:v>
                </c:pt>
                <c:pt idx="196">
                  <c:v>3818.4521861904204</c:v>
                </c:pt>
                <c:pt idx="197">
                  <c:v>3763.2618158754212</c:v>
                </c:pt>
                <c:pt idx="198">
                  <c:v>3757.3441666537492</c:v>
                </c:pt>
                <c:pt idx="199">
                  <c:v>3706.8550158712264</c:v>
                </c:pt>
                <c:pt idx="200">
                  <c:v>3701.7688676113162</c:v>
                </c:pt>
                <c:pt idx="201">
                  <c:v>3645.2023625286452</c:v>
                </c:pt>
                <c:pt idx="202">
                  <c:v>3640.0061983525707</c:v>
                </c:pt>
                <c:pt idx="203">
                  <c:v>3577.5666920706062</c:v>
                </c:pt>
                <c:pt idx="204">
                  <c:v>3572.0192705431546</c:v>
                </c:pt>
                <c:pt idx="205">
                  <c:v>3473.944702557993</c:v>
                </c:pt>
                <c:pt idx="206">
                  <c:v>3468.7158831118518</c:v>
                </c:pt>
                <c:pt idx="207">
                  <c:v>3378.5655946901279</c:v>
                </c:pt>
                <c:pt idx="208">
                  <c:v>3373.9044377380551</c:v>
                </c:pt>
                <c:pt idx="209">
                  <c:v>3286.9854259724912</c:v>
                </c:pt>
                <c:pt idx="210">
                  <c:v>3282.4258838143828</c:v>
                </c:pt>
                <c:pt idx="211">
                  <c:v>3193.5340159222633</c:v>
                </c:pt>
                <c:pt idx="212">
                  <c:v>3188.8386467821692</c:v>
                </c:pt>
                <c:pt idx="213">
                  <c:v>3102.9643929282888</c:v>
                </c:pt>
                <c:pt idx="214">
                  <c:v>3098.6140130312533</c:v>
                </c:pt>
                <c:pt idx="215">
                  <c:v>3016.9693389853137</c:v>
                </c:pt>
                <c:pt idx="216">
                  <c:v>3012.4945000892462</c:v>
                </c:pt>
                <c:pt idx="217">
                  <c:v>2937.0164902953384</c:v>
                </c:pt>
                <c:pt idx="218">
                  <c:v>2932.9031588111388</c:v>
                </c:pt>
                <c:pt idx="219">
                  <c:v>2860.7533177594682</c:v>
                </c:pt>
                <c:pt idx="220">
                  <c:v>2856.768661442552</c:v>
                </c:pt>
                <c:pt idx="221">
                  <c:v>2789.8869832333585</c:v>
                </c:pt>
                <c:pt idx="222">
                  <c:v>2785.7983604571655</c:v>
                </c:pt>
                <c:pt idx="223">
                  <c:v>2722.7715315909427</c:v>
                </c:pt>
                <c:pt idx="224">
                  <c:v>2718.8244869239379</c:v>
                </c:pt>
                <c:pt idx="225">
                  <c:v>2662.5665120792087</c:v>
                </c:pt>
                <c:pt idx="226">
                  <c:v>2658.7699937834191</c:v>
                </c:pt>
                <c:pt idx="227">
                  <c:v>2609.0762713206454</c:v>
                </c:pt>
                <c:pt idx="228">
                  <c:v>2605.1971844567452</c:v>
                </c:pt>
                <c:pt idx="229">
                  <c:v>2556.0539115883312</c:v>
                </c:pt>
                <c:pt idx="230">
                  <c:v>2552.3356726207276</c:v>
                </c:pt>
                <c:pt idx="231">
                  <c:v>2507.1418142105458</c:v>
                </c:pt>
                <c:pt idx="232">
                  <c:v>2503.590251115224</c:v>
                </c:pt>
                <c:pt idx="233">
                  <c:v>2455.8083142456189</c:v>
                </c:pt>
                <c:pt idx="234">
                  <c:v>2452.1794821987583</c:v>
                </c:pt>
                <c:pt idx="235">
                  <c:v>2403.7454310548251</c:v>
                </c:pt>
                <c:pt idx="236">
                  <c:v>2400.2829604580679</c:v>
                </c:pt>
                <c:pt idx="237">
                  <c:v>2347.2929912758646</c:v>
                </c:pt>
                <c:pt idx="238">
                  <c:v>2343.7500706807882</c:v>
                </c:pt>
                <c:pt idx="239">
                  <c:v>2294.7366464437937</c:v>
                </c:pt>
                <c:pt idx="240">
                  <c:v>2291.1178371055971</c:v>
                </c:pt>
                <c:pt idx="241">
                  <c:v>2238.0217687053737</c:v>
                </c:pt>
                <c:pt idx="242">
                  <c:v>2234.8138991899446</c:v>
                </c:pt>
                <c:pt idx="243">
                  <c:v>2183.7507795846141</c:v>
                </c:pt>
                <c:pt idx="244">
                  <c:v>2180.4677049629072</c:v>
                </c:pt>
                <c:pt idx="245">
                  <c:v>2136.3653306047295</c:v>
                </c:pt>
                <c:pt idx="246">
                  <c:v>2133.2604401724952</c:v>
                </c:pt>
                <c:pt idx="247">
                  <c:v>2088.2730007289692</c:v>
                </c:pt>
                <c:pt idx="248">
                  <c:v>2085.1006513133743</c:v>
                </c:pt>
                <c:pt idx="249">
                  <c:v>2042.926693115852</c:v>
                </c:pt>
                <c:pt idx="250">
                  <c:v>2039.6901197500754</c:v>
                </c:pt>
                <c:pt idx="251">
                  <c:v>1996.8832274514093</c:v>
                </c:pt>
                <c:pt idx="252">
                  <c:v>1993.8298131658426</c:v>
                </c:pt>
                <c:pt idx="253">
                  <c:v>1954.8471280972303</c:v>
                </c:pt>
                <c:pt idx="254">
                  <c:v>1951.7342410833564</c:v>
                </c:pt>
                <c:pt idx="255">
                  <c:v>1911.135434015642</c:v>
                </c:pt>
                <c:pt idx="256">
                  <c:v>1908.2104346051431</c:v>
                </c:pt>
                <c:pt idx="257">
                  <c:v>1870.9620143810889</c:v>
                </c:pt>
                <c:pt idx="258">
                  <c:v>1867.9808177572481</c:v>
                </c:pt>
                <c:pt idx="259">
                  <c:v>1828.1213177398126</c:v>
                </c:pt>
                <c:pt idx="260">
                  <c:v>1825.0819503998373</c:v>
                </c:pt>
                <c:pt idx="261">
                  <c:v>1789.8376007970769</c:v>
                </c:pt>
                <c:pt idx="262">
                  <c:v>1786.9945880372043</c:v>
                </c:pt>
                <c:pt idx="263">
                  <c:v>1747.6374098400295</c:v>
                </c:pt>
                <c:pt idx="264">
                  <c:v>1744.98854955151</c:v>
                </c:pt>
                <c:pt idx="265">
                  <c:v>1711.5200996734527</c:v>
                </c:pt>
                <c:pt idx="266">
                  <c:v>1708.8216675093424</c:v>
                </c:pt>
                <c:pt idx="267">
                  <c:v>1671.7344032136361</c:v>
                </c:pt>
                <c:pt idx="268">
                  <c:v>1668.983509138214</c:v>
                </c:pt>
                <c:pt idx="269">
                  <c:v>1637.0606942166808</c:v>
                </c:pt>
                <c:pt idx="270">
                  <c:v>1634.5140516639008</c:v>
                </c:pt>
                <c:pt idx="271">
                  <c:v>1597.2027892705628</c:v>
                </c:pt>
                <c:pt idx="272">
                  <c:v>1594.6049950772726</c:v>
                </c:pt>
                <c:pt idx="273">
                  <c:v>1564.4969033514888</c:v>
                </c:pt>
                <c:pt idx="274">
                  <c:v>1561.8548165602865</c:v>
                </c:pt>
                <c:pt idx="275">
                  <c:v>1540.2468452318453</c:v>
                </c:pt>
                <c:pt idx="276">
                  <c:v>1537.8213479428327</c:v>
                </c:pt>
                <c:pt idx="277">
                  <c:v>1515.1308371894556</c:v>
                </c:pt>
                <c:pt idx="278">
                  <c:v>1512.6689470609888</c:v>
                </c:pt>
                <c:pt idx="279">
                  <c:v>1485.8480303688571</c:v>
                </c:pt>
                <c:pt idx="280">
                  <c:v>1483.3463959380153</c:v>
                </c:pt>
                <c:pt idx="281">
                  <c:v>1459.238027334316</c:v>
                </c:pt>
                <c:pt idx="282">
                  <c:v>1456.6993351511405</c:v>
                </c:pt>
                <c:pt idx="283">
                  <c:v>1430.225445671952</c:v>
                </c:pt>
                <c:pt idx="284">
                  <c:v>1427.9026825158103</c:v>
                </c:pt>
                <c:pt idx="285">
                  <c:v>1404.4084049936046</c:v>
                </c:pt>
                <c:pt idx="286">
                  <c:v>1402.0503622356164</c:v>
                </c:pt>
                <c:pt idx="287">
                  <c:v>1379.2505538114112</c:v>
                </c:pt>
                <c:pt idx="288">
                  <c:v>1376.8581051121032</c:v>
                </c:pt>
                <c:pt idx="289">
                  <c:v>1353.7329851053903</c:v>
                </c:pt>
                <c:pt idx="290">
                  <c:v>1351.5621953186085</c:v>
                </c:pt>
                <c:pt idx="291">
                  <c:v>1331.6993331987921</c:v>
                </c:pt>
                <c:pt idx="292">
                  <c:v>1329.4978274843461</c:v>
                </c:pt>
                <c:pt idx="293">
                  <c:v>1307.5204157042097</c:v>
                </c:pt>
                <c:pt idx="294">
                  <c:v>1305.2866411138114</c:v>
                </c:pt>
                <c:pt idx="295">
                  <c:v>1285.8152311570745</c:v>
                </c:pt>
                <c:pt idx="296">
                  <c:v>1283.808929400803</c:v>
                </c:pt>
                <c:pt idx="297">
                  <c:v>1262.2181506589034</c:v>
                </c:pt>
                <c:pt idx="298">
                  <c:v>1260.1810454037281</c:v>
                </c:pt>
                <c:pt idx="299">
                  <c:v>1241.8811246149414</c:v>
                </c:pt>
                <c:pt idx="300">
                  <c:v>1239.8161988273648</c:v>
                </c:pt>
                <c:pt idx="301">
                  <c:v>1217.3261828599875</c:v>
                </c:pt>
                <c:pt idx="302">
                  <c:v>1215.2301808857555</c:v>
                </c:pt>
                <c:pt idx="303">
                  <c:v>1197.8530366666123</c:v>
                </c:pt>
                <c:pt idx="304">
                  <c:v>1195.7304168014325</c:v>
                </c:pt>
                <c:pt idx="305">
                  <c:v>1178.3015762006878</c:v>
                </c:pt>
                <c:pt idx="306">
                  <c:v>1176.412021472634</c:v>
                </c:pt>
                <c:pt idx="307">
                  <c:v>1156.0748813933308</c:v>
                </c:pt>
                <c:pt idx="308">
                  <c:v>1154.157338481022</c:v>
                </c:pt>
                <c:pt idx="309">
                  <c:v>1140.0060069318081</c:v>
                </c:pt>
                <c:pt idx="310">
                  <c:v>1138.0657099698522</c:v>
                </c:pt>
                <c:pt idx="311">
                  <c:v>1121.7872547177553</c:v>
                </c:pt>
                <c:pt idx="312">
                  <c:v>1119.8226596299107</c:v>
                </c:pt>
                <c:pt idx="313">
                  <c:v>1103.7578773182324</c:v>
                </c:pt>
                <c:pt idx="314">
                  <c:v>1101.7693416632485</c:v>
                </c:pt>
                <c:pt idx="315">
                  <c:v>1086.9651745603767</c:v>
                </c:pt>
                <c:pt idx="316">
                  <c:v>1085.2155105318236</c:v>
                </c:pt>
                <c:pt idx="317">
                  <c:v>1068.7974531325146</c:v>
                </c:pt>
                <c:pt idx="318">
                  <c:v>1067.0245524603104</c:v>
                </c:pt>
                <c:pt idx="319">
                  <c:v>1052.6580504817628</c:v>
                </c:pt>
                <c:pt idx="320">
                  <c:v>1050.8637116905725</c:v>
                </c:pt>
                <c:pt idx="321">
                  <c:v>1035.6680021357088</c:v>
                </c:pt>
                <c:pt idx="322">
                  <c:v>1034.1146039171099</c:v>
                </c:pt>
                <c:pt idx="323">
                  <c:v>1020.7177277828381</c:v>
                </c:pt>
                <c:pt idx="324">
                  <c:v>1019.144592262082</c:v>
                </c:pt>
                <c:pt idx="325">
                  <c:v>1004.128676938074</c:v>
                </c:pt>
                <c:pt idx="326">
                  <c:v>1002.534698002587</c:v>
                </c:pt>
                <c:pt idx="327">
                  <c:v>991.17161213226916</c:v>
                </c:pt>
                <c:pt idx="328">
                  <c:v>989.55977094049422</c:v>
                </c:pt>
                <c:pt idx="329">
                  <c:v>978.42810174802867</c:v>
                </c:pt>
                <c:pt idx="330">
                  <c:v>976.79870858809295</c:v>
                </c:pt>
                <c:pt idx="331">
                  <c:v>963.78201406346955</c:v>
                </c:pt>
                <c:pt idx="332">
                  <c:v>962.13375967342756</c:v>
                </c:pt>
                <c:pt idx="333">
                  <c:v>950.67151877427943</c:v>
                </c:pt>
                <c:pt idx="334">
                  <c:v>949.00572725957375</c:v>
                </c:pt>
                <c:pt idx="335">
                  <c:v>934.05949121097785</c:v>
                </c:pt>
                <c:pt idx="336">
                  <c:v>932.37366178296247</c:v>
                </c:pt>
                <c:pt idx="337">
                  <c:v>911.27147948915365</c:v>
                </c:pt>
                <c:pt idx="338">
                  <c:v>909.56114346616334</c:v>
                </c:pt>
                <c:pt idx="339">
                  <c:v>895.06308152715656</c:v>
                </c:pt>
                <c:pt idx="340">
                  <c:v>893.59988308129846</c:v>
                </c:pt>
                <c:pt idx="341">
                  <c:v>877.99678154593994</c:v>
                </c:pt>
                <c:pt idx="342">
                  <c:v>876.51413758359934</c:v>
                </c:pt>
                <c:pt idx="343">
                  <c:v>859.00092416345944</c:v>
                </c:pt>
                <c:pt idx="344">
                  <c:v>857.49757742984116</c:v>
                </c:pt>
                <c:pt idx="345">
                  <c:v>842.08000761676806</c:v>
                </c:pt>
                <c:pt idx="346">
                  <c:v>840.82536056780157</c:v>
                </c:pt>
                <c:pt idx="347">
                  <c:v>825.90437760059217</c:v>
                </c:pt>
                <c:pt idx="348">
                  <c:v>824.36375362616297</c:v>
                </c:pt>
                <c:pt idx="349">
                  <c:v>806.99022493730126</c:v>
                </c:pt>
                <c:pt idx="350">
                  <c:v>805.42948351260213</c:v>
                </c:pt>
                <c:pt idx="351">
                  <c:v>792.31161416175155</c:v>
                </c:pt>
                <c:pt idx="352">
                  <c:v>791.00286399308902</c:v>
                </c:pt>
                <c:pt idx="353">
                  <c:v>777.04446986999722</c:v>
                </c:pt>
                <c:pt idx="354">
                  <c:v>775.71895336685236</c:v>
                </c:pt>
                <c:pt idx="355">
                  <c:v>760.37841122665031</c:v>
                </c:pt>
                <c:pt idx="356">
                  <c:v>759.03527280615617</c:v>
                </c:pt>
                <c:pt idx="357">
                  <c:v>746.3554265683465</c:v>
                </c:pt>
                <c:pt idx="358">
                  <c:v>745.26672781523519</c:v>
                </c:pt>
                <c:pt idx="359">
                  <c:v>730.12345636527436</c:v>
                </c:pt>
                <c:pt idx="360">
                  <c:v>728.74771844924157</c:v>
                </c:pt>
                <c:pt idx="361">
                  <c:v>716.00316076495096</c:v>
                </c:pt>
                <c:pt idx="362">
                  <c:v>714.61204515861664</c:v>
                </c:pt>
                <c:pt idx="363">
                  <c:v>702.64908444861703</c:v>
                </c:pt>
                <c:pt idx="364">
                  <c:v>701.24326065725359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7F-46F4-8493-D48F07A4D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79648512"/>
        <c:axId val="-1879643072"/>
      </c:areaChart>
      <c:catAx>
        <c:axId val="-1879648512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79643072"/>
        <c:crosses val="autoZero"/>
        <c:auto val="1"/>
        <c:lblAlgn val="ctr"/>
        <c:lblOffset val="100"/>
        <c:noMultiLvlLbl val="1"/>
      </c:catAx>
      <c:valAx>
        <c:axId val="-187964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重量</a:t>
                </a:r>
                <a:r>
                  <a:rPr lang="en-US" altLang="ja-JP" sz="1000" b="0" i="0" u="none" strike="noStrike" baseline="0">
                    <a:effectLst/>
                  </a:rPr>
                  <a:t>(</a:t>
                </a:r>
                <a:r>
                  <a:rPr lang="ja-JP" altLang="ja-JP" sz="1000" b="0" i="0" u="none" strike="noStrike" baseline="0">
                    <a:effectLst/>
                  </a:rPr>
                  <a:t>相対値</a:t>
                </a:r>
                <a:r>
                  <a:rPr lang="en-US" altLang="ja-JP" sz="1000" b="0" i="0" u="none" strike="noStrike" baseline="0">
                    <a:effectLst/>
                  </a:rPr>
                  <a:t>)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 alt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79648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930886062172295"/>
          <c:y val="0.89924498429905564"/>
          <c:w val="0.42887904384248132"/>
          <c:h val="5.84491398883184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1"/>
          <c:order val="0"/>
          <c:tx>
            <c:v>2年目級群</c:v>
          </c:tx>
          <c:spPr>
            <a:solidFill>
              <a:srgbClr val="FF5050"/>
            </a:solidFill>
            <a:ln>
              <a:noFill/>
            </a:ln>
            <a:effectLst/>
          </c:spPr>
          <c:cat>
            <c:numRef>
              <c:f>シャコ!$A$3:$A$367</c:f>
              <c:numCache>
                <c:formatCode>m/d/yyyy</c:formatCode>
                <c:ptCount val="365"/>
                <c:pt idx="0">
                  <c:v>41730</c:v>
                </c:pt>
                <c:pt idx="1">
                  <c:v>41731</c:v>
                </c:pt>
                <c:pt idx="2">
                  <c:v>41732</c:v>
                </c:pt>
                <c:pt idx="3">
                  <c:v>41733</c:v>
                </c:pt>
                <c:pt idx="4">
                  <c:v>41734</c:v>
                </c:pt>
                <c:pt idx="5">
                  <c:v>41735</c:v>
                </c:pt>
                <c:pt idx="6">
                  <c:v>41736</c:v>
                </c:pt>
                <c:pt idx="7">
                  <c:v>41737</c:v>
                </c:pt>
                <c:pt idx="8">
                  <c:v>41738</c:v>
                </c:pt>
                <c:pt idx="9">
                  <c:v>41739</c:v>
                </c:pt>
                <c:pt idx="10">
                  <c:v>41740</c:v>
                </c:pt>
                <c:pt idx="11">
                  <c:v>41741</c:v>
                </c:pt>
                <c:pt idx="12">
                  <c:v>41742</c:v>
                </c:pt>
                <c:pt idx="13">
                  <c:v>41743</c:v>
                </c:pt>
                <c:pt idx="14">
                  <c:v>41744</c:v>
                </c:pt>
                <c:pt idx="15">
                  <c:v>41745</c:v>
                </c:pt>
                <c:pt idx="16">
                  <c:v>41746</c:v>
                </c:pt>
                <c:pt idx="17">
                  <c:v>41747</c:v>
                </c:pt>
                <c:pt idx="18">
                  <c:v>41748</c:v>
                </c:pt>
                <c:pt idx="19">
                  <c:v>41749</c:v>
                </c:pt>
                <c:pt idx="20">
                  <c:v>41750</c:v>
                </c:pt>
                <c:pt idx="21">
                  <c:v>41751</c:v>
                </c:pt>
                <c:pt idx="22">
                  <c:v>41752</c:v>
                </c:pt>
                <c:pt idx="23">
                  <c:v>41753</c:v>
                </c:pt>
                <c:pt idx="24">
                  <c:v>41754</c:v>
                </c:pt>
                <c:pt idx="25">
                  <c:v>41755</c:v>
                </c:pt>
                <c:pt idx="26">
                  <c:v>41756</c:v>
                </c:pt>
                <c:pt idx="27">
                  <c:v>41757</c:v>
                </c:pt>
                <c:pt idx="28">
                  <c:v>41758</c:v>
                </c:pt>
                <c:pt idx="29">
                  <c:v>41759</c:v>
                </c:pt>
                <c:pt idx="30">
                  <c:v>41760</c:v>
                </c:pt>
                <c:pt idx="31">
                  <c:v>41761</c:v>
                </c:pt>
                <c:pt idx="32">
                  <c:v>41762</c:v>
                </c:pt>
                <c:pt idx="33">
                  <c:v>41763</c:v>
                </c:pt>
                <c:pt idx="34">
                  <c:v>41764</c:v>
                </c:pt>
                <c:pt idx="35">
                  <c:v>41765</c:v>
                </c:pt>
                <c:pt idx="36">
                  <c:v>41766</c:v>
                </c:pt>
                <c:pt idx="37">
                  <c:v>41767</c:v>
                </c:pt>
                <c:pt idx="38">
                  <c:v>41768</c:v>
                </c:pt>
                <c:pt idx="39">
                  <c:v>41769</c:v>
                </c:pt>
                <c:pt idx="40">
                  <c:v>41770</c:v>
                </c:pt>
                <c:pt idx="41">
                  <c:v>41771</c:v>
                </c:pt>
                <c:pt idx="42">
                  <c:v>41772</c:v>
                </c:pt>
                <c:pt idx="43">
                  <c:v>41773</c:v>
                </c:pt>
                <c:pt idx="44">
                  <c:v>41774</c:v>
                </c:pt>
                <c:pt idx="45">
                  <c:v>41775</c:v>
                </c:pt>
                <c:pt idx="46">
                  <c:v>41776</c:v>
                </c:pt>
                <c:pt idx="47">
                  <c:v>41777</c:v>
                </c:pt>
                <c:pt idx="48">
                  <c:v>41778</c:v>
                </c:pt>
                <c:pt idx="49">
                  <c:v>41779</c:v>
                </c:pt>
                <c:pt idx="50">
                  <c:v>41780</c:v>
                </c:pt>
                <c:pt idx="51">
                  <c:v>41781</c:v>
                </c:pt>
                <c:pt idx="52">
                  <c:v>41782</c:v>
                </c:pt>
                <c:pt idx="53">
                  <c:v>41783</c:v>
                </c:pt>
                <c:pt idx="54">
                  <c:v>41784</c:v>
                </c:pt>
                <c:pt idx="55">
                  <c:v>41785</c:v>
                </c:pt>
                <c:pt idx="56">
                  <c:v>41786</c:v>
                </c:pt>
                <c:pt idx="57">
                  <c:v>41787</c:v>
                </c:pt>
                <c:pt idx="58">
                  <c:v>41788</c:v>
                </c:pt>
                <c:pt idx="59">
                  <c:v>41789</c:v>
                </c:pt>
                <c:pt idx="60">
                  <c:v>41790</c:v>
                </c:pt>
                <c:pt idx="61">
                  <c:v>41791</c:v>
                </c:pt>
                <c:pt idx="62">
                  <c:v>41792</c:v>
                </c:pt>
                <c:pt idx="63">
                  <c:v>41793</c:v>
                </c:pt>
                <c:pt idx="64">
                  <c:v>41794</c:v>
                </c:pt>
                <c:pt idx="65">
                  <c:v>41795</c:v>
                </c:pt>
                <c:pt idx="66">
                  <c:v>41796</c:v>
                </c:pt>
                <c:pt idx="67">
                  <c:v>41797</c:v>
                </c:pt>
                <c:pt idx="68">
                  <c:v>41798</c:v>
                </c:pt>
                <c:pt idx="69">
                  <c:v>41799</c:v>
                </c:pt>
                <c:pt idx="70">
                  <c:v>41800</c:v>
                </c:pt>
                <c:pt idx="71">
                  <c:v>41801</c:v>
                </c:pt>
                <c:pt idx="72">
                  <c:v>41802</c:v>
                </c:pt>
                <c:pt idx="73">
                  <c:v>41803</c:v>
                </c:pt>
                <c:pt idx="74">
                  <c:v>41804</c:v>
                </c:pt>
                <c:pt idx="75">
                  <c:v>41805</c:v>
                </c:pt>
                <c:pt idx="76">
                  <c:v>41806</c:v>
                </c:pt>
                <c:pt idx="77">
                  <c:v>41807</c:v>
                </c:pt>
                <c:pt idx="78">
                  <c:v>41808</c:v>
                </c:pt>
                <c:pt idx="79">
                  <c:v>41809</c:v>
                </c:pt>
                <c:pt idx="80">
                  <c:v>41810</c:v>
                </c:pt>
                <c:pt idx="81">
                  <c:v>41811</c:v>
                </c:pt>
                <c:pt idx="82">
                  <c:v>41812</c:v>
                </c:pt>
                <c:pt idx="83">
                  <c:v>41813</c:v>
                </c:pt>
                <c:pt idx="84">
                  <c:v>41814</c:v>
                </c:pt>
                <c:pt idx="85">
                  <c:v>41815</c:v>
                </c:pt>
                <c:pt idx="86">
                  <c:v>41816</c:v>
                </c:pt>
                <c:pt idx="87">
                  <c:v>41817</c:v>
                </c:pt>
                <c:pt idx="88">
                  <c:v>41818</c:v>
                </c:pt>
                <c:pt idx="89">
                  <c:v>41819</c:v>
                </c:pt>
                <c:pt idx="90">
                  <c:v>41820</c:v>
                </c:pt>
                <c:pt idx="91">
                  <c:v>41821</c:v>
                </c:pt>
                <c:pt idx="92">
                  <c:v>41822</c:v>
                </c:pt>
                <c:pt idx="93">
                  <c:v>41823</c:v>
                </c:pt>
                <c:pt idx="94">
                  <c:v>41824</c:v>
                </c:pt>
                <c:pt idx="95">
                  <c:v>41825</c:v>
                </c:pt>
                <c:pt idx="96">
                  <c:v>41826</c:v>
                </c:pt>
                <c:pt idx="97">
                  <c:v>41827</c:v>
                </c:pt>
                <c:pt idx="98">
                  <c:v>41828</c:v>
                </c:pt>
                <c:pt idx="99">
                  <c:v>41829</c:v>
                </c:pt>
                <c:pt idx="100">
                  <c:v>41830</c:v>
                </c:pt>
                <c:pt idx="101">
                  <c:v>41831</c:v>
                </c:pt>
                <c:pt idx="102">
                  <c:v>41832</c:v>
                </c:pt>
                <c:pt idx="103">
                  <c:v>41833</c:v>
                </c:pt>
                <c:pt idx="104">
                  <c:v>41834</c:v>
                </c:pt>
                <c:pt idx="105">
                  <c:v>41835</c:v>
                </c:pt>
                <c:pt idx="106">
                  <c:v>41836</c:v>
                </c:pt>
                <c:pt idx="107">
                  <c:v>41837</c:v>
                </c:pt>
                <c:pt idx="108">
                  <c:v>41838</c:v>
                </c:pt>
                <c:pt idx="109">
                  <c:v>41839</c:v>
                </c:pt>
                <c:pt idx="110">
                  <c:v>41840</c:v>
                </c:pt>
                <c:pt idx="111">
                  <c:v>41841</c:v>
                </c:pt>
                <c:pt idx="112">
                  <c:v>41842</c:v>
                </c:pt>
                <c:pt idx="113">
                  <c:v>41843</c:v>
                </c:pt>
                <c:pt idx="114">
                  <c:v>41844</c:v>
                </c:pt>
                <c:pt idx="115">
                  <c:v>41845</c:v>
                </c:pt>
                <c:pt idx="116">
                  <c:v>41846</c:v>
                </c:pt>
                <c:pt idx="117">
                  <c:v>41847</c:v>
                </c:pt>
                <c:pt idx="118">
                  <c:v>41848</c:v>
                </c:pt>
                <c:pt idx="119">
                  <c:v>41849</c:v>
                </c:pt>
                <c:pt idx="120">
                  <c:v>41850</c:v>
                </c:pt>
                <c:pt idx="121">
                  <c:v>41851</c:v>
                </c:pt>
                <c:pt idx="122">
                  <c:v>41852</c:v>
                </c:pt>
                <c:pt idx="123">
                  <c:v>41853</c:v>
                </c:pt>
                <c:pt idx="124">
                  <c:v>41854</c:v>
                </c:pt>
                <c:pt idx="125">
                  <c:v>41855</c:v>
                </c:pt>
                <c:pt idx="126">
                  <c:v>41856</c:v>
                </c:pt>
                <c:pt idx="127">
                  <c:v>41857</c:v>
                </c:pt>
                <c:pt idx="128">
                  <c:v>41858</c:v>
                </c:pt>
                <c:pt idx="129">
                  <c:v>41859</c:v>
                </c:pt>
                <c:pt idx="130">
                  <c:v>41860</c:v>
                </c:pt>
                <c:pt idx="131">
                  <c:v>41861</c:v>
                </c:pt>
                <c:pt idx="132">
                  <c:v>41862</c:v>
                </c:pt>
                <c:pt idx="133">
                  <c:v>41863</c:v>
                </c:pt>
                <c:pt idx="134">
                  <c:v>41864</c:v>
                </c:pt>
                <c:pt idx="135">
                  <c:v>41865</c:v>
                </c:pt>
                <c:pt idx="136">
                  <c:v>41866</c:v>
                </c:pt>
                <c:pt idx="137">
                  <c:v>41867</c:v>
                </c:pt>
                <c:pt idx="138">
                  <c:v>41868</c:v>
                </c:pt>
                <c:pt idx="139">
                  <c:v>41869</c:v>
                </c:pt>
                <c:pt idx="140">
                  <c:v>41870</c:v>
                </c:pt>
                <c:pt idx="141">
                  <c:v>41871</c:v>
                </c:pt>
                <c:pt idx="142">
                  <c:v>41872</c:v>
                </c:pt>
                <c:pt idx="143">
                  <c:v>41873</c:v>
                </c:pt>
                <c:pt idx="144">
                  <c:v>41874</c:v>
                </c:pt>
                <c:pt idx="145">
                  <c:v>41875</c:v>
                </c:pt>
                <c:pt idx="146">
                  <c:v>41876</c:v>
                </c:pt>
                <c:pt idx="147">
                  <c:v>41877</c:v>
                </c:pt>
                <c:pt idx="148">
                  <c:v>41878</c:v>
                </c:pt>
                <c:pt idx="149">
                  <c:v>41879</c:v>
                </c:pt>
                <c:pt idx="150">
                  <c:v>41880</c:v>
                </c:pt>
                <c:pt idx="151">
                  <c:v>41881</c:v>
                </c:pt>
                <c:pt idx="152">
                  <c:v>41882</c:v>
                </c:pt>
                <c:pt idx="153">
                  <c:v>41883</c:v>
                </c:pt>
                <c:pt idx="154">
                  <c:v>41884</c:v>
                </c:pt>
                <c:pt idx="155">
                  <c:v>41885</c:v>
                </c:pt>
                <c:pt idx="156">
                  <c:v>41886</c:v>
                </c:pt>
                <c:pt idx="157">
                  <c:v>41887</c:v>
                </c:pt>
                <c:pt idx="158">
                  <c:v>41888</c:v>
                </c:pt>
                <c:pt idx="159">
                  <c:v>41889</c:v>
                </c:pt>
                <c:pt idx="160">
                  <c:v>41890</c:v>
                </c:pt>
                <c:pt idx="161">
                  <c:v>41891</c:v>
                </c:pt>
                <c:pt idx="162">
                  <c:v>41892</c:v>
                </c:pt>
                <c:pt idx="163">
                  <c:v>41893</c:v>
                </c:pt>
                <c:pt idx="164">
                  <c:v>41894</c:v>
                </c:pt>
                <c:pt idx="165">
                  <c:v>41895</c:v>
                </c:pt>
                <c:pt idx="166">
                  <c:v>41896</c:v>
                </c:pt>
                <c:pt idx="167">
                  <c:v>41897</c:v>
                </c:pt>
                <c:pt idx="168">
                  <c:v>41898</c:v>
                </c:pt>
                <c:pt idx="169">
                  <c:v>41899</c:v>
                </c:pt>
                <c:pt idx="170">
                  <c:v>41900</c:v>
                </c:pt>
                <c:pt idx="171">
                  <c:v>41901</c:v>
                </c:pt>
                <c:pt idx="172">
                  <c:v>41902</c:v>
                </c:pt>
                <c:pt idx="173">
                  <c:v>41903</c:v>
                </c:pt>
                <c:pt idx="174">
                  <c:v>41904</c:v>
                </c:pt>
                <c:pt idx="175">
                  <c:v>41905</c:v>
                </c:pt>
                <c:pt idx="176">
                  <c:v>41906</c:v>
                </c:pt>
                <c:pt idx="177">
                  <c:v>41907</c:v>
                </c:pt>
                <c:pt idx="178">
                  <c:v>41908</c:v>
                </c:pt>
                <c:pt idx="179">
                  <c:v>41909</c:v>
                </c:pt>
                <c:pt idx="180">
                  <c:v>41910</c:v>
                </c:pt>
                <c:pt idx="181">
                  <c:v>41911</c:v>
                </c:pt>
                <c:pt idx="182">
                  <c:v>41912</c:v>
                </c:pt>
                <c:pt idx="183">
                  <c:v>41913</c:v>
                </c:pt>
                <c:pt idx="184">
                  <c:v>41914</c:v>
                </c:pt>
                <c:pt idx="185">
                  <c:v>41915</c:v>
                </c:pt>
                <c:pt idx="186">
                  <c:v>41916</c:v>
                </c:pt>
                <c:pt idx="187">
                  <c:v>41917</c:v>
                </c:pt>
                <c:pt idx="188">
                  <c:v>41918</c:v>
                </c:pt>
                <c:pt idx="189">
                  <c:v>41919</c:v>
                </c:pt>
                <c:pt idx="190">
                  <c:v>41920</c:v>
                </c:pt>
                <c:pt idx="191">
                  <c:v>41921</c:v>
                </c:pt>
                <c:pt idx="192">
                  <c:v>41922</c:v>
                </c:pt>
                <c:pt idx="193">
                  <c:v>41923</c:v>
                </c:pt>
                <c:pt idx="194">
                  <c:v>41924</c:v>
                </c:pt>
                <c:pt idx="195">
                  <c:v>41925</c:v>
                </c:pt>
                <c:pt idx="196">
                  <c:v>41926</c:v>
                </c:pt>
                <c:pt idx="197">
                  <c:v>41927</c:v>
                </c:pt>
                <c:pt idx="198">
                  <c:v>41928</c:v>
                </c:pt>
                <c:pt idx="199">
                  <c:v>41929</c:v>
                </c:pt>
                <c:pt idx="200">
                  <c:v>41930</c:v>
                </c:pt>
                <c:pt idx="201">
                  <c:v>41931</c:v>
                </c:pt>
                <c:pt idx="202">
                  <c:v>41932</c:v>
                </c:pt>
                <c:pt idx="203">
                  <c:v>41933</c:v>
                </c:pt>
                <c:pt idx="204">
                  <c:v>41934</c:v>
                </c:pt>
                <c:pt idx="205">
                  <c:v>41935</c:v>
                </c:pt>
                <c:pt idx="206">
                  <c:v>41936</c:v>
                </c:pt>
                <c:pt idx="207">
                  <c:v>41937</c:v>
                </c:pt>
                <c:pt idx="208">
                  <c:v>41938</c:v>
                </c:pt>
                <c:pt idx="209">
                  <c:v>41939</c:v>
                </c:pt>
                <c:pt idx="210">
                  <c:v>41940</c:v>
                </c:pt>
                <c:pt idx="211">
                  <c:v>41941</c:v>
                </c:pt>
                <c:pt idx="212">
                  <c:v>41942</c:v>
                </c:pt>
                <c:pt idx="213">
                  <c:v>41943</c:v>
                </c:pt>
                <c:pt idx="214">
                  <c:v>41944</c:v>
                </c:pt>
                <c:pt idx="215">
                  <c:v>41945</c:v>
                </c:pt>
                <c:pt idx="216">
                  <c:v>41946</c:v>
                </c:pt>
                <c:pt idx="217">
                  <c:v>41947</c:v>
                </c:pt>
                <c:pt idx="218">
                  <c:v>41948</c:v>
                </c:pt>
                <c:pt idx="219">
                  <c:v>41949</c:v>
                </c:pt>
                <c:pt idx="220">
                  <c:v>41950</c:v>
                </c:pt>
                <c:pt idx="221">
                  <c:v>41951</c:v>
                </c:pt>
                <c:pt idx="222">
                  <c:v>41952</c:v>
                </c:pt>
                <c:pt idx="223">
                  <c:v>41953</c:v>
                </c:pt>
                <c:pt idx="224">
                  <c:v>41954</c:v>
                </c:pt>
                <c:pt idx="225">
                  <c:v>41955</c:v>
                </c:pt>
                <c:pt idx="226">
                  <c:v>41956</c:v>
                </c:pt>
                <c:pt idx="227">
                  <c:v>41957</c:v>
                </c:pt>
                <c:pt idx="228">
                  <c:v>41958</c:v>
                </c:pt>
                <c:pt idx="229">
                  <c:v>41959</c:v>
                </c:pt>
                <c:pt idx="230">
                  <c:v>41960</c:v>
                </c:pt>
                <c:pt idx="231">
                  <c:v>41961</c:v>
                </c:pt>
                <c:pt idx="232">
                  <c:v>41962</c:v>
                </c:pt>
                <c:pt idx="233">
                  <c:v>41963</c:v>
                </c:pt>
                <c:pt idx="234">
                  <c:v>41964</c:v>
                </c:pt>
                <c:pt idx="235">
                  <c:v>41965</c:v>
                </c:pt>
                <c:pt idx="236">
                  <c:v>41966</c:v>
                </c:pt>
                <c:pt idx="237">
                  <c:v>41967</c:v>
                </c:pt>
                <c:pt idx="238">
                  <c:v>41968</c:v>
                </c:pt>
                <c:pt idx="239">
                  <c:v>41969</c:v>
                </c:pt>
                <c:pt idx="240">
                  <c:v>41970</c:v>
                </c:pt>
                <c:pt idx="241">
                  <c:v>41971</c:v>
                </c:pt>
                <c:pt idx="242">
                  <c:v>41972</c:v>
                </c:pt>
                <c:pt idx="243">
                  <c:v>41973</c:v>
                </c:pt>
                <c:pt idx="244">
                  <c:v>41974</c:v>
                </c:pt>
                <c:pt idx="245">
                  <c:v>41975</c:v>
                </c:pt>
                <c:pt idx="246">
                  <c:v>41976</c:v>
                </c:pt>
                <c:pt idx="247">
                  <c:v>41977</c:v>
                </c:pt>
                <c:pt idx="248">
                  <c:v>41978</c:v>
                </c:pt>
                <c:pt idx="249">
                  <c:v>41979</c:v>
                </c:pt>
                <c:pt idx="250">
                  <c:v>41980</c:v>
                </c:pt>
                <c:pt idx="251">
                  <c:v>41981</c:v>
                </c:pt>
                <c:pt idx="252">
                  <c:v>41982</c:v>
                </c:pt>
                <c:pt idx="253">
                  <c:v>41983</c:v>
                </c:pt>
                <c:pt idx="254">
                  <c:v>41984</c:v>
                </c:pt>
                <c:pt idx="255">
                  <c:v>41985</c:v>
                </c:pt>
                <c:pt idx="256">
                  <c:v>41986</c:v>
                </c:pt>
                <c:pt idx="257">
                  <c:v>41987</c:v>
                </c:pt>
                <c:pt idx="258">
                  <c:v>41988</c:v>
                </c:pt>
                <c:pt idx="259">
                  <c:v>41989</c:v>
                </c:pt>
                <c:pt idx="260">
                  <c:v>41990</c:v>
                </c:pt>
                <c:pt idx="261">
                  <c:v>41991</c:v>
                </c:pt>
                <c:pt idx="262">
                  <c:v>41992</c:v>
                </c:pt>
                <c:pt idx="263">
                  <c:v>41993</c:v>
                </c:pt>
                <c:pt idx="264">
                  <c:v>41994</c:v>
                </c:pt>
                <c:pt idx="265">
                  <c:v>41995</c:v>
                </c:pt>
                <c:pt idx="266">
                  <c:v>41996</c:v>
                </c:pt>
                <c:pt idx="267">
                  <c:v>41997</c:v>
                </c:pt>
                <c:pt idx="268">
                  <c:v>41998</c:v>
                </c:pt>
                <c:pt idx="269">
                  <c:v>41999</c:v>
                </c:pt>
                <c:pt idx="270">
                  <c:v>42000</c:v>
                </c:pt>
                <c:pt idx="271">
                  <c:v>42001</c:v>
                </c:pt>
                <c:pt idx="272">
                  <c:v>42002</c:v>
                </c:pt>
                <c:pt idx="273">
                  <c:v>42003</c:v>
                </c:pt>
                <c:pt idx="274">
                  <c:v>42004</c:v>
                </c:pt>
                <c:pt idx="275">
                  <c:v>42005</c:v>
                </c:pt>
                <c:pt idx="276">
                  <c:v>42006</c:v>
                </c:pt>
                <c:pt idx="277">
                  <c:v>42007</c:v>
                </c:pt>
                <c:pt idx="278">
                  <c:v>42008</c:v>
                </c:pt>
                <c:pt idx="279">
                  <c:v>42009</c:v>
                </c:pt>
                <c:pt idx="280">
                  <c:v>42010</c:v>
                </c:pt>
                <c:pt idx="281">
                  <c:v>42011</c:v>
                </c:pt>
                <c:pt idx="282">
                  <c:v>42012</c:v>
                </c:pt>
                <c:pt idx="283">
                  <c:v>42013</c:v>
                </c:pt>
                <c:pt idx="284">
                  <c:v>42014</c:v>
                </c:pt>
                <c:pt idx="285">
                  <c:v>42015</c:v>
                </c:pt>
                <c:pt idx="286">
                  <c:v>42016</c:v>
                </c:pt>
                <c:pt idx="287">
                  <c:v>42017</c:v>
                </c:pt>
                <c:pt idx="288">
                  <c:v>42018</c:v>
                </c:pt>
                <c:pt idx="289">
                  <c:v>42019</c:v>
                </c:pt>
                <c:pt idx="290">
                  <c:v>42020</c:v>
                </c:pt>
                <c:pt idx="291">
                  <c:v>42021</c:v>
                </c:pt>
                <c:pt idx="292">
                  <c:v>42022</c:v>
                </c:pt>
                <c:pt idx="293">
                  <c:v>42023</c:v>
                </c:pt>
                <c:pt idx="294">
                  <c:v>42024</c:v>
                </c:pt>
                <c:pt idx="295">
                  <c:v>42025</c:v>
                </c:pt>
                <c:pt idx="296">
                  <c:v>42026</c:v>
                </c:pt>
                <c:pt idx="297">
                  <c:v>42027</c:v>
                </c:pt>
                <c:pt idx="298">
                  <c:v>42028</c:v>
                </c:pt>
                <c:pt idx="299">
                  <c:v>42029</c:v>
                </c:pt>
                <c:pt idx="300">
                  <c:v>42030</c:v>
                </c:pt>
                <c:pt idx="301">
                  <c:v>42031</c:v>
                </c:pt>
                <c:pt idx="302">
                  <c:v>42032</c:v>
                </c:pt>
                <c:pt idx="303">
                  <c:v>42033</c:v>
                </c:pt>
                <c:pt idx="304">
                  <c:v>42034</c:v>
                </c:pt>
                <c:pt idx="305">
                  <c:v>42035</c:v>
                </c:pt>
                <c:pt idx="306">
                  <c:v>42036</c:v>
                </c:pt>
                <c:pt idx="307">
                  <c:v>42037</c:v>
                </c:pt>
                <c:pt idx="308">
                  <c:v>42038</c:v>
                </c:pt>
                <c:pt idx="309">
                  <c:v>42039</c:v>
                </c:pt>
                <c:pt idx="310">
                  <c:v>42040</c:v>
                </c:pt>
                <c:pt idx="311">
                  <c:v>42041</c:v>
                </c:pt>
                <c:pt idx="312">
                  <c:v>42042</c:v>
                </c:pt>
                <c:pt idx="313">
                  <c:v>42043</c:v>
                </c:pt>
                <c:pt idx="314">
                  <c:v>42044</c:v>
                </c:pt>
                <c:pt idx="315">
                  <c:v>42045</c:v>
                </c:pt>
                <c:pt idx="316">
                  <c:v>42046</c:v>
                </c:pt>
                <c:pt idx="317">
                  <c:v>42047</c:v>
                </c:pt>
                <c:pt idx="318">
                  <c:v>42048</c:v>
                </c:pt>
                <c:pt idx="319">
                  <c:v>42049</c:v>
                </c:pt>
                <c:pt idx="320">
                  <c:v>42050</c:v>
                </c:pt>
                <c:pt idx="321">
                  <c:v>42051</c:v>
                </c:pt>
                <c:pt idx="322">
                  <c:v>42052</c:v>
                </c:pt>
                <c:pt idx="323">
                  <c:v>42053</c:v>
                </c:pt>
                <c:pt idx="324">
                  <c:v>42054</c:v>
                </c:pt>
                <c:pt idx="325">
                  <c:v>42055</c:v>
                </c:pt>
                <c:pt idx="326">
                  <c:v>42056</c:v>
                </c:pt>
                <c:pt idx="327">
                  <c:v>42057</c:v>
                </c:pt>
                <c:pt idx="328">
                  <c:v>42058</c:v>
                </c:pt>
                <c:pt idx="329">
                  <c:v>42059</c:v>
                </c:pt>
                <c:pt idx="330">
                  <c:v>42060</c:v>
                </c:pt>
                <c:pt idx="331">
                  <c:v>42061</c:v>
                </c:pt>
                <c:pt idx="332">
                  <c:v>42062</c:v>
                </c:pt>
                <c:pt idx="333">
                  <c:v>42063</c:v>
                </c:pt>
                <c:pt idx="334">
                  <c:v>42064</c:v>
                </c:pt>
                <c:pt idx="335">
                  <c:v>42065</c:v>
                </c:pt>
                <c:pt idx="336">
                  <c:v>42066</c:v>
                </c:pt>
                <c:pt idx="337">
                  <c:v>42067</c:v>
                </c:pt>
                <c:pt idx="338">
                  <c:v>42068</c:v>
                </c:pt>
                <c:pt idx="339">
                  <c:v>42069</c:v>
                </c:pt>
                <c:pt idx="340">
                  <c:v>42070</c:v>
                </c:pt>
                <c:pt idx="341">
                  <c:v>42071</c:v>
                </c:pt>
                <c:pt idx="342">
                  <c:v>42072</c:v>
                </c:pt>
                <c:pt idx="343">
                  <c:v>42073</c:v>
                </c:pt>
                <c:pt idx="344">
                  <c:v>42074</c:v>
                </c:pt>
                <c:pt idx="345">
                  <c:v>42075</c:v>
                </c:pt>
                <c:pt idx="346">
                  <c:v>42076</c:v>
                </c:pt>
                <c:pt idx="347">
                  <c:v>42077</c:v>
                </c:pt>
                <c:pt idx="348">
                  <c:v>42078</c:v>
                </c:pt>
                <c:pt idx="349">
                  <c:v>42079</c:v>
                </c:pt>
                <c:pt idx="350">
                  <c:v>42080</c:v>
                </c:pt>
                <c:pt idx="351">
                  <c:v>42081</c:v>
                </c:pt>
                <c:pt idx="352">
                  <c:v>42082</c:v>
                </c:pt>
                <c:pt idx="353">
                  <c:v>42083</c:v>
                </c:pt>
                <c:pt idx="354">
                  <c:v>42084</c:v>
                </c:pt>
                <c:pt idx="355">
                  <c:v>42085</c:v>
                </c:pt>
                <c:pt idx="356">
                  <c:v>42086</c:v>
                </c:pt>
                <c:pt idx="357">
                  <c:v>42087</c:v>
                </c:pt>
                <c:pt idx="358">
                  <c:v>42088</c:v>
                </c:pt>
                <c:pt idx="359">
                  <c:v>42089</c:v>
                </c:pt>
                <c:pt idx="360">
                  <c:v>42090</c:v>
                </c:pt>
                <c:pt idx="361">
                  <c:v>42091</c:v>
                </c:pt>
                <c:pt idx="362">
                  <c:v>42092</c:v>
                </c:pt>
                <c:pt idx="363">
                  <c:v>42093</c:v>
                </c:pt>
                <c:pt idx="364">
                  <c:v>42094</c:v>
                </c:pt>
              </c:numCache>
            </c:numRef>
          </c:cat>
          <c:val>
            <c:numRef>
              <c:f>シャコ!$M$3:$M$367</c:f>
              <c:numCache>
                <c:formatCode>0</c:formatCode>
                <c:ptCount val="365"/>
                <c:pt idx="0">
                  <c:v>50425.58</c:v>
                </c:pt>
                <c:pt idx="1">
                  <c:v>50300.15</c:v>
                </c:pt>
                <c:pt idx="2">
                  <c:v>50175.040000000001</c:v>
                </c:pt>
                <c:pt idx="3">
                  <c:v>50050.239999999998</c:v>
                </c:pt>
                <c:pt idx="4">
                  <c:v>49925.75</c:v>
                </c:pt>
                <c:pt idx="5">
                  <c:v>49801.57</c:v>
                </c:pt>
                <c:pt idx="6">
                  <c:v>49677.7</c:v>
                </c:pt>
                <c:pt idx="7">
                  <c:v>49554.13</c:v>
                </c:pt>
                <c:pt idx="8">
                  <c:v>49430.879999999997</c:v>
                </c:pt>
                <c:pt idx="9">
                  <c:v>49307.93</c:v>
                </c:pt>
                <c:pt idx="10">
                  <c:v>49185.279999999999</c:v>
                </c:pt>
                <c:pt idx="11">
                  <c:v>49062.94</c:v>
                </c:pt>
                <c:pt idx="12">
                  <c:v>48940.91</c:v>
                </c:pt>
                <c:pt idx="13">
                  <c:v>48819.18</c:v>
                </c:pt>
                <c:pt idx="14">
                  <c:v>48697.75</c:v>
                </c:pt>
                <c:pt idx="15">
                  <c:v>48576.62</c:v>
                </c:pt>
                <c:pt idx="16">
                  <c:v>48455.8</c:v>
                </c:pt>
                <c:pt idx="17">
                  <c:v>48335.27</c:v>
                </c:pt>
                <c:pt idx="18">
                  <c:v>48215.05</c:v>
                </c:pt>
                <c:pt idx="19">
                  <c:v>48095.12</c:v>
                </c:pt>
                <c:pt idx="20">
                  <c:v>47975.49</c:v>
                </c:pt>
                <c:pt idx="21">
                  <c:v>47856.160000000003</c:v>
                </c:pt>
                <c:pt idx="22">
                  <c:v>47737.13</c:v>
                </c:pt>
                <c:pt idx="23">
                  <c:v>47618.39</c:v>
                </c:pt>
                <c:pt idx="24">
                  <c:v>47499.95</c:v>
                </c:pt>
                <c:pt idx="25">
                  <c:v>47381.8</c:v>
                </c:pt>
                <c:pt idx="26">
                  <c:v>47263.95</c:v>
                </c:pt>
                <c:pt idx="27">
                  <c:v>47146.39</c:v>
                </c:pt>
                <c:pt idx="28">
                  <c:v>47029.120000000003</c:v>
                </c:pt>
                <c:pt idx="29">
                  <c:v>46912.15</c:v>
                </c:pt>
                <c:pt idx="30">
                  <c:v>46795.46</c:v>
                </c:pt>
                <c:pt idx="31">
                  <c:v>46679.07</c:v>
                </c:pt>
                <c:pt idx="32">
                  <c:v>46562.96</c:v>
                </c:pt>
                <c:pt idx="33">
                  <c:v>46447.14</c:v>
                </c:pt>
                <c:pt idx="34">
                  <c:v>46331.61</c:v>
                </c:pt>
                <c:pt idx="35">
                  <c:v>46216.37</c:v>
                </c:pt>
                <c:pt idx="36">
                  <c:v>46101.42</c:v>
                </c:pt>
                <c:pt idx="37">
                  <c:v>45986.75</c:v>
                </c:pt>
                <c:pt idx="38">
                  <c:v>45872.37</c:v>
                </c:pt>
                <c:pt idx="39">
                  <c:v>45758.27</c:v>
                </c:pt>
                <c:pt idx="40">
                  <c:v>45644.45</c:v>
                </c:pt>
                <c:pt idx="41">
                  <c:v>45530.92</c:v>
                </c:pt>
                <c:pt idx="42">
                  <c:v>45417.67</c:v>
                </c:pt>
                <c:pt idx="43">
                  <c:v>45304.7</c:v>
                </c:pt>
                <c:pt idx="44">
                  <c:v>45192.02</c:v>
                </c:pt>
                <c:pt idx="45">
                  <c:v>45079.61</c:v>
                </c:pt>
                <c:pt idx="46">
                  <c:v>44967.48</c:v>
                </c:pt>
                <c:pt idx="47">
                  <c:v>44855.63</c:v>
                </c:pt>
                <c:pt idx="48">
                  <c:v>44744.06</c:v>
                </c:pt>
                <c:pt idx="49">
                  <c:v>44632.77</c:v>
                </c:pt>
                <c:pt idx="50">
                  <c:v>44521.760000000002</c:v>
                </c:pt>
                <c:pt idx="51">
                  <c:v>44411.02</c:v>
                </c:pt>
                <c:pt idx="52">
                  <c:v>44300.55</c:v>
                </c:pt>
                <c:pt idx="53">
                  <c:v>44190.36</c:v>
                </c:pt>
                <c:pt idx="54">
                  <c:v>44080.45</c:v>
                </c:pt>
                <c:pt idx="55">
                  <c:v>43970.81</c:v>
                </c:pt>
                <c:pt idx="56">
                  <c:v>43861.440000000002</c:v>
                </c:pt>
                <c:pt idx="57">
                  <c:v>43752.34</c:v>
                </c:pt>
                <c:pt idx="58">
                  <c:v>43643.51</c:v>
                </c:pt>
                <c:pt idx="59">
                  <c:v>43534.96</c:v>
                </c:pt>
                <c:pt idx="60">
                  <c:v>43426.67</c:v>
                </c:pt>
                <c:pt idx="61">
                  <c:v>43126.42</c:v>
                </c:pt>
                <c:pt idx="62">
                  <c:v>43019.16</c:v>
                </c:pt>
                <c:pt idx="63">
                  <c:v>42740.11</c:v>
                </c:pt>
                <c:pt idx="64">
                  <c:v>42633.8</c:v>
                </c:pt>
                <c:pt idx="65">
                  <c:v>42357.97</c:v>
                </c:pt>
                <c:pt idx="66">
                  <c:v>42252.62</c:v>
                </c:pt>
                <c:pt idx="67">
                  <c:v>41973.46</c:v>
                </c:pt>
                <c:pt idx="68">
                  <c:v>41869.06</c:v>
                </c:pt>
                <c:pt idx="69">
                  <c:v>41592.71</c:v>
                </c:pt>
                <c:pt idx="70">
                  <c:v>41489.26</c:v>
                </c:pt>
                <c:pt idx="71">
                  <c:v>41203.269999999997</c:v>
                </c:pt>
                <c:pt idx="72">
                  <c:v>41100.78</c:v>
                </c:pt>
                <c:pt idx="73">
                  <c:v>40811.800000000003</c:v>
                </c:pt>
                <c:pt idx="74">
                  <c:v>40707.42</c:v>
                </c:pt>
                <c:pt idx="75">
                  <c:v>40411.379999999997</c:v>
                </c:pt>
                <c:pt idx="76">
                  <c:v>40285.599999999999</c:v>
                </c:pt>
                <c:pt idx="77">
                  <c:v>39958.51</c:v>
                </c:pt>
                <c:pt idx="78">
                  <c:v>39784.25</c:v>
                </c:pt>
                <c:pt idx="79">
                  <c:v>39322.32</c:v>
                </c:pt>
                <c:pt idx="80">
                  <c:v>39126.269999999997</c:v>
                </c:pt>
                <c:pt idx="81">
                  <c:v>38742.32</c:v>
                </c:pt>
                <c:pt idx="82">
                  <c:v>38606.69</c:v>
                </c:pt>
                <c:pt idx="83">
                  <c:v>38243.26</c:v>
                </c:pt>
                <c:pt idx="84">
                  <c:v>38133.64</c:v>
                </c:pt>
                <c:pt idx="85">
                  <c:v>37768.400000000001</c:v>
                </c:pt>
                <c:pt idx="86">
                  <c:v>37673.68</c:v>
                </c:pt>
                <c:pt idx="87">
                  <c:v>37311.89</c:v>
                </c:pt>
                <c:pt idx="88">
                  <c:v>37217.5</c:v>
                </c:pt>
                <c:pt idx="89">
                  <c:v>36854.04</c:v>
                </c:pt>
                <c:pt idx="90">
                  <c:v>36759.96</c:v>
                </c:pt>
                <c:pt idx="91">
                  <c:v>36319.35</c:v>
                </c:pt>
                <c:pt idx="92">
                  <c:v>36224.230000000003</c:v>
                </c:pt>
                <c:pt idx="93">
                  <c:v>35813.07</c:v>
                </c:pt>
                <c:pt idx="94">
                  <c:v>35721.910000000003</c:v>
                </c:pt>
                <c:pt idx="95">
                  <c:v>35327.19</c:v>
                </c:pt>
                <c:pt idx="96">
                  <c:v>35226.79</c:v>
                </c:pt>
                <c:pt idx="97">
                  <c:v>34825.769999999997</c:v>
                </c:pt>
                <c:pt idx="98">
                  <c:v>34734.559999999998</c:v>
                </c:pt>
                <c:pt idx="99">
                  <c:v>34343.160000000003</c:v>
                </c:pt>
                <c:pt idx="100">
                  <c:v>34254.75</c:v>
                </c:pt>
                <c:pt idx="101">
                  <c:v>33861.21</c:v>
                </c:pt>
                <c:pt idx="102">
                  <c:v>33771.629999999997</c:v>
                </c:pt>
                <c:pt idx="103">
                  <c:v>33394.910000000003</c:v>
                </c:pt>
                <c:pt idx="104">
                  <c:v>33310.339999999997</c:v>
                </c:pt>
                <c:pt idx="105">
                  <c:v>32924.699999999997</c:v>
                </c:pt>
                <c:pt idx="106">
                  <c:v>32829.550000000003</c:v>
                </c:pt>
                <c:pt idx="107">
                  <c:v>32381.64</c:v>
                </c:pt>
                <c:pt idx="108">
                  <c:v>32284.02</c:v>
                </c:pt>
                <c:pt idx="109">
                  <c:v>31896.799999999999</c:v>
                </c:pt>
                <c:pt idx="110">
                  <c:v>31814.12</c:v>
                </c:pt>
                <c:pt idx="111">
                  <c:v>31415.51</c:v>
                </c:pt>
                <c:pt idx="112">
                  <c:v>31336.26</c:v>
                </c:pt>
                <c:pt idx="113">
                  <c:v>30918.91</c:v>
                </c:pt>
                <c:pt idx="114">
                  <c:v>30834.3</c:v>
                </c:pt>
                <c:pt idx="115">
                  <c:v>30413.89</c:v>
                </c:pt>
                <c:pt idx="116">
                  <c:v>30300.18</c:v>
                </c:pt>
                <c:pt idx="117">
                  <c:v>29861.54</c:v>
                </c:pt>
                <c:pt idx="118">
                  <c:v>29776.36</c:v>
                </c:pt>
                <c:pt idx="119">
                  <c:v>29322.23</c:v>
                </c:pt>
                <c:pt idx="120">
                  <c:v>29228.35</c:v>
                </c:pt>
                <c:pt idx="121">
                  <c:v>28764.15</c:v>
                </c:pt>
                <c:pt idx="122">
                  <c:v>28668.400000000001</c:v>
                </c:pt>
                <c:pt idx="123">
                  <c:v>28175.68</c:v>
                </c:pt>
                <c:pt idx="124">
                  <c:v>28077.03</c:v>
                </c:pt>
                <c:pt idx="125">
                  <c:v>27467.39</c:v>
                </c:pt>
                <c:pt idx="126">
                  <c:v>27295.66</c:v>
                </c:pt>
                <c:pt idx="127">
                  <c:v>26792.34</c:v>
                </c:pt>
                <c:pt idx="128">
                  <c:v>26700.37</c:v>
                </c:pt>
                <c:pt idx="129">
                  <c:v>26220.13</c:v>
                </c:pt>
                <c:pt idx="130">
                  <c:v>26124.97</c:v>
                </c:pt>
                <c:pt idx="131">
                  <c:v>25665.52</c:v>
                </c:pt>
                <c:pt idx="132">
                  <c:v>25596.47</c:v>
                </c:pt>
                <c:pt idx="133">
                  <c:v>25158.720000000001</c:v>
                </c:pt>
                <c:pt idx="134">
                  <c:v>25032.78</c:v>
                </c:pt>
                <c:pt idx="135">
                  <c:v>24569.9</c:v>
                </c:pt>
                <c:pt idx="136">
                  <c:v>24467.84</c:v>
                </c:pt>
                <c:pt idx="137">
                  <c:v>23967.11</c:v>
                </c:pt>
                <c:pt idx="138">
                  <c:v>23904.41</c:v>
                </c:pt>
                <c:pt idx="139">
                  <c:v>23518.400000000001</c:v>
                </c:pt>
                <c:pt idx="140">
                  <c:v>23418.959999999999</c:v>
                </c:pt>
                <c:pt idx="141">
                  <c:v>22792.21</c:v>
                </c:pt>
                <c:pt idx="142">
                  <c:v>22722.51</c:v>
                </c:pt>
                <c:pt idx="143">
                  <c:v>22361.63</c:v>
                </c:pt>
                <c:pt idx="144">
                  <c:v>22301.75</c:v>
                </c:pt>
                <c:pt idx="145">
                  <c:v>21958.07</c:v>
                </c:pt>
                <c:pt idx="146">
                  <c:v>21895.22</c:v>
                </c:pt>
                <c:pt idx="147">
                  <c:v>21558.45</c:v>
                </c:pt>
                <c:pt idx="148">
                  <c:v>21503.06</c:v>
                </c:pt>
                <c:pt idx="149">
                  <c:v>21163.21</c:v>
                </c:pt>
                <c:pt idx="150">
                  <c:v>21107.64</c:v>
                </c:pt>
                <c:pt idx="151">
                  <c:v>20784.28</c:v>
                </c:pt>
                <c:pt idx="152">
                  <c:v>20724.89</c:v>
                </c:pt>
                <c:pt idx="153">
                  <c:v>20453.57</c:v>
                </c:pt>
                <c:pt idx="154">
                  <c:v>20393.54</c:v>
                </c:pt>
                <c:pt idx="155">
                  <c:v>20092.25</c:v>
                </c:pt>
                <c:pt idx="156">
                  <c:v>20040.400000000001</c:v>
                </c:pt>
                <c:pt idx="157">
                  <c:v>19751.189999999999</c:v>
                </c:pt>
                <c:pt idx="158">
                  <c:v>19700.37</c:v>
                </c:pt>
                <c:pt idx="159">
                  <c:v>19380.5</c:v>
                </c:pt>
                <c:pt idx="160">
                  <c:v>19131.419999999998</c:v>
                </c:pt>
                <c:pt idx="161">
                  <c:v>18636.93</c:v>
                </c:pt>
                <c:pt idx="162">
                  <c:v>18474.62</c:v>
                </c:pt>
                <c:pt idx="163">
                  <c:v>18196.64</c:v>
                </c:pt>
                <c:pt idx="164">
                  <c:v>18145.63</c:v>
                </c:pt>
                <c:pt idx="165">
                  <c:v>17883.2</c:v>
                </c:pt>
                <c:pt idx="166">
                  <c:v>17816.82</c:v>
                </c:pt>
                <c:pt idx="167">
                  <c:v>17550.18</c:v>
                </c:pt>
                <c:pt idx="168">
                  <c:v>17495.55</c:v>
                </c:pt>
                <c:pt idx="169">
                  <c:v>17242.72</c:v>
                </c:pt>
                <c:pt idx="170">
                  <c:v>17193.03</c:v>
                </c:pt>
                <c:pt idx="171">
                  <c:v>16931.45</c:v>
                </c:pt>
                <c:pt idx="172">
                  <c:v>16879.37</c:v>
                </c:pt>
                <c:pt idx="173">
                  <c:v>16633.259999999998</c:v>
                </c:pt>
                <c:pt idx="174">
                  <c:v>16591.560000000001</c:v>
                </c:pt>
                <c:pt idx="175">
                  <c:v>16351.08</c:v>
                </c:pt>
                <c:pt idx="176">
                  <c:v>16309.72</c:v>
                </c:pt>
                <c:pt idx="177">
                  <c:v>16063.25</c:v>
                </c:pt>
                <c:pt idx="178">
                  <c:v>16020.54</c:v>
                </c:pt>
                <c:pt idx="179">
                  <c:v>15758.15</c:v>
                </c:pt>
                <c:pt idx="180">
                  <c:v>15672.65</c:v>
                </c:pt>
                <c:pt idx="181">
                  <c:v>15409.97</c:v>
                </c:pt>
                <c:pt idx="182">
                  <c:v>15369.78</c:v>
                </c:pt>
                <c:pt idx="183">
                  <c:v>15117.02</c:v>
                </c:pt>
                <c:pt idx="184">
                  <c:v>15077.73</c:v>
                </c:pt>
                <c:pt idx="185">
                  <c:v>14827.61</c:v>
                </c:pt>
                <c:pt idx="186">
                  <c:v>14789</c:v>
                </c:pt>
                <c:pt idx="187">
                  <c:v>14555.66</c:v>
                </c:pt>
                <c:pt idx="188">
                  <c:v>14519.1</c:v>
                </c:pt>
                <c:pt idx="189">
                  <c:v>14286.12</c:v>
                </c:pt>
                <c:pt idx="190">
                  <c:v>14213.43</c:v>
                </c:pt>
                <c:pt idx="191">
                  <c:v>13984.2</c:v>
                </c:pt>
                <c:pt idx="192">
                  <c:v>13947.13</c:v>
                </c:pt>
                <c:pt idx="193">
                  <c:v>13715.36</c:v>
                </c:pt>
                <c:pt idx="194">
                  <c:v>13648.53</c:v>
                </c:pt>
                <c:pt idx="195">
                  <c:v>13421.46</c:v>
                </c:pt>
                <c:pt idx="196">
                  <c:v>13385.48</c:v>
                </c:pt>
                <c:pt idx="197">
                  <c:v>13167.05</c:v>
                </c:pt>
                <c:pt idx="198">
                  <c:v>13131.69</c:v>
                </c:pt>
                <c:pt idx="199">
                  <c:v>12922.85</c:v>
                </c:pt>
                <c:pt idx="200">
                  <c:v>12890.71</c:v>
                </c:pt>
                <c:pt idx="201">
                  <c:v>12674.75</c:v>
                </c:pt>
                <c:pt idx="202">
                  <c:v>12643.23</c:v>
                </c:pt>
                <c:pt idx="203">
                  <c:v>12417.92</c:v>
                </c:pt>
                <c:pt idx="204">
                  <c:v>12383.96</c:v>
                </c:pt>
                <c:pt idx="205">
                  <c:v>12113.03</c:v>
                </c:pt>
                <c:pt idx="206">
                  <c:v>12082.42</c:v>
                </c:pt>
                <c:pt idx="207">
                  <c:v>11818.46</c:v>
                </c:pt>
                <c:pt idx="208">
                  <c:v>11789.06</c:v>
                </c:pt>
                <c:pt idx="209">
                  <c:v>11531.56</c:v>
                </c:pt>
                <c:pt idx="210">
                  <c:v>11502.82</c:v>
                </c:pt>
                <c:pt idx="211">
                  <c:v>11256.07</c:v>
                </c:pt>
                <c:pt idx="212">
                  <c:v>11228.06</c:v>
                </c:pt>
                <c:pt idx="213">
                  <c:v>10991.98</c:v>
                </c:pt>
                <c:pt idx="214">
                  <c:v>10964.64</c:v>
                </c:pt>
                <c:pt idx="215">
                  <c:v>10739.96</c:v>
                </c:pt>
                <c:pt idx="216">
                  <c:v>10713.25</c:v>
                </c:pt>
                <c:pt idx="217">
                  <c:v>10498.29</c:v>
                </c:pt>
                <c:pt idx="218">
                  <c:v>10472.17</c:v>
                </c:pt>
                <c:pt idx="219">
                  <c:v>10263.49</c:v>
                </c:pt>
                <c:pt idx="220">
                  <c:v>10237.969999999999</c:v>
                </c:pt>
                <c:pt idx="221">
                  <c:v>10036.75</c:v>
                </c:pt>
                <c:pt idx="222">
                  <c:v>10011.77</c:v>
                </c:pt>
                <c:pt idx="223">
                  <c:v>9816.61</c:v>
                </c:pt>
                <c:pt idx="224">
                  <c:v>9792.2000000000007</c:v>
                </c:pt>
                <c:pt idx="225">
                  <c:v>9603.67</c:v>
                </c:pt>
                <c:pt idx="226">
                  <c:v>9579.7800000000007</c:v>
                </c:pt>
                <c:pt idx="227">
                  <c:v>9398.23</c:v>
                </c:pt>
                <c:pt idx="228">
                  <c:v>9374.85</c:v>
                </c:pt>
                <c:pt idx="229">
                  <c:v>9198.0300000000007</c:v>
                </c:pt>
                <c:pt idx="230">
                  <c:v>9175.15</c:v>
                </c:pt>
                <c:pt idx="231">
                  <c:v>9004.49</c:v>
                </c:pt>
                <c:pt idx="232">
                  <c:v>8982.09</c:v>
                </c:pt>
                <c:pt idx="233">
                  <c:v>8816.3799999999992</c:v>
                </c:pt>
                <c:pt idx="234">
                  <c:v>8794.4500000000007</c:v>
                </c:pt>
                <c:pt idx="235">
                  <c:v>8631.89</c:v>
                </c:pt>
                <c:pt idx="236">
                  <c:v>8610.41</c:v>
                </c:pt>
                <c:pt idx="237">
                  <c:v>8452.9</c:v>
                </c:pt>
                <c:pt idx="238">
                  <c:v>8431.8799999999992</c:v>
                </c:pt>
                <c:pt idx="239">
                  <c:v>8275.09</c:v>
                </c:pt>
                <c:pt idx="240">
                  <c:v>8254.51</c:v>
                </c:pt>
                <c:pt idx="241">
                  <c:v>8102.89</c:v>
                </c:pt>
                <c:pt idx="242">
                  <c:v>8082.74</c:v>
                </c:pt>
                <c:pt idx="243">
                  <c:v>7931.19</c:v>
                </c:pt>
                <c:pt idx="244">
                  <c:v>7911.47</c:v>
                </c:pt>
                <c:pt idx="245">
                  <c:v>7805.45</c:v>
                </c:pt>
                <c:pt idx="246">
                  <c:v>7786.03</c:v>
                </c:pt>
                <c:pt idx="247">
                  <c:v>7678.48</c:v>
                </c:pt>
                <c:pt idx="248">
                  <c:v>7659.38</c:v>
                </c:pt>
                <c:pt idx="249">
                  <c:v>7552.51</c:v>
                </c:pt>
                <c:pt idx="250">
                  <c:v>7533.73</c:v>
                </c:pt>
                <c:pt idx="251">
                  <c:v>7427.27</c:v>
                </c:pt>
                <c:pt idx="252">
                  <c:v>7408.8</c:v>
                </c:pt>
                <c:pt idx="253">
                  <c:v>7303.12</c:v>
                </c:pt>
                <c:pt idx="254">
                  <c:v>7284.96</c:v>
                </c:pt>
                <c:pt idx="255">
                  <c:v>7179.87</c:v>
                </c:pt>
                <c:pt idx="256">
                  <c:v>7162.01</c:v>
                </c:pt>
                <c:pt idx="257">
                  <c:v>7057.9</c:v>
                </c:pt>
                <c:pt idx="258">
                  <c:v>7040.35</c:v>
                </c:pt>
                <c:pt idx="259">
                  <c:v>6937.49</c:v>
                </c:pt>
                <c:pt idx="260">
                  <c:v>6920.24</c:v>
                </c:pt>
                <c:pt idx="261">
                  <c:v>6818.17</c:v>
                </c:pt>
                <c:pt idx="262">
                  <c:v>6801.21</c:v>
                </c:pt>
                <c:pt idx="263">
                  <c:v>6699.75</c:v>
                </c:pt>
                <c:pt idx="264">
                  <c:v>6683.08</c:v>
                </c:pt>
                <c:pt idx="265">
                  <c:v>6583.02</c:v>
                </c:pt>
                <c:pt idx="266">
                  <c:v>6566.65</c:v>
                </c:pt>
                <c:pt idx="267">
                  <c:v>6468.12</c:v>
                </c:pt>
                <c:pt idx="268">
                  <c:v>6452.03</c:v>
                </c:pt>
                <c:pt idx="269">
                  <c:v>6354.59</c:v>
                </c:pt>
                <c:pt idx="270">
                  <c:v>6338.78</c:v>
                </c:pt>
                <c:pt idx="271">
                  <c:v>6241.23</c:v>
                </c:pt>
                <c:pt idx="272">
                  <c:v>6225.7</c:v>
                </c:pt>
                <c:pt idx="273">
                  <c:v>6130.89</c:v>
                </c:pt>
                <c:pt idx="274">
                  <c:v>6115.64</c:v>
                </c:pt>
                <c:pt idx="275">
                  <c:v>6050.15</c:v>
                </c:pt>
                <c:pt idx="276">
                  <c:v>6035.1</c:v>
                </c:pt>
                <c:pt idx="277">
                  <c:v>5969.02</c:v>
                </c:pt>
                <c:pt idx="278">
                  <c:v>5954.17</c:v>
                </c:pt>
                <c:pt idx="279">
                  <c:v>5887.74</c:v>
                </c:pt>
                <c:pt idx="280">
                  <c:v>5873.09</c:v>
                </c:pt>
                <c:pt idx="281">
                  <c:v>5807.35</c:v>
                </c:pt>
                <c:pt idx="282">
                  <c:v>5792.9</c:v>
                </c:pt>
                <c:pt idx="283">
                  <c:v>5727.35</c:v>
                </c:pt>
                <c:pt idx="284">
                  <c:v>5713.11</c:v>
                </c:pt>
                <c:pt idx="285">
                  <c:v>5648.32</c:v>
                </c:pt>
                <c:pt idx="286">
                  <c:v>5634.27</c:v>
                </c:pt>
                <c:pt idx="287">
                  <c:v>5569.61</c:v>
                </c:pt>
                <c:pt idx="288">
                  <c:v>5555.76</c:v>
                </c:pt>
                <c:pt idx="289">
                  <c:v>5492.53</c:v>
                </c:pt>
                <c:pt idx="290">
                  <c:v>5478.87</c:v>
                </c:pt>
                <c:pt idx="291">
                  <c:v>5415.19</c:v>
                </c:pt>
                <c:pt idx="292">
                  <c:v>5401.73</c:v>
                </c:pt>
                <c:pt idx="293">
                  <c:v>5338.91</c:v>
                </c:pt>
                <c:pt idx="294">
                  <c:v>5325.63</c:v>
                </c:pt>
                <c:pt idx="295">
                  <c:v>5263.09</c:v>
                </c:pt>
                <c:pt idx="296">
                  <c:v>5250</c:v>
                </c:pt>
                <c:pt idx="297">
                  <c:v>5187.13</c:v>
                </c:pt>
                <c:pt idx="298">
                  <c:v>5174.2299999999996</c:v>
                </c:pt>
                <c:pt idx="299">
                  <c:v>5113.68</c:v>
                </c:pt>
                <c:pt idx="300">
                  <c:v>5100.96</c:v>
                </c:pt>
                <c:pt idx="301">
                  <c:v>5039.37</c:v>
                </c:pt>
                <c:pt idx="302">
                  <c:v>5026.84</c:v>
                </c:pt>
                <c:pt idx="303">
                  <c:v>4966.25</c:v>
                </c:pt>
                <c:pt idx="304">
                  <c:v>4953.8999999999996</c:v>
                </c:pt>
                <c:pt idx="305">
                  <c:v>4893.47</c:v>
                </c:pt>
                <c:pt idx="306">
                  <c:v>4881.3</c:v>
                </c:pt>
                <c:pt idx="307">
                  <c:v>4826.62</c:v>
                </c:pt>
                <c:pt idx="308">
                  <c:v>4814.62</c:v>
                </c:pt>
                <c:pt idx="309">
                  <c:v>4764.07</c:v>
                </c:pt>
                <c:pt idx="310">
                  <c:v>4752.22</c:v>
                </c:pt>
                <c:pt idx="311">
                  <c:v>4700.2700000000004</c:v>
                </c:pt>
                <c:pt idx="312">
                  <c:v>4688.58</c:v>
                </c:pt>
                <c:pt idx="313">
                  <c:v>4638.3599999999997</c:v>
                </c:pt>
                <c:pt idx="314">
                  <c:v>4626.82</c:v>
                </c:pt>
                <c:pt idx="315">
                  <c:v>4576.71</c:v>
                </c:pt>
                <c:pt idx="316">
                  <c:v>4565.33</c:v>
                </c:pt>
                <c:pt idx="317">
                  <c:v>4515.33</c:v>
                </c:pt>
                <c:pt idx="318">
                  <c:v>4504.1000000000004</c:v>
                </c:pt>
                <c:pt idx="319">
                  <c:v>4455.58</c:v>
                </c:pt>
                <c:pt idx="320">
                  <c:v>4444.5</c:v>
                </c:pt>
                <c:pt idx="321">
                  <c:v>4395.92</c:v>
                </c:pt>
                <c:pt idx="322">
                  <c:v>4384.99</c:v>
                </c:pt>
                <c:pt idx="323">
                  <c:v>4336.09</c:v>
                </c:pt>
                <c:pt idx="324">
                  <c:v>4325.3100000000004</c:v>
                </c:pt>
                <c:pt idx="325">
                  <c:v>4277.7700000000004</c:v>
                </c:pt>
                <c:pt idx="326">
                  <c:v>4267.13</c:v>
                </c:pt>
                <c:pt idx="327">
                  <c:v>4221.72</c:v>
                </c:pt>
                <c:pt idx="328">
                  <c:v>4211.21</c:v>
                </c:pt>
                <c:pt idx="329">
                  <c:v>4166.22</c:v>
                </c:pt>
                <c:pt idx="330">
                  <c:v>4155.8500000000004</c:v>
                </c:pt>
                <c:pt idx="331">
                  <c:v>4109.7299999999996</c:v>
                </c:pt>
                <c:pt idx="332">
                  <c:v>4099.51</c:v>
                </c:pt>
                <c:pt idx="333">
                  <c:v>4054.39</c:v>
                </c:pt>
                <c:pt idx="334">
                  <c:v>4044.3</c:v>
                </c:pt>
                <c:pt idx="335">
                  <c:v>3961.75</c:v>
                </c:pt>
                <c:pt idx="336">
                  <c:v>3951.89</c:v>
                </c:pt>
                <c:pt idx="337">
                  <c:v>3876.97</c:v>
                </c:pt>
                <c:pt idx="338">
                  <c:v>3867.33</c:v>
                </c:pt>
                <c:pt idx="339">
                  <c:v>3795.5</c:v>
                </c:pt>
                <c:pt idx="340">
                  <c:v>3786.06</c:v>
                </c:pt>
                <c:pt idx="341">
                  <c:v>3719.12</c:v>
                </c:pt>
                <c:pt idx="342">
                  <c:v>3709.87</c:v>
                </c:pt>
                <c:pt idx="343">
                  <c:v>3641.64</c:v>
                </c:pt>
                <c:pt idx="344">
                  <c:v>3632.58</c:v>
                </c:pt>
                <c:pt idx="345">
                  <c:v>3568.45</c:v>
                </c:pt>
                <c:pt idx="346">
                  <c:v>3559.57</c:v>
                </c:pt>
                <c:pt idx="347">
                  <c:v>3493.5</c:v>
                </c:pt>
                <c:pt idx="348">
                  <c:v>3484.81</c:v>
                </c:pt>
                <c:pt idx="349">
                  <c:v>3421.04</c:v>
                </c:pt>
                <c:pt idx="350">
                  <c:v>3412.53</c:v>
                </c:pt>
                <c:pt idx="351">
                  <c:v>3350.32</c:v>
                </c:pt>
                <c:pt idx="352">
                  <c:v>3341.99</c:v>
                </c:pt>
                <c:pt idx="353">
                  <c:v>3281.12</c:v>
                </c:pt>
                <c:pt idx="354">
                  <c:v>3272.95</c:v>
                </c:pt>
                <c:pt idx="355">
                  <c:v>3211.23</c:v>
                </c:pt>
                <c:pt idx="356">
                  <c:v>3203.25</c:v>
                </c:pt>
                <c:pt idx="357">
                  <c:v>3144.57</c:v>
                </c:pt>
                <c:pt idx="358">
                  <c:v>3136.75</c:v>
                </c:pt>
                <c:pt idx="359">
                  <c:v>3078.38</c:v>
                </c:pt>
                <c:pt idx="360">
                  <c:v>3070.72</c:v>
                </c:pt>
                <c:pt idx="361">
                  <c:v>3012.25</c:v>
                </c:pt>
                <c:pt idx="362">
                  <c:v>3004.75</c:v>
                </c:pt>
                <c:pt idx="363">
                  <c:v>2949.1</c:v>
                </c:pt>
                <c:pt idx="364">
                  <c:v>2941.77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0-484E-AF23-A4B88B8F6EFE}"/>
            </c:ext>
          </c:extLst>
        </c:ser>
        <c:ser>
          <c:idx val="2"/>
          <c:order val="1"/>
          <c:tx>
            <c:v>3年目級群</c:v>
          </c:tx>
          <c:spPr>
            <a:solidFill>
              <a:srgbClr val="00CC00"/>
            </a:solidFill>
            <a:ln w="25400">
              <a:noFill/>
            </a:ln>
            <a:effectLst/>
          </c:spPr>
          <c:val>
            <c:numRef>
              <c:f>シャコ!$T$3:$T$367</c:f>
              <c:numCache>
                <c:formatCode>0</c:formatCode>
                <c:ptCount val="365"/>
                <c:pt idx="0">
                  <c:v>2934.14</c:v>
                </c:pt>
                <c:pt idx="1">
                  <c:v>2844.5</c:v>
                </c:pt>
                <c:pt idx="2">
                  <c:v>2837.42</c:v>
                </c:pt>
                <c:pt idx="3">
                  <c:v>2753.94</c:v>
                </c:pt>
                <c:pt idx="4">
                  <c:v>2747.09</c:v>
                </c:pt>
                <c:pt idx="5">
                  <c:v>2665.46</c:v>
                </c:pt>
                <c:pt idx="6">
                  <c:v>2658.83</c:v>
                </c:pt>
                <c:pt idx="7">
                  <c:v>2581.6</c:v>
                </c:pt>
                <c:pt idx="8">
                  <c:v>2575.1799999999998</c:v>
                </c:pt>
                <c:pt idx="9">
                  <c:v>2497.9</c:v>
                </c:pt>
                <c:pt idx="10">
                  <c:v>2491.69</c:v>
                </c:pt>
                <c:pt idx="11">
                  <c:v>2418.7800000000002</c:v>
                </c:pt>
                <c:pt idx="12">
                  <c:v>2412.77</c:v>
                </c:pt>
                <c:pt idx="13">
                  <c:v>2340.96</c:v>
                </c:pt>
                <c:pt idx="14">
                  <c:v>2335.14</c:v>
                </c:pt>
                <c:pt idx="15">
                  <c:v>2265.29</c:v>
                </c:pt>
                <c:pt idx="16">
                  <c:v>2259.65</c:v>
                </c:pt>
                <c:pt idx="17">
                  <c:v>2192.84</c:v>
                </c:pt>
                <c:pt idx="18">
                  <c:v>2187.38</c:v>
                </c:pt>
                <c:pt idx="19">
                  <c:v>2122.81</c:v>
                </c:pt>
                <c:pt idx="20">
                  <c:v>2117.5300000000002</c:v>
                </c:pt>
                <c:pt idx="21">
                  <c:v>2053.96</c:v>
                </c:pt>
                <c:pt idx="22">
                  <c:v>2048.85</c:v>
                </c:pt>
                <c:pt idx="23">
                  <c:v>1988.16</c:v>
                </c:pt>
                <c:pt idx="24">
                  <c:v>1983.22</c:v>
                </c:pt>
                <c:pt idx="25">
                  <c:v>1924.09</c:v>
                </c:pt>
                <c:pt idx="26">
                  <c:v>1919.3</c:v>
                </c:pt>
                <c:pt idx="27">
                  <c:v>1862.57</c:v>
                </c:pt>
                <c:pt idx="28">
                  <c:v>1857.93</c:v>
                </c:pt>
                <c:pt idx="29">
                  <c:v>1802.91</c:v>
                </c:pt>
                <c:pt idx="30">
                  <c:v>1798.43</c:v>
                </c:pt>
                <c:pt idx="31">
                  <c:v>1749.16</c:v>
                </c:pt>
                <c:pt idx="32">
                  <c:v>1744.81</c:v>
                </c:pt>
                <c:pt idx="33">
                  <c:v>1696.9</c:v>
                </c:pt>
                <c:pt idx="34">
                  <c:v>1692.68</c:v>
                </c:pt>
                <c:pt idx="35">
                  <c:v>1645.64</c:v>
                </c:pt>
                <c:pt idx="36">
                  <c:v>1641.55</c:v>
                </c:pt>
                <c:pt idx="37">
                  <c:v>1596.32</c:v>
                </c:pt>
                <c:pt idx="38">
                  <c:v>1592.35</c:v>
                </c:pt>
                <c:pt idx="39">
                  <c:v>1548.5</c:v>
                </c:pt>
                <c:pt idx="40">
                  <c:v>1544.65</c:v>
                </c:pt>
                <c:pt idx="41">
                  <c:v>1501.29</c:v>
                </c:pt>
                <c:pt idx="42">
                  <c:v>1497.56</c:v>
                </c:pt>
                <c:pt idx="43">
                  <c:v>1455.89</c:v>
                </c:pt>
                <c:pt idx="44">
                  <c:v>1452.27</c:v>
                </c:pt>
                <c:pt idx="45">
                  <c:v>1412.09</c:v>
                </c:pt>
                <c:pt idx="46">
                  <c:v>1408.58</c:v>
                </c:pt>
                <c:pt idx="47">
                  <c:v>1369.24</c:v>
                </c:pt>
                <c:pt idx="48">
                  <c:v>1365.84</c:v>
                </c:pt>
                <c:pt idx="49">
                  <c:v>1327.76</c:v>
                </c:pt>
                <c:pt idx="50">
                  <c:v>1324.45</c:v>
                </c:pt>
                <c:pt idx="51">
                  <c:v>1287.8599999999999</c:v>
                </c:pt>
                <c:pt idx="52">
                  <c:v>1284.6600000000001</c:v>
                </c:pt>
                <c:pt idx="53">
                  <c:v>1248.4100000000001</c:v>
                </c:pt>
                <c:pt idx="54">
                  <c:v>1245.3</c:v>
                </c:pt>
                <c:pt idx="55">
                  <c:v>1210.68</c:v>
                </c:pt>
                <c:pt idx="56">
                  <c:v>1207.67</c:v>
                </c:pt>
                <c:pt idx="57">
                  <c:v>1173.94</c:v>
                </c:pt>
                <c:pt idx="58">
                  <c:v>1171.02</c:v>
                </c:pt>
                <c:pt idx="59">
                  <c:v>1138.3900000000001</c:v>
                </c:pt>
                <c:pt idx="60">
                  <c:v>1135.55</c:v>
                </c:pt>
                <c:pt idx="61">
                  <c:v>1098.57</c:v>
                </c:pt>
                <c:pt idx="62">
                  <c:v>1095.83</c:v>
                </c:pt>
                <c:pt idx="63">
                  <c:v>1058.32</c:v>
                </c:pt>
                <c:pt idx="64">
                  <c:v>1055.68</c:v>
                </c:pt>
                <c:pt idx="65">
                  <c:v>1019.55</c:v>
                </c:pt>
                <c:pt idx="66">
                  <c:v>1017.01</c:v>
                </c:pt>
                <c:pt idx="67">
                  <c:v>982.75</c:v>
                </c:pt>
                <c:pt idx="68">
                  <c:v>980.31</c:v>
                </c:pt>
                <c:pt idx="69">
                  <c:v>946.39</c:v>
                </c:pt>
                <c:pt idx="70">
                  <c:v>944.04</c:v>
                </c:pt>
                <c:pt idx="71">
                  <c:v>912.39</c:v>
                </c:pt>
                <c:pt idx="72">
                  <c:v>910.12</c:v>
                </c:pt>
                <c:pt idx="73">
                  <c:v>878.06</c:v>
                </c:pt>
                <c:pt idx="74">
                  <c:v>875.82</c:v>
                </c:pt>
                <c:pt idx="75">
                  <c:v>843.97</c:v>
                </c:pt>
                <c:pt idx="76">
                  <c:v>841.43</c:v>
                </c:pt>
                <c:pt idx="77">
                  <c:v>810.92</c:v>
                </c:pt>
                <c:pt idx="78">
                  <c:v>807.42</c:v>
                </c:pt>
                <c:pt idx="79">
                  <c:v>773.46</c:v>
                </c:pt>
                <c:pt idx="80">
                  <c:v>769.62</c:v>
                </c:pt>
                <c:pt idx="81">
                  <c:v>737.35</c:v>
                </c:pt>
                <c:pt idx="82">
                  <c:v>734.69</c:v>
                </c:pt>
                <c:pt idx="83">
                  <c:v>704.39</c:v>
                </c:pt>
                <c:pt idx="84">
                  <c:v>702.45</c:v>
                </c:pt>
                <c:pt idx="85">
                  <c:v>673.55</c:v>
                </c:pt>
                <c:pt idx="86">
                  <c:v>671.86</c:v>
                </c:pt>
                <c:pt idx="87">
                  <c:v>644.96</c:v>
                </c:pt>
                <c:pt idx="88">
                  <c:v>643.32000000000005</c:v>
                </c:pt>
                <c:pt idx="89">
                  <c:v>618.79</c:v>
                </c:pt>
                <c:pt idx="90">
                  <c:v>617.23</c:v>
                </c:pt>
                <c:pt idx="91">
                  <c:v>598.67999999999995</c:v>
                </c:pt>
                <c:pt idx="92">
                  <c:v>597.13</c:v>
                </c:pt>
                <c:pt idx="93">
                  <c:v>577.92999999999995</c:v>
                </c:pt>
                <c:pt idx="94">
                  <c:v>576.47</c:v>
                </c:pt>
                <c:pt idx="95">
                  <c:v>557.52</c:v>
                </c:pt>
                <c:pt idx="96">
                  <c:v>556.04999999999995</c:v>
                </c:pt>
                <c:pt idx="97">
                  <c:v>539.47</c:v>
                </c:pt>
                <c:pt idx="98">
                  <c:v>538.08000000000004</c:v>
                </c:pt>
                <c:pt idx="99">
                  <c:v>521.54</c:v>
                </c:pt>
                <c:pt idx="100">
                  <c:v>520.21</c:v>
                </c:pt>
                <c:pt idx="101">
                  <c:v>504.77</c:v>
                </c:pt>
                <c:pt idx="102">
                  <c:v>503.49</c:v>
                </c:pt>
                <c:pt idx="103">
                  <c:v>489.39</c:v>
                </c:pt>
                <c:pt idx="104">
                  <c:v>488.15</c:v>
                </c:pt>
                <c:pt idx="105">
                  <c:v>474.1</c:v>
                </c:pt>
                <c:pt idx="106">
                  <c:v>472.82</c:v>
                </c:pt>
                <c:pt idx="107">
                  <c:v>460.34</c:v>
                </c:pt>
                <c:pt idx="108">
                  <c:v>459.01</c:v>
                </c:pt>
                <c:pt idx="109">
                  <c:v>445.25</c:v>
                </c:pt>
                <c:pt idx="110">
                  <c:v>444.11</c:v>
                </c:pt>
                <c:pt idx="111">
                  <c:v>431.52</c:v>
                </c:pt>
                <c:pt idx="112">
                  <c:v>430.44</c:v>
                </c:pt>
                <c:pt idx="113">
                  <c:v>418.95</c:v>
                </c:pt>
                <c:pt idx="114">
                  <c:v>417.86</c:v>
                </c:pt>
                <c:pt idx="115">
                  <c:v>406.03</c:v>
                </c:pt>
                <c:pt idx="116">
                  <c:v>404.53</c:v>
                </c:pt>
                <c:pt idx="117">
                  <c:v>392.57</c:v>
                </c:pt>
                <c:pt idx="118">
                  <c:v>391.53</c:v>
                </c:pt>
                <c:pt idx="119">
                  <c:v>381.32</c:v>
                </c:pt>
                <c:pt idx="120">
                  <c:v>380.27</c:v>
                </c:pt>
                <c:pt idx="121">
                  <c:v>369.96</c:v>
                </c:pt>
                <c:pt idx="122">
                  <c:v>368.85</c:v>
                </c:pt>
                <c:pt idx="123">
                  <c:v>358.57</c:v>
                </c:pt>
                <c:pt idx="124">
                  <c:v>357.38</c:v>
                </c:pt>
                <c:pt idx="125">
                  <c:v>348.75</c:v>
                </c:pt>
                <c:pt idx="126">
                  <c:v>347.35</c:v>
                </c:pt>
                <c:pt idx="127">
                  <c:v>337.69</c:v>
                </c:pt>
                <c:pt idx="128">
                  <c:v>336.32</c:v>
                </c:pt>
                <c:pt idx="129">
                  <c:v>326.48</c:v>
                </c:pt>
                <c:pt idx="130">
                  <c:v>325.19</c:v>
                </c:pt>
                <c:pt idx="131">
                  <c:v>317.72000000000003</c:v>
                </c:pt>
                <c:pt idx="132">
                  <c:v>316.88</c:v>
                </c:pt>
                <c:pt idx="133">
                  <c:v>310.35000000000002</c:v>
                </c:pt>
                <c:pt idx="134">
                  <c:v>308.98</c:v>
                </c:pt>
                <c:pt idx="135">
                  <c:v>303.29000000000002</c:v>
                </c:pt>
                <c:pt idx="136">
                  <c:v>302.39999999999998</c:v>
                </c:pt>
                <c:pt idx="137">
                  <c:v>296.60000000000002</c:v>
                </c:pt>
                <c:pt idx="138">
                  <c:v>295.83</c:v>
                </c:pt>
                <c:pt idx="139">
                  <c:v>289.86</c:v>
                </c:pt>
                <c:pt idx="140">
                  <c:v>288.04000000000002</c:v>
                </c:pt>
                <c:pt idx="141">
                  <c:v>276.89</c:v>
                </c:pt>
                <c:pt idx="142">
                  <c:v>276.06</c:v>
                </c:pt>
                <c:pt idx="143">
                  <c:v>271.68</c:v>
                </c:pt>
                <c:pt idx="144">
                  <c:v>270.92</c:v>
                </c:pt>
                <c:pt idx="145">
                  <c:v>266.49</c:v>
                </c:pt>
                <c:pt idx="146">
                  <c:v>265.58999999999997</c:v>
                </c:pt>
                <c:pt idx="147">
                  <c:v>261.52</c:v>
                </c:pt>
                <c:pt idx="148">
                  <c:v>260.86</c:v>
                </c:pt>
                <c:pt idx="149">
                  <c:v>257.29000000000002</c:v>
                </c:pt>
                <c:pt idx="150">
                  <c:v>256.63</c:v>
                </c:pt>
                <c:pt idx="151">
                  <c:v>252.5</c:v>
                </c:pt>
                <c:pt idx="152">
                  <c:v>251.75</c:v>
                </c:pt>
                <c:pt idx="153">
                  <c:v>248.34</c:v>
                </c:pt>
                <c:pt idx="154">
                  <c:v>247.65</c:v>
                </c:pt>
                <c:pt idx="155">
                  <c:v>245.06</c:v>
                </c:pt>
                <c:pt idx="156">
                  <c:v>244.43</c:v>
                </c:pt>
                <c:pt idx="157">
                  <c:v>241.77</c:v>
                </c:pt>
                <c:pt idx="158">
                  <c:v>241.16</c:v>
                </c:pt>
                <c:pt idx="159">
                  <c:v>237.93</c:v>
                </c:pt>
                <c:pt idx="160">
                  <c:v>236.41</c:v>
                </c:pt>
                <c:pt idx="161">
                  <c:v>228.17</c:v>
                </c:pt>
                <c:pt idx="162">
                  <c:v>226.1</c:v>
                </c:pt>
                <c:pt idx="163">
                  <c:v>224.02</c:v>
                </c:pt>
                <c:pt idx="164">
                  <c:v>223.43</c:v>
                </c:pt>
                <c:pt idx="165">
                  <c:v>220.9</c:v>
                </c:pt>
                <c:pt idx="166">
                  <c:v>219.88</c:v>
                </c:pt>
                <c:pt idx="167">
                  <c:v>217.37</c:v>
                </c:pt>
                <c:pt idx="168">
                  <c:v>216.67</c:v>
                </c:pt>
                <c:pt idx="169">
                  <c:v>214.43</c:v>
                </c:pt>
                <c:pt idx="170">
                  <c:v>213.88</c:v>
                </c:pt>
                <c:pt idx="171">
                  <c:v>211.53</c:v>
                </c:pt>
                <c:pt idx="172">
                  <c:v>210.92</c:v>
                </c:pt>
                <c:pt idx="173">
                  <c:v>207.23</c:v>
                </c:pt>
                <c:pt idx="174">
                  <c:v>206.72</c:v>
                </c:pt>
                <c:pt idx="175">
                  <c:v>203.47</c:v>
                </c:pt>
                <c:pt idx="176">
                  <c:v>202.95</c:v>
                </c:pt>
                <c:pt idx="177">
                  <c:v>199.46</c:v>
                </c:pt>
                <c:pt idx="178">
                  <c:v>198.93</c:v>
                </c:pt>
                <c:pt idx="179">
                  <c:v>194.61</c:v>
                </c:pt>
                <c:pt idx="180">
                  <c:v>193.25</c:v>
                </c:pt>
                <c:pt idx="181">
                  <c:v>189.47</c:v>
                </c:pt>
                <c:pt idx="182">
                  <c:v>188.98</c:v>
                </c:pt>
                <c:pt idx="183">
                  <c:v>185.23</c:v>
                </c:pt>
                <c:pt idx="184">
                  <c:v>184.73</c:v>
                </c:pt>
                <c:pt idx="185">
                  <c:v>181.6</c:v>
                </c:pt>
                <c:pt idx="186">
                  <c:v>181.12</c:v>
                </c:pt>
                <c:pt idx="187">
                  <c:v>178.36</c:v>
                </c:pt>
                <c:pt idx="188">
                  <c:v>177.91</c:v>
                </c:pt>
                <c:pt idx="189">
                  <c:v>175.12</c:v>
                </c:pt>
                <c:pt idx="190">
                  <c:v>173.85</c:v>
                </c:pt>
                <c:pt idx="191">
                  <c:v>171.3</c:v>
                </c:pt>
                <c:pt idx="192">
                  <c:v>170.85</c:v>
                </c:pt>
                <c:pt idx="193">
                  <c:v>167.68</c:v>
                </c:pt>
                <c:pt idx="194">
                  <c:v>166.63</c:v>
                </c:pt>
                <c:pt idx="195">
                  <c:v>163.88</c:v>
                </c:pt>
                <c:pt idx="196">
                  <c:v>163.41999999999999</c:v>
                </c:pt>
                <c:pt idx="197">
                  <c:v>160.88</c:v>
                </c:pt>
                <c:pt idx="198">
                  <c:v>160.44999999999999</c:v>
                </c:pt>
                <c:pt idx="199">
                  <c:v>158.12</c:v>
                </c:pt>
                <c:pt idx="200">
                  <c:v>157.72999999999999</c:v>
                </c:pt>
                <c:pt idx="201">
                  <c:v>155.15</c:v>
                </c:pt>
                <c:pt idx="202">
                  <c:v>154.76</c:v>
                </c:pt>
                <c:pt idx="203">
                  <c:v>151.94</c:v>
                </c:pt>
                <c:pt idx="204">
                  <c:v>151.54</c:v>
                </c:pt>
                <c:pt idx="205">
                  <c:v>147.22</c:v>
                </c:pt>
                <c:pt idx="206">
                  <c:v>146.84</c:v>
                </c:pt>
                <c:pt idx="207">
                  <c:v>142.87</c:v>
                </c:pt>
                <c:pt idx="208">
                  <c:v>142.52000000000001</c:v>
                </c:pt>
                <c:pt idx="209">
                  <c:v>138.69999999999999</c:v>
                </c:pt>
                <c:pt idx="210">
                  <c:v>138.36000000000001</c:v>
                </c:pt>
                <c:pt idx="211">
                  <c:v>134.47</c:v>
                </c:pt>
                <c:pt idx="212">
                  <c:v>134.13</c:v>
                </c:pt>
                <c:pt idx="213">
                  <c:v>130.38</c:v>
                </c:pt>
                <c:pt idx="214">
                  <c:v>130.06</c:v>
                </c:pt>
                <c:pt idx="215">
                  <c:v>126.5</c:v>
                </c:pt>
                <c:pt idx="216">
                  <c:v>126.18</c:v>
                </c:pt>
                <c:pt idx="217">
                  <c:v>122.89</c:v>
                </c:pt>
                <c:pt idx="218">
                  <c:v>122.59</c:v>
                </c:pt>
                <c:pt idx="219">
                  <c:v>119.45</c:v>
                </c:pt>
                <c:pt idx="220">
                  <c:v>119.16</c:v>
                </c:pt>
                <c:pt idx="221">
                  <c:v>116.25</c:v>
                </c:pt>
                <c:pt idx="222">
                  <c:v>115.96</c:v>
                </c:pt>
                <c:pt idx="223">
                  <c:v>113.22</c:v>
                </c:pt>
                <c:pt idx="224">
                  <c:v>112.94</c:v>
                </c:pt>
                <c:pt idx="225">
                  <c:v>110.49</c:v>
                </c:pt>
                <c:pt idx="226">
                  <c:v>110.22</c:v>
                </c:pt>
                <c:pt idx="227">
                  <c:v>108.05</c:v>
                </c:pt>
                <c:pt idx="228">
                  <c:v>107.78</c:v>
                </c:pt>
                <c:pt idx="229">
                  <c:v>105.64</c:v>
                </c:pt>
                <c:pt idx="230">
                  <c:v>105.38</c:v>
                </c:pt>
                <c:pt idx="231">
                  <c:v>103.41</c:v>
                </c:pt>
                <c:pt idx="232">
                  <c:v>103.16</c:v>
                </c:pt>
                <c:pt idx="233">
                  <c:v>101.09</c:v>
                </c:pt>
                <c:pt idx="234">
                  <c:v>100.84</c:v>
                </c:pt>
                <c:pt idx="235">
                  <c:v>98.75</c:v>
                </c:pt>
                <c:pt idx="236">
                  <c:v>98.51</c:v>
                </c:pt>
                <c:pt idx="237">
                  <c:v>96.24</c:v>
                </c:pt>
                <c:pt idx="238">
                  <c:v>96</c:v>
                </c:pt>
                <c:pt idx="239">
                  <c:v>93.9</c:v>
                </c:pt>
                <c:pt idx="240">
                  <c:v>93.66</c:v>
                </c:pt>
                <c:pt idx="241">
                  <c:v>91.4</c:v>
                </c:pt>
                <c:pt idx="242">
                  <c:v>91.18</c:v>
                </c:pt>
                <c:pt idx="243">
                  <c:v>89.01</c:v>
                </c:pt>
                <c:pt idx="244">
                  <c:v>88.79</c:v>
                </c:pt>
                <c:pt idx="245">
                  <c:v>86.91</c:v>
                </c:pt>
                <c:pt idx="246">
                  <c:v>86.7</c:v>
                </c:pt>
                <c:pt idx="247">
                  <c:v>84.79</c:v>
                </c:pt>
                <c:pt idx="248">
                  <c:v>84.58</c:v>
                </c:pt>
                <c:pt idx="249">
                  <c:v>82.79</c:v>
                </c:pt>
                <c:pt idx="250">
                  <c:v>82.58</c:v>
                </c:pt>
                <c:pt idx="251">
                  <c:v>80.77</c:v>
                </c:pt>
                <c:pt idx="252">
                  <c:v>80.569999999999993</c:v>
                </c:pt>
                <c:pt idx="253">
                  <c:v>78.92</c:v>
                </c:pt>
                <c:pt idx="254">
                  <c:v>78.72</c:v>
                </c:pt>
                <c:pt idx="255">
                  <c:v>77.010000000000005</c:v>
                </c:pt>
                <c:pt idx="256">
                  <c:v>76.819999999999993</c:v>
                </c:pt>
                <c:pt idx="257">
                  <c:v>75.25</c:v>
                </c:pt>
                <c:pt idx="258">
                  <c:v>75.06</c:v>
                </c:pt>
                <c:pt idx="259">
                  <c:v>73.39</c:v>
                </c:pt>
                <c:pt idx="260">
                  <c:v>73.2</c:v>
                </c:pt>
                <c:pt idx="261">
                  <c:v>71.72</c:v>
                </c:pt>
                <c:pt idx="262">
                  <c:v>71.540000000000006</c:v>
                </c:pt>
                <c:pt idx="263">
                  <c:v>69.900000000000006</c:v>
                </c:pt>
                <c:pt idx="264">
                  <c:v>69.73</c:v>
                </c:pt>
                <c:pt idx="265">
                  <c:v>68.33</c:v>
                </c:pt>
                <c:pt idx="266">
                  <c:v>68.16</c:v>
                </c:pt>
                <c:pt idx="267">
                  <c:v>66.62</c:v>
                </c:pt>
                <c:pt idx="268">
                  <c:v>66.45</c:v>
                </c:pt>
                <c:pt idx="269">
                  <c:v>65.12</c:v>
                </c:pt>
                <c:pt idx="270">
                  <c:v>64.959999999999994</c:v>
                </c:pt>
                <c:pt idx="271">
                  <c:v>63.42</c:v>
                </c:pt>
                <c:pt idx="272">
                  <c:v>63.26</c:v>
                </c:pt>
                <c:pt idx="273">
                  <c:v>62.01</c:v>
                </c:pt>
                <c:pt idx="274">
                  <c:v>61.85</c:v>
                </c:pt>
                <c:pt idx="275">
                  <c:v>60.94</c:v>
                </c:pt>
                <c:pt idx="276">
                  <c:v>60.79</c:v>
                </c:pt>
                <c:pt idx="277">
                  <c:v>59.84</c:v>
                </c:pt>
                <c:pt idx="278">
                  <c:v>59.69</c:v>
                </c:pt>
                <c:pt idx="279">
                  <c:v>58.58</c:v>
                </c:pt>
                <c:pt idx="280">
                  <c:v>58.43</c:v>
                </c:pt>
                <c:pt idx="281">
                  <c:v>57.43</c:v>
                </c:pt>
                <c:pt idx="282">
                  <c:v>57.28</c:v>
                </c:pt>
                <c:pt idx="283">
                  <c:v>56.19</c:v>
                </c:pt>
                <c:pt idx="284">
                  <c:v>56.05</c:v>
                </c:pt>
                <c:pt idx="285">
                  <c:v>55.08</c:v>
                </c:pt>
                <c:pt idx="286">
                  <c:v>54.94</c:v>
                </c:pt>
                <c:pt idx="287">
                  <c:v>54</c:v>
                </c:pt>
                <c:pt idx="288">
                  <c:v>53.86</c:v>
                </c:pt>
                <c:pt idx="289">
                  <c:v>52.91</c:v>
                </c:pt>
                <c:pt idx="290">
                  <c:v>52.78</c:v>
                </c:pt>
                <c:pt idx="291">
                  <c:v>51.96</c:v>
                </c:pt>
                <c:pt idx="292">
                  <c:v>51.83</c:v>
                </c:pt>
                <c:pt idx="293">
                  <c:v>50.93</c:v>
                </c:pt>
                <c:pt idx="294">
                  <c:v>50.8</c:v>
                </c:pt>
                <c:pt idx="295">
                  <c:v>50</c:v>
                </c:pt>
                <c:pt idx="296">
                  <c:v>49.88</c:v>
                </c:pt>
                <c:pt idx="297">
                  <c:v>49</c:v>
                </c:pt>
                <c:pt idx="298">
                  <c:v>48.88</c:v>
                </c:pt>
                <c:pt idx="299">
                  <c:v>48.13</c:v>
                </c:pt>
                <c:pt idx="300">
                  <c:v>48.01</c:v>
                </c:pt>
                <c:pt idx="301">
                  <c:v>47.1</c:v>
                </c:pt>
                <c:pt idx="302">
                  <c:v>46.98</c:v>
                </c:pt>
                <c:pt idx="303">
                  <c:v>46.27</c:v>
                </c:pt>
                <c:pt idx="304">
                  <c:v>46.15</c:v>
                </c:pt>
                <c:pt idx="305">
                  <c:v>45.44</c:v>
                </c:pt>
                <c:pt idx="306">
                  <c:v>45.33</c:v>
                </c:pt>
                <c:pt idx="307">
                  <c:v>44.51</c:v>
                </c:pt>
                <c:pt idx="308">
                  <c:v>44.4</c:v>
                </c:pt>
                <c:pt idx="309">
                  <c:v>43.82</c:v>
                </c:pt>
                <c:pt idx="310">
                  <c:v>43.71</c:v>
                </c:pt>
                <c:pt idx="311">
                  <c:v>43.05</c:v>
                </c:pt>
                <c:pt idx="312">
                  <c:v>42.94</c:v>
                </c:pt>
                <c:pt idx="313">
                  <c:v>42.29</c:v>
                </c:pt>
                <c:pt idx="314">
                  <c:v>42.18</c:v>
                </c:pt>
                <c:pt idx="315">
                  <c:v>41.58</c:v>
                </c:pt>
                <c:pt idx="316">
                  <c:v>41.48</c:v>
                </c:pt>
                <c:pt idx="317">
                  <c:v>40.82</c:v>
                </c:pt>
                <c:pt idx="318">
                  <c:v>40.72</c:v>
                </c:pt>
                <c:pt idx="319">
                  <c:v>40.14</c:v>
                </c:pt>
                <c:pt idx="320">
                  <c:v>40.04</c:v>
                </c:pt>
                <c:pt idx="321">
                  <c:v>39.43</c:v>
                </c:pt>
                <c:pt idx="322">
                  <c:v>39.340000000000003</c:v>
                </c:pt>
                <c:pt idx="323">
                  <c:v>38.799999999999997</c:v>
                </c:pt>
                <c:pt idx="324">
                  <c:v>38.71</c:v>
                </c:pt>
                <c:pt idx="325">
                  <c:v>38.11</c:v>
                </c:pt>
                <c:pt idx="326">
                  <c:v>38.020000000000003</c:v>
                </c:pt>
                <c:pt idx="327">
                  <c:v>37.56</c:v>
                </c:pt>
                <c:pt idx="328">
                  <c:v>37.47</c:v>
                </c:pt>
                <c:pt idx="329">
                  <c:v>37.020000000000003</c:v>
                </c:pt>
                <c:pt idx="330">
                  <c:v>36.93</c:v>
                </c:pt>
                <c:pt idx="331">
                  <c:v>36.409999999999997</c:v>
                </c:pt>
                <c:pt idx="332">
                  <c:v>36.32</c:v>
                </c:pt>
                <c:pt idx="333">
                  <c:v>35.86</c:v>
                </c:pt>
                <c:pt idx="334">
                  <c:v>35.770000000000003</c:v>
                </c:pt>
                <c:pt idx="335">
                  <c:v>35.18</c:v>
                </c:pt>
                <c:pt idx="336">
                  <c:v>35.090000000000003</c:v>
                </c:pt>
                <c:pt idx="337">
                  <c:v>34.270000000000003</c:v>
                </c:pt>
                <c:pt idx="338">
                  <c:v>34.18</c:v>
                </c:pt>
                <c:pt idx="339">
                  <c:v>33.61</c:v>
                </c:pt>
                <c:pt idx="340">
                  <c:v>33.53</c:v>
                </c:pt>
                <c:pt idx="341">
                  <c:v>32.92</c:v>
                </c:pt>
                <c:pt idx="342">
                  <c:v>32.840000000000003</c:v>
                </c:pt>
                <c:pt idx="343">
                  <c:v>32.159999999999997</c:v>
                </c:pt>
                <c:pt idx="344">
                  <c:v>32.08</c:v>
                </c:pt>
                <c:pt idx="345">
                  <c:v>31.48</c:v>
                </c:pt>
                <c:pt idx="346">
                  <c:v>31.41</c:v>
                </c:pt>
                <c:pt idx="347">
                  <c:v>30.83</c:v>
                </c:pt>
                <c:pt idx="348">
                  <c:v>30.75</c:v>
                </c:pt>
                <c:pt idx="349">
                  <c:v>30.08</c:v>
                </c:pt>
                <c:pt idx="350">
                  <c:v>30</c:v>
                </c:pt>
                <c:pt idx="351">
                  <c:v>29.49</c:v>
                </c:pt>
                <c:pt idx="352">
                  <c:v>29.42</c:v>
                </c:pt>
                <c:pt idx="353">
                  <c:v>28.88</c:v>
                </c:pt>
                <c:pt idx="354">
                  <c:v>28.81</c:v>
                </c:pt>
                <c:pt idx="355">
                  <c:v>28.22</c:v>
                </c:pt>
                <c:pt idx="356">
                  <c:v>28.15</c:v>
                </c:pt>
                <c:pt idx="357">
                  <c:v>27.66</c:v>
                </c:pt>
                <c:pt idx="358">
                  <c:v>27.6</c:v>
                </c:pt>
                <c:pt idx="359">
                  <c:v>27.02</c:v>
                </c:pt>
                <c:pt idx="360">
                  <c:v>26.95</c:v>
                </c:pt>
                <c:pt idx="361">
                  <c:v>26.46</c:v>
                </c:pt>
                <c:pt idx="362">
                  <c:v>26.39</c:v>
                </c:pt>
                <c:pt idx="363">
                  <c:v>25.93</c:v>
                </c:pt>
                <c:pt idx="364">
                  <c:v>25.86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0-484E-AF23-A4B88B8F6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79651232"/>
        <c:axId val="-1879644160"/>
      </c:areaChart>
      <c:dateAx>
        <c:axId val="-1879651232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79644160"/>
        <c:crosses val="autoZero"/>
        <c:auto val="1"/>
        <c:lblOffset val="100"/>
        <c:baseTimeUnit val="days"/>
      </c:dateAx>
      <c:valAx>
        <c:axId val="-187964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個体数</a:t>
                </a:r>
                <a:r>
                  <a:rPr lang="en-US" altLang="ja-JP"/>
                  <a:t>(</a:t>
                </a:r>
                <a:r>
                  <a:rPr lang="ja-JP" altLang="en-US"/>
                  <a:t>相対値</a:t>
                </a:r>
                <a:r>
                  <a:rPr lang="en-US" altLang="ja-JP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7965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535446241410486"/>
          <c:y val="0.88995155111202684"/>
          <c:w val="0.56792685699258161"/>
          <c:h val="6.02759066811041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v>1年目級群</c:v>
          </c:tx>
          <c:spPr>
            <a:solidFill>
              <a:srgbClr val="0066FF"/>
            </a:solidFill>
            <a:ln>
              <a:noFill/>
            </a:ln>
            <a:effectLst/>
          </c:spPr>
          <c:cat>
            <c:numRef>
              <c:f>シャコ!$A$3:$A$367</c:f>
              <c:numCache>
                <c:formatCode>m/d/yyyy</c:formatCode>
                <c:ptCount val="365"/>
                <c:pt idx="0">
                  <c:v>41730</c:v>
                </c:pt>
                <c:pt idx="1">
                  <c:v>41731</c:v>
                </c:pt>
                <c:pt idx="2">
                  <c:v>41732</c:v>
                </c:pt>
                <c:pt idx="3">
                  <c:v>41733</c:v>
                </c:pt>
                <c:pt idx="4">
                  <c:v>41734</c:v>
                </c:pt>
                <c:pt idx="5">
                  <c:v>41735</c:v>
                </c:pt>
                <c:pt idx="6">
                  <c:v>41736</c:v>
                </c:pt>
                <c:pt idx="7">
                  <c:v>41737</c:v>
                </c:pt>
                <c:pt idx="8">
                  <c:v>41738</c:v>
                </c:pt>
                <c:pt idx="9">
                  <c:v>41739</c:v>
                </c:pt>
                <c:pt idx="10">
                  <c:v>41740</c:v>
                </c:pt>
                <c:pt idx="11">
                  <c:v>41741</c:v>
                </c:pt>
                <c:pt idx="12">
                  <c:v>41742</c:v>
                </c:pt>
                <c:pt idx="13">
                  <c:v>41743</c:v>
                </c:pt>
                <c:pt idx="14">
                  <c:v>41744</c:v>
                </c:pt>
                <c:pt idx="15">
                  <c:v>41745</c:v>
                </c:pt>
                <c:pt idx="16">
                  <c:v>41746</c:v>
                </c:pt>
                <c:pt idx="17">
                  <c:v>41747</c:v>
                </c:pt>
                <c:pt idx="18">
                  <c:v>41748</c:v>
                </c:pt>
                <c:pt idx="19">
                  <c:v>41749</c:v>
                </c:pt>
                <c:pt idx="20">
                  <c:v>41750</c:v>
                </c:pt>
                <c:pt idx="21">
                  <c:v>41751</c:v>
                </c:pt>
                <c:pt idx="22">
                  <c:v>41752</c:v>
                </c:pt>
                <c:pt idx="23">
                  <c:v>41753</c:v>
                </c:pt>
                <c:pt idx="24">
                  <c:v>41754</c:v>
                </c:pt>
                <c:pt idx="25">
                  <c:v>41755</c:v>
                </c:pt>
                <c:pt idx="26">
                  <c:v>41756</c:v>
                </c:pt>
                <c:pt idx="27">
                  <c:v>41757</c:v>
                </c:pt>
                <c:pt idx="28">
                  <c:v>41758</c:v>
                </c:pt>
                <c:pt idx="29">
                  <c:v>41759</c:v>
                </c:pt>
                <c:pt idx="30">
                  <c:v>41760</c:v>
                </c:pt>
                <c:pt idx="31">
                  <c:v>41761</c:v>
                </c:pt>
                <c:pt idx="32">
                  <c:v>41762</c:v>
                </c:pt>
                <c:pt idx="33">
                  <c:v>41763</c:v>
                </c:pt>
                <c:pt idx="34">
                  <c:v>41764</c:v>
                </c:pt>
                <c:pt idx="35">
                  <c:v>41765</c:v>
                </c:pt>
                <c:pt idx="36">
                  <c:v>41766</c:v>
                </c:pt>
                <c:pt idx="37">
                  <c:v>41767</c:v>
                </c:pt>
                <c:pt idx="38">
                  <c:v>41768</c:v>
                </c:pt>
                <c:pt idx="39">
                  <c:v>41769</c:v>
                </c:pt>
                <c:pt idx="40">
                  <c:v>41770</c:v>
                </c:pt>
                <c:pt idx="41">
                  <c:v>41771</c:v>
                </c:pt>
                <c:pt idx="42">
                  <c:v>41772</c:v>
                </c:pt>
                <c:pt idx="43">
                  <c:v>41773</c:v>
                </c:pt>
                <c:pt idx="44">
                  <c:v>41774</c:v>
                </c:pt>
                <c:pt idx="45">
                  <c:v>41775</c:v>
                </c:pt>
                <c:pt idx="46">
                  <c:v>41776</c:v>
                </c:pt>
                <c:pt idx="47">
                  <c:v>41777</c:v>
                </c:pt>
                <c:pt idx="48">
                  <c:v>41778</c:v>
                </c:pt>
                <c:pt idx="49">
                  <c:v>41779</c:v>
                </c:pt>
                <c:pt idx="50">
                  <c:v>41780</c:v>
                </c:pt>
                <c:pt idx="51">
                  <c:v>41781</c:v>
                </c:pt>
                <c:pt idx="52">
                  <c:v>41782</c:v>
                </c:pt>
                <c:pt idx="53">
                  <c:v>41783</c:v>
                </c:pt>
                <c:pt idx="54">
                  <c:v>41784</c:v>
                </c:pt>
                <c:pt idx="55">
                  <c:v>41785</c:v>
                </c:pt>
                <c:pt idx="56">
                  <c:v>41786</c:v>
                </c:pt>
                <c:pt idx="57">
                  <c:v>41787</c:v>
                </c:pt>
                <c:pt idx="58">
                  <c:v>41788</c:v>
                </c:pt>
                <c:pt idx="59">
                  <c:v>41789</c:v>
                </c:pt>
                <c:pt idx="60">
                  <c:v>41790</c:v>
                </c:pt>
                <c:pt idx="61">
                  <c:v>41791</c:v>
                </c:pt>
                <c:pt idx="62">
                  <c:v>41792</c:v>
                </c:pt>
                <c:pt idx="63">
                  <c:v>41793</c:v>
                </c:pt>
                <c:pt idx="64">
                  <c:v>41794</c:v>
                </c:pt>
                <c:pt idx="65">
                  <c:v>41795</c:v>
                </c:pt>
                <c:pt idx="66">
                  <c:v>41796</c:v>
                </c:pt>
                <c:pt idx="67">
                  <c:v>41797</c:v>
                </c:pt>
                <c:pt idx="68">
                  <c:v>41798</c:v>
                </c:pt>
                <c:pt idx="69">
                  <c:v>41799</c:v>
                </c:pt>
                <c:pt idx="70">
                  <c:v>41800</c:v>
                </c:pt>
                <c:pt idx="71">
                  <c:v>41801</c:v>
                </c:pt>
                <c:pt idx="72">
                  <c:v>41802</c:v>
                </c:pt>
                <c:pt idx="73">
                  <c:v>41803</c:v>
                </c:pt>
                <c:pt idx="74">
                  <c:v>41804</c:v>
                </c:pt>
                <c:pt idx="75">
                  <c:v>41805</c:v>
                </c:pt>
                <c:pt idx="76">
                  <c:v>41806</c:v>
                </c:pt>
                <c:pt idx="77">
                  <c:v>41807</c:v>
                </c:pt>
                <c:pt idx="78">
                  <c:v>41808</c:v>
                </c:pt>
                <c:pt idx="79">
                  <c:v>41809</c:v>
                </c:pt>
                <c:pt idx="80">
                  <c:v>41810</c:v>
                </c:pt>
                <c:pt idx="81">
                  <c:v>41811</c:v>
                </c:pt>
                <c:pt idx="82">
                  <c:v>41812</c:v>
                </c:pt>
                <c:pt idx="83">
                  <c:v>41813</c:v>
                </c:pt>
                <c:pt idx="84">
                  <c:v>41814</c:v>
                </c:pt>
                <c:pt idx="85">
                  <c:v>41815</c:v>
                </c:pt>
                <c:pt idx="86">
                  <c:v>41816</c:v>
                </c:pt>
                <c:pt idx="87">
                  <c:v>41817</c:v>
                </c:pt>
                <c:pt idx="88">
                  <c:v>41818</c:v>
                </c:pt>
                <c:pt idx="89">
                  <c:v>41819</c:v>
                </c:pt>
                <c:pt idx="90">
                  <c:v>41820</c:v>
                </c:pt>
                <c:pt idx="91">
                  <c:v>41821</c:v>
                </c:pt>
                <c:pt idx="92">
                  <c:v>41822</c:v>
                </c:pt>
                <c:pt idx="93">
                  <c:v>41823</c:v>
                </c:pt>
                <c:pt idx="94">
                  <c:v>41824</c:v>
                </c:pt>
                <c:pt idx="95">
                  <c:v>41825</c:v>
                </c:pt>
                <c:pt idx="96">
                  <c:v>41826</c:v>
                </c:pt>
                <c:pt idx="97">
                  <c:v>41827</c:v>
                </c:pt>
                <c:pt idx="98">
                  <c:v>41828</c:v>
                </c:pt>
                <c:pt idx="99">
                  <c:v>41829</c:v>
                </c:pt>
                <c:pt idx="100">
                  <c:v>41830</c:v>
                </c:pt>
                <c:pt idx="101">
                  <c:v>41831</c:v>
                </c:pt>
                <c:pt idx="102">
                  <c:v>41832</c:v>
                </c:pt>
                <c:pt idx="103">
                  <c:v>41833</c:v>
                </c:pt>
                <c:pt idx="104">
                  <c:v>41834</c:v>
                </c:pt>
                <c:pt idx="105">
                  <c:v>41835</c:v>
                </c:pt>
                <c:pt idx="106">
                  <c:v>41836</c:v>
                </c:pt>
                <c:pt idx="107">
                  <c:v>41837</c:v>
                </c:pt>
                <c:pt idx="108">
                  <c:v>41838</c:v>
                </c:pt>
                <c:pt idx="109">
                  <c:v>41839</c:v>
                </c:pt>
                <c:pt idx="110">
                  <c:v>41840</c:v>
                </c:pt>
                <c:pt idx="111">
                  <c:v>41841</c:v>
                </c:pt>
                <c:pt idx="112">
                  <c:v>41842</c:v>
                </c:pt>
                <c:pt idx="113">
                  <c:v>41843</c:v>
                </c:pt>
                <c:pt idx="114">
                  <c:v>41844</c:v>
                </c:pt>
                <c:pt idx="115">
                  <c:v>41845</c:v>
                </c:pt>
                <c:pt idx="116">
                  <c:v>41846</c:v>
                </c:pt>
                <c:pt idx="117">
                  <c:v>41847</c:v>
                </c:pt>
                <c:pt idx="118">
                  <c:v>41848</c:v>
                </c:pt>
                <c:pt idx="119">
                  <c:v>41849</c:v>
                </c:pt>
                <c:pt idx="120">
                  <c:v>41850</c:v>
                </c:pt>
                <c:pt idx="121">
                  <c:v>41851</c:v>
                </c:pt>
                <c:pt idx="122">
                  <c:v>41852</c:v>
                </c:pt>
                <c:pt idx="123">
                  <c:v>41853</c:v>
                </c:pt>
                <c:pt idx="124">
                  <c:v>41854</c:v>
                </c:pt>
                <c:pt idx="125">
                  <c:v>41855</c:v>
                </c:pt>
                <c:pt idx="126">
                  <c:v>41856</c:v>
                </c:pt>
                <c:pt idx="127">
                  <c:v>41857</c:v>
                </c:pt>
                <c:pt idx="128">
                  <c:v>41858</c:v>
                </c:pt>
                <c:pt idx="129">
                  <c:v>41859</c:v>
                </c:pt>
                <c:pt idx="130">
                  <c:v>41860</c:v>
                </c:pt>
                <c:pt idx="131">
                  <c:v>41861</c:v>
                </c:pt>
                <c:pt idx="132">
                  <c:v>41862</c:v>
                </c:pt>
                <c:pt idx="133">
                  <c:v>41863</c:v>
                </c:pt>
                <c:pt idx="134">
                  <c:v>41864</c:v>
                </c:pt>
                <c:pt idx="135">
                  <c:v>41865</c:v>
                </c:pt>
                <c:pt idx="136">
                  <c:v>41866</c:v>
                </c:pt>
                <c:pt idx="137">
                  <c:v>41867</c:v>
                </c:pt>
                <c:pt idx="138">
                  <c:v>41868</c:v>
                </c:pt>
                <c:pt idx="139">
                  <c:v>41869</c:v>
                </c:pt>
                <c:pt idx="140">
                  <c:v>41870</c:v>
                </c:pt>
                <c:pt idx="141">
                  <c:v>41871</c:v>
                </c:pt>
                <c:pt idx="142">
                  <c:v>41872</c:v>
                </c:pt>
                <c:pt idx="143">
                  <c:v>41873</c:v>
                </c:pt>
                <c:pt idx="144">
                  <c:v>41874</c:v>
                </c:pt>
                <c:pt idx="145">
                  <c:v>41875</c:v>
                </c:pt>
                <c:pt idx="146">
                  <c:v>41876</c:v>
                </c:pt>
                <c:pt idx="147">
                  <c:v>41877</c:v>
                </c:pt>
                <c:pt idx="148">
                  <c:v>41878</c:v>
                </c:pt>
                <c:pt idx="149">
                  <c:v>41879</c:v>
                </c:pt>
                <c:pt idx="150">
                  <c:v>41880</c:v>
                </c:pt>
                <c:pt idx="151">
                  <c:v>41881</c:v>
                </c:pt>
                <c:pt idx="152">
                  <c:v>41882</c:v>
                </c:pt>
                <c:pt idx="153">
                  <c:v>41883</c:v>
                </c:pt>
                <c:pt idx="154">
                  <c:v>41884</c:v>
                </c:pt>
                <c:pt idx="155">
                  <c:v>41885</c:v>
                </c:pt>
                <c:pt idx="156">
                  <c:v>41886</c:v>
                </c:pt>
                <c:pt idx="157">
                  <c:v>41887</c:v>
                </c:pt>
                <c:pt idx="158">
                  <c:v>41888</c:v>
                </c:pt>
                <c:pt idx="159">
                  <c:v>41889</c:v>
                </c:pt>
                <c:pt idx="160">
                  <c:v>41890</c:v>
                </c:pt>
                <c:pt idx="161">
                  <c:v>41891</c:v>
                </c:pt>
                <c:pt idx="162">
                  <c:v>41892</c:v>
                </c:pt>
                <c:pt idx="163">
                  <c:v>41893</c:v>
                </c:pt>
                <c:pt idx="164">
                  <c:v>41894</c:v>
                </c:pt>
                <c:pt idx="165">
                  <c:v>41895</c:v>
                </c:pt>
                <c:pt idx="166">
                  <c:v>41896</c:v>
                </c:pt>
                <c:pt idx="167">
                  <c:v>41897</c:v>
                </c:pt>
                <c:pt idx="168">
                  <c:v>41898</c:v>
                </c:pt>
                <c:pt idx="169">
                  <c:v>41899</c:v>
                </c:pt>
                <c:pt idx="170">
                  <c:v>41900</c:v>
                </c:pt>
                <c:pt idx="171">
                  <c:v>41901</c:v>
                </c:pt>
                <c:pt idx="172">
                  <c:v>41902</c:v>
                </c:pt>
                <c:pt idx="173">
                  <c:v>41903</c:v>
                </c:pt>
                <c:pt idx="174">
                  <c:v>41904</c:v>
                </c:pt>
                <c:pt idx="175">
                  <c:v>41905</c:v>
                </c:pt>
                <c:pt idx="176">
                  <c:v>41906</c:v>
                </c:pt>
                <c:pt idx="177">
                  <c:v>41907</c:v>
                </c:pt>
                <c:pt idx="178">
                  <c:v>41908</c:v>
                </c:pt>
                <c:pt idx="179">
                  <c:v>41909</c:v>
                </c:pt>
                <c:pt idx="180">
                  <c:v>41910</c:v>
                </c:pt>
                <c:pt idx="181">
                  <c:v>41911</c:v>
                </c:pt>
                <c:pt idx="182">
                  <c:v>41912</c:v>
                </c:pt>
                <c:pt idx="183">
                  <c:v>41913</c:v>
                </c:pt>
                <c:pt idx="184">
                  <c:v>41914</c:v>
                </c:pt>
                <c:pt idx="185">
                  <c:v>41915</c:v>
                </c:pt>
                <c:pt idx="186">
                  <c:v>41916</c:v>
                </c:pt>
                <c:pt idx="187">
                  <c:v>41917</c:v>
                </c:pt>
                <c:pt idx="188">
                  <c:v>41918</c:v>
                </c:pt>
                <c:pt idx="189">
                  <c:v>41919</c:v>
                </c:pt>
                <c:pt idx="190">
                  <c:v>41920</c:v>
                </c:pt>
                <c:pt idx="191">
                  <c:v>41921</c:v>
                </c:pt>
                <c:pt idx="192">
                  <c:v>41922</c:v>
                </c:pt>
                <c:pt idx="193">
                  <c:v>41923</c:v>
                </c:pt>
                <c:pt idx="194">
                  <c:v>41924</c:v>
                </c:pt>
                <c:pt idx="195">
                  <c:v>41925</c:v>
                </c:pt>
                <c:pt idx="196">
                  <c:v>41926</c:v>
                </c:pt>
                <c:pt idx="197">
                  <c:v>41927</c:v>
                </c:pt>
                <c:pt idx="198">
                  <c:v>41928</c:v>
                </c:pt>
                <c:pt idx="199">
                  <c:v>41929</c:v>
                </c:pt>
                <c:pt idx="200">
                  <c:v>41930</c:v>
                </c:pt>
                <c:pt idx="201">
                  <c:v>41931</c:v>
                </c:pt>
                <c:pt idx="202">
                  <c:v>41932</c:v>
                </c:pt>
                <c:pt idx="203">
                  <c:v>41933</c:v>
                </c:pt>
                <c:pt idx="204">
                  <c:v>41934</c:v>
                </c:pt>
                <c:pt idx="205">
                  <c:v>41935</c:v>
                </c:pt>
                <c:pt idx="206">
                  <c:v>41936</c:v>
                </c:pt>
                <c:pt idx="207">
                  <c:v>41937</c:v>
                </c:pt>
                <c:pt idx="208">
                  <c:v>41938</c:v>
                </c:pt>
                <c:pt idx="209">
                  <c:v>41939</c:v>
                </c:pt>
                <c:pt idx="210">
                  <c:v>41940</c:v>
                </c:pt>
                <c:pt idx="211">
                  <c:v>41941</c:v>
                </c:pt>
                <c:pt idx="212">
                  <c:v>41942</c:v>
                </c:pt>
                <c:pt idx="213">
                  <c:v>41943</c:v>
                </c:pt>
                <c:pt idx="214">
                  <c:v>41944</c:v>
                </c:pt>
                <c:pt idx="215">
                  <c:v>41945</c:v>
                </c:pt>
                <c:pt idx="216">
                  <c:v>41946</c:v>
                </c:pt>
                <c:pt idx="217">
                  <c:v>41947</c:v>
                </c:pt>
                <c:pt idx="218">
                  <c:v>41948</c:v>
                </c:pt>
                <c:pt idx="219">
                  <c:v>41949</c:v>
                </c:pt>
                <c:pt idx="220">
                  <c:v>41950</c:v>
                </c:pt>
                <c:pt idx="221">
                  <c:v>41951</c:v>
                </c:pt>
                <c:pt idx="222">
                  <c:v>41952</c:v>
                </c:pt>
                <c:pt idx="223">
                  <c:v>41953</c:v>
                </c:pt>
                <c:pt idx="224">
                  <c:v>41954</c:v>
                </c:pt>
                <c:pt idx="225">
                  <c:v>41955</c:v>
                </c:pt>
                <c:pt idx="226">
                  <c:v>41956</c:v>
                </c:pt>
                <c:pt idx="227">
                  <c:v>41957</c:v>
                </c:pt>
                <c:pt idx="228">
                  <c:v>41958</c:v>
                </c:pt>
                <c:pt idx="229">
                  <c:v>41959</c:v>
                </c:pt>
                <c:pt idx="230">
                  <c:v>41960</c:v>
                </c:pt>
                <c:pt idx="231">
                  <c:v>41961</c:v>
                </c:pt>
                <c:pt idx="232">
                  <c:v>41962</c:v>
                </c:pt>
                <c:pt idx="233">
                  <c:v>41963</c:v>
                </c:pt>
                <c:pt idx="234">
                  <c:v>41964</c:v>
                </c:pt>
                <c:pt idx="235">
                  <c:v>41965</c:v>
                </c:pt>
                <c:pt idx="236">
                  <c:v>41966</c:v>
                </c:pt>
                <c:pt idx="237">
                  <c:v>41967</c:v>
                </c:pt>
                <c:pt idx="238">
                  <c:v>41968</c:v>
                </c:pt>
                <c:pt idx="239">
                  <c:v>41969</c:v>
                </c:pt>
                <c:pt idx="240">
                  <c:v>41970</c:v>
                </c:pt>
                <c:pt idx="241">
                  <c:v>41971</c:v>
                </c:pt>
                <c:pt idx="242">
                  <c:v>41972</c:v>
                </c:pt>
                <c:pt idx="243">
                  <c:v>41973</c:v>
                </c:pt>
                <c:pt idx="244">
                  <c:v>41974</c:v>
                </c:pt>
                <c:pt idx="245">
                  <c:v>41975</c:v>
                </c:pt>
                <c:pt idx="246">
                  <c:v>41976</c:v>
                </c:pt>
                <c:pt idx="247">
                  <c:v>41977</c:v>
                </c:pt>
                <c:pt idx="248">
                  <c:v>41978</c:v>
                </c:pt>
                <c:pt idx="249">
                  <c:v>41979</c:v>
                </c:pt>
                <c:pt idx="250">
                  <c:v>41980</c:v>
                </c:pt>
                <c:pt idx="251">
                  <c:v>41981</c:v>
                </c:pt>
                <c:pt idx="252">
                  <c:v>41982</c:v>
                </c:pt>
                <c:pt idx="253">
                  <c:v>41983</c:v>
                </c:pt>
                <c:pt idx="254">
                  <c:v>41984</c:v>
                </c:pt>
                <c:pt idx="255">
                  <c:v>41985</c:v>
                </c:pt>
                <c:pt idx="256">
                  <c:v>41986</c:v>
                </c:pt>
                <c:pt idx="257">
                  <c:v>41987</c:v>
                </c:pt>
                <c:pt idx="258">
                  <c:v>41988</c:v>
                </c:pt>
                <c:pt idx="259">
                  <c:v>41989</c:v>
                </c:pt>
                <c:pt idx="260">
                  <c:v>41990</c:v>
                </c:pt>
                <c:pt idx="261">
                  <c:v>41991</c:v>
                </c:pt>
                <c:pt idx="262">
                  <c:v>41992</c:v>
                </c:pt>
                <c:pt idx="263">
                  <c:v>41993</c:v>
                </c:pt>
                <c:pt idx="264">
                  <c:v>41994</c:v>
                </c:pt>
                <c:pt idx="265">
                  <c:v>41995</c:v>
                </c:pt>
                <c:pt idx="266">
                  <c:v>41996</c:v>
                </c:pt>
                <c:pt idx="267">
                  <c:v>41997</c:v>
                </c:pt>
                <c:pt idx="268">
                  <c:v>41998</c:v>
                </c:pt>
                <c:pt idx="269">
                  <c:v>41999</c:v>
                </c:pt>
                <c:pt idx="270">
                  <c:v>42000</c:v>
                </c:pt>
                <c:pt idx="271">
                  <c:v>42001</c:v>
                </c:pt>
                <c:pt idx="272">
                  <c:v>42002</c:v>
                </c:pt>
                <c:pt idx="273">
                  <c:v>42003</c:v>
                </c:pt>
                <c:pt idx="274">
                  <c:v>42004</c:v>
                </c:pt>
                <c:pt idx="275">
                  <c:v>42005</c:v>
                </c:pt>
                <c:pt idx="276">
                  <c:v>42006</c:v>
                </c:pt>
                <c:pt idx="277">
                  <c:v>42007</c:v>
                </c:pt>
                <c:pt idx="278">
                  <c:v>42008</c:v>
                </c:pt>
                <c:pt idx="279">
                  <c:v>42009</c:v>
                </c:pt>
                <c:pt idx="280">
                  <c:v>42010</c:v>
                </c:pt>
                <c:pt idx="281">
                  <c:v>42011</c:v>
                </c:pt>
                <c:pt idx="282">
                  <c:v>42012</c:v>
                </c:pt>
                <c:pt idx="283">
                  <c:v>42013</c:v>
                </c:pt>
                <c:pt idx="284">
                  <c:v>42014</c:v>
                </c:pt>
                <c:pt idx="285">
                  <c:v>42015</c:v>
                </c:pt>
                <c:pt idx="286">
                  <c:v>42016</c:v>
                </c:pt>
                <c:pt idx="287">
                  <c:v>42017</c:v>
                </c:pt>
                <c:pt idx="288">
                  <c:v>42018</c:v>
                </c:pt>
                <c:pt idx="289">
                  <c:v>42019</c:v>
                </c:pt>
                <c:pt idx="290">
                  <c:v>42020</c:v>
                </c:pt>
                <c:pt idx="291">
                  <c:v>42021</c:v>
                </c:pt>
                <c:pt idx="292">
                  <c:v>42022</c:v>
                </c:pt>
                <c:pt idx="293">
                  <c:v>42023</c:v>
                </c:pt>
                <c:pt idx="294">
                  <c:v>42024</c:v>
                </c:pt>
                <c:pt idx="295">
                  <c:v>42025</c:v>
                </c:pt>
                <c:pt idx="296">
                  <c:v>42026</c:v>
                </c:pt>
                <c:pt idx="297">
                  <c:v>42027</c:v>
                </c:pt>
                <c:pt idx="298">
                  <c:v>42028</c:v>
                </c:pt>
                <c:pt idx="299">
                  <c:v>42029</c:v>
                </c:pt>
                <c:pt idx="300">
                  <c:v>42030</c:v>
                </c:pt>
                <c:pt idx="301">
                  <c:v>42031</c:v>
                </c:pt>
                <c:pt idx="302">
                  <c:v>42032</c:v>
                </c:pt>
                <c:pt idx="303">
                  <c:v>42033</c:v>
                </c:pt>
                <c:pt idx="304">
                  <c:v>42034</c:v>
                </c:pt>
                <c:pt idx="305">
                  <c:v>42035</c:v>
                </c:pt>
                <c:pt idx="306">
                  <c:v>42036</c:v>
                </c:pt>
                <c:pt idx="307">
                  <c:v>42037</c:v>
                </c:pt>
                <c:pt idx="308">
                  <c:v>42038</c:v>
                </c:pt>
                <c:pt idx="309">
                  <c:v>42039</c:v>
                </c:pt>
                <c:pt idx="310">
                  <c:v>42040</c:v>
                </c:pt>
                <c:pt idx="311">
                  <c:v>42041</c:v>
                </c:pt>
                <c:pt idx="312">
                  <c:v>42042</c:v>
                </c:pt>
                <c:pt idx="313">
                  <c:v>42043</c:v>
                </c:pt>
                <c:pt idx="314">
                  <c:v>42044</c:v>
                </c:pt>
                <c:pt idx="315">
                  <c:v>42045</c:v>
                </c:pt>
                <c:pt idx="316">
                  <c:v>42046</c:v>
                </c:pt>
                <c:pt idx="317">
                  <c:v>42047</c:v>
                </c:pt>
                <c:pt idx="318">
                  <c:v>42048</c:v>
                </c:pt>
                <c:pt idx="319">
                  <c:v>42049</c:v>
                </c:pt>
                <c:pt idx="320">
                  <c:v>42050</c:v>
                </c:pt>
                <c:pt idx="321">
                  <c:v>42051</c:v>
                </c:pt>
                <c:pt idx="322">
                  <c:v>42052</c:v>
                </c:pt>
                <c:pt idx="323">
                  <c:v>42053</c:v>
                </c:pt>
                <c:pt idx="324">
                  <c:v>42054</c:v>
                </c:pt>
                <c:pt idx="325">
                  <c:v>42055</c:v>
                </c:pt>
                <c:pt idx="326">
                  <c:v>42056</c:v>
                </c:pt>
                <c:pt idx="327">
                  <c:v>42057</c:v>
                </c:pt>
                <c:pt idx="328">
                  <c:v>42058</c:v>
                </c:pt>
                <c:pt idx="329">
                  <c:v>42059</c:v>
                </c:pt>
                <c:pt idx="330">
                  <c:v>42060</c:v>
                </c:pt>
                <c:pt idx="331">
                  <c:v>42061</c:v>
                </c:pt>
                <c:pt idx="332">
                  <c:v>42062</c:v>
                </c:pt>
                <c:pt idx="333">
                  <c:v>42063</c:v>
                </c:pt>
                <c:pt idx="334">
                  <c:v>42064</c:v>
                </c:pt>
                <c:pt idx="335">
                  <c:v>42065</c:v>
                </c:pt>
                <c:pt idx="336">
                  <c:v>42066</c:v>
                </c:pt>
                <c:pt idx="337">
                  <c:v>42067</c:v>
                </c:pt>
                <c:pt idx="338">
                  <c:v>42068</c:v>
                </c:pt>
                <c:pt idx="339">
                  <c:v>42069</c:v>
                </c:pt>
                <c:pt idx="340">
                  <c:v>42070</c:v>
                </c:pt>
                <c:pt idx="341">
                  <c:v>42071</c:v>
                </c:pt>
                <c:pt idx="342">
                  <c:v>42072</c:v>
                </c:pt>
                <c:pt idx="343">
                  <c:v>42073</c:v>
                </c:pt>
                <c:pt idx="344">
                  <c:v>42074</c:v>
                </c:pt>
                <c:pt idx="345">
                  <c:v>42075</c:v>
                </c:pt>
                <c:pt idx="346">
                  <c:v>42076</c:v>
                </c:pt>
                <c:pt idx="347">
                  <c:v>42077</c:v>
                </c:pt>
                <c:pt idx="348">
                  <c:v>42078</c:v>
                </c:pt>
                <c:pt idx="349">
                  <c:v>42079</c:v>
                </c:pt>
                <c:pt idx="350">
                  <c:v>42080</c:v>
                </c:pt>
                <c:pt idx="351">
                  <c:v>42081</c:v>
                </c:pt>
                <c:pt idx="352">
                  <c:v>42082</c:v>
                </c:pt>
                <c:pt idx="353">
                  <c:v>42083</c:v>
                </c:pt>
                <c:pt idx="354">
                  <c:v>42084</c:v>
                </c:pt>
                <c:pt idx="355">
                  <c:v>42085</c:v>
                </c:pt>
                <c:pt idx="356">
                  <c:v>42086</c:v>
                </c:pt>
                <c:pt idx="357">
                  <c:v>42087</c:v>
                </c:pt>
                <c:pt idx="358">
                  <c:v>42088</c:v>
                </c:pt>
                <c:pt idx="359">
                  <c:v>42089</c:v>
                </c:pt>
                <c:pt idx="360">
                  <c:v>42090</c:v>
                </c:pt>
                <c:pt idx="361">
                  <c:v>42091</c:v>
                </c:pt>
                <c:pt idx="362">
                  <c:v>42092</c:v>
                </c:pt>
                <c:pt idx="363">
                  <c:v>42093</c:v>
                </c:pt>
                <c:pt idx="364">
                  <c:v>42094</c:v>
                </c:pt>
              </c:numCache>
            </c:numRef>
          </c:cat>
          <c:val>
            <c:numRef>
              <c:f>シャコ!$AH$3:$AH$367</c:f>
              <c:numCache>
                <c:formatCode>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1147.7753457511137</c:v>
                </c:pt>
                <c:pt idx="295">
                  <c:v>2554.5446388523483</c:v>
                </c:pt>
                <c:pt idx="296">
                  <c:v>3967.3570683814969</c:v>
                </c:pt>
                <c:pt idx="297">
                  <c:v>5386.0336745335226</c:v>
                </c:pt>
                <c:pt idx="298">
                  <c:v>6810.3973962497648</c:v>
                </c:pt>
                <c:pt idx="299">
                  <c:v>8240.273073898099</c:v>
                </c:pt>
                <c:pt idx="300">
                  <c:v>9675.4874511847211</c:v>
                </c:pt>
                <c:pt idx="301">
                  <c:v>11115.869176326376</c:v>
                </c:pt>
                <c:pt idx="302">
                  <c:v>12561.246673181502</c:v>
                </c:pt>
                <c:pt idx="303">
                  <c:v>14011.454025504272</c:v>
                </c:pt>
                <c:pt idx="304">
                  <c:v>15466.325588989184</c:v>
                </c:pt>
                <c:pt idx="305">
                  <c:v>16925.691840382646</c:v>
                </c:pt>
                <c:pt idx="306">
                  <c:v>18389.398836748151</c:v>
                </c:pt>
                <c:pt idx="307">
                  <c:v>19857.277176731477</c:v>
                </c:pt>
                <c:pt idx="308">
                  <c:v>21329.174574429162</c:v>
                </c:pt>
                <c:pt idx="309">
                  <c:v>22804.926985794908</c:v>
                </c:pt>
                <c:pt idx="310">
                  <c:v>24284.386925798586</c:v>
                </c:pt>
                <c:pt idx="311">
                  <c:v>25767.393040681807</c:v>
                </c:pt>
                <c:pt idx="312">
                  <c:v>27253.797906933989</c:v>
                </c:pt>
                <c:pt idx="313">
                  <c:v>28743.452026935181</c:v>
                </c:pt>
                <c:pt idx="314">
                  <c:v>30236.207756774715</c:v>
                </c:pt>
                <c:pt idx="315">
                  <c:v>31731.91374382544</c:v>
                </c:pt>
                <c:pt idx="316">
                  <c:v>33230.425201433754</c:v>
                </c:pt>
                <c:pt idx="317">
                  <c:v>34731.605277156712</c:v>
                </c:pt>
                <c:pt idx="318">
                  <c:v>36235.307271493824</c:v>
                </c:pt>
                <c:pt idx="319">
                  <c:v>37741.391848515392</c:v>
                </c:pt>
                <c:pt idx="320">
                  <c:v>39249.721471820922</c:v>
                </c:pt>
                <c:pt idx="321">
                  <c:v>40760.160396250183</c:v>
                </c:pt>
                <c:pt idx="322">
                  <c:v>42272.574659301288</c:v>
                </c:pt>
                <c:pt idx="323">
                  <c:v>43786.832072273901</c:v>
                </c:pt>
                <c:pt idx="324">
                  <c:v>45302.802211147689</c:v>
                </c:pt>
                <c:pt idx="325">
                  <c:v>46820.348002540479</c:v>
                </c:pt>
                <c:pt idx="326">
                  <c:v>48339.350339505159</c:v>
                </c:pt>
                <c:pt idx="327">
                  <c:v>49859.67503500903</c:v>
                </c:pt>
                <c:pt idx="328">
                  <c:v>51381.207022624243</c:v>
                </c:pt>
                <c:pt idx="329">
                  <c:v>52903.814955201015</c:v>
                </c:pt>
                <c:pt idx="330">
                  <c:v>54427.377880185064</c:v>
                </c:pt>
                <c:pt idx="331">
                  <c:v>55951.776530191426</c:v>
                </c:pt>
                <c:pt idx="332">
                  <c:v>57476.893312400185</c:v>
                </c:pt>
                <c:pt idx="333">
                  <c:v>59002.623102433594</c:v>
                </c:pt>
                <c:pt idx="334">
                  <c:v>60528.830322031339</c:v>
                </c:pt>
                <c:pt idx="335">
                  <c:v>62055.412836000134</c:v>
                </c:pt>
                <c:pt idx="336">
                  <c:v>63582.247910211277</c:v>
                </c:pt>
                <c:pt idx="337">
                  <c:v>65109.249310026506</c:v>
                </c:pt>
                <c:pt idx="338">
                  <c:v>66636.273128143832</c:v>
                </c:pt>
                <c:pt idx="339">
                  <c:v>68163.249307404374</c:v>
                </c:pt>
                <c:pt idx="340">
                  <c:v>69690.035234379655</c:v>
                </c:pt>
                <c:pt idx="341">
                  <c:v>71216.55258572739</c:v>
                </c:pt>
                <c:pt idx="342">
                  <c:v>72742.686266381759</c:v>
                </c:pt>
                <c:pt idx="343">
                  <c:v>74268.335392754743</c:v>
                </c:pt>
                <c:pt idx="344">
                  <c:v>75793.400610966928</c:v>
                </c:pt>
                <c:pt idx="345">
                  <c:v>77317.798673122365</c:v>
                </c:pt>
                <c:pt idx="346">
                  <c:v>78841.404397864419</c:v>
                </c:pt>
                <c:pt idx="347">
                  <c:v>80364.121975943519</c:v>
                </c:pt>
                <c:pt idx="348">
                  <c:v>81885.88820392816</c:v>
                </c:pt>
                <c:pt idx="349">
                  <c:v>83406.580392031348</c:v>
                </c:pt>
                <c:pt idx="350">
                  <c:v>84926.123350515059</c:v>
                </c:pt>
                <c:pt idx="351">
                  <c:v>86444.411542109199</c:v>
                </c:pt>
                <c:pt idx="352">
                  <c:v>87961.373310200128</c:v>
                </c:pt>
                <c:pt idx="353">
                  <c:v>89476.905304501663</c:v>
                </c:pt>
                <c:pt idx="354">
                  <c:v>90990.921802038807</c:v>
                </c:pt>
                <c:pt idx="355">
                  <c:v>92503.338470946765</c:v>
                </c:pt>
                <c:pt idx="356">
                  <c:v>94014.072358605816</c:v>
                </c:pt>
                <c:pt idx="357">
                  <c:v>95523.041879783981</c:v>
                </c:pt>
                <c:pt idx="358">
                  <c:v>97030.18571450359</c:v>
                </c:pt>
                <c:pt idx="359">
                  <c:v>98535.387498579134</c:v>
                </c:pt>
                <c:pt idx="360">
                  <c:v>100038.56865425357</c:v>
                </c:pt>
                <c:pt idx="361">
                  <c:v>101539.69179064855</c:v>
                </c:pt>
                <c:pt idx="362">
                  <c:v>103038.64244948208</c:v>
                </c:pt>
                <c:pt idx="363">
                  <c:v>104535.34596398055</c:v>
                </c:pt>
                <c:pt idx="364">
                  <c:v>106029.74992010091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8A-4FC0-BFF8-5CC73C1288CD}"/>
            </c:ext>
          </c:extLst>
        </c:ser>
        <c:ser>
          <c:idx val="1"/>
          <c:order val="1"/>
          <c:tx>
            <c:v>2年目級群</c:v>
          </c:tx>
          <c:spPr>
            <a:solidFill>
              <a:srgbClr val="FF5050"/>
            </a:solidFill>
            <a:ln>
              <a:noFill/>
            </a:ln>
            <a:effectLst/>
          </c:spPr>
          <c:cat>
            <c:numRef>
              <c:f>シャコ!$A$3:$A$367</c:f>
              <c:numCache>
                <c:formatCode>m/d/yyyy</c:formatCode>
                <c:ptCount val="365"/>
                <c:pt idx="0">
                  <c:v>41730</c:v>
                </c:pt>
                <c:pt idx="1">
                  <c:v>41731</c:v>
                </c:pt>
                <c:pt idx="2">
                  <c:v>41732</c:v>
                </c:pt>
                <c:pt idx="3">
                  <c:v>41733</c:v>
                </c:pt>
                <c:pt idx="4">
                  <c:v>41734</c:v>
                </c:pt>
                <c:pt idx="5">
                  <c:v>41735</c:v>
                </c:pt>
                <c:pt idx="6">
                  <c:v>41736</c:v>
                </c:pt>
                <c:pt idx="7">
                  <c:v>41737</c:v>
                </c:pt>
                <c:pt idx="8">
                  <c:v>41738</c:v>
                </c:pt>
                <c:pt idx="9">
                  <c:v>41739</c:v>
                </c:pt>
                <c:pt idx="10">
                  <c:v>41740</c:v>
                </c:pt>
                <c:pt idx="11">
                  <c:v>41741</c:v>
                </c:pt>
                <c:pt idx="12">
                  <c:v>41742</c:v>
                </c:pt>
                <c:pt idx="13">
                  <c:v>41743</c:v>
                </c:pt>
                <c:pt idx="14">
                  <c:v>41744</c:v>
                </c:pt>
                <c:pt idx="15">
                  <c:v>41745</c:v>
                </c:pt>
                <c:pt idx="16">
                  <c:v>41746</c:v>
                </c:pt>
                <c:pt idx="17">
                  <c:v>41747</c:v>
                </c:pt>
                <c:pt idx="18">
                  <c:v>41748</c:v>
                </c:pt>
                <c:pt idx="19">
                  <c:v>41749</c:v>
                </c:pt>
                <c:pt idx="20">
                  <c:v>41750</c:v>
                </c:pt>
                <c:pt idx="21">
                  <c:v>41751</c:v>
                </c:pt>
                <c:pt idx="22">
                  <c:v>41752</c:v>
                </c:pt>
                <c:pt idx="23">
                  <c:v>41753</c:v>
                </c:pt>
                <c:pt idx="24">
                  <c:v>41754</c:v>
                </c:pt>
                <c:pt idx="25">
                  <c:v>41755</c:v>
                </c:pt>
                <c:pt idx="26">
                  <c:v>41756</c:v>
                </c:pt>
                <c:pt idx="27">
                  <c:v>41757</c:v>
                </c:pt>
                <c:pt idx="28">
                  <c:v>41758</c:v>
                </c:pt>
                <c:pt idx="29">
                  <c:v>41759</c:v>
                </c:pt>
                <c:pt idx="30">
                  <c:v>41760</c:v>
                </c:pt>
                <c:pt idx="31">
                  <c:v>41761</c:v>
                </c:pt>
                <c:pt idx="32">
                  <c:v>41762</c:v>
                </c:pt>
                <c:pt idx="33">
                  <c:v>41763</c:v>
                </c:pt>
                <c:pt idx="34">
                  <c:v>41764</c:v>
                </c:pt>
                <c:pt idx="35">
                  <c:v>41765</c:v>
                </c:pt>
                <c:pt idx="36">
                  <c:v>41766</c:v>
                </c:pt>
                <c:pt idx="37">
                  <c:v>41767</c:v>
                </c:pt>
                <c:pt idx="38">
                  <c:v>41768</c:v>
                </c:pt>
                <c:pt idx="39">
                  <c:v>41769</c:v>
                </c:pt>
                <c:pt idx="40">
                  <c:v>41770</c:v>
                </c:pt>
                <c:pt idx="41">
                  <c:v>41771</c:v>
                </c:pt>
                <c:pt idx="42">
                  <c:v>41772</c:v>
                </c:pt>
                <c:pt idx="43">
                  <c:v>41773</c:v>
                </c:pt>
                <c:pt idx="44">
                  <c:v>41774</c:v>
                </c:pt>
                <c:pt idx="45">
                  <c:v>41775</c:v>
                </c:pt>
                <c:pt idx="46">
                  <c:v>41776</c:v>
                </c:pt>
                <c:pt idx="47">
                  <c:v>41777</c:v>
                </c:pt>
                <c:pt idx="48">
                  <c:v>41778</c:v>
                </c:pt>
                <c:pt idx="49">
                  <c:v>41779</c:v>
                </c:pt>
                <c:pt idx="50">
                  <c:v>41780</c:v>
                </c:pt>
                <c:pt idx="51">
                  <c:v>41781</c:v>
                </c:pt>
                <c:pt idx="52">
                  <c:v>41782</c:v>
                </c:pt>
                <c:pt idx="53">
                  <c:v>41783</c:v>
                </c:pt>
                <c:pt idx="54">
                  <c:v>41784</c:v>
                </c:pt>
                <c:pt idx="55">
                  <c:v>41785</c:v>
                </c:pt>
                <c:pt idx="56">
                  <c:v>41786</c:v>
                </c:pt>
                <c:pt idx="57">
                  <c:v>41787</c:v>
                </c:pt>
                <c:pt idx="58">
                  <c:v>41788</c:v>
                </c:pt>
                <c:pt idx="59">
                  <c:v>41789</c:v>
                </c:pt>
                <c:pt idx="60">
                  <c:v>41790</c:v>
                </c:pt>
                <c:pt idx="61">
                  <c:v>41791</c:v>
                </c:pt>
                <c:pt idx="62">
                  <c:v>41792</c:v>
                </c:pt>
                <c:pt idx="63">
                  <c:v>41793</c:v>
                </c:pt>
                <c:pt idx="64">
                  <c:v>41794</c:v>
                </c:pt>
                <c:pt idx="65">
                  <c:v>41795</c:v>
                </c:pt>
                <c:pt idx="66">
                  <c:v>41796</c:v>
                </c:pt>
                <c:pt idx="67">
                  <c:v>41797</c:v>
                </c:pt>
                <c:pt idx="68">
                  <c:v>41798</c:v>
                </c:pt>
                <c:pt idx="69">
                  <c:v>41799</c:v>
                </c:pt>
                <c:pt idx="70">
                  <c:v>41800</c:v>
                </c:pt>
                <c:pt idx="71">
                  <c:v>41801</c:v>
                </c:pt>
                <c:pt idx="72">
                  <c:v>41802</c:v>
                </c:pt>
                <c:pt idx="73">
                  <c:v>41803</c:v>
                </c:pt>
                <c:pt idx="74">
                  <c:v>41804</c:v>
                </c:pt>
                <c:pt idx="75">
                  <c:v>41805</c:v>
                </c:pt>
                <c:pt idx="76">
                  <c:v>41806</c:v>
                </c:pt>
                <c:pt idx="77">
                  <c:v>41807</c:v>
                </c:pt>
                <c:pt idx="78">
                  <c:v>41808</c:v>
                </c:pt>
                <c:pt idx="79">
                  <c:v>41809</c:v>
                </c:pt>
                <c:pt idx="80">
                  <c:v>41810</c:v>
                </c:pt>
                <c:pt idx="81">
                  <c:v>41811</c:v>
                </c:pt>
                <c:pt idx="82">
                  <c:v>41812</c:v>
                </c:pt>
                <c:pt idx="83">
                  <c:v>41813</c:v>
                </c:pt>
                <c:pt idx="84">
                  <c:v>41814</c:v>
                </c:pt>
                <c:pt idx="85">
                  <c:v>41815</c:v>
                </c:pt>
                <c:pt idx="86">
                  <c:v>41816</c:v>
                </c:pt>
                <c:pt idx="87">
                  <c:v>41817</c:v>
                </c:pt>
                <c:pt idx="88">
                  <c:v>41818</c:v>
                </c:pt>
                <c:pt idx="89">
                  <c:v>41819</c:v>
                </c:pt>
                <c:pt idx="90">
                  <c:v>41820</c:v>
                </c:pt>
                <c:pt idx="91">
                  <c:v>41821</c:v>
                </c:pt>
                <c:pt idx="92">
                  <c:v>41822</c:v>
                </c:pt>
                <c:pt idx="93">
                  <c:v>41823</c:v>
                </c:pt>
                <c:pt idx="94">
                  <c:v>41824</c:v>
                </c:pt>
                <c:pt idx="95">
                  <c:v>41825</c:v>
                </c:pt>
                <c:pt idx="96">
                  <c:v>41826</c:v>
                </c:pt>
                <c:pt idx="97">
                  <c:v>41827</c:v>
                </c:pt>
                <c:pt idx="98">
                  <c:v>41828</c:v>
                </c:pt>
                <c:pt idx="99">
                  <c:v>41829</c:v>
                </c:pt>
                <c:pt idx="100">
                  <c:v>41830</c:v>
                </c:pt>
                <c:pt idx="101">
                  <c:v>41831</c:v>
                </c:pt>
                <c:pt idx="102">
                  <c:v>41832</c:v>
                </c:pt>
                <c:pt idx="103">
                  <c:v>41833</c:v>
                </c:pt>
                <c:pt idx="104">
                  <c:v>41834</c:v>
                </c:pt>
                <c:pt idx="105">
                  <c:v>41835</c:v>
                </c:pt>
                <c:pt idx="106">
                  <c:v>41836</c:v>
                </c:pt>
                <c:pt idx="107">
                  <c:v>41837</c:v>
                </c:pt>
                <c:pt idx="108">
                  <c:v>41838</c:v>
                </c:pt>
                <c:pt idx="109">
                  <c:v>41839</c:v>
                </c:pt>
                <c:pt idx="110">
                  <c:v>41840</c:v>
                </c:pt>
                <c:pt idx="111">
                  <c:v>41841</c:v>
                </c:pt>
                <c:pt idx="112">
                  <c:v>41842</c:v>
                </c:pt>
                <c:pt idx="113">
                  <c:v>41843</c:v>
                </c:pt>
                <c:pt idx="114">
                  <c:v>41844</c:v>
                </c:pt>
                <c:pt idx="115">
                  <c:v>41845</c:v>
                </c:pt>
                <c:pt idx="116">
                  <c:v>41846</c:v>
                </c:pt>
                <c:pt idx="117">
                  <c:v>41847</c:v>
                </c:pt>
                <c:pt idx="118">
                  <c:v>41848</c:v>
                </c:pt>
                <c:pt idx="119">
                  <c:v>41849</c:v>
                </c:pt>
                <c:pt idx="120">
                  <c:v>41850</c:v>
                </c:pt>
                <c:pt idx="121">
                  <c:v>41851</c:v>
                </c:pt>
                <c:pt idx="122">
                  <c:v>41852</c:v>
                </c:pt>
                <c:pt idx="123">
                  <c:v>41853</c:v>
                </c:pt>
                <c:pt idx="124">
                  <c:v>41854</c:v>
                </c:pt>
                <c:pt idx="125">
                  <c:v>41855</c:v>
                </c:pt>
                <c:pt idx="126">
                  <c:v>41856</c:v>
                </c:pt>
                <c:pt idx="127">
                  <c:v>41857</c:v>
                </c:pt>
                <c:pt idx="128">
                  <c:v>41858</c:v>
                </c:pt>
                <c:pt idx="129">
                  <c:v>41859</c:v>
                </c:pt>
                <c:pt idx="130">
                  <c:v>41860</c:v>
                </c:pt>
                <c:pt idx="131">
                  <c:v>41861</c:v>
                </c:pt>
                <c:pt idx="132">
                  <c:v>41862</c:v>
                </c:pt>
                <c:pt idx="133">
                  <c:v>41863</c:v>
                </c:pt>
                <c:pt idx="134">
                  <c:v>41864</c:v>
                </c:pt>
                <c:pt idx="135">
                  <c:v>41865</c:v>
                </c:pt>
                <c:pt idx="136">
                  <c:v>41866</c:v>
                </c:pt>
                <c:pt idx="137">
                  <c:v>41867</c:v>
                </c:pt>
                <c:pt idx="138">
                  <c:v>41868</c:v>
                </c:pt>
                <c:pt idx="139">
                  <c:v>41869</c:v>
                </c:pt>
                <c:pt idx="140">
                  <c:v>41870</c:v>
                </c:pt>
                <c:pt idx="141">
                  <c:v>41871</c:v>
                </c:pt>
                <c:pt idx="142">
                  <c:v>41872</c:v>
                </c:pt>
                <c:pt idx="143">
                  <c:v>41873</c:v>
                </c:pt>
                <c:pt idx="144">
                  <c:v>41874</c:v>
                </c:pt>
                <c:pt idx="145">
                  <c:v>41875</c:v>
                </c:pt>
                <c:pt idx="146">
                  <c:v>41876</c:v>
                </c:pt>
                <c:pt idx="147">
                  <c:v>41877</c:v>
                </c:pt>
                <c:pt idx="148">
                  <c:v>41878</c:v>
                </c:pt>
                <c:pt idx="149">
                  <c:v>41879</c:v>
                </c:pt>
                <c:pt idx="150">
                  <c:v>41880</c:v>
                </c:pt>
                <c:pt idx="151">
                  <c:v>41881</c:v>
                </c:pt>
                <c:pt idx="152">
                  <c:v>41882</c:v>
                </c:pt>
                <c:pt idx="153">
                  <c:v>41883</c:v>
                </c:pt>
                <c:pt idx="154">
                  <c:v>41884</c:v>
                </c:pt>
                <c:pt idx="155">
                  <c:v>41885</c:v>
                </c:pt>
                <c:pt idx="156">
                  <c:v>41886</c:v>
                </c:pt>
                <c:pt idx="157">
                  <c:v>41887</c:v>
                </c:pt>
                <c:pt idx="158">
                  <c:v>41888</c:v>
                </c:pt>
                <c:pt idx="159">
                  <c:v>41889</c:v>
                </c:pt>
                <c:pt idx="160">
                  <c:v>41890</c:v>
                </c:pt>
                <c:pt idx="161">
                  <c:v>41891</c:v>
                </c:pt>
                <c:pt idx="162">
                  <c:v>41892</c:v>
                </c:pt>
                <c:pt idx="163">
                  <c:v>41893</c:v>
                </c:pt>
                <c:pt idx="164">
                  <c:v>41894</c:v>
                </c:pt>
                <c:pt idx="165">
                  <c:v>41895</c:v>
                </c:pt>
                <c:pt idx="166">
                  <c:v>41896</c:v>
                </c:pt>
                <c:pt idx="167">
                  <c:v>41897</c:v>
                </c:pt>
                <c:pt idx="168">
                  <c:v>41898</c:v>
                </c:pt>
                <c:pt idx="169">
                  <c:v>41899</c:v>
                </c:pt>
                <c:pt idx="170">
                  <c:v>41900</c:v>
                </c:pt>
                <c:pt idx="171">
                  <c:v>41901</c:v>
                </c:pt>
                <c:pt idx="172">
                  <c:v>41902</c:v>
                </c:pt>
                <c:pt idx="173">
                  <c:v>41903</c:v>
                </c:pt>
                <c:pt idx="174">
                  <c:v>41904</c:v>
                </c:pt>
                <c:pt idx="175">
                  <c:v>41905</c:v>
                </c:pt>
                <c:pt idx="176">
                  <c:v>41906</c:v>
                </c:pt>
                <c:pt idx="177">
                  <c:v>41907</c:v>
                </c:pt>
                <c:pt idx="178">
                  <c:v>41908</c:v>
                </c:pt>
                <c:pt idx="179">
                  <c:v>41909</c:v>
                </c:pt>
                <c:pt idx="180">
                  <c:v>41910</c:v>
                </c:pt>
                <c:pt idx="181">
                  <c:v>41911</c:v>
                </c:pt>
                <c:pt idx="182">
                  <c:v>41912</c:v>
                </c:pt>
                <c:pt idx="183">
                  <c:v>41913</c:v>
                </c:pt>
                <c:pt idx="184">
                  <c:v>41914</c:v>
                </c:pt>
                <c:pt idx="185">
                  <c:v>41915</c:v>
                </c:pt>
                <c:pt idx="186">
                  <c:v>41916</c:v>
                </c:pt>
                <c:pt idx="187">
                  <c:v>41917</c:v>
                </c:pt>
                <c:pt idx="188">
                  <c:v>41918</c:v>
                </c:pt>
                <c:pt idx="189">
                  <c:v>41919</c:v>
                </c:pt>
                <c:pt idx="190">
                  <c:v>41920</c:v>
                </c:pt>
                <c:pt idx="191">
                  <c:v>41921</c:v>
                </c:pt>
                <c:pt idx="192">
                  <c:v>41922</c:v>
                </c:pt>
                <c:pt idx="193">
                  <c:v>41923</c:v>
                </c:pt>
                <c:pt idx="194">
                  <c:v>41924</c:v>
                </c:pt>
                <c:pt idx="195">
                  <c:v>41925</c:v>
                </c:pt>
                <c:pt idx="196">
                  <c:v>41926</c:v>
                </c:pt>
                <c:pt idx="197">
                  <c:v>41927</c:v>
                </c:pt>
                <c:pt idx="198">
                  <c:v>41928</c:v>
                </c:pt>
                <c:pt idx="199">
                  <c:v>41929</c:v>
                </c:pt>
                <c:pt idx="200">
                  <c:v>41930</c:v>
                </c:pt>
                <c:pt idx="201">
                  <c:v>41931</c:v>
                </c:pt>
                <c:pt idx="202">
                  <c:v>41932</c:v>
                </c:pt>
                <c:pt idx="203">
                  <c:v>41933</c:v>
                </c:pt>
                <c:pt idx="204">
                  <c:v>41934</c:v>
                </c:pt>
                <c:pt idx="205">
                  <c:v>41935</c:v>
                </c:pt>
                <c:pt idx="206">
                  <c:v>41936</c:v>
                </c:pt>
                <c:pt idx="207">
                  <c:v>41937</c:v>
                </c:pt>
                <c:pt idx="208">
                  <c:v>41938</c:v>
                </c:pt>
                <c:pt idx="209">
                  <c:v>41939</c:v>
                </c:pt>
                <c:pt idx="210">
                  <c:v>41940</c:v>
                </c:pt>
                <c:pt idx="211">
                  <c:v>41941</c:v>
                </c:pt>
                <c:pt idx="212">
                  <c:v>41942</c:v>
                </c:pt>
                <c:pt idx="213">
                  <c:v>41943</c:v>
                </c:pt>
                <c:pt idx="214">
                  <c:v>41944</c:v>
                </c:pt>
                <c:pt idx="215">
                  <c:v>41945</c:v>
                </c:pt>
                <c:pt idx="216">
                  <c:v>41946</c:v>
                </c:pt>
                <c:pt idx="217">
                  <c:v>41947</c:v>
                </c:pt>
                <c:pt idx="218">
                  <c:v>41948</c:v>
                </c:pt>
                <c:pt idx="219">
                  <c:v>41949</c:v>
                </c:pt>
                <c:pt idx="220">
                  <c:v>41950</c:v>
                </c:pt>
                <c:pt idx="221">
                  <c:v>41951</c:v>
                </c:pt>
                <c:pt idx="222">
                  <c:v>41952</c:v>
                </c:pt>
                <c:pt idx="223">
                  <c:v>41953</c:v>
                </c:pt>
                <c:pt idx="224">
                  <c:v>41954</c:v>
                </c:pt>
                <c:pt idx="225">
                  <c:v>41955</c:v>
                </c:pt>
                <c:pt idx="226">
                  <c:v>41956</c:v>
                </c:pt>
                <c:pt idx="227">
                  <c:v>41957</c:v>
                </c:pt>
                <c:pt idx="228">
                  <c:v>41958</c:v>
                </c:pt>
                <c:pt idx="229">
                  <c:v>41959</c:v>
                </c:pt>
                <c:pt idx="230">
                  <c:v>41960</c:v>
                </c:pt>
                <c:pt idx="231">
                  <c:v>41961</c:v>
                </c:pt>
                <c:pt idx="232">
                  <c:v>41962</c:v>
                </c:pt>
                <c:pt idx="233">
                  <c:v>41963</c:v>
                </c:pt>
                <c:pt idx="234">
                  <c:v>41964</c:v>
                </c:pt>
                <c:pt idx="235">
                  <c:v>41965</c:v>
                </c:pt>
                <c:pt idx="236">
                  <c:v>41966</c:v>
                </c:pt>
                <c:pt idx="237">
                  <c:v>41967</c:v>
                </c:pt>
                <c:pt idx="238">
                  <c:v>41968</c:v>
                </c:pt>
                <c:pt idx="239">
                  <c:v>41969</c:v>
                </c:pt>
                <c:pt idx="240">
                  <c:v>41970</c:v>
                </c:pt>
                <c:pt idx="241">
                  <c:v>41971</c:v>
                </c:pt>
                <c:pt idx="242">
                  <c:v>41972</c:v>
                </c:pt>
                <c:pt idx="243">
                  <c:v>41973</c:v>
                </c:pt>
                <c:pt idx="244">
                  <c:v>41974</c:v>
                </c:pt>
                <c:pt idx="245">
                  <c:v>41975</c:v>
                </c:pt>
                <c:pt idx="246">
                  <c:v>41976</c:v>
                </c:pt>
                <c:pt idx="247">
                  <c:v>41977</c:v>
                </c:pt>
                <c:pt idx="248">
                  <c:v>41978</c:v>
                </c:pt>
                <c:pt idx="249">
                  <c:v>41979</c:v>
                </c:pt>
                <c:pt idx="250">
                  <c:v>41980</c:v>
                </c:pt>
                <c:pt idx="251">
                  <c:v>41981</c:v>
                </c:pt>
                <c:pt idx="252">
                  <c:v>41982</c:v>
                </c:pt>
                <c:pt idx="253">
                  <c:v>41983</c:v>
                </c:pt>
                <c:pt idx="254">
                  <c:v>41984</c:v>
                </c:pt>
                <c:pt idx="255">
                  <c:v>41985</c:v>
                </c:pt>
                <c:pt idx="256">
                  <c:v>41986</c:v>
                </c:pt>
                <c:pt idx="257">
                  <c:v>41987</c:v>
                </c:pt>
                <c:pt idx="258">
                  <c:v>41988</c:v>
                </c:pt>
                <c:pt idx="259">
                  <c:v>41989</c:v>
                </c:pt>
                <c:pt idx="260">
                  <c:v>41990</c:v>
                </c:pt>
                <c:pt idx="261">
                  <c:v>41991</c:v>
                </c:pt>
                <c:pt idx="262">
                  <c:v>41992</c:v>
                </c:pt>
                <c:pt idx="263">
                  <c:v>41993</c:v>
                </c:pt>
                <c:pt idx="264">
                  <c:v>41994</c:v>
                </c:pt>
                <c:pt idx="265">
                  <c:v>41995</c:v>
                </c:pt>
                <c:pt idx="266">
                  <c:v>41996</c:v>
                </c:pt>
                <c:pt idx="267">
                  <c:v>41997</c:v>
                </c:pt>
                <c:pt idx="268">
                  <c:v>41998</c:v>
                </c:pt>
                <c:pt idx="269">
                  <c:v>41999</c:v>
                </c:pt>
                <c:pt idx="270">
                  <c:v>42000</c:v>
                </c:pt>
                <c:pt idx="271">
                  <c:v>42001</c:v>
                </c:pt>
                <c:pt idx="272">
                  <c:v>42002</c:v>
                </c:pt>
                <c:pt idx="273">
                  <c:v>42003</c:v>
                </c:pt>
                <c:pt idx="274">
                  <c:v>42004</c:v>
                </c:pt>
                <c:pt idx="275">
                  <c:v>42005</c:v>
                </c:pt>
                <c:pt idx="276">
                  <c:v>42006</c:v>
                </c:pt>
                <c:pt idx="277">
                  <c:v>42007</c:v>
                </c:pt>
                <c:pt idx="278">
                  <c:v>42008</c:v>
                </c:pt>
                <c:pt idx="279">
                  <c:v>42009</c:v>
                </c:pt>
                <c:pt idx="280">
                  <c:v>42010</c:v>
                </c:pt>
                <c:pt idx="281">
                  <c:v>42011</c:v>
                </c:pt>
                <c:pt idx="282">
                  <c:v>42012</c:v>
                </c:pt>
                <c:pt idx="283">
                  <c:v>42013</c:v>
                </c:pt>
                <c:pt idx="284">
                  <c:v>42014</c:v>
                </c:pt>
                <c:pt idx="285">
                  <c:v>42015</c:v>
                </c:pt>
                <c:pt idx="286">
                  <c:v>42016</c:v>
                </c:pt>
                <c:pt idx="287">
                  <c:v>42017</c:v>
                </c:pt>
                <c:pt idx="288">
                  <c:v>42018</c:v>
                </c:pt>
                <c:pt idx="289">
                  <c:v>42019</c:v>
                </c:pt>
                <c:pt idx="290">
                  <c:v>42020</c:v>
                </c:pt>
                <c:pt idx="291">
                  <c:v>42021</c:v>
                </c:pt>
                <c:pt idx="292">
                  <c:v>42022</c:v>
                </c:pt>
                <c:pt idx="293">
                  <c:v>42023</c:v>
                </c:pt>
                <c:pt idx="294">
                  <c:v>42024</c:v>
                </c:pt>
                <c:pt idx="295">
                  <c:v>42025</c:v>
                </c:pt>
                <c:pt idx="296">
                  <c:v>42026</c:v>
                </c:pt>
                <c:pt idx="297">
                  <c:v>42027</c:v>
                </c:pt>
                <c:pt idx="298">
                  <c:v>42028</c:v>
                </c:pt>
                <c:pt idx="299">
                  <c:v>42029</c:v>
                </c:pt>
                <c:pt idx="300">
                  <c:v>42030</c:v>
                </c:pt>
                <c:pt idx="301">
                  <c:v>42031</c:v>
                </c:pt>
                <c:pt idx="302">
                  <c:v>42032</c:v>
                </c:pt>
                <c:pt idx="303">
                  <c:v>42033</c:v>
                </c:pt>
                <c:pt idx="304">
                  <c:v>42034</c:v>
                </c:pt>
                <c:pt idx="305">
                  <c:v>42035</c:v>
                </c:pt>
                <c:pt idx="306">
                  <c:v>42036</c:v>
                </c:pt>
                <c:pt idx="307">
                  <c:v>42037</c:v>
                </c:pt>
                <c:pt idx="308">
                  <c:v>42038</c:v>
                </c:pt>
                <c:pt idx="309">
                  <c:v>42039</c:v>
                </c:pt>
                <c:pt idx="310">
                  <c:v>42040</c:v>
                </c:pt>
                <c:pt idx="311">
                  <c:v>42041</c:v>
                </c:pt>
                <c:pt idx="312">
                  <c:v>42042</c:v>
                </c:pt>
                <c:pt idx="313">
                  <c:v>42043</c:v>
                </c:pt>
                <c:pt idx="314">
                  <c:v>42044</c:v>
                </c:pt>
                <c:pt idx="315">
                  <c:v>42045</c:v>
                </c:pt>
                <c:pt idx="316">
                  <c:v>42046</c:v>
                </c:pt>
                <c:pt idx="317">
                  <c:v>42047</c:v>
                </c:pt>
                <c:pt idx="318">
                  <c:v>42048</c:v>
                </c:pt>
                <c:pt idx="319">
                  <c:v>42049</c:v>
                </c:pt>
                <c:pt idx="320">
                  <c:v>42050</c:v>
                </c:pt>
                <c:pt idx="321">
                  <c:v>42051</c:v>
                </c:pt>
                <c:pt idx="322">
                  <c:v>42052</c:v>
                </c:pt>
                <c:pt idx="323">
                  <c:v>42053</c:v>
                </c:pt>
                <c:pt idx="324">
                  <c:v>42054</c:v>
                </c:pt>
                <c:pt idx="325">
                  <c:v>42055</c:v>
                </c:pt>
                <c:pt idx="326">
                  <c:v>42056</c:v>
                </c:pt>
                <c:pt idx="327">
                  <c:v>42057</c:v>
                </c:pt>
                <c:pt idx="328">
                  <c:v>42058</c:v>
                </c:pt>
                <c:pt idx="329">
                  <c:v>42059</c:v>
                </c:pt>
                <c:pt idx="330">
                  <c:v>42060</c:v>
                </c:pt>
                <c:pt idx="331">
                  <c:v>42061</c:v>
                </c:pt>
                <c:pt idx="332">
                  <c:v>42062</c:v>
                </c:pt>
                <c:pt idx="333">
                  <c:v>42063</c:v>
                </c:pt>
                <c:pt idx="334">
                  <c:v>42064</c:v>
                </c:pt>
                <c:pt idx="335">
                  <c:v>42065</c:v>
                </c:pt>
                <c:pt idx="336">
                  <c:v>42066</c:v>
                </c:pt>
                <c:pt idx="337">
                  <c:v>42067</c:v>
                </c:pt>
                <c:pt idx="338">
                  <c:v>42068</c:v>
                </c:pt>
                <c:pt idx="339">
                  <c:v>42069</c:v>
                </c:pt>
                <c:pt idx="340">
                  <c:v>42070</c:v>
                </c:pt>
                <c:pt idx="341">
                  <c:v>42071</c:v>
                </c:pt>
                <c:pt idx="342">
                  <c:v>42072</c:v>
                </c:pt>
                <c:pt idx="343">
                  <c:v>42073</c:v>
                </c:pt>
                <c:pt idx="344">
                  <c:v>42074</c:v>
                </c:pt>
                <c:pt idx="345">
                  <c:v>42075</c:v>
                </c:pt>
                <c:pt idx="346">
                  <c:v>42076</c:v>
                </c:pt>
                <c:pt idx="347">
                  <c:v>42077</c:v>
                </c:pt>
                <c:pt idx="348">
                  <c:v>42078</c:v>
                </c:pt>
                <c:pt idx="349">
                  <c:v>42079</c:v>
                </c:pt>
                <c:pt idx="350">
                  <c:v>42080</c:v>
                </c:pt>
                <c:pt idx="351">
                  <c:v>42081</c:v>
                </c:pt>
                <c:pt idx="352">
                  <c:v>42082</c:v>
                </c:pt>
                <c:pt idx="353">
                  <c:v>42083</c:v>
                </c:pt>
                <c:pt idx="354">
                  <c:v>42084</c:v>
                </c:pt>
                <c:pt idx="355">
                  <c:v>42085</c:v>
                </c:pt>
                <c:pt idx="356">
                  <c:v>42086</c:v>
                </c:pt>
                <c:pt idx="357">
                  <c:v>42087</c:v>
                </c:pt>
                <c:pt idx="358">
                  <c:v>42088</c:v>
                </c:pt>
                <c:pt idx="359">
                  <c:v>42089</c:v>
                </c:pt>
                <c:pt idx="360">
                  <c:v>42090</c:v>
                </c:pt>
                <c:pt idx="361">
                  <c:v>42091</c:v>
                </c:pt>
                <c:pt idx="362">
                  <c:v>42092</c:v>
                </c:pt>
                <c:pt idx="363">
                  <c:v>42093</c:v>
                </c:pt>
                <c:pt idx="364">
                  <c:v>42094</c:v>
                </c:pt>
              </c:numCache>
            </c:numRef>
          </c:cat>
          <c:val>
            <c:numRef>
              <c:f>シャコ!$AI$3:$AI$367</c:f>
              <c:numCache>
                <c:formatCode>0</c:formatCode>
                <c:ptCount val="365"/>
                <c:pt idx="0">
                  <c:v>107521.78324018253</c:v>
                </c:pt>
                <c:pt idx="1">
                  <c:v>109011.33276392572</c:v>
                </c:pt>
                <c:pt idx="2">
                  <c:v>110498.37186817313</c:v>
                </c:pt>
                <c:pt idx="3">
                  <c:v>111982.81084498012</c:v>
                </c:pt>
                <c:pt idx="4">
                  <c:v>113464.58252987302</c:v>
                </c:pt>
                <c:pt idx="5">
                  <c:v>114943.6209676443</c:v>
                </c:pt>
                <c:pt idx="6">
                  <c:v>116419.86140106039</c:v>
                </c:pt>
                <c:pt idx="7">
                  <c:v>117893.21646882387</c:v>
                </c:pt>
                <c:pt idx="8">
                  <c:v>119363.67100076948</c:v>
                </c:pt>
                <c:pt idx="9">
                  <c:v>120831.11582590776</c:v>
                </c:pt>
                <c:pt idx="10">
                  <c:v>122295.48979052267</c:v>
                </c:pt>
                <c:pt idx="11">
                  <c:v>123756.75810127353</c:v>
                </c:pt>
                <c:pt idx="12">
                  <c:v>125214.86294865729</c:v>
                </c:pt>
                <c:pt idx="13">
                  <c:v>126669.72169698589</c:v>
                </c:pt>
                <c:pt idx="14">
                  <c:v>128121.27767864653</c:v>
                </c:pt>
                <c:pt idx="15">
                  <c:v>129569.47531918697</c:v>
                </c:pt>
                <c:pt idx="16">
                  <c:v>131014.28716460505</c:v>
                </c:pt>
                <c:pt idx="17">
                  <c:v>132455.60608483895</c:v>
                </c:pt>
                <c:pt idx="18">
                  <c:v>133893.43416479678</c:v>
                </c:pt>
                <c:pt idx="19">
                  <c:v>135327.66492460188</c:v>
                </c:pt>
                <c:pt idx="20">
                  <c:v>136758.27550130576</c:v>
                </c:pt>
                <c:pt idx="21">
                  <c:v>138185.21665896112</c:v>
                </c:pt>
                <c:pt idx="22">
                  <c:v>139608.44018192549</c:v>
                </c:pt>
                <c:pt idx="23">
                  <c:v>141027.86924846304</c:v>
                </c:pt>
                <c:pt idx="24">
                  <c:v>142443.48652572255</c:v>
                </c:pt>
                <c:pt idx="25">
                  <c:v>143855.21643502676</c:v>
                </c:pt>
                <c:pt idx="26">
                  <c:v>145263.04435250978</c:v>
                </c:pt>
                <c:pt idx="27">
                  <c:v>146666.89589963213</c:v>
                </c:pt>
                <c:pt idx="28">
                  <c:v>148066.72764165053</c:v>
                </c:pt>
                <c:pt idx="29">
                  <c:v>149462.52894996485</c:v>
                </c:pt>
                <c:pt idx="30">
                  <c:v>150854.19492906806</c:v>
                </c:pt>
                <c:pt idx="31">
                  <c:v>152241.74905245527</c:v>
                </c:pt>
                <c:pt idx="32">
                  <c:v>153625.08676196623</c:v>
                </c:pt>
                <c:pt idx="33">
                  <c:v>155004.20149542196</c:v>
                </c:pt>
                <c:pt idx="34">
                  <c:v>156379.05535282547</c:v>
                </c:pt>
                <c:pt idx="35">
                  <c:v>157749.61132412055</c:v>
                </c:pt>
                <c:pt idx="36">
                  <c:v>159115.83328009627</c:v>
                </c:pt>
                <c:pt idx="37">
                  <c:v>160477.65106686848</c:v>
                </c:pt>
                <c:pt idx="38">
                  <c:v>161835.06442057682</c:v>
                </c:pt>
                <c:pt idx="39">
                  <c:v>163188.00413549322</c:v>
                </c:pt>
                <c:pt idx="40">
                  <c:v>164536.43636113597</c:v>
                </c:pt>
                <c:pt idx="41">
                  <c:v>165880.36451179502</c:v>
                </c:pt>
                <c:pt idx="42">
                  <c:v>167219.72073205956</c:v>
                </c:pt>
                <c:pt idx="43">
                  <c:v>168554.4736447983</c:v>
                </c:pt>
                <c:pt idx="44">
                  <c:v>169884.6302714085</c:v>
                </c:pt>
                <c:pt idx="45">
                  <c:v>171210.08604430754</c:v>
                </c:pt>
                <c:pt idx="46">
                  <c:v>172530.84918641343</c:v>
                </c:pt>
                <c:pt idx="47">
                  <c:v>173846.89149798706</c:v>
                </c:pt>
                <c:pt idx="48">
                  <c:v>175158.18555313427</c:v>
                </c:pt>
                <c:pt idx="49">
                  <c:v>176464.70469174642</c:v>
                </c:pt>
                <c:pt idx="50">
                  <c:v>177766.42301151375</c:v>
                </c:pt>
                <c:pt idx="51">
                  <c:v>179063.27504045059</c:v>
                </c:pt>
                <c:pt idx="52">
                  <c:v>180355.23519163238</c:v>
                </c:pt>
                <c:pt idx="53">
                  <c:v>181642.3197133278</c:v>
                </c:pt>
                <c:pt idx="54">
                  <c:v>182924.50565244089</c:v>
                </c:pt>
                <c:pt idx="55">
                  <c:v>184201.72888304404</c:v>
                </c:pt>
                <c:pt idx="56">
                  <c:v>185473.96669889963</c:v>
                </c:pt>
                <c:pt idx="57">
                  <c:v>186741.19709430839</c:v>
                </c:pt>
                <c:pt idx="58">
                  <c:v>188003.39875676061</c:v>
                </c:pt>
                <c:pt idx="59">
                  <c:v>189260.59453290055</c:v>
                </c:pt>
                <c:pt idx="60">
                  <c:v>190512.67792506187</c:v>
                </c:pt>
                <c:pt idx="61">
                  <c:v>190908.72373415201</c:v>
                </c:pt>
                <c:pt idx="62">
                  <c:v>192145.15330263332</c:v>
                </c:pt>
                <c:pt idx="63">
                  <c:v>192601.12731631417</c:v>
                </c:pt>
                <c:pt idx="64">
                  <c:v>193822.34965118149</c:v>
                </c:pt>
                <c:pt idx="65">
                  <c:v>194259.78497266708</c:v>
                </c:pt>
                <c:pt idx="66">
                  <c:v>195465.93532891292</c:v>
                </c:pt>
                <c:pt idx="67">
                  <c:v>195854.69060126704</c:v>
                </c:pt>
                <c:pt idx="68">
                  <c:v>197045.55813383221</c:v>
                </c:pt>
                <c:pt idx="69">
                  <c:v>197413.8940642892</c:v>
                </c:pt>
                <c:pt idx="70">
                  <c:v>198589.56533079193</c:v>
                </c:pt>
                <c:pt idx="71">
                  <c:v>198877.74534010602</c:v>
                </c:pt>
                <c:pt idx="72">
                  <c:v>200037.86158163659</c:v>
                </c:pt>
                <c:pt idx="73">
                  <c:v>200276.37736980265</c:v>
                </c:pt>
                <c:pt idx="74">
                  <c:v>201406.70446237861</c:v>
                </c:pt>
                <c:pt idx="75">
                  <c:v>201574.33928658825</c:v>
                </c:pt>
                <c:pt idx="76">
                  <c:v>202575.90303994567</c:v>
                </c:pt>
                <c:pt idx="77">
                  <c:v>202548.52767506163</c:v>
                </c:pt>
                <c:pt idx="78">
                  <c:v>203277.17426902216</c:v>
                </c:pt>
                <c:pt idx="79">
                  <c:v>202511.77560810192</c:v>
                </c:pt>
                <c:pt idx="80">
                  <c:v>203090.52877170345</c:v>
                </c:pt>
                <c:pt idx="81">
                  <c:v>202671.91583307399</c:v>
                </c:pt>
                <c:pt idx="82">
                  <c:v>203532.69163103407</c:v>
                </c:pt>
                <c:pt idx="83">
                  <c:v>203173.64907030994</c:v>
                </c:pt>
                <c:pt idx="84">
                  <c:v>204145.15769449112</c:v>
                </c:pt>
                <c:pt idx="85">
                  <c:v>203730.24072307308</c:v>
                </c:pt>
                <c:pt idx="86">
                  <c:v>204757.13879559896</c:v>
                </c:pt>
                <c:pt idx="87">
                  <c:v>204315.17047548198</c:v>
                </c:pt>
                <c:pt idx="88">
                  <c:v>205320.08479672059</c:v>
                </c:pt>
                <c:pt idx="89">
                  <c:v>204823.11828712281</c:v>
                </c:pt>
                <c:pt idx="90">
                  <c:v>205805.76582253195</c:v>
                </c:pt>
                <c:pt idx="91">
                  <c:v>204827.58964742703</c:v>
                </c:pt>
                <c:pt idx="92">
                  <c:v>205777.03539045792</c:v>
                </c:pt>
                <c:pt idx="93">
                  <c:v>204911.51259207603</c:v>
                </c:pt>
                <c:pt idx="94">
                  <c:v>205857.39743262861</c:v>
                </c:pt>
                <c:pt idx="95">
                  <c:v>205035.02490025977</c:v>
                </c:pt>
                <c:pt idx="96">
                  <c:v>205901.52478856017</c:v>
                </c:pt>
                <c:pt idx="97">
                  <c:v>204991.25869216491</c:v>
                </c:pt>
                <c:pt idx="98">
                  <c:v>205885.30093780672</c:v>
                </c:pt>
                <c:pt idx="99">
                  <c:v>204981.05728841882</c:v>
                </c:pt>
                <c:pt idx="100">
                  <c:v>205866.38083133043</c:v>
                </c:pt>
                <c:pt idx="101">
                  <c:v>204898.91992811172</c:v>
                </c:pt>
                <c:pt idx="102">
                  <c:v>205751.68575978844</c:v>
                </c:pt>
                <c:pt idx="103">
                  <c:v>204836.64339558425</c:v>
                </c:pt>
                <c:pt idx="104">
                  <c:v>205695.3309889076</c:v>
                </c:pt>
                <c:pt idx="105">
                  <c:v>204676.21643143508</c:v>
                </c:pt>
                <c:pt idx="106">
                  <c:v>205443.80249578046</c:v>
                </c:pt>
                <c:pt idx="107">
                  <c:v>203982.10763216275</c:v>
                </c:pt>
                <c:pt idx="108">
                  <c:v>204705.11765072792</c:v>
                </c:pt>
                <c:pt idx="109">
                  <c:v>203572.4395171291</c:v>
                </c:pt>
                <c:pt idx="110">
                  <c:v>204364.58766780767</c:v>
                </c:pt>
                <c:pt idx="111">
                  <c:v>203107.97052331752</c:v>
                </c:pt>
                <c:pt idx="112">
                  <c:v>203896.87408606627</c:v>
                </c:pt>
                <c:pt idx="113">
                  <c:v>202465.82646028686</c:v>
                </c:pt>
                <c:pt idx="114">
                  <c:v>203193.38186086636</c:v>
                </c:pt>
                <c:pt idx="115">
                  <c:v>201687.63184054033</c:v>
                </c:pt>
                <c:pt idx="116">
                  <c:v>202194.07025716221</c:v>
                </c:pt>
                <c:pt idx="117">
                  <c:v>200509.77728544277</c:v>
                </c:pt>
                <c:pt idx="118">
                  <c:v>201177.54195797894</c:v>
                </c:pt>
                <c:pt idx="119">
                  <c:v>199330.59671069324</c:v>
                </c:pt>
                <c:pt idx="120">
                  <c:v>199910.24059825993</c:v>
                </c:pt>
                <c:pt idx="121">
                  <c:v>197934.22658451149</c:v>
                </c:pt>
                <c:pt idx="122">
                  <c:v>198470.70138526952</c:v>
                </c:pt>
                <c:pt idx="123">
                  <c:v>196234.82319268503</c:v>
                </c:pt>
                <c:pt idx="124">
                  <c:v>196719.23636087668</c:v>
                </c:pt>
                <c:pt idx="125">
                  <c:v>193594.25135718723</c:v>
                </c:pt>
                <c:pt idx="126">
                  <c:v>193523.45413421083</c:v>
                </c:pt>
                <c:pt idx="127">
                  <c:v>191073.85979965216</c:v>
                </c:pt>
                <c:pt idx="128">
                  <c:v>191533.32456720233</c:v>
                </c:pt>
                <c:pt idx="129">
                  <c:v>189183.94992851102</c:v>
                </c:pt>
                <c:pt idx="130">
                  <c:v>189589.24753363777</c:v>
                </c:pt>
                <c:pt idx="131">
                  <c:v>187327.96953514332</c:v>
                </c:pt>
                <c:pt idx="132">
                  <c:v>187894.30484834558</c:v>
                </c:pt>
                <c:pt idx="133">
                  <c:v>185733.18925131718</c:v>
                </c:pt>
                <c:pt idx="134">
                  <c:v>185850.64143877037</c:v>
                </c:pt>
                <c:pt idx="135">
                  <c:v>183442.12486729049</c:v>
                </c:pt>
                <c:pt idx="136">
                  <c:v>183704.09203788271</c:v>
                </c:pt>
                <c:pt idx="137">
                  <c:v>180947.80263665837</c:v>
                </c:pt>
                <c:pt idx="138">
                  <c:v>181475.15089700112</c:v>
                </c:pt>
                <c:pt idx="139">
                  <c:v>179529.39339305516</c:v>
                </c:pt>
                <c:pt idx="140">
                  <c:v>179751.00340712312</c:v>
                </c:pt>
                <c:pt idx="141">
                  <c:v>175894.98977710781</c:v>
                </c:pt>
                <c:pt idx="142">
                  <c:v>176308.86210222208</c:v>
                </c:pt>
                <c:pt idx="143">
                  <c:v>174445.47467559227</c:v>
                </c:pt>
                <c:pt idx="144">
                  <c:v>174912.68853750042</c:v>
                </c:pt>
                <c:pt idx="145">
                  <c:v>173137.23394271222</c:v>
                </c:pt>
                <c:pt idx="146">
                  <c:v>173559.1364377799</c:v>
                </c:pt>
                <c:pt idx="147">
                  <c:v>171793.04629170036</c:v>
                </c:pt>
                <c:pt idx="148">
                  <c:v>172252.81169925083</c:v>
                </c:pt>
                <c:pt idx="149">
                  <c:v>170417.35642301108</c:v>
                </c:pt>
                <c:pt idx="150">
                  <c:v>170854.53646866276</c:v>
                </c:pt>
                <c:pt idx="151">
                  <c:v>169108.24994348979</c:v>
                </c:pt>
                <c:pt idx="152">
                  <c:v>169493.69100869136</c:v>
                </c:pt>
                <c:pt idx="153">
                  <c:v>168132.05840299028</c:v>
                </c:pt>
                <c:pt idx="154">
                  <c:v>168493.37909159259</c:v>
                </c:pt>
                <c:pt idx="155">
                  <c:v>166846.23332756574</c:v>
                </c:pt>
                <c:pt idx="156">
                  <c:v>167255.62130738512</c:v>
                </c:pt>
                <c:pt idx="157">
                  <c:v>165669.70166777348</c:v>
                </c:pt>
                <c:pt idx="158">
                  <c:v>166069.07400390506</c:v>
                </c:pt>
                <c:pt idx="159">
                  <c:v>164184.84838461975</c:v>
                </c:pt>
                <c:pt idx="160">
                  <c:v>162876.44066604177</c:v>
                </c:pt>
                <c:pt idx="161">
                  <c:v>159447.50824590362</c:v>
                </c:pt>
                <c:pt idx="162">
                  <c:v>158832.94715322941</c:v>
                </c:pt>
                <c:pt idx="163">
                  <c:v>157205.41573826966</c:v>
                </c:pt>
                <c:pt idx="164">
                  <c:v>157524.88007745039</c:v>
                </c:pt>
                <c:pt idx="165">
                  <c:v>155995.76728106022</c:v>
                </c:pt>
                <c:pt idx="166">
                  <c:v>156162.94738568357</c:v>
                </c:pt>
                <c:pt idx="167">
                  <c:v>154560.82712651329</c:v>
                </c:pt>
                <c:pt idx="168">
                  <c:v>154812.28473756101</c:v>
                </c:pt>
                <c:pt idx="169">
                  <c:v>153296.96105357559</c:v>
                </c:pt>
                <c:pt idx="170">
                  <c:v>153574.88705497613</c:v>
                </c:pt>
                <c:pt idx="171">
                  <c:v>151946.98643447744</c:v>
                </c:pt>
                <c:pt idx="172">
                  <c:v>152185.94438687697</c:v>
                </c:pt>
                <c:pt idx="173">
                  <c:v>150662.90951600729</c:v>
                </c:pt>
                <c:pt idx="174">
                  <c:v>150979.23639034911</c:v>
                </c:pt>
                <c:pt idx="175">
                  <c:v>149474.77665068695</c:v>
                </c:pt>
                <c:pt idx="176">
                  <c:v>149778.66415957373</c:v>
                </c:pt>
                <c:pt idx="177">
                  <c:v>148186.7680154907</c:v>
                </c:pt>
                <c:pt idx="178">
                  <c:v>148462.36369557385</c:v>
                </c:pt>
                <c:pt idx="179">
                  <c:v>146689.28282577096</c:v>
                </c:pt>
                <c:pt idx="180">
                  <c:v>146548.14200955984</c:v>
                </c:pt>
                <c:pt idx="181">
                  <c:v>144735.56505523037</c:v>
                </c:pt>
                <c:pt idx="182">
                  <c:v>144999.87644667207</c:v>
                </c:pt>
                <c:pt idx="183">
                  <c:v>143246.38666984419</c:v>
                </c:pt>
                <c:pt idx="184">
                  <c:v>143503.34266592024</c:v>
                </c:pt>
                <c:pt idx="185">
                  <c:v>141741.46006113666</c:v>
                </c:pt>
                <c:pt idx="186">
                  <c:v>141989.2412050477</c:v>
                </c:pt>
                <c:pt idx="187">
                  <c:v>140355.89803772111</c:v>
                </c:pt>
                <c:pt idx="188">
                  <c:v>140608.60944271326</c:v>
                </c:pt>
                <c:pt idx="189">
                  <c:v>138947.69343853844</c:v>
                </c:pt>
                <c:pt idx="190">
                  <c:v>138832.84233653033</c:v>
                </c:pt>
                <c:pt idx="191">
                  <c:v>137176.18508018937</c:v>
                </c:pt>
                <c:pt idx="192">
                  <c:v>137393.21300288587</c:v>
                </c:pt>
                <c:pt idx="193">
                  <c:v>135680.86425051911</c:v>
                </c:pt>
                <c:pt idx="194">
                  <c:v>135587.57986273384</c:v>
                </c:pt>
                <c:pt idx="195">
                  <c:v>133890.00944476895</c:v>
                </c:pt>
                <c:pt idx="196">
                  <c:v>134087.5756976823</c:v>
                </c:pt>
                <c:pt idx="197">
                  <c:v>132446.68959033416</c:v>
                </c:pt>
                <c:pt idx="198">
                  <c:v>132636.54202271727</c:v>
                </c:pt>
                <c:pt idx="199">
                  <c:v>131063.80934277448</c:v>
                </c:pt>
                <c:pt idx="200">
                  <c:v>131272.95432409263</c:v>
                </c:pt>
                <c:pt idx="201">
                  <c:v>129599.6532255598</c:v>
                </c:pt>
                <c:pt idx="202">
                  <c:v>129801.77331445023</c:v>
                </c:pt>
                <c:pt idx="203">
                  <c:v>128003.48137617827</c:v>
                </c:pt>
                <c:pt idx="204">
                  <c:v>128166.65249453494</c:v>
                </c:pt>
                <c:pt idx="205">
                  <c:v>125864.47354489779</c:v>
                </c:pt>
                <c:pt idx="206">
                  <c:v>126046.709953023</c:v>
                </c:pt>
                <c:pt idx="207">
                  <c:v>123782.16882368136</c:v>
                </c:pt>
                <c:pt idx="208">
                  <c:v>123961.96059285969</c:v>
                </c:pt>
                <c:pt idx="209">
                  <c:v>121731.19362065007</c:v>
                </c:pt>
                <c:pt idx="210">
                  <c:v>121903.24015288628</c:v>
                </c:pt>
                <c:pt idx="211">
                  <c:v>119753.27988996077</c:v>
                </c:pt>
                <c:pt idx="212">
                  <c:v>119918.92056559547</c:v>
                </c:pt>
                <c:pt idx="213">
                  <c:v>117851.18828648218</c:v>
                </c:pt>
                <c:pt idx="214">
                  <c:v>118010.3798975557</c:v>
                </c:pt>
                <c:pt idx="215">
                  <c:v>116035.02024743668</c:v>
                </c:pt>
                <c:pt idx="216">
                  <c:v>116187.94880552655</c:v>
                </c:pt>
                <c:pt idx="217">
                  <c:v>114289.07647654222</c:v>
                </c:pt>
                <c:pt idx="218">
                  <c:v>114435.84667338181</c:v>
                </c:pt>
                <c:pt idx="219">
                  <c:v>112577.78273139053</c:v>
                </c:pt>
                <c:pt idx="220">
                  <c:v>112718.89627285827</c:v>
                </c:pt>
                <c:pt idx="221">
                  <c:v>110916.0252954819</c:v>
                </c:pt>
                <c:pt idx="222">
                  <c:v>111051.25868975902</c:v>
                </c:pt>
                <c:pt idx="223">
                  <c:v>109289.57727026445</c:v>
                </c:pt>
                <c:pt idx="224">
                  <c:v>109419.6376792388</c:v>
                </c:pt>
                <c:pt idx="225">
                  <c:v>107706.83366168159</c:v>
                </c:pt>
                <c:pt idx="226">
                  <c:v>107831.55954441757</c:v>
                </c:pt>
                <c:pt idx="227">
                  <c:v>106172.9954400495</c:v>
                </c:pt>
                <c:pt idx="228">
                  <c:v>106292.67843838442</c:v>
                </c:pt>
                <c:pt idx="229">
                  <c:v>104664.22951067143</c:v>
                </c:pt>
                <c:pt idx="230">
                  <c:v>104779.06596941792</c:v>
                </c:pt>
                <c:pt idx="231">
                  <c:v>103198.13676287106</c:v>
                </c:pt>
                <c:pt idx="232">
                  <c:v>103308.26340541904</c:v>
                </c:pt>
                <c:pt idx="233">
                  <c:v>101762.19327301436</c:v>
                </c:pt>
                <c:pt idx="234">
                  <c:v>101867.80717446827</c:v>
                </c:pt>
                <c:pt idx="235">
                  <c:v>100336.72968855788</c:v>
                </c:pt>
                <c:pt idx="236">
                  <c:v>100437.83482406323</c:v>
                </c:pt>
                <c:pt idx="237">
                  <c:v>98944.67823962777</c:v>
                </c:pt>
                <c:pt idx="238">
                  <c:v>99041.702548829417</c:v>
                </c:pt>
                <c:pt idx="239">
                  <c:v>97536.504333237099</c:v>
                </c:pt>
                <c:pt idx="240">
                  <c:v>97629.347476384646</c:v>
                </c:pt>
                <c:pt idx="241">
                  <c:v>96165.112592517151</c:v>
                </c:pt>
                <c:pt idx="242">
                  <c:v>96253.968511564177</c:v>
                </c:pt>
                <c:pt idx="243">
                  <c:v>94770.851313562947</c:v>
                </c:pt>
                <c:pt idx="244">
                  <c:v>94855.823884734767</c:v>
                </c:pt>
                <c:pt idx="245">
                  <c:v>93900.775424018284</c:v>
                </c:pt>
                <c:pt idx="246">
                  <c:v>93982.239414222568</c:v>
                </c:pt>
                <c:pt idx="247">
                  <c:v>92994.563306638607</c:v>
                </c:pt>
                <c:pt idx="248">
                  <c:v>93072.770236196913</c:v>
                </c:pt>
                <c:pt idx="249">
                  <c:v>92079.13410075201</c:v>
                </c:pt>
                <c:pt idx="250">
                  <c:v>92154.186245497433</c:v>
                </c:pt>
                <c:pt idx="251">
                  <c:v>91151.44716828852</c:v>
                </c:pt>
                <c:pt idx="252">
                  <c:v>91223.312959514296</c:v>
                </c:pt>
                <c:pt idx="253">
                  <c:v>90216.157658453769</c:v>
                </c:pt>
                <c:pt idx="254">
                  <c:v>90284.941727343656</c:v>
                </c:pt>
                <c:pt idx="255">
                  <c:v>89271.198609698622</c:v>
                </c:pt>
                <c:pt idx="256">
                  <c:v>89336.873338779289</c:v>
                </c:pt>
                <c:pt idx="257">
                  <c:v>88321.57512673545</c:v>
                </c:pt>
                <c:pt idx="258">
                  <c:v>88384.376955593019</c:v>
                </c:pt>
                <c:pt idx="259">
                  <c:v>87371.155124202996</c:v>
                </c:pt>
                <c:pt idx="260">
                  <c:v>87431.081490409517</c:v>
                </c:pt>
                <c:pt idx="261">
                  <c:v>86414.390600806306</c:v>
                </c:pt>
                <c:pt idx="262">
                  <c:v>86471.417736189236</c:v>
                </c:pt>
                <c:pt idx="263">
                  <c:v>85449.154147962166</c:v>
                </c:pt>
                <c:pt idx="264">
                  <c:v>85503.37630871615</c:v>
                </c:pt>
                <c:pt idx="265">
                  <c:v>84485.834988766364</c:v>
                </c:pt>
                <c:pt idx="266">
                  <c:v>84537.506753677124</c:v>
                </c:pt>
                <c:pt idx="267">
                  <c:v>83526.680524246709</c:v>
                </c:pt>
                <c:pt idx="268">
                  <c:v>83575.675758077807</c:v>
                </c:pt>
                <c:pt idx="269">
                  <c:v>82566.18635634784</c:v>
                </c:pt>
                <c:pt idx="270">
                  <c:v>82612.616415141572</c:v>
                </c:pt>
                <c:pt idx="271">
                  <c:v>81589.027609250916</c:v>
                </c:pt>
                <c:pt idx="272">
                  <c:v>81632.956213726226</c:v>
                </c:pt>
                <c:pt idx="273">
                  <c:v>80632.763630727291</c:v>
                </c:pt>
                <c:pt idx="274">
                  <c:v>80674.367548358961</c:v>
                </c:pt>
                <c:pt idx="275">
                  <c:v>80049.829666598205</c:v>
                </c:pt>
                <c:pt idx="276">
                  <c:v>80089.274348777195</c:v>
                </c:pt>
                <c:pt idx="277">
                  <c:v>79448.110454966954</c:v>
                </c:pt>
                <c:pt idx="278">
                  <c:v>79485.421016992041</c:v>
                </c:pt>
                <c:pt idx="279">
                  <c:v>78830.751894366404</c:v>
                </c:pt>
                <c:pt idx="280">
                  <c:v>78865.96315570311</c:v>
                </c:pt>
                <c:pt idx="281">
                  <c:v>78211.750552306068</c:v>
                </c:pt>
                <c:pt idx="282">
                  <c:v>78244.938424270091</c:v>
                </c:pt>
                <c:pt idx="283">
                  <c:v>77584.569360377704</c:v>
                </c:pt>
                <c:pt idx="284">
                  <c:v>77615.925954464139</c:v>
                </c:pt>
                <c:pt idx="285">
                  <c:v>76957.228890842176</c:v>
                </c:pt>
                <c:pt idx="286">
                  <c:v>76986.561545116521</c:v>
                </c:pt>
                <c:pt idx="287">
                  <c:v>76321.076793613713</c:v>
                </c:pt>
                <c:pt idx="288">
                  <c:v>76348.574928983842</c:v>
                </c:pt>
                <c:pt idx="289">
                  <c:v>75694.26849998557</c:v>
                </c:pt>
                <c:pt idx="290">
                  <c:v>75719.898686682689</c:v>
                </c:pt>
                <c:pt idx="291">
                  <c:v>75051.018676324413</c:v>
                </c:pt>
                <c:pt idx="292">
                  <c:v>75074.949244518808</c:v>
                </c:pt>
                <c:pt idx="293">
                  <c:v>74409.690741755869</c:v>
                </c:pt>
                <c:pt idx="294">
                  <c:v>74431.724595272462</c:v>
                </c:pt>
                <c:pt idx="295">
                  <c:v>73762.150545530836</c:v>
                </c:pt>
                <c:pt idx="296">
                  <c:v>73782.484136480649</c:v>
                </c:pt>
                <c:pt idx="297">
                  <c:v>73100.077235023913</c:v>
                </c:pt>
                <c:pt idx="298">
                  <c:v>73118.744802022629</c:v>
                </c:pt>
                <c:pt idx="299">
                  <c:v>72461.016741937245</c:v>
                </c:pt>
                <c:pt idx="300">
                  <c:v>72478.013048661989</c:v>
                </c:pt>
                <c:pt idx="301">
                  <c:v>71797.565991463125</c:v>
                </c:pt>
                <c:pt idx="302">
                  <c:v>71813.038688118424</c:v>
                </c:pt>
                <c:pt idx="303">
                  <c:v>71138.918807445152</c:v>
                </c:pt>
                <c:pt idx="304">
                  <c:v>71152.809853129264</c:v>
                </c:pt>
                <c:pt idx="305">
                  <c:v>70473.137306332093</c:v>
                </c:pt>
                <c:pt idx="306">
                  <c:v>70485.497901466486</c:v>
                </c:pt>
                <c:pt idx="307">
                  <c:v>69881.26194261761</c:v>
                </c:pt>
                <c:pt idx="308">
                  <c:v>69892.212570989985</c:v>
                </c:pt>
                <c:pt idx="309">
                  <c:v>69340.960880472208</c:v>
                </c:pt>
                <c:pt idx="310">
                  <c:v>69350.410097135769</c:v>
                </c:pt>
                <c:pt idx="311">
                  <c:v>68772.042659603321</c:v>
                </c:pt>
                <c:pt idx="312">
                  <c:v>68780.121561903798</c:v>
                </c:pt>
                <c:pt idx="313">
                  <c:v>68220.42820710066</c:v>
                </c:pt>
                <c:pt idx="314">
                  <c:v>68227.095349651936</c:v>
                </c:pt>
                <c:pt idx="315">
                  <c:v>67662.4770787015</c:v>
                </c:pt>
                <c:pt idx="316">
                  <c:v>67667.922784510054</c:v>
                </c:pt>
                <c:pt idx="317">
                  <c:v>67098.422139145332</c:v>
                </c:pt>
                <c:pt idx="318">
                  <c:v>67102.541438204906</c:v>
                </c:pt>
                <c:pt idx="319">
                  <c:v>66548.663000473156</c:v>
                </c:pt>
                <c:pt idx="320">
                  <c:v>66551.549909510723</c:v>
                </c:pt>
                <c:pt idx="321">
                  <c:v>65990.477204365321</c:v>
                </c:pt>
                <c:pt idx="322">
                  <c:v>65992.167191670116</c:v>
                </c:pt>
                <c:pt idx="323">
                  <c:v>65419.987299443375</c:v>
                </c:pt>
                <c:pt idx="324">
                  <c:v>65420.506063101544</c:v>
                </c:pt>
                <c:pt idx="325">
                  <c:v>64862.6533131412</c:v>
                </c:pt>
                <c:pt idx="326">
                  <c:v>64861.937881229023</c:v>
                </c:pt>
                <c:pt idx="327">
                  <c:v>64330.422413533597</c:v>
                </c:pt>
                <c:pt idx="328">
                  <c:v>64328.43578373261</c:v>
                </c:pt>
                <c:pt idx="329">
                  <c:v>63797.492449774269</c:v>
                </c:pt>
                <c:pt idx="330">
                  <c:v>63794.437412464584</c:v>
                </c:pt>
                <c:pt idx="331">
                  <c:v>63240.313747476204</c:v>
                </c:pt>
                <c:pt idx="332">
                  <c:v>63236.337669099012</c:v>
                </c:pt>
                <c:pt idx="333">
                  <c:v>62691.778634959075</c:v>
                </c:pt>
                <c:pt idx="334">
                  <c:v>62686.646253615239</c:v>
                </c:pt>
                <c:pt idx="335">
                  <c:v>61554.761445102995</c:v>
                </c:pt>
                <c:pt idx="336">
                  <c:v>61548.670440094509</c:v>
                </c:pt>
                <c:pt idx="337">
                  <c:v>60525.983777370515</c:v>
                </c:pt>
                <c:pt idx="338">
                  <c:v>60519.119483543014</c:v>
                </c:pt>
                <c:pt idx="339">
                  <c:v>59535.869004275752</c:v>
                </c:pt>
                <c:pt idx="340">
                  <c:v>59528.08673495493</c:v>
                </c:pt>
                <c:pt idx="341">
                  <c:v>58613.245468707217</c:v>
                </c:pt>
                <c:pt idx="342">
                  <c:v>58604.619053207054</c:v>
                </c:pt>
                <c:pt idx="343">
                  <c:v>57661.268620347648</c:v>
                </c:pt>
                <c:pt idx="344">
                  <c:v>57651.798788571126</c:v>
                </c:pt>
                <c:pt idx="345">
                  <c:v>56765.473538448081</c:v>
                </c:pt>
                <c:pt idx="346">
                  <c:v>56755.200226684938</c:v>
                </c:pt>
                <c:pt idx="347">
                  <c:v>55830.15814552956</c:v>
                </c:pt>
                <c:pt idx="348">
                  <c:v>55819.21624646437</c:v>
                </c:pt>
                <c:pt idx="349">
                  <c:v>54923.202081581388</c:v>
                </c:pt>
                <c:pt idx="350">
                  <c:v>54911.562997658839</c:v>
                </c:pt>
                <c:pt idx="351">
                  <c:v>54033.0928988577</c:v>
                </c:pt>
                <c:pt idx="352">
                  <c:v>54020.859440267224</c:v>
                </c:pt>
                <c:pt idx="353">
                  <c:v>53156.683119346497</c:v>
                </c:pt>
                <c:pt idx="354">
                  <c:v>53143.624888390659</c:v>
                </c:pt>
                <c:pt idx="355">
                  <c:v>52258.375044857719</c:v>
                </c:pt>
                <c:pt idx="356">
                  <c:v>52244.992021788385</c:v>
                </c:pt>
                <c:pt idx="357">
                  <c:v>51402.130008024025</c:v>
                </c:pt>
                <c:pt idx="358">
                  <c:v>51388.088145483438</c:v>
                </c:pt>
                <c:pt idx="359">
                  <c:v>50543.369475453183</c:v>
                </c:pt>
                <c:pt idx="360">
                  <c:v>50528.721122054987</c:v>
                </c:pt>
                <c:pt idx="361">
                  <c:v>49675.467396610176</c:v>
                </c:pt>
                <c:pt idx="362">
                  <c:v>49660.249980913883</c:v>
                </c:pt>
                <c:pt idx="363">
                  <c:v>48846.834898715606</c:v>
                </c:pt>
                <c:pt idx="364">
                  <c:v>48831.35697567898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8A-4FC0-BFF8-5CC73C1288CD}"/>
            </c:ext>
          </c:extLst>
        </c:ser>
        <c:ser>
          <c:idx val="2"/>
          <c:order val="2"/>
          <c:tx>
            <c:v>3年目級群</c:v>
          </c:tx>
          <c:spPr>
            <a:solidFill>
              <a:srgbClr val="00CC00"/>
            </a:solidFill>
            <a:ln w="25400">
              <a:noFill/>
            </a:ln>
            <a:effectLst/>
          </c:spPr>
          <c:val>
            <c:numRef>
              <c:f>シャコ!$AJ$3:$AJ$367</c:f>
              <c:numCache>
                <c:formatCode>0</c:formatCode>
                <c:ptCount val="365"/>
                <c:pt idx="0">
                  <c:v>48810.229742550975</c:v>
                </c:pt>
                <c:pt idx="1">
                  <c:v>47421.218179597461</c:v>
                </c:pt>
                <c:pt idx="2">
                  <c:v>47404.979486850934</c:v>
                </c:pt>
                <c:pt idx="3">
                  <c:v>46108.948264382765</c:v>
                </c:pt>
                <c:pt idx="4">
                  <c:v>46092.565805193124</c:v>
                </c:pt>
                <c:pt idx="5">
                  <c:v>44818.186960092258</c:v>
                </c:pt>
                <c:pt idx="6">
                  <c:v>44801.616114586337</c:v>
                </c:pt>
                <c:pt idx="7">
                  <c:v>43592.316676627481</c:v>
                </c:pt>
                <c:pt idx="8">
                  <c:v>43575.600534846475</c:v>
                </c:pt>
                <c:pt idx="9">
                  <c:v>42356.742263454158</c:v>
                </c:pt>
                <c:pt idx="10">
                  <c:v>42339.932029882817</c:v>
                </c:pt>
                <c:pt idx="11">
                  <c:v>41186.805384367624</c:v>
                </c:pt>
                <c:pt idx="12">
                  <c:v>41169.938133573734</c:v>
                </c:pt>
                <c:pt idx="13">
                  <c:v>40027.439325165557</c:v>
                </c:pt>
                <c:pt idx="14">
                  <c:v>40010.432835870255</c:v>
                </c:pt>
                <c:pt idx="15">
                  <c:v>38893.555434713846</c:v>
                </c:pt>
                <c:pt idx="16">
                  <c:v>38876.35493774349</c:v>
                </c:pt>
                <c:pt idx="17">
                  <c:v>37804.096067744176</c:v>
                </c:pt>
                <c:pt idx="18">
                  <c:v>37786.854423928125</c:v>
                </c:pt>
                <c:pt idx="19">
                  <c:v>36745.932308115189</c:v>
                </c:pt>
                <c:pt idx="20">
                  <c:v>36728.773416683784</c:v>
                </c:pt>
                <c:pt idx="21">
                  <c:v>35698.060383144737</c:v>
                </c:pt>
                <c:pt idx="22">
                  <c:v>35680.889932827326</c:v>
                </c:pt>
                <c:pt idx="23">
                  <c:v>34693.396871551377</c:v>
                </c:pt>
                <c:pt idx="24">
                  <c:v>34676.358158295865</c:v>
                </c:pt>
                <c:pt idx="25">
                  <c:v>33709.490715257372</c:v>
                </c:pt>
                <c:pt idx="26">
                  <c:v>33692.329152630249</c:v>
                </c:pt>
                <c:pt idx="27">
                  <c:v>32761.161498681086</c:v>
                </c:pt>
                <c:pt idx="28">
                  <c:v>32743.998739365932</c:v>
                </c:pt>
                <c:pt idx="29">
                  <c:v>31836.790007754935</c:v>
                </c:pt>
                <c:pt idx="30">
                  <c:v>31819.900023518061</c:v>
                </c:pt>
                <c:pt idx="31">
                  <c:v>31008.592789339542</c:v>
                </c:pt>
                <c:pt idx="32">
                  <c:v>30991.680323701887</c:v>
                </c:pt>
                <c:pt idx="33">
                  <c:v>30199.163842560502</c:v>
                </c:pt>
                <c:pt idx="34">
                  <c:v>30182.308582546368</c:v>
                </c:pt>
                <c:pt idx="35">
                  <c:v>29400.085909677262</c:v>
                </c:pt>
                <c:pt idx="36">
                  <c:v>29383.350278440179</c:v>
                </c:pt>
                <c:pt idx="37">
                  <c:v>28628.451392501494</c:v>
                </c:pt>
                <c:pt idx="38">
                  <c:v>28611.749987294839</c:v>
                </c:pt>
                <c:pt idx="39">
                  <c:v>27876.765496980588</c:v>
                </c:pt>
                <c:pt idx="40">
                  <c:v>27860.175633337018</c:v>
                </c:pt>
                <c:pt idx="41">
                  <c:v>27129.279489246179</c:v>
                </c:pt>
                <c:pt idx="42">
                  <c:v>27112.847735524549</c:v>
                </c:pt>
                <c:pt idx="43">
                  <c:v>26407.910679667009</c:v>
                </c:pt>
                <c:pt idx="44">
                  <c:v>26391.542402607309</c:v>
                </c:pt>
                <c:pt idx="45">
                  <c:v>25709.230212403967</c:v>
                </c:pt>
                <c:pt idx="46">
                  <c:v>25693.003494435146</c:v>
                </c:pt>
                <c:pt idx="47">
                  <c:v>25021.70980472739</c:v>
                </c:pt>
                <c:pt idx="48">
                  <c:v>25005.68030285737</c:v>
                </c:pt>
                <c:pt idx="49">
                  <c:v>24353.269567594263</c:v>
                </c:pt>
                <c:pt idx="50">
                  <c:v>24337.139266542446</c:v>
                </c:pt>
                <c:pt idx="51">
                  <c:v>23708.075749754171</c:v>
                </c:pt>
                <c:pt idx="52">
                  <c:v>23692.286925644512</c:v>
                </c:pt>
                <c:pt idx="53">
                  <c:v>23065.591649494734</c:v>
                </c:pt>
                <c:pt idx="54">
                  <c:v>23049.811923050118</c:v>
                </c:pt>
                <c:pt idx="55">
                  <c:v>22449.479352438666</c:v>
                </c:pt>
                <c:pt idx="56">
                  <c:v>22433.971843018542</c:v>
                </c:pt>
                <c:pt idx="57">
                  <c:v>21846.520196552632</c:v>
                </c:pt>
                <c:pt idx="58">
                  <c:v>21831.152350580869</c:v>
                </c:pt>
                <c:pt idx="59">
                  <c:v>21260.66815003585</c:v>
                </c:pt>
                <c:pt idx="60">
                  <c:v>21245.311739381657</c:v>
                </c:pt>
                <c:pt idx="61">
                  <c:v>20589.84712814424</c:v>
                </c:pt>
                <c:pt idx="62">
                  <c:v>20574.754158201671</c:v>
                </c:pt>
                <c:pt idx="63">
                  <c:v>19905.454820444251</c:v>
                </c:pt>
                <c:pt idx="64">
                  <c:v>19890.632321490801</c:v>
                </c:pt>
                <c:pt idx="65">
                  <c:v>19243.478961460802</c:v>
                </c:pt>
                <c:pt idx="66">
                  <c:v>19228.996885984805</c:v>
                </c:pt>
                <c:pt idx="67">
                  <c:v>18613.515028365175</c:v>
                </c:pt>
                <c:pt idx="68">
                  <c:v>18599.458939075786</c:v>
                </c:pt>
                <c:pt idx="69">
                  <c:v>17986.89363678687</c:v>
                </c:pt>
                <c:pt idx="70">
                  <c:v>17973.108061497682</c:v>
                </c:pt>
                <c:pt idx="71">
                  <c:v>17400.338635345091</c:v>
                </c:pt>
                <c:pt idx="72">
                  <c:v>17386.728591321338</c:v>
                </c:pt>
                <c:pt idx="73">
                  <c:v>16802.85543486246</c:v>
                </c:pt>
                <c:pt idx="74">
                  <c:v>16788.469046278624</c:v>
                </c:pt>
                <c:pt idx="75">
                  <c:v>16205.343842331906</c:v>
                </c:pt>
                <c:pt idx="76">
                  <c:v>16183.852591980774</c:v>
                </c:pt>
                <c:pt idx="77">
                  <c:v>15623.283012720305</c:v>
                </c:pt>
                <c:pt idx="78">
                  <c:v>15581.951630503425</c:v>
                </c:pt>
                <c:pt idx="79">
                  <c:v>14951.541557491148</c:v>
                </c:pt>
                <c:pt idx="80">
                  <c:v>14902.115865237261</c:v>
                </c:pt>
                <c:pt idx="81">
                  <c:v>14301.002221634355</c:v>
                </c:pt>
                <c:pt idx="82">
                  <c:v>14273.019128225555</c:v>
                </c:pt>
                <c:pt idx="83">
                  <c:v>13706.97341295313</c:v>
                </c:pt>
                <c:pt idx="84">
                  <c:v>13691.726757607326</c:v>
                </c:pt>
                <c:pt idx="85">
                  <c:v>13149.971833264935</c:v>
                </c:pt>
                <c:pt idx="86">
                  <c:v>13138.437199779348</c:v>
                </c:pt>
                <c:pt idx="87">
                  <c:v>12632.968742814981</c:v>
                </c:pt>
                <c:pt idx="88">
                  <c:v>12621.33211127367</c:v>
                </c:pt>
                <c:pt idx="89">
                  <c:v>12159.752101281667</c:v>
                </c:pt>
                <c:pt idx="90">
                  <c:v>12148.692933964618</c:v>
                </c:pt>
                <c:pt idx="91">
                  <c:v>11802.559064081643</c:v>
                </c:pt>
                <c:pt idx="92">
                  <c:v>11790.902422424409</c:v>
                </c:pt>
                <c:pt idx="93">
                  <c:v>11430.045051780069</c:v>
                </c:pt>
                <c:pt idx="94">
                  <c:v>11419.360884430065</c:v>
                </c:pt>
                <c:pt idx="95">
                  <c:v>11061.544372053208</c:v>
                </c:pt>
                <c:pt idx="96">
                  <c:v>11049.871779164307</c:v>
                </c:pt>
                <c:pt idx="97">
                  <c:v>10737.338171567659</c:v>
                </c:pt>
                <c:pt idx="98">
                  <c:v>10726.548251591636</c:v>
                </c:pt>
                <c:pt idx="99">
                  <c:v>10413.157757755553</c:v>
                </c:pt>
                <c:pt idx="100">
                  <c:v>10402.868077336008</c:v>
                </c:pt>
                <c:pt idx="101">
                  <c:v>10109.865845482062</c:v>
                </c:pt>
                <c:pt idx="102">
                  <c:v>10099.92316585618</c:v>
                </c:pt>
                <c:pt idx="103">
                  <c:v>9832.3104851433418</c:v>
                </c:pt>
                <c:pt idx="104">
                  <c:v>9822.5664814329557</c:v>
                </c:pt>
                <c:pt idx="105">
                  <c:v>9554.5613553328167</c:v>
                </c:pt>
                <c:pt idx="106">
                  <c:v>9543.4122613311447</c:v>
                </c:pt>
                <c:pt idx="107">
                  <c:v>9305.7535995252274</c:v>
                </c:pt>
                <c:pt idx="108">
                  <c:v>9293.042445192923</c:v>
                </c:pt>
                <c:pt idx="109">
                  <c:v>9028.1880463668676</c:v>
                </c:pt>
                <c:pt idx="110">
                  <c:v>9018.7444155907742</c:v>
                </c:pt>
                <c:pt idx="111">
                  <c:v>8776.3369260790314</c:v>
                </c:pt>
                <c:pt idx="112">
                  <c:v>8767.5811094061828</c:v>
                </c:pt>
                <c:pt idx="113">
                  <c:v>8546.379287591426</c:v>
                </c:pt>
                <c:pt idx="114">
                  <c:v>8536.9268816871081</c:v>
                </c:pt>
                <c:pt idx="115">
                  <c:v>8307.6402408172507</c:v>
                </c:pt>
                <c:pt idx="116">
                  <c:v>8289.2855272497345</c:v>
                </c:pt>
                <c:pt idx="117">
                  <c:v>8056.1639735901254</c:v>
                </c:pt>
                <c:pt idx="118">
                  <c:v>8046.723587969891</c:v>
                </c:pt>
                <c:pt idx="119">
                  <c:v>7848.4610146772329</c:v>
                </c:pt>
                <c:pt idx="120">
                  <c:v>7838.3726715411249</c:v>
                </c:pt>
                <c:pt idx="121">
                  <c:v>7637.0491151262313</c:v>
                </c:pt>
                <c:pt idx="122">
                  <c:v>7625.277003924095</c:v>
                </c:pt>
                <c:pt idx="123">
                  <c:v>7423.5711382765694</c:v>
                </c:pt>
                <c:pt idx="124">
                  <c:v>7409.6948566349347</c:v>
                </c:pt>
                <c:pt idx="125">
                  <c:v>7241.2497592096706</c:v>
                </c:pt>
                <c:pt idx="126">
                  <c:v>7222.6060855177984</c:v>
                </c:pt>
                <c:pt idx="127">
                  <c:v>7031.8602741215982</c:v>
                </c:pt>
                <c:pt idx="128">
                  <c:v>7013.3938928242696</c:v>
                </c:pt>
                <c:pt idx="129">
                  <c:v>6817.9486687445005</c:v>
                </c:pt>
                <c:pt idx="130">
                  <c:v>6800.7067503299777</c:v>
                </c:pt>
                <c:pt idx="131">
                  <c:v>6653.9458135497207</c:v>
                </c:pt>
                <c:pt idx="132">
                  <c:v>6645.7729699404645</c:v>
                </c:pt>
                <c:pt idx="133">
                  <c:v>6518.0324725516748</c:v>
                </c:pt>
                <c:pt idx="134">
                  <c:v>6498.4140173643282</c:v>
                </c:pt>
                <c:pt idx="135">
                  <c:v>6387.7143078490117</c:v>
                </c:pt>
                <c:pt idx="136">
                  <c:v>6377.9001788250162</c:v>
                </c:pt>
                <c:pt idx="137">
                  <c:v>6264.3177098073784</c:v>
                </c:pt>
                <c:pt idx="138">
                  <c:v>6256.7630470521653</c:v>
                </c:pt>
                <c:pt idx="139">
                  <c:v>6139.0167893631424</c:v>
                </c:pt>
                <c:pt idx="140">
                  <c:v>6108.9216443006144</c:v>
                </c:pt>
                <c:pt idx="141">
                  <c:v>5880.5565407664217</c:v>
                </c:pt>
                <c:pt idx="142">
                  <c:v>5871.0021884392863</c:v>
                </c:pt>
                <c:pt idx="143">
                  <c:v>5785.7841489900111</c:v>
                </c:pt>
                <c:pt idx="144">
                  <c:v>5777.4957233982941</c:v>
                </c:pt>
                <c:pt idx="145">
                  <c:v>5690.7787731628487</c:v>
                </c:pt>
                <c:pt idx="146">
                  <c:v>5679.2756113576352</c:v>
                </c:pt>
                <c:pt idx="147">
                  <c:v>5599.8294520223526</c:v>
                </c:pt>
                <c:pt idx="148">
                  <c:v>5593.2506534048953</c:v>
                </c:pt>
                <c:pt idx="149">
                  <c:v>5524.1420484968039</c:v>
                </c:pt>
                <c:pt idx="150">
                  <c:v>5517.3779968856761</c:v>
                </c:pt>
                <c:pt idx="151">
                  <c:v>5435.8608771341505</c:v>
                </c:pt>
                <c:pt idx="152">
                  <c:v>5426.9562947145259</c:v>
                </c:pt>
                <c:pt idx="153">
                  <c:v>5360.5787491379006</c:v>
                </c:pt>
                <c:pt idx="154">
                  <c:v>5352.7845756651068</c:v>
                </c:pt>
                <c:pt idx="155">
                  <c:v>5303.8174622052711</c:v>
                </c:pt>
                <c:pt idx="156">
                  <c:v>5297.1666630112177</c:v>
                </c:pt>
                <c:pt idx="157">
                  <c:v>5246.417151454998</c:v>
                </c:pt>
                <c:pt idx="158">
                  <c:v>5240.0479190622418</c:v>
                </c:pt>
                <c:pt idx="159">
                  <c:v>5176.6292781165776</c:v>
                </c:pt>
                <c:pt idx="160">
                  <c:v>5150.2686898327856</c:v>
                </c:pt>
                <c:pt idx="161">
                  <c:v>4977.2228253825106</c:v>
                </c:pt>
                <c:pt idx="162">
                  <c:v>4938.4643361651688</c:v>
                </c:pt>
                <c:pt idx="163">
                  <c:v>4899.3593655701361</c:v>
                </c:pt>
                <c:pt idx="164">
                  <c:v>4892.7549377052237</c:v>
                </c:pt>
                <c:pt idx="165">
                  <c:v>4843.5691830988308</c:v>
                </c:pt>
                <c:pt idx="166">
                  <c:v>4827.3821092247035</c:v>
                </c:pt>
                <c:pt idx="167">
                  <c:v>4778.3731341408266</c:v>
                </c:pt>
                <c:pt idx="168">
                  <c:v>4769.0524593661285</c:v>
                </c:pt>
                <c:pt idx="169">
                  <c:v>4725.7428394177123</c:v>
                </c:pt>
                <c:pt idx="170">
                  <c:v>4719.5903543307177</c:v>
                </c:pt>
                <c:pt idx="171">
                  <c:v>4673.627141638307</c:v>
                </c:pt>
                <c:pt idx="172">
                  <c:v>4666.0157085465371</c:v>
                </c:pt>
                <c:pt idx="173">
                  <c:v>4590.1384670309581</c:v>
                </c:pt>
                <c:pt idx="174">
                  <c:v>4584.571728891824</c:v>
                </c:pt>
                <c:pt idx="175">
                  <c:v>4518.1242744412966</c:v>
                </c:pt>
                <c:pt idx="176">
                  <c:v>4512.1835292500118</c:v>
                </c:pt>
                <c:pt idx="177">
                  <c:v>4440.0906300313609</c:v>
                </c:pt>
                <c:pt idx="178">
                  <c:v>4433.7687227460601</c:v>
                </c:pt>
                <c:pt idx="179">
                  <c:v>4342.8322690017949</c:v>
                </c:pt>
                <c:pt idx="180">
                  <c:v>4317.7846746887826</c:v>
                </c:pt>
                <c:pt idx="181">
                  <c:v>4238.5170718605168</c:v>
                </c:pt>
                <c:pt idx="182">
                  <c:v>4232.7221873222015</c:v>
                </c:pt>
                <c:pt idx="183">
                  <c:v>4153.7860685184305</c:v>
                </c:pt>
                <c:pt idx="184">
                  <c:v>4147.606564854148</c:v>
                </c:pt>
                <c:pt idx="185">
                  <c:v>4082.2701609024152</c:v>
                </c:pt>
                <c:pt idx="186">
                  <c:v>4076.3976235634623</c:v>
                </c:pt>
                <c:pt idx="187">
                  <c:v>4019.1136552050375</c:v>
                </c:pt>
                <c:pt idx="188">
                  <c:v>4013.7872085971871</c:v>
                </c:pt>
                <c:pt idx="189">
                  <c:v>3955.5726643330399</c:v>
                </c:pt>
                <c:pt idx="190">
                  <c:v>3931.5737320722442</c:v>
                </c:pt>
                <c:pt idx="191">
                  <c:v>3878.5168913425023</c:v>
                </c:pt>
                <c:pt idx="192">
                  <c:v>3872.9187874104018</c:v>
                </c:pt>
                <c:pt idx="193">
                  <c:v>3805.5571544345471</c:v>
                </c:pt>
                <c:pt idx="194">
                  <c:v>3786.1886842406998</c:v>
                </c:pt>
                <c:pt idx="195">
                  <c:v>3728.0831784002726</c:v>
                </c:pt>
                <c:pt idx="196">
                  <c:v>3721.9791235272824</c:v>
                </c:pt>
                <c:pt idx="197">
                  <c:v>3668.4143793626386</c:v>
                </c:pt>
                <c:pt idx="198">
                  <c:v>3662.8756336820993</c:v>
                </c:pt>
                <c:pt idx="199">
                  <c:v>3613.8814703777193</c:v>
                </c:pt>
                <c:pt idx="200">
                  <c:v>3609.1470597414227</c:v>
                </c:pt>
                <c:pt idx="201">
                  <c:v>3554.2155780491726</c:v>
                </c:pt>
                <c:pt idx="202">
                  <c:v>3549.3674151256696</c:v>
                </c:pt>
                <c:pt idx="203">
                  <c:v>3488.6962181952517</c:v>
                </c:pt>
                <c:pt idx="204">
                  <c:v>3483.4987615282344</c:v>
                </c:pt>
                <c:pt idx="205">
                  <c:v>3388.059984464679</c:v>
                </c:pt>
                <c:pt idx="206">
                  <c:v>3383.1644809403379</c:v>
                </c:pt>
                <c:pt idx="207">
                  <c:v>3295.4354210834749</c:v>
                </c:pt>
                <c:pt idx="208">
                  <c:v>3291.0855196745802</c:v>
                </c:pt>
                <c:pt idx="209">
                  <c:v>3206.490685626859</c:v>
                </c:pt>
                <c:pt idx="210">
                  <c:v>3202.2322108007347</c:v>
                </c:pt>
                <c:pt idx="211">
                  <c:v>3115.6954779994444</c:v>
                </c:pt>
                <c:pt idx="212">
                  <c:v>3111.296806489494</c:v>
                </c:pt>
                <c:pt idx="213">
                  <c:v>3027.6872253289011</c:v>
                </c:pt>
                <c:pt idx="214">
                  <c:v>3023.6177965300594</c:v>
                </c:pt>
                <c:pt idx="215">
                  <c:v>2944.1191577117415</c:v>
                </c:pt>
                <c:pt idx="216">
                  <c:v>2939.9212898093556</c:v>
                </c:pt>
                <c:pt idx="217">
                  <c:v>2866.4255044143797</c:v>
                </c:pt>
                <c:pt idx="218">
                  <c:v>2862.5739342154288</c:v>
                </c:pt>
                <c:pt idx="219">
                  <c:v>2792.312339791823</c:v>
                </c:pt>
                <c:pt idx="220">
                  <c:v>2788.5801828197318</c:v>
                </c:pt>
                <c:pt idx="221">
                  <c:v>2723.4476745349411</c:v>
                </c:pt>
                <c:pt idx="222">
                  <c:v>2719.6082404511435</c:v>
                </c:pt>
                <c:pt idx="223">
                  <c:v>2658.2266051723354</c:v>
                </c:pt>
                <c:pt idx="224">
                  <c:v>2654.5199051718942</c:v>
                </c:pt>
                <c:pt idx="225">
                  <c:v>2599.7355863909265</c:v>
                </c:pt>
                <c:pt idx="226">
                  <c:v>2596.1708468730999</c:v>
                </c:pt>
                <c:pt idx="227">
                  <c:v>2547.7860098753799</c:v>
                </c:pt>
                <c:pt idx="228">
                  <c:v>2544.1360672991527</c:v>
                </c:pt>
                <c:pt idx="229">
                  <c:v>2496.2794063609922</c:v>
                </c:pt>
                <c:pt idx="230">
                  <c:v>2492.7820769802483</c:v>
                </c:pt>
                <c:pt idx="231">
                  <c:v>2448.773696128118</c:v>
                </c:pt>
                <c:pt idx="232">
                  <c:v>2445.4349904644919</c:v>
                </c:pt>
                <c:pt idx="233">
                  <c:v>2398.8900629137252</c:v>
                </c:pt>
                <c:pt idx="234">
                  <c:v>2395.4716525685549</c:v>
                </c:pt>
                <c:pt idx="235">
                  <c:v>2348.280907759935</c:v>
                </c:pt>
                <c:pt idx="236">
                  <c:v>2345.0208274350025</c:v>
                </c:pt>
                <c:pt idx="237">
                  <c:v>2293.370092030606</c:v>
                </c:pt>
                <c:pt idx="238">
                  <c:v>2290.0270655794911</c:v>
                </c:pt>
                <c:pt idx="239">
                  <c:v>2242.2526075817068</c:v>
                </c:pt>
                <c:pt idx="240">
                  <c:v>2238.831340202873</c:v>
                </c:pt>
                <c:pt idx="241">
                  <c:v>2187.0585947927748</c:v>
                </c:pt>
                <c:pt idx="242">
                  <c:v>2184.0346962501112</c:v>
                </c:pt>
                <c:pt idx="243">
                  <c:v>2134.2397164590166</c:v>
                </c:pt>
                <c:pt idx="244">
                  <c:v>2131.1383084269087</c:v>
                </c:pt>
                <c:pt idx="245">
                  <c:v>2088.138255079074</c:v>
                </c:pt>
                <c:pt idx="246">
                  <c:v>2085.207403438767</c:v>
                </c:pt>
                <c:pt idx="247">
                  <c:v>2041.3346235549216</c:v>
                </c:pt>
                <c:pt idx="248">
                  <c:v>2038.3342514037095</c:v>
                </c:pt>
                <c:pt idx="249">
                  <c:v>1997.2043908123671</c:v>
                </c:pt>
                <c:pt idx="250">
                  <c:v>1994.1378353402365</c:v>
                </c:pt>
                <c:pt idx="251">
                  <c:v>1952.3820437452141</c:v>
                </c:pt>
                <c:pt idx="252">
                  <c:v>1949.4911941795335</c:v>
                </c:pt>
                <c:pt idx="253">
                  <c:v>1911.4676510816471</c:v>
                </c:pt>
                <c:pt idx="254">
                  <c:v>1908.515523676168</c:v>
                </c:pt>
                <c:pt idx="255">
                  <c:v>1868.9050937675006</c:v>
                </c:pt>
                <c:pt idx="256">
                  <c:v>1866.1335534865141</c:v>
                </c:pt>
                <c:pt idx="257">
                  <c:v>1829.7931740153474</c:v>
                </c:pt>
                <c:pt idx="258">
                  <c:v>1826.9637424367502</c:v>
                </c:pt>
                <c:pt idx="259">
                  <c:v>1788.0634226454206</c:v>
                </c:pt>
                <c:pt idx="260">
                  <c:v>1785.1740821391229</c:v>
                </c:pt>
                <c:pt idx="261">
                  <c:v>1750.781845225086</c:v>
                </c:pt>
                <c:pt idx="262">
                  <c:v>1748.0818210032128</c:v>
                </c:pt>
                <c:pt idx="263">
                  <c:v>1709.6604786609018</c:v>
                </c:pt>
                <c:pt idx="264">
                  <c:v>1707.1475179564281</c:v>
                </c:pt>
                <c:pt idx="265">
                  <c:v>1674.4813406100509</c:v>
                </c:pt>
                <c:pt idx="266">
                  <c:v>1671.9173323014356</c:v>
                </c:pt>
                <c:pt idx="267">
                  <c:v>1635.7050620032105</c:v>
                </c:pt>
                <c:pt idx="268">
                  <c:v>1633.0870464013105</c:v>
                </c:pt>
                <c:pt idx="269">
                  <c:v>1601.9226872084498</c:v>
                </c:pt>
                <c:pt idx="270">
                  <c:v>1599.5021340677945</c:v>
                </c:pt>
                <c:pt idx="271">
                  <c:v>1563.0595792152524</c:v>
                </c:pt>
                <c:pt idx="272">
                  <c:v>1560.586381400592</c:v>
                </c:pt>
                <c:pt idx="273">
                  <c:v>1531.1880605256056</c:v>
                </c:pt>
                <c:pt idx="274">
                  <c:v>1528.6692692433235</c:v>
                </c:pt>
                <c:pt idx="275">
                  <c:v>1507.5862367074583</c:v>
                </c:pt>
                <c:pt idx="276">
                  <c:v>1505.2775990783994</c:v>
                </c:pt>
                <c:pt idx="277">
                  <c:v>1483.1314466906829</c:v>
                </c:pt>
                <c:pt idx="278">
                  <c:v>1480.7853395747634</c:v>
                </c:pt>
                <c:pt idx="279">
                  <c:v>1454.5921264772758</c:v>
                </c:pt>
                <c:pt idx="280">
                  <c:v>1452.2051153989091</c:v>
                </c:pt>
                <c:pt idx="281">
                  <c:v>1428.6635990527082</c:v>
                </c:pt>
                <c:pt idx="282">
                  <c:v>1426.238448081484</c:v>
                </c:pt>
                <c:pt idx="283">
                  <c:v>1400.3771432137173</c:v>
                </c:pt>
                <c:pt idx="284">
                  <c:v>1398.1614922037575</c:v>
                </c:pt>
                <c:pt idx="285">
                  <c:v>1375.2139857845984</c:v>
                </c:pt>
                <c:pt idx="286">
                  <c:v>1372.9620317740973</c:v>
                </c:pt>
                <c:pt idx="287">
                  <c:v>1350.6911469753416</c:v>
                </c:pt>
                <c:pt idx="288">
                  <c:v>1348.4037921256306</c:v>
                </c:pt>
                <c:pt idx="289">
                  <c:v>1325.8109611358532</c:v>
                </c:pt>
                <c:pt idx="290">
                  <c:v>1323.739003891779</c:v>
                </c:pt>
                <c:pt idx="291">
                  <c:v>1304.3380685286465</c:v>
                </c:pt>
                <c:pt idx="292">
                  <c:v>1302.2345074609123</c:v>
                </c:pt>
                <c:pt idx="293">
                  <c:v>1280.7593899640929</c:v>
                </c:pt>
                <c:pt idx="294">
                  <c:v>1278.6226364902973</c:v>
                </c:pt>
                <c:pt idx="295">
                  <c:v>1259.5993000400956</c:v>
                </c:pt>
                <c:pt idx="296">
                  <c:v>1257.6839245254953</c:v>
                </c:pt>
                <c:pt idx="297">
                  <c:v>1236.5814755849183</c:v>
                </c:pt>
                <c:pt idx="298">
                  <c:v>1234.6344206274957</c:v>
                </c:pt>
                <c:pt idx="299">
                  <c:v>1216.7532397242092</c:v>
                </c:pt>
                <c:pt idx="300">
                  <c:v>1214.7775699071435</c:v>
                </c:pt>
                <c:pt idx="301">
                  <c:v>1192.788161846511</c:v>
                </c:pt>
                <c:pt idx="302">
                  <c:v>1190.7805419577455</c:v>
                </c:pt>
                <c:pt idx="303">
                  <c:v>1173.798291138681</c:v>
                </c:pt>
                <c:pt idx="304">
                  <c:v>1171.7632984563027</c:v>
                </c:pt>
                <c:pt idx="305">
                  <c:v>1154.7279549889736</c:v>
                </c:pt>
                <c:pt idx="306">
                  <c:v>1152.920098180276</c:v>
                </c:pt>
                <c:pt idx="307">
                  <c:v>1133.0320236928196</c:v>
                </c:pt>
                <c:pt idx="308">
                  <c:v>1131.1953966679102</c:v>
                </c:pt>
                <c:pt idx="309">
                  <c:v>1117.3675969150497</c:v>
                </c:pt>
                <c:pt idx="310">
                  <c:v>1115.5075710530382</c:v>
                </c:pt>
                <c:pt idx="311">
                  <c:v>1099.592746206856</c:v>
                </c:pt>
                <c:pt idx="312">
                  <c:v>1097.707741567152</c:v>
                </c:pt>
                <c:pt idx="313">
                  <c:v>1082.00018164736</c:v>
                </c:pt>
                <c:pt idx="314">
                  <c:v>1080.0905683287456</c:v>
                </c:pt>
                <c:pt idx="315">
                  <c:v>1065.6167158018848</c:v>
                </c:pt>
                <c:pt idx="316">
                  <c:v>1063.9402103462282</c:v>
                </c:pt>
                <c:pt idx="317">
                  <c:v>1047.8820688413932</c:v>
                </c:pt>
                <c:pt idx="318">
                  <c:v>1046.1816830573166</c:v>
                </c:pt>
                <c:pt idx="319">
                  <c:v>1032.1329645258202</c:v>
                </c:pt>
                <c:pt idx="320">
                  <c:v>1030.4105453567138</c:v>
                </c:pt>
                <c:pt idx="321">
                  <c:v>1015.5468377931519</c:v>
                </c:pt>
                <c:pt idx="322">
                  <c:v>1014.0596568851066</c:v>
                </c:pt>
                <c:pt idx="323">
                  <c:v>1000.9580115828874</c:v>
                </c:pt>
                <c:pt idx="324">
                  <c:v>999.45054658601509</c:v>
                </c:pt>
                <c:pt idx="325">
                  <c:v>984.7593518730697</c:v>
                </c:pt>
                <c:pt idx="326">
                  <c:v>983.23047187894781</c:v>
                </c:pt>
                <c:pt idx="327">
                  <c:v>972.12000641222778</c:v>
                </c:pt>
                <c:pt idx="328">
                  <c:v>970.57276948173944</c:v>
                </c:pt>
                <c:pt idx="329">
                  <c:v>959.68779204657153</c:v>
                </c:pt>
                <c:pt idx="330">
                  <c:v>958.12251860301467</c:v>
                </c:pt>
                <c:pt idx="331">
                  <c:v>945.38703718375461</c:v>
                </c:pt>
                <c:pt idx="332">
                  <c:v>943.80238800460961</c:v>
                </c:pt>
                <c:pt idx="333">
                  <c:v>932.59016574422776</c:v>
                </c:pt>
                <c:pt idx="334">
                  <c:v>930.98750009323362</c:v>
                </c:pt>
                <c:pt idx="335">
                  <c:v>916.35585859802131</c:v>
                </c:pt>
                <c:pt idx="336">
                  <c:v>914.73261655957083</c:v>
                </c:pt>
                <c:pt idx="337">
                  <c:v>894.05951681838189</c:v>
                </c:pt>
                <c:pt idx="338">
                  <c:v>892.41112279271204</c:v>
                </c:pt>
                <c:pt idx="339">
                  <c:v>878.21546957428507</c:v>
                </c:pt>
                <c:pt idx="340">
                  <c:v>876.80868868724167</c:v>
                </c:pt>
                <c:pt idx="341">
                  <c:v>861.52703153985078</c:v>
                </c:pt>
                <c:pt idx="342">
                  <c:v>860.10028916864508</c:v>
                </c:pt>
                <c:pt idx="343">
                  <c:v>842.94244759666617</c:v>
                </c:pt>
                <c:pt idx="344">
                  <c:v>841.49445840404792</c:v>
                </c:pt>
                <c:pt idx="345">
                  <c:v>826.39127316064332</c:v>
                </c:pt>
                <c:pt idx="346">
                  <c:v>825.18650476467553</c:v>
                </c:pt>
                <c:pt idx="347">
                  <c:v>810.56896908712986</c:v>
                </c:pt>
                <c:pt idx="348">
                  <c:v>809.08272235734057</c:v>
                </c:pt>
                <c:pt idx="349">
                  <c:v>792.05636658891228</c:v>
                </c:pt>
                <c:pt idx="350">
                  <c:v>790.54948006572772</c:v>
                </c:pt>
                <c:pt idx="351">
                  <c:v>777.69842321366696</c:v>
                </c:pt>
                <c:pt idx="352">
                  <c:v>776.43813557847125</c:v>
                </c:pt>
                <c:pt idx="353">
                  <c:v>762.76055439456547</c:v>
                </c:pt>
                <c:pt idx="354">
                  <c:v>761.48306335834525</c:v>
                </c:pt>
                <c:pt idx="355">
                  <c:v>746.44714542085944</c:v>
                </c:pt>
                <c:pt idx="356">
                  <c:v>745.1515769629184</c:v>
                </c:pt>
                <c:pt idx="357">
                  <c:v>732.72614678311777</c:v>
                </c:pt>
                <c:pt idx="358">
                  <c:v>731.67969050524016</c:v>
                </c:pt>
                <c:pt idx="359">
                  <c:v>716.83431569123741</c:v>
                </c:pt>
                <c:pt idx="360">
                  <c:v>715.5053062158745</c:v>
                </c:pt>
                <c:pt idx="361">
                  <c:v>703.01355821382106</c:v>
                </c:pt>
                <c:pt idx="362">
                  <c:v>701.66877516320756</c:v>
                </c:pt>
                <c:pt idx="363">
                  <c:v>689.94314912056086</c:v>
                </c:pt>
                <c:pt idx="364">
                  <c:v>688.58327971767062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8A-4FC0-BFF8-5CC73C1288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79649600"/>
        <c:axId val="-1879642528"/>
      </c:areaChart>
      <c:dateAx>
        <c:axId val="-1879649600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79642528"/>
        <c:crosses val="autoZero"/>
        <c:auto val="1"/>
        <c:lblOffset val="100"/>
        <c:baseTimeUnit val="days"/>
      </c:dateAx>
      <c:valAx>
        <c:axId val="-187964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入網ポテンシャル重量</a:t>
                </a:r>
                <a:r>
                  <a:rPr lang="en-US" altLang="ja-JP" sz="1000" b="0" i="0" u="none" strike="noStrike" baseline="0">
                    <a:effectLst/>
                  </a:rPr>
                  <a:t>(</a:t>
                </a:r>
                <a:r>
                  <a:rPr lang="ja-JP" altLang="ja-JP" sz="1000" b="0" i="0" u="none" strike="noStrike" baseline="0">
                    <a:effectLst/>
                  </a:rPr>
                  <a:t>相対値</a:t>
                </a:r>
                <a:r>
                  <a:rPr lang="en-US" altLang="ja-JP" sz="1000" b="0" i="0" u="none" strike="noStrike" baseline="0">
                    <a:effectLst/>
                  </a:rPr>
                  <a:t>)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 alt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7964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v>1st year</c:v>
          </c:tx>
          <c:spPr>
            <a:solidFill>
              <a:srgbClr val="0066FF"/>
            </a:solidFill>
            <a:ln>
              <a:noFill/>
            </a:ln>
            <a:effectLst/>
          </c:spPr>
          <c:cat>
            <c:numRef>
              <c:f>シャコ!$A$3:$A$367</c:f>
              <c:numCache>
                <c:formatCode>m/d/yyyy</c:formatCode>
                <c:ptCount val="365"/>
                <c:pt idx="0">
                  <c:v>41730</c:v>
                </c:pt>
                <c:pt idx="1">
                  <c:v>41731</c:v>
                </c:pt>
                <c:pt idx="2">
                  <c:v>41732</c:v>
                </c:pt>
                <c:pt idx="3">
                  <c:v>41733</c:v>
                </c:pt>
                <c:pt idx="4">
                  <c:v>41734</c:v>
                </c:pt>
                <c:pt idx="5">
                  <c:v>41735</c:v>
                </c:pt>
                <c:pt idx="6">
                  <c:v>41736</c:v>
                </c:pt>
                <c:pt idx="7">
                  <c:v>41737</c:v>
                </c:pt>
                <c:pt idx="8">
                  <c:v>41738</c:v>
                </c:pt>
                <c:pt idx="9">
                  <c:v>41739</c:v>
                </c:pt>
                <c:pt idx="10">
                  <c:v>41740</c:v>
                </c:pt>
                <c:pt idx="11">
                  <c:v>41741</c:v>
                </c:pt>
                <c:pt idx="12">
                  <c:v>41742</c:v>
                </c:pt>
                <c:pt idx="13">
                  <c:v>41743</c:v>
                </c:pt>
                <c:pt idx="14">
                  <c:v>41744</c:v>
                </c:pt>
                <c:pt idx="15">
                  <c:v>41745</c:v>
                </c:pt>
                <c:pt idx="16">
                  <c:v>41746</c:v>
                </c:pt>
                <c:pt idx="17">
                  <c:v>41747</c:v>
                </c:pt>
                <c:pt idx="18">
                  <c:v>41748</c:v>
                </c:pt>
                <c:pt idx="19">
                  <c:v>41749</c:v>
                </c:pt>
                <c:pt idx="20">
                  <c:v>41750</c:v>
                </c:pt>
                <c:pt idx="21">
                  <c:v>41751</c:v>
                </c:pt>
                <c:pt idx="22">
                  <c:v>41752</c:v>
                </c:pt>
                <c:pt idx="23">
                  <c:v>41753</c:v>
                </c:pt>
                <c:pt idx="24">
                  <c:v>41754</c:v>
                </c:pt>
                <c:pt idx="25">
                  <c:v>41755</c:v>
                </c:pt>
                <c:pt idx="26">
                  <c:v>41756</c:v>
                </c:pt>
                <c:pt idx="27">
                  <c:v>41757</c:v>
                </c:pt>
                <c:pt idx="28">
                  <c:v>41758</c:v>
                </c:pt>
                <c:pt idx="29">
                  <c:v>41759</c:v>
                </c:pt>
                <c:pt idx="30">
                  <c:v>41760</c:v>
                </c:pt>
                <c:pt idx="31">
                  <c:v>41761</c:v>
                </c:pt>
                <c:pt idx="32">
                  <c:v>41762</c:v>
                </c:pt>
                <c:pt idx="33">
                  <c:v>41763</c:v>
                </c:pt>
                <c:pt idx="34">
                  <c:v>41764</c:v>
                </c:pt>
                <c:pt idx="35">
                  <c:v>41765</c:v>
                </c:pt>
                <c:pt idx="36">
                  <c:v>41766</c:v>
                </c:pt>
                <c:pt idx="37">
                  <c:v>41767</c:v>
                </c:pt>
                <c:pt idx="38">
                  <c:v>41768</c:v>
                </c:pt>
                <c:pt idx="39">
                  <c:v>41769</c:v>
                </c:pt>
                <c:pt idx="40">
                  <c:v>41770</c:v>
                </c:pt>
                <c:pt idx="41">
                  <c:v>41771</c:v>
                </c:pt>
                <c:pt idx="42">
                  <c:v>41772</c:v>
                </c:pt>
                <c:pt idx="43">
                  <c:v>41773</c:v>
                </c:pt>
                <c:pt idx="44">
                  <c:v>41774</c:v>
                </c:pt>
                <c:pt idx="45">
                  <c:v>41775</c:v>
                </c:pt>
                <c:pt idx="46">
                  <c:v>41776</c:v>
                </c:pt>
                <c:pt idx="47">
                  <c:v>41777</c:v>
                </c:pt>
                <c:pt idx="48">
                  <c:v>41778</c:v>
                </c:pt>
                <c:pt idx="49">
                  <c:v>41779</c:v>
                </c:pt>
                <c:pt idx="50">
                  <c:v>41780</c:v>
                </c:pt>
                <c:pt idx="51">
                  <c:v>41781</c:v>
                </c:pt>
                <c:pt idx="52">
                  <c:v>41782</c:v>
                </c:pt>
                <c:pt idx="53">
                  <c:v>41783</c:v>
                </c:pt>
                <c:pt idx="54">
                  <c:v>41784</c:v>
                </c:pt>
                <c:pt idx="55">
                  <c:v>41785</c:v>
                </c:pt>
                <c:pt idx="56">
                  <c:v>41786</c:v>
                </c:pt>
                <c:pt idx="57">
                  <c:v>41787</c:v>
                </c:pt>
                <c:pt idx="58">
                  <c:v>41788</c:v>
                </c:pt>
                <c:pt idx="59">
                  <c:v>41789</c:v>
                </c:pt>
                <c:pt idx="60">
                  <c:v>41790</c:v>
                </c:pt>
                <c:pt idx="61">
                  <c:v>41791</c:v>
                </c:pt>
                <c:pt idx="62">
                  <c:v>41792</c:v>
                </c:pt>
                <c:pt idx="63">
                  <c:v>41793</c:v>
                </c:pt>
                <c:pt idx="64">
                  <c:v>41794</c:v>
                </c:pt>
                <c:pt idx="65">
                  <c:v>41795</c:v>
                </c:pt>
                <c:pt idx="66">
                  <c:v>41796</c:v>
                </c:pt>
                <c:pt idx="67">
                  <c:v>41797</c:v>
                </c:pt>
                <c:pt idx="68">
                  <c:v>41798</c:v>
                </c:pt>
                <c:pt idx="69">
                  <c:v>41799</c:v>
                </c:pt>
                <c:pt idx="70">
                  <c:v>41800</c:v>
                </c:pt>
                <c:pt idx="71">
                  <c:v>41801</c:v>
                </c:pt>
                <c:pt idx="72">
                  <c:v>41802</c:v>
                </c:pt>
                <c:pt idx="73">
                  <c:v>41803</c:v>
                </c:pt>
                <c:pt idx="74">
                  <c:v>41804</c:v>
                </c:pt>
                <c:pt idx="75">
                  <c:v>41805</c:v>
                </c:pt>
                <c:pt idx="76">
                  <c:v>41806</c:v>
                </c:pt>
                <c:pt idx="77">
                  <c:v>41807</c:v>
                </c:pt>
                <c:pt idx="78">
                  <c:v>41808</c:v>
                </c:pt>
                <c:pt idx="79">
                  <c:v>41809</c:v>
                </c:pt>
                <c:pt idx="80">
                  <c:v>41810</c:v>
                </c:pt>
                <c:pt idx="81">
                  <c:v>41811</c:v>
                </c:pt>
                <c:pt idx="82">
                  <c:v>41812</c:v>
                </c:pt>
                <c:pt idx="83">
                  <c:v>41813</c:v>
                </c:pt>
                <c:pt idx="84">
                  <c:v>41814</c:v>
                </c:pt>
                <c:pt idx="85">
                  <c:v>41815</c:v>
                </c:pt>
                <c:pt idx="86">
                  <c:v>41816</c:v>
                </c:pt>
                <c:pt idx="87">
                  <c:v>41817</c:v>
                </c:pt>
                <c:pt idx="88">
                  <c:v>41818</c:v>
                </c:pt>
                <c:pt idx="89">
                  <c:v>41819</c:v>
                </c:pt>
                <c:pt idx="90">
                  <c:v>41820</c:v>
                </c:pt>
                <c:pt idx="91">
                  <c:v>41821</c:v>
                </c:pt>
                <c:pt idx="92">
                  <c:v>41822</c:v>
                </c:pt>
                <c:pt idx="93">
                  <c:v>41823</c:v>
                </c:pt>
                <c:pt idx="94">
                  <c:v>41824</c:v>
                </c:pt>
                <c:pt idx="95">
                  <c:v>41825</c:v>
                </c:pt>
                <c:pt idx="96">
                  <c:v>41826</c:v>
                </c:pt>
                <c:pt idx="97">
                  <c:v>41827</c:v>
                </c:pt>
                <c:pt idx="98">
                  <c:v>41828</c:v>
                </c:pt>
                <c:pt idx="99">
                  <c:v>41829</c:v>
                </c:pt>
                <c:pt idx="100">
                  <c:v>41830</c:v>
                </c:pt>
                <c:pt idx="101">
                  <c:v>41831</c:v>
                </c:pt>
                <c:pt idx="102">
                  <c:v>41832</c:v>
                </c:pt>
                <c:pt idx="103">
                  <c:v>41833</c:v>
                </c:pt>
                <c:pt idx="104">
                  <c:v>41834</c:v>
                </c:pt>
                <c:pt idx="105">
                  <c:v>41835</c:v>
                </c:pt>
                <c:pt idx="106">
                  <c:v>41836</c:v>
                </c:pt>
                <c:pt idx="107">
                  <c:v>41837</c:v>
                </c:pt>
                <c:pt idx="108">
                  <c:v>41838</c:v>
                </c:pt>
                <c:pt idx="109">
                  <c:v>41839</c:v>
                </c:pt>
                <c:pt idx="110">
                  <c:v>41840</c:v>
                </c:pt>
                <c:pt idx="111">
                  <c:v>41841</c:v>
                </c:pt>
                <c:pt idx="112">
                  <c:v>41842</c:v>
                </c:pt>
                <c:pt idx="113">
                  <c:v>41843</c:v>
                </c:pt>
                <c:pt idx="114">
                  <c:v>41844</c:v>
                </c:pt>
                <c:pt idx="115">
                  <c:v>41845</c:v>
                </c:pt>
                <c:pt idx="116">
                  <c:v>41846</c:v>
                </c:pt>
                <c:pt idx="117">
                  <c:v>41847</c:v>
                </c:pt>
                <c:pt idx="118">
                  <c:v>41848</c:v>
                </c:pt>
                <c:pt idx="119">
                  <c:v>41849</c:v>
                </c:pt>
                <c:pt idx="120">
                  <c:v>41850</c:v>
                </c:pt>
                <c:pt idx="121">
                  <c:v>41851</c:v>
                </c:pt>
                <c:pt idx="122">
                  <c:v>41852</c:v>
                </c:pt>
                <c:pt idx="123">
                  <c:v>41853</c:v>
                </c:pt>
                <c:pt idx="124">
                  <c:v>41854</c:v>
                </c:pt>
                <c:pt idx="125">
                  <c:v>41855</c:v>
                </c:pt>
                <c:pt idx="126">
                  <c:v>41856</c:v>
                </c:pt>
                <c:pt idx="127">
                  <c:v>41857</c:v>
                </c:pt>
                <c:pt idx="128">
                  <c:v>41858</c:v>
                </c:pt>
                <c:pt idx="129">
                  <c:v>41859</c:v>
                </c:pt>
                <c:pt idx="130">
                  <c:v>41860</c:v>
                </c:pt>
                <c:pt idx="131">
                  <c:v>41861</c:v>
                </c:pt>
                <c:pt idx="132">
                  <c:v>41862</c:v>
                </c:pt>
                <c:pt idx="133">
                  <c:v>41863</c:v>
                </c:pt>
                <c:pt idx="134">
                  <c:v>41864</c:v>
                </c:pt>
                <c:pt idx="135">
                  <c:v>41865</c:v>
                </c:pt>
                <c:pt idx="136">
                  <c:v>41866</c:v>
                </c:pt>
                <c:pt idx="137">
                  <c:v>41867</c:v>
                </c:pt>
                <c:pt idx="138">
                  <c:v>41868</c:v>
                </c:pt>
                <c:pt idx="139">
                  <c:v>41869</c:v>
                </c:pt>
                <c:pt idx="140">
                  <c:v>41870</c:v>
                </c:pt>
                <c:pt idx="141">
                  <c:v>41871</c:v>
                </c:pt>
                <c:pt idx="142">
                  <c:v>41872</c:v>
                </c:pt>
                <c:pt idx="143">
                  <c:v>41873</c:v>
                </c:pt>
                <c:pt idx="144">
                  <c:v>41874</c:v>
                </c:pt>
                <c:pt idx="145">
                  <c:v>41875</c:v>
                </c:pt>
                <c:pt idx="146">
                  <c:v>41876</c:v>
                </c:pt>
                <c:pt idx="147">
                  <c:v>41877</c:v>
                </c:pt>
                <c:pt idx="148">
                  <c:v>41878</c:v>
                </c:pt>
                <c:pt idx="149">
                  <c:v>41879</c:v>
                </c:pt>
                <c:pt idx="150">
                  <c:v>41880</c:v>
                </c:pt>
                <c:pt idx="151">
                  <c:v>41881</c:v>
                </c:pt>
                <c:pt idx="152">
                  <c:v>41882</c:v>
                </c:pt>
                <c:pt idx="153">
                  <c:v>41883</c:v>
                </c:pt>
                <c:pt idx="154">
                  <c:v>41884</c:v>
                </c:pt>
                <c:pt idx="155">
                  <c:v>41885</c:v>
                </c:pt>
                <c:pt idx="156">
                  <c:v>41886</c:v>
                </c:pt>
                <c:pt idx="157">
                  <c:v>41887</c:v>
                </c:pt>
                <c:pt idx="158">
                  <c:v>41888</c:v>
                </c:pt>
                <c:pt idx="159">
                  <c:v>41889</c:v>
                </c:pt>
                <c:pt idx="160">
                  <c:v>41890</c:v>
                </c:pt>
                <c:pt idx="161">
                  <c:v>41891</c:v>
                </c:pt>
                <c:pt idx="162">
                  <c:v>41892</c:v>
                </c:pt>
                <c:pt idx="163">
                  <c:v>41893</c:v>
                </c:pt>
                <c:pt idx="164">
                  <c:v>41894</c:v>
                </c:pt>
                <c:pt idx="165">
                  <c:v>41895</c:v>
                </c:pt>
                <c:pt idx="166">
                  <c:v>41896</c:v>
                </c:pt>
                <c:pt idx="167">
                  <c:v>41897</c:v>
                </c:pt>
                <c:pt idx="168">
                  <c:v>41898</c:v>
                </c:pt>
                <c:pt idx="169">
                  <c:v>41899</c:v>
                </c:pt>
                <c:pt idx="170">
                  <c:v>41900</c:v>
                </c:pt>
                <c:pt idx="171">
                  <c:v>41901</c:v>
                </c:pt>
                <c:pt idx="172">
                  <c:v>41902</c:v>
                </c:pt>
                <c:pt idx="173">
                  <c:v>41903</c:v>
                </c:pt>
                <c:pt idx="174">
                  <c:v>41904</c:v>
                </c:pt>
                <c:pt idx="175">
                  <c:v>41905</c:v>
                </c:pt>
                <c:pt idx="176">
                  <c:v>41906</c:v>
                </c:pt>
                <c:pt idx="177">
                  <c:v>41907</c:v>
                </c:pt>
                <c:pt idx="178">
                  <c:v>41908</c:v>
                </c:pt>
                <c:pt idx="179">
                  <c:v>41909</c:v>
                </c:pt>
                <c:pt idx="180">
                  <c:v>41910</c:v>
                </c:pt>
                <c:pt idx="181">
                  <c:v>41911</c:v>
                </c:pt>
                <c:pt idx="182">
                  <c:v>41912</c:v>
                </c:pt>
                <c:pt idx="183">
                  <c:v>41913</c:v>
                </c:pt>
                <c:pt idx="184">
                  <c:v>41914</c:v>
                </c:pt>
                <c:pt idx="185">
                  <c:v>41915</c:v>
                </c:pt>
                <c:pt idx="186">
                  <c:v>41916</c:v>
                </c:pt>
                <c:pt idx="187">
                  <c:v>41917</c:v>
                </c:pt>
                <c:pt idx="188">
                  <c:v>41918</c:v>
                </c:pt>
                <c:pt idx="189">
                  <c:v>41919</c:v>
                </c:pt>
                <c:pt idx="190">
                  <c:v>41920</c:v>
                </c:pt>
                <c:pt idx="191">
                  <c:v>41921</c:v>
                </c:pt>
                <c:pt idx="192">
                  <c:v>41922</c:v>
                </c:pt>
                <c:pt idx="193">
                  <c:v>41923</c:v>
                </c:pt>
                <c:pt idx="194">
                  <c:v>41924</c:v>
                </c:pt>
                <c:pt idx="195">
                  <c:v>41925</c:v>
                </c:pt>
                <c:pt idx="196">
                  <c:v>41926</c:v>
                </c:pt>
                <c:pt idx="197">
                  <c:v>41927</c:v>
                </c:pt>
                <c:pt idx="198">
                  <c:v>41928</c:v>
                </c:pt>
                <c:pt idx="199">
                  <c:v>41929</c:v>
                </c:pt>
                <c:pt idx="200">
                  <c:v>41930</c:v>
                </c:pt>
                <c:pt idx="201">
                  <c:v>41931</c:v>
                </c:pt>
                <c:pt idx="202">
                  <c:v>41932</c:v>
                </c:pt>
                <c:pt idx="203">
                  <c:v>41933</c:v>
                </c:pt>
                <c:pt idx="204">
                  <c:v>41934</c:v>
                </c:pt>
                <c:pt idx="205">
                  <c:v>41935</c:v>
                </c:pt>
                <c:pt idx="206">
                  <c:v>41936</c:v>
                </c:pt>
                <c:pt idx="207">
                  <c:v>41937</c:v>
                </c:pt>
                <c:pt idx="208">
                  <c:v>41938</c:v>
                </c:pt>
                <c:pt idx="209">
                  <c:v>41939</c:v>
                </c:pt>
                <c:pt idx="210">
                  <c:v>41940</c:v>
                </c:pt>
                <c:pt idx="211">
                  <c:v>41941</c:v>
                </c:pt>
                <c:pt idx="212">
                  <c:v>41942</c:v>
                </c:pt>
                <c:pt idx="213">
                  <c:v>41943</c:v>
                </c:pt>
                <c:pt idx="214">
                  <c:v>41944</c:v>
                </c:pt>
                <c:pt idx="215">
                  <c:v>41945</c:v>
                </c:pt>
                <c:pt idx="216">
                  <c:v>41946</c:v>
                </c:pt>
                <c:pt idx="217">
                  <c:v>41947</c:v>
                </c:pt>
                <c:pt idx="218">
                  <c:v>41948</c:v>
                </c:pt>
                <c:pt idx="219">
                  <c:v>41949</c:v>
                </c:pt>
                <c:pt idx="220">
                  <c:v>41950</c:v>
                </c:pt>
                <c:pt idx="221">
                  <c:v>41951</c:v>
                </c:pt>
                <c:pt idx="222">
                  <c:v>41952</c:v>
                </c:pt>
                <c:pt idx="223">
                  <c:v>41953</c:v>
                </c:pt>
                <c:pt idx="224">
                  <c:v>41954</c:v>
                </c:pt>
                <c:pt idx="225">
                  <c:v>41955</c:v>
                </c:pt>
                <c:pt idx="226">
                  <c:v>41956</c:v>
                </c:pt>
                <c:pt idx="227">
                  <c:v>41957</c:v>
                </c:pt>
                <c:pt idx="228">
                  <c:v>41958</c:v>
                </c:pt>
                <c:pt idx="229">
                  <c:v>41959</c:v>
                </c:pt>
                <c:pt idx="230">
                  <c:v>41960</c:v>
                </c:pt>
                <c:pt idx="231">
                  <c:v>41961</c:v>
                </c:pt>
                <c:pt idx="232">
                  <c:v>41962</c:v>
                </c:pt>
                <c:pt idx="233">
                  <c:v>41963</c:v>
                </c:pt>
                <c:pt idx="234">
                  <c:v>41964</c:v>
                </c:pt>
                <c:pt idx="235">
                  <c:v>41965</c:v>
                </c:pt>
                <c:pt idx="236">
                  <c:v>41966</c:v>
                </c:pt>
                <c:pt idx="237">
                  <c:v>41967</c:v>
                </c:pt>
                <c:pt idx="238">
                  <c:v>41968</c:v>
                </c:pt>
                <c:pt idx="239">
                  <c:v>41969</c:v>
                </c:pt>
                <c:pt idx="240">
                  <c:v>41970</c:v>
                </c:pt>
                <c:pt idx="241">
                  <c:v>41971</c:v>
                </c:pt>
                <c:pt idx="242">
                  <c:v>41972</c:v>
                </c:pt>
                <c:pt idx="243">
                  <c:v>41973</c:v>
                </c:pt>
                <c:pt idx="244">
                  <c:v>41974</c:v>
                </c:pt>
                <c:pt idx="245">
                  <c:v>41975</c:v>
                </c:pt>
                <c:pt idx="246">
                  <c:v>41976</c:v>
                </c:pt>
                <c:pt idx="247">
                  <c:v>41977</c:v>
                </c:pt>
                <c:pt idx="248">
                  <c:v>41978</c:v>
                </c:pt>
                <c:pt idx="249">
                  <c:v>41979</c:v>
                </c:pt>
                <c:pt idx="250">
                  <c:v>41980</c:v>
                </c:pt>
                <c:pt idx="251">
                  <c:v>41981</c:v>
                </c:pt>
                <c:pt idx="252">
                  <c:v>41982</c:v>
                </c:pt>
                <c:pt idx="253">
                  <c:v>41983</c:v>
                </c:pt>
                <c:pt idx="254">
                  <c:v>41984</c:v>
                </c:pt>
                <c:pt idx="255">
                  <c:v>41985</c:v>
                </c:pt>
                <c:pt idx="256">
                  <c:v>41986</c:v>
                </c:pt>
                <c:pt idx="257">
                  <c:v>41987</c:v>
                </c:pt>
                <c:pt idx="258">
                  <c:v>41988</c:v>
                </c:pt>
                <c:pt idx="259">
                  <c:v>41989</c:v>
                </c:pt>
                <c:pt idx="260">
                  <c:v>41990</c:v>
                </c:pt>
                <c:pt idx="261">
                  <c:v>41991</c:v>
                </c:pt>
                <c:pt idx="262">
                  <c:v>41992</c:v>
                </c:pt>
                <c:pt idx="263">
                  <c:v>41993</c:v>
                </c:pt>
                <c:pt idx="264">
                  <c:v>41994</c:v>
                </c:pt>
                <c:pt idx="265">
                  <c:v>41995</c:v>
                </c:pt>
                <c:pt idx="266">
                  <c:v>41996</c:v>
                </c:pt>
                <c:pt idx="267">
                  <c:v>41997</c:v>
                </c:pt>
                <c:pt idx="268">
                  <c:v>41998</c:v>
                </c:pt>
                <c:pt idx="269">
                  <c:v>41999</c:v>
                </c:pt>
                <c:pt idx="270">
                  <c:v>42000</c:v>
                </c:pt>
                <c:pt idx="271">
                  <c:v>42001</c:v>
                </c:pt>
                <c:pt idx="272">
                  <c:v>42002</c:v>
                </c:pt>
                <c:pt idx="273">
                  <c:v>42003</c:v>
                </c:pt>
                <c:pt idx="274">
                  <c:v>42004</c:v>
                </c:pt>
                <c:pt idx="275">
                  <c:v>42005</c:v>
                </c:pt>
                <c:pt idx="276">
                  <c:v>42006</c:v>
                </c:pt>
                <c:pt idx="277">
                  <c:v>42007</c:v>
                </c:pt>
                <c:pt idx="278">
                  <c:v>42008</c:v>
                </c:pt>
                <c:pt idx="279">
                  <c:v>42009</c:v>
                </c:pt>
                <c:pt idx="280">
                  <c:v>42010</c:v>
                </c:pt>
                <c:pt idx="281">
                  <c:v>42011</c:v>
                </c:pt>
                <c:pt idx="282">
                  <c:v>42012</c:v>
                </c:pt>
                <c:pt idx="283">
                  <c:v>42013</c:v>
                </c:pt>
                <c:pt idx="284">
                  <c:v>42014</c:v>
                </c:pt>
                <c:pt idx="285">
                  <c:v>42015</c:v>
                </c:pt>
                <c:pt idx="286">
                  <c:v>42016</c:v>
                </c:pt>
                <c:pt idx="287">
                  <c:v>42017</c:v>
                </c:pt>
                <c:pt idx="288">
                  <c:v>42018</c:v>
                </c:pt>
                <c:pt idx="289">
                  <c:v>42019</c:v>
                </c:pt>
                <c:pt idx="290">
                  <c:v>42020</c:v>
                </c:pt>
                <c:pt idx="291">
                  <c:v>42021</c:v>
                </c:pt>
                <c:pt idx="292">
                  <c:v>42022</c:v>
                </c:pt>
                <c:pt idx="293">
                  <c:v>42023</c:v>
                </c:pt>
                <c:pt idx="294">
                  <c:v>42024</c:v>
                </c:pt>
                <c:pt idx="295">
                  <c:v>42025</c:v>
                </c:pt>
                <c:pt idx="296">
                  <c:v>42026</c:v>
                </c:pt>
                <c:pt idx="297">
                  <c:v>42027</c:v>
                </c:pt>
                <c:pt idx="298">
                  <c:v>42028</c:v>
                </c:pt>
                <c:pt idx="299">
                  <c:v>42029</c:v>
                </c:pt>
                <c:pt idx="300">
                  <c:v>42030</c:v>
                </c:pt>
                <c:pt idx="301">
                  <c:v>42031</c:v>
                </c:pt>
                <c:pt idx="302">
                  <c:v>42032</c:v>
                </c:pt>
                <c:pt idx="303">
                  <c:v>42033</c:v>
                </c:pt>
                <c:pt idx="304">
                  <c:v>42034</c:v>
                </c:pt>
                <c:pt idx="305">
                  <c:v>42035</c:v>
                </c:pt>
                <c:pt idx="306">
                  <c:v>42036</c:v>
                </c:pt>
                <c:pt idx="307">
                  <c:v>42037</c:v>
                </c:pt>
                <c:pt idx="308">
                  <c:v>42038</c:v>
                </c:pt>
                <c:pt idx="309">
                  <c:v>42039</c:v>
                </c:pt>
                <c:pt idx="310">
                  <c:v>42040</c:v>
                </c:pt>
                <c:pt idx="311">
                  <c:v>42041</c:v>
                </c:pt>
                <c:pt idx="312">
                  <c:v>42042</c:v>
                </c:pt>
                <c:pt idx="313">
                  <c:v>42043</c:v>
                </c:pt>
                <c:pt idx="314">
                  <c:v>42044</c:v>
                </c:pt>
                <c:pt idx="315">
                  <c:v>42045</c:v>
                </c:pt>
                <c:pt idx="316">
                  <c:v>42046</c:v>
                </c:pt>
                <c:pt idx="317">
                  <c:v>42047</c:v>
                </c:pt>
                <c:pt idx="318">
                  <c:v>42048</c:v>
                </c:pt>
                <c:pt idx="319">
                  <c:v>42049</c:v>
                </c:pt>
                <c:pt idx="320">
                  <c:v>42050</c:v>
                </c:pt>
                <c:pt idx="321">
                  <c:v>42051</c:v>
                </c:pt>
                <c:pt idx="322">
                  <c:v>42052</c:v>
                </c:pt>
                <c:pt idx="323">
                  <c:v>42053</c:v>
                </c:pt>
                <c:pt idx="324">
                  <c:v>42054</c:v>
                </c:pt>
                <c:pt idx="325">
                  <c:v>42055</c:v>
                </c:pt>
                <c:pt idx="326">
                  <c:v>42056</c:v>
                </c:pt>
                <c:pt idx="327">
                  <c:v>42057</c:v>
                </c:pt>
                <c:pt idx="328">
                  <c:v>42058</c:v>
                </c:pt>
                <c:pt idx="329">
                  <c:v>42059</c:v>
                </c:pt>
                <c:pt idx="330">
                  <c:v>42060</c:v>
                </c:pt>
                <c:pt idx="331">
                  <c:v>42061</c:v>
                </c:pt>
                <c:pt idx="332">
                  <c:v>42062</c:v>
                </c:pt>
                <c:pt idx="333">
                  <c:v>42063</c:v>
                </c:pt>
                <c:pt idx="334">
                  <c:v>42064</c:v>
                </c:pt>
                <c:pt idx="335">
                  <c:v>42065</c:v>
                </c:pt>
                <c:pt idx="336">
                  <c:v>42066</c:v>
                </c:pt>
                <c:pt idx="337">
                  <c:v>42067</c:v>
                </c:pt>
                <c:pt idx="338">
                  <c:v>42068</c:v>
                </c:pt>
                <c:pt idx="339">
                  <c:v>42069</c:v>
                </c:pt>
                <c:pt idx="340">
                  <c:v>42070</c:v>
                </c:pt>
                <c:pt idx="341">
                  <c:v>42071</c:v>
                </c:pt>
                <c:pt idx="342">
                  <c:v>42072</c:v>
                </c:pt>
                <c:pt idx="343">
                  <c:v>42073</c:v>
                </c:pt>
                <c:pt idx="344">
                  <c:v>42074</c:v>
                </c:pt>
                <c:pt idx="345">
                  <c:v>42075</c:v>
                </c:pt>
                <c:pt idx="346">
                  <c:v>42076</c:v>
                </c:pt>
                <c:pt idx="347">
                  <c:v>42077</c:v>
                </c:pt>
                <c:pt idx="348">
                  <c:v>42078</c:v>
                </c:pt>
                <c:pt idx="349">
                  <c:v>42079</c:v>
                </c:pt>
                <c:pt idx="350">
                  <c:v>42080</c:v>
                </c:pt>
                <c:pt idx="351">
                  <c:v>42081</c:v>
                </c:pt>
                <c:pt idx="352">
                  <c:v>42082</c:v>
                </c:pt>
                <c:pt idx="353">
                  <c:v>42083</c:v>
                </c:pt>
                <c:pt idx="354">
                  <c:v>42084</c:v>
                </c:pt>
                <c:pt idx="355">
                  <c:v>42085</c:v>
                </c:pt>
                <c:pt idx="356">
                  <c:v>42086</c:v>
                </c:pt>
                <c:pt idx="357">
                  <c:v>42087</c:v>
                </c:pt>
                <c:pt idx="358">
                  <c:v>42088</c:v>
                </c:pt>
                <c:pt idx="359">
                  <c:v>42089</c:v>
                </c:pt>
                <c:pt idx="360">
                  <c:v>42090</c:v>
                </c:pt>
                <c:pt idx="361">
                  <c:v>42091</c:v>
                </c:pt>
                <c:pt idx="362">
                  <c:v>42092</c:v>
                </c:pt>
                <c:pt idx="363">
                  <c:v>42093</c:v>
                </c:pt>
                <c:pt idx="364">
                  <c:v>42094</c:v>
                </c:pt>
              </c:numCache>
            </c:numRef>
          </c:cat>
          <c:val>
            <c:numRef>
              <c:f>シャコ!$AL$3:$AL$367</c:f>
              <c:numCache>
                <c:formatCode>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1.6808084908954671E-3</c:v>
                </c:pt>
                <c:pt idx="295">
                  <c:v>4.1354509356072667E-3</c:v>
                </c:pt>
                <c:pt idx="296">
                  <c:v>7.0953769179411411E-3</c:v>
                </c:pt>
                <c:pt idx="297">
                  <c:v>1.0634728832525447E-2</c:v>
                </c:pt>
                <c:pt idx="298">
                  <c:v>1.4836550773091508E-2</c:v>
                </c:pt>
                <c:pt idx="299">
                  <c:v>1.979369066353779E-2</c:v>
                </c:pt>
                <c:pt idx="300">
                  <c:v>2.5609779067368534E-2</c:v>
                </c:pt>
                <c:pt idx="301">
                  <c:v>3.240028992324951E-2</c:v>
                </c:pt>
                <c:pt idx="302">
                  <c:v>4.0293681880597051E-2</c:v>
                </c:pt>
                <c:pt idx="303">
                  <c:v>4.94326570127838E-2</c:v>
                </c:pt>
                <c:pt idx="304">
                  <c:v>5.9975486455070531E-2</c:v>
                </c:pt>
                <c:pt idx="305">
                  <c:v>7.2097436199836468E-2</c:v>
                </c:pt>
                <c:pt idx="306">
                  <c:v>8.5992404262144009E-2</c:v>
                </c:pt>
                <c:pt idx="307">
                  <c:v>0.10187446749290302</c:v>
                </c:pt>
                <c:pt idx="308">
                  <c:v>0.11997982814363738</c:v>
                </c:pt>
                <c:pt idx="309">
                  <c:v>0.14056860951503414</c:v>
                </c:pt>
                <c:pt idx="310">
                  <c:v>0.16392708743749465</c:v>
                </c:pt>
                <c:pt idx="311">
                  <c:v>0.19036973511331565</c:v>
                </c:pt>
                <c:pt idx="312">
                  <c:v>0.22024178086086582</c:v>
                </c:pt>
                <c:pt idx="313">
                  <c:v>0.25392165676581885</c:v>
                </c:pt>
                <c:pt idx="314">
                  <c:v>0.29182374665362998</c:v>
                </c:pt>
                <c:pt idx="315">
                  <c:v>0.33440123475879763</c:v>
                </c:pt>
                <c:pt idx="316">
                  <c:v>0.38214929723357627</c:v>
                </c:pt>
                <c:pt idx="317">
                  <c:v>0.43560844182004965</c:v>
                </c:pt>
                <c:pt idx="318">
                  <c:v>0.49536781255199536</c:v>
                </c:pt>
                <c:pt idx="319">
                  <c:v>0.562069115687159</c:v>
                </c:pt>
                <c:pt idx="320">
                  <c:v>0.63641052832414291</c:v>
                </c:pt>
                <c:pt idx="321">
                  <c:v>0.71915090801053028</c:v>
                </c:pt>
                <c:pt idx="322">
                  <c:v>0.81111425536216319</c:v>
                </c:pt>
                <c:pt idx="323">
                  <c:v>0.91319444043637343</c:v>
                </c:pt>
                <c:pt idx="324">
                  <c:v>1.026360203755192</c:v>
                </c:pt>
                <c:pt idx="325">
                  <c:v>1.1516602362760551</c:v>
                </c:pt>
                <c:pt idx="326">
                  <c:v>1.2902293322175991</c:v>
                </c:pt>
                <c:pt idx="327">
                  <c:v>1.4432934936580899</c:v>
                </c:pt>
                <c:pt idx="328">
                  <c:v>1.6121770232540078</c:v>
                </c:pt>
                <c:pt idx="329">
                  <c:v>1.7983080735518131</c:v>
                </c:pt>
                <c:pt idx="330">
                  <c:v>2.0032262751494279</c:v>
                </c:pt>
                <c:pt idx="331">
                  <c:v>2.2285897382699984</c:v>
                </c:pt>
                <c:pt idx="332">
                  <c:v>2.4761826508505838</c:v>
                </c:pt>
                <c:pt idx="333">
                  <c:v>2.7479237553594946</c:v>
                </c:pt>
                <c:pt idx="334">
                  <c:v>3.0458727521602165</c:v>
                </c:pt>
                <c:pt idx="335">
                  <c:v>3.3722419141614175</c:v>
                </c:pt>
                <c:pt idx="336">
                  <c:v>3.7294027093644049</c:v>
                </c:pt>
                <c:pt idx="337">
                  <c:v>4.1198985164126709</c:v>
                </c:pt>
                <c:pt idx="338">
                  <c:v>4.5464490391751395</c:v>
                </c:pt>
                <c:pt idx="339">
                  <c:v>5.0119689388933448</c:v>
                </c:pt>
                <c:pt idx="340">
                  <c:v>5.5195690590297222</c:v>
                </c:pt>
                <c:pt idx="341">
                  <c:v>6.0725773428171754</c:v>
                </c:pt>
                <c:pt idx="342">
                  <c:v>6.6745432658117432</c:v>
                </c:pt>
                <c:pt idx="343">
                  <c:v>7.3292539453216365</c:v>
                </c:pt>
                <c:pt idx="344">
                  <c:v>8.040745985520342</c:v>
                </c:pt>
                <c:pt idx="345">
                  <c:v>8.8133204066971871</c:v>
                </c:pt>
                <c:pt idx="346">
                  <c:v>9.6515499191938634</c:v>
                </c:pt>
                <c:pt idx="347">
                  <c:v>10.560300689299108</c:v>
                </c:pt>
                <c:pt idx="348">
                  <c:v>11.544748738888886</c:v>
                </c:pt>
                <c:pt idx="349">
                  <c:v>12.610382885966771</c:v>
                </c:pt>
                <c:pt idx="350">
                  <c:v>13.763034767455382</c:v>
                </c:pt>
                <c:pt idx="351">
                  <c:v>15.008884097674786</c:v>
                </c:pt>
                <c:pt idx="352">
                  <c:v>16.354485603642754</c:v>
                </c:pt>
                <c:pt idx="353">
                  <c:v>17.806775333619665</c:v>
                </c:pt>
                <c:pt idx="354">
                  <c:v>19.373096867125614</c:v>
                </c:pt>
                <c:pt idx="355">
                  <c:v>21.061217075448322</c:v>
                </c:pt>
                <c:pt idx="356">
                  <c:v>22.879345029522632</c:v>
                </c:pt>
                <c:pt idx="357">
                  <c:v>24.836151422781676</c:v>
                </c:pt>
                <c:pt idx="358">
                  <c:v>26.940793755083586</c:v>
                </c:pt>
                <c:pt idx="359">
                  <c:v>29.202916225210679</c:v>
                </c:pt>
                <c:pt idx="360">
                  <c:v>31.6326946449147</c:v>
                </c:pt>
                <c:pt idx="361">
                  <c:v>34.24086241758976</c:v>
                </c:pt>
                <c:pt idx="362">
                  <c:v>37.038694355270998</c:v>
                </c:pt>
                <c:pt idx="363">
                  <c:v>40.038065087001208</c:v>
                </c:pt>
                <c:pt idx="364">
                  <c:v>43.251469016804613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C2-4B20-9EB9-6D4F587EFB90}"/>
            </c:ext>
          </c:extLst>
        </c:ser>
        <c:ser>
          <c:idx val="1"/>
          <c:order val="1"/>
          <c:tx>
            <c:v>2nd year</c:v>
          </c:tx>
          <c:spPr>
            <a:solidFill>
              <a:srgbClr val="FF5050"/>
            </a:solidFill>
            <a:ln>
              <a:noFill/>
            </a:ln>
            <a:effectLst/>
          </c:spPr>
          <c:cat>
            <c:numRef>
              <c:f>シャコ!$A$3:$A$367</c:f>
              <c:numCache>
                <c:formatCode>m/d/yyyy</c:formatCode>
                <c:ptCount val="365"/>
                <c:pt idx="0">
                  <c:v>41730</c:v>
                </c:pt>
                <c:pt idx="1">
                  <c:v>41731</c:v>
                </c:pt>
                <c:pt idx="2">
                  <c:v>41732</c:v>
                </c:pt>
                <c:pt idx="3">
                  <c:v>41733</c:v>
                </c:pt>
                <c:pt idx="4">
                  <c:v>41734</c:v>
                </c:pt>
                <c:pt idx="5">
                  <c:v>41735</c:v>
                </c:pt>
                <c:pt idx="6">
                  <c:v>41736</c:v>
                </c:pt>
                <c:pt idx="7">
                  <c:v>41737</c:v>
                </c:pt>
                <c:pt idx="8">
                  <c:v>41738</c:v>
                </c:pt>
                <c:pt idx="9">
                  <c:v>41739</c:v>
                </c:pt>
                <c:pt idx="10">
                  <c:v>41740</c:v>
                </c:pt>
                <c:pt idx="11">
                  <c:v>41741</c:v>
                </c:pt>
                <c:pt idx="12">
                  <c:v>41742</c:v>
                </c:pt>
                <c:pt idx="13">
                  <c:v>41743</c:v>
                </c:pt>
                <c:pt idx="14">
                  <c:v>41744</c:v>
                </c:pt>
                <c:pt idx="15">
                  <c:v>41745</c:v>
                </c:pt>
                <c:pt idx="16">
                  <c:v>41746</c:v>
                </c:pt>
                <c:pt idx="17">
                  <c:v>41747</c:v>
                </c:pt>
                <c:pt idx="18">
                  <c:v>41748</c:v>
                </c:pt>
                <c:pt idx="19">
                  <c:v>41749</c:v>
                </c:pt>
                <c:pt idx="20">
                  <c:v>41750</c:v>
                </c:pt>
                <c:pt idx="21">
                  <c:v>41751</c:v>
                </c:pt>
                <c:pt idx="22">
                  <c:v>41752</c:v>
                </c:pt>
                <c:pt idx="23">
                  <c:v>41753</c:v>
                </c:pt>
                <c:pt idx="24">
                  <c:v>41754</c:v>
                </c:pt>
                <c:pt idx="25">
                  <c:v>41755</c:v>
                </c:pt>
                <c:pt idx="26">
                  <c:v>41756</c:v>
                </c:pt>
                <c:pt idx="27">
                  <c:v>41757</c:v>
                </c:pt>
                <c:pt idx="28">
                  <c:v>41758</c:v>
                </c:pt>
                <c:pt idx="29">
                  <c:v>41759</c:v>
                </c:pt>
                <c:pt idx="30">
                  <c:v>41760</c:v>
                </c:pt>
                <c:pt idx="31">
                  <c:v>41761</c:v>
                </c:pt>
                <c:pt idx="32">
                  <c:v>41762</c:v>
                </c:pt>
                <c:pt idx="33">
                  <c:v>41763</c:v>
                </c:pt>
                <c:pt idx="34">
                  <c:v>41764</c:v>
                </c:pt>
                <c:pt idx="35">
                  <c:v>41765</c:v>
                </c:pt>
                <c:pt idx="36">
                  <c:v>41766</c:v>
                </c:pt>
                <c:pt idx="37">
                  <c:v>41767</c:v>
                </c:pt>
                <c:pt idx="38">
                  <c:v>41768</c:v>
                </c:pt>
                <c:pt idx="39">
                  <c:v>41769</c:v>
                </c:pt>
                <c:pt idx="40">
                  <c:v>41770</c:v>
                </c:pt>
                <c:pt idx="41">
                  <c:v>41771</c:v>
                </c:pt>
                <c:pt idx="42">
                  <c:v>41772</c:v>
                </c:pt>
                <c:pt idx="43">
                  <c:v>41773</c:v>
                </c:pt>
                <c:pt idx="44">
                  <c:v>41774</c:v>
                </c:pt>
                <c:pt idx="45">
                  <c:v>41775</c:v>
                </c:pt>
                <c:pt idx="46">
                  <c:v>41776</c:v>
                </c:pt>
                <c:pt idx="47">
                  <c:v>41777</c:v>
                </c:pt>
                <c:pt idx="48">
                  <c:v>41778</c:v>
                </c:pt>
                <c:pt idx="49">
                  <c:v>41779</c:v>
                </c:pt>
                <c:pt idx="50">
                  <c:v>41780</c:v>
                </c:pt>
                <c:pt idx="51">
                  <c:v>41781</c:v>
                </c:pt>
                <c:pt idx="52">
                  <c:v>41782</c:v>
                </c:pt>
                <c:pt idx="53">
                  <c:v>41783</c:v>
                </c:pt>
                <c:pt idx="54">
                  <c:v>41784</c:v>
                </c:pt>
                <c:pt idx="55">
                  <c:v>41785</c:v>
                </c:pt>
                <c:pt idx="56">
                  <c:v>41786</c:v>
                </c:pt>
                <c:pt idx="57">
                  <c:v>41787</c:v>
                </c:pt>
                <c:pt idx="58">
                  <c:v>41788</c:v>
                </c:pt>
                <c:pt idx="59">
                  <c:v>41789</c:v>
                </c:pt>
                <c:pt idx="60">
                  <c:v>41790</c:v>
                </c:pt>
                <c:pt idx="61">
                  <c:v>41791</c:v>
                </c:pt>
                <c:pt idx="62">
                  <c:v>41792</c:v>
                </c:pt>
                <c:pt idx="63">
                  <c:v>41793</c:v>
                </c:pt>
                <c:pt idx="64">
                  <c:v>41794</c:v>
                </c:pt>
                <c:pt idx="65">
                  <c:v>41795</c:v>
                </c:pt>
                <c:pt idx="66">
                  <c:v>41796</c:v>
                </c:pt>
                <c:pt idx="67">
                  <c:v>41797</c:v>
                </c:pt>
                <c:pt idx="68">
                  <c:v>41798</c:v>
                </c:pt>
                <c:pt idx="69">
                  <c:v>41799</c:v>
                </c:pt>
                <c:pt idx="70">
                  <c:v>41800</c:v>
                </c:pt>
                <c:pt idx="71">
                  <c:v>41801</c:v>
                </c:pt>
                <c:pt idx="72">
                  <c:v>41802</c:v>
                </c:pt>
                <c:pt idx="73">
                  <c:v>41803</c:v>
                </c:pt>
                <c:pt idx="74">
                  <c:v>41804</c:v>
                </c:pt>
                <c:pt idx="75">
                  <c:v>41805</c:v>
                </c:pt>
                <c:pt idx="76">
                  <c:v>41806</c:v>
                </c:pt>
                <c:pt idx="77">
                  <c:v>41807</c:v>
                </c:pt>
                <c:pt idx="78">
                  <c:v>41808</c:v>
                </c:pt>
                <c:pt idx="79">
                  <c:v>41809</c:v>
                </c:pt>
                <c:pt idx="80">
                  <c:v>41810</c:v>
                </c:pt>
                <c:pt idx="81">
                  <c:v>41811</c:v>
                </c:pt>
                <c:pt idx="82">
                  <c:v>41812</c:v>
                </c:pt>
                <c:pt idx="83">
                  <c:v>41813</c:v>
                </c:pt>
                <c:pt idx="84">
                  <c:v>41814</c:v>
                </c:pt>
                <c:pt idx="85">
                  <c:v>41815</c:v>
                </c:pt>
                <c:pt idx="86">
                  <c:v>41816</c:v>
                </c:pt>
                <c:pt idx="87">
                  <c:v>41817</c:v>
                </c:pt>
                <c:pt idx="88">
                  <c:v>41818</c:v>
                </c:pt>
                <c:pt idx="89">
                  <c:v>41819</c:v>
                </c:pt>
                <c:pt idx="90">
                  <c:v>41820</c:v>
                </c:pt>
                <c:pt idx="91">
                  <c:v>41821</c:v>
                </c:pt>
                <c:pt idx="92">
                  <c:v>41822</c:v>
                </c:pt>
                <c:pt idx="93">
                  <c:v>41823</c:v>
                </c:pt>
                <c:pt idx="94">
                  <c:v>41824</c:v>
                </c:pt>
                <c:pt idx="95">
                  <c:v>41825</c:v>
                </c:pt>
                <c:pt idx="96">
                  <c:v>41826</c:v>
                </c:pt>
                <c:pt idx="97">
                  <c:v>41827</c:v>
                </c:pt>
                <c:pt idx="98">
                  <c:v>41828</c:v>
                </c:pt>
                <c:pt idx="99">
                  <c:v>41829</c:v>
                </c:pt>
                <c:pt idx="100">
                  <c:v>41830</c:v>
                </c:pt>
                <c:pt idx="101">
                  <c:v>41831</c:v>
                </c:pt>
                <c:pt idx="102">
                  <c:v>41832</c:v>
                </c:pt>
                <c:pt idx="103">
                  <c:v>41833</c:v>
                </c:pt>
                <c:pt idx="104">
                  <c:v>41834</c:v>
                </c:pt>
                <c:pt idx="105">
                  <c:v>41835</c:v>
                </c:pt>
                <c:pt idx="106">
                  <c:v>41836</c:v>
                </c:pt>
                <c:pt idx="107">
                  <c:v>41837</c:v>
                </c:pt>
                <c:pt idx="108">
                  <c:v>41838</c:v>
                </c:pt>
                <c:pt idx="109">
                  <c:v>41839</c:v>
                </c:pt>
                <c:pt idx="110">
                  <c:v>41840</c:v>
                </c:pt>
                <c:pt idx="111">
                  <c:v>41841</c:v>
                </c:pt>
                <c:pt idx="112">
                  <c:v>41842</c:v>
                </c:pt>
                <c:pt idx="113">
                  <c:v>41843</c:v>
                </c:pt>
                <c:pt idx="114">
                  <c:v>41844</c:v>
                </c:pt>
                <c:pt idx="115">
                  <c:v>41845</c:v>
                </c:pt>
                <c:pt idx="116">
                  <c:v>41846</c:v>
                </c:pt>
                <c:pt idx="117">
                  <c:v>41847</c:v>
                </c:pt>
                <c:pt idx="118">
                  <c:v>41848</c:v>
                </c:pt>
                <c:pt idx="119">
                  <c:v>41849</c:v>
                </c:pt>
                <c:pt idx="120">
                  <c:v>41850</c:v>
                </c:pt>
                <c:pt idx="121">
                  <c:v>41851</c:v>
                </c:pt>
                <c:pt idx="122">
                  <c:v>41852</c:v>
                </c:pt>
                <c:pt idx="123">
                  <c:v>41853</c:v>
                </c:pt>
                <c:pt idx="124">
                  <c:v>41854</c:v>
                </c:pt>
                <c:pt idx="125">
                  <c:v>41855</c:v>
                </c:pt>
                <c:pt idx="126">
                  <c:v>41856</c:v>
                </c:pt>
                <c:pt idx="127">
                  <c:v>41857</c:v>
                </c:pt>
                <c:pt idx="128">
                  <c:v>41858</c:v>
                </c:pt>
                <c:pt idx="129">
                  <c:v>41859</c:v>
                </c:pt>
                <c:pt idx="130">
                  <c:v>41860</c:v>
                </c:pt>
                <c:pt idx="131">
                  <c:v>41861</c:v>
                </c:pt>
                <c:pt idx="132">
                  <c:v>41862</c:v>
                </c:pt>
                <c:pt idx="133">
                  <c:v>41863</c:v>
                </c:pt>
                <c:pt idx="134">
                  <c:v>41864</c:v>
                </c:pt>
                <c:pt idx="135">
                  <c:v>41865</c:v>
                </c:pt>
                <c:pt idx="136">
                  <c:v>41866</c:v>
                </c:pt>
                <c:pt idx="137">
                  <c:v>41867</c:v>
                </c:pt>
                <c:pt idx="138">
                  <c:v>41868</c:v>
                </c:pt>
                <c:pt idx="139">
                  <c:v>41869</c:v>
                </c:pt>
                <c:pt idx="140">
                  <c:v>41870</c:v>
                </c:pt>
                <c:pt idx="141">
                  <c:v>41871</c:v>
                </c:pt>
                <c:pt idx="142">
                  <c:v>41872</c:v>
                </c:pt>
                <c:pt idx="143">
                  <c:v>41873</c:v>
                </c:pt>
                <c:pt idx="144">
                  <c:v>41874</c:v>
                </c:pt>
                <c:pt idx="145">
                  <c:v>41875</c:v>
                </c:pt>
                <c:pt idx="146">
                  <c:v>41876</c:v>
                </c:pt>
                <c:pt idx="147">
                  <c:v>41877</c:v>
                </c:pt>
                <c:pt idx="148">
                  <c:v>41878</c:v>
                </c:pt>
                <c:pt idx="149">
                  <c:v>41879</c:v>
                </c:pt>
                <c:pt idx="150">
                  <c:v>41880</c:v>
                </c:pt>
                <c:pt idx="151">
                  <c:v>41881</c:v>
                </c:pt>
                <c:pt idx="152">
                  <c:v>41882</c:v>
                </c:pt>
                <c:pt idx="153">
                  <c:v>41883</c:v>
                </c:pt>
                <c:pt idx="154">
                  <c:v>41884</c:v>
                </c:pt>
                <c:pt idx="155">
                  <c:v>41885</c:v>
                </c:pt>
                <c:pt idx="156">
                  <c:v>41886</c:v>
                </c:pt>
                <c:pt idx="157">
                  <c:v>41887</c:v>
                </c:pt>
                <c:pt idx="158">
                  <c:v>41888</c:v>
                </c:pt>
                <c:pt idx="159">
                  <c:v>41889</c:v>
                </c:pt>
                <c:pt idx="160">
                  <c:v>41890</c:v>
                </c:pt>
                <c:pt idx="161">
                  <c:v>41891</c:v>
                </c:pt>
                <c:pt idx="162">
                  <c:v>41892</c:v>
                </c:pt>
                <c:pt idx="163">
                  <c:v>41893</c:v>
                </c:pt>
                <c:pt idx="164">
                  <c:v>41894</c:v>
                </c:pt>
                <c:pt idx="165">
                  <c:v>41895</c:v>
                </c:pt>
                <c:pt idx="166">
                  <c:v>41896</c:v>
                </c:pt>
                <c:pt idx="167">
                  <c:v>41897</c:v>
                </c:pt>
                <c:pt idx="168">
                  <c:v>41898</c:v>
                </c:pt>
                <c:pt idx="169">
                  <c:v>41899</c:v>
                </c:pt>
                <c:pt idx="170">
                  <c:v>41900</c:v>
                </c:pt>
                <c:pt idx="171">
                  <c:v>41901</c:v>
                </c:pt>
                <c:pt idx="172">
                  <c:v>41902</c:v>
                </c:pt>
                <c:pt idx="173">
                  <c:v>41903</c:v>
                </c:pt>
                <c:pt idx="174">
                  <c:v>41904</c:v>
                </c:pt>
                <c:pt idx="175">
                  <c:v>41905</c:v>
                </c:pt>
                <c:pt idx="176">
                  <c:v>41906</c:v>
                </c:pt>
                <c:pt idx="177">
                  <c:v>41907</c:v>
                </c:pt>
                <c:pt idx="178">
                  <c:v>41908</c:v>
                </c:pt>
                <c:pt idx="179">
                  <c:v>41909</c:v>
                </c:pt>
                <c:pt idx="180">
                  <c:v>41910</c:v>
                </c:pt>
                <c:pt idx="181">
                  <c:v>41911</c:v>
                </c:pt>
                <c:pt idx="182">
                  <c:v>41912</c:v>
                </c:pt>
                <c:pt idx="183">
                  <c:v>41913</c:v>
                </c:pt>
                <c:pt idx="184">
                  <c:v>41914</c:v>
                </c:pt>
                <c:pt idx="185">
                  <c:v>41915</c:v>
                </c:pt>
                <c:pt idx="186">
                  <c:v>41916</c:v>
                </c:pt>
                <c:pt idx="187">
                  <c:v>41917</c:v>
                </c:pt>
                <c:pt idx="188">
                  <c:v>41918</c:v>
                </c:pt>
                <c:pt idx="189">
                  <c:v>41919</c:v>
                </c:pt>
                <c:pt idx="190">
                  <c:v>41920</c:v>
                </c:pt>
                <c:pt idx="191">
                  <c:v>41921</c:v>
                </c:pt>
                <c:pt idx="192">
                  <c:v>41922</c:v>
                </c:pt>
                <c:pt idx="193">
                  <c:v>41923</c:v>
                </c:pt>
                <c:pt idx="194">
                  <c:v>41924</c:v>
                </c:pt>
                <c:pt idx="195">
                  <c:v>41925</c:v>
                </c:pt>
                <c:pt idx="196">
                  <c:v>41926</c:v>
                </c:pt>
                <c:pt idx="197">
                  <c:v>41927</c:v>
                </c:pt>
                <c:pt idx="198">
                  <c:v>41928</c:v>
                </c:pt>
                <c:pt idx="199">
                  <c:v>41929</c:v>
                </c:pt>
                <c:pt idx="200">
                  <c:v>41930</c:v>
                </c:pt>
                <c:pt idx="201">
                  <c:v>41931</c:v>
                </c:pt>
                <c:pt idx="202">
                  <c:v>41932</c:v>
                </c:pt>
                <c:pt idx="203">
                  <c:v>41933</c:v>
                </c:pt>
                <c:pt idx="204">
                  <c:v>41934</c:v>
                </c:pt>
                <c:pt idx="205">
                  <c:v>41935</c:v>
                </c:pt>
                <c:pt idx="206">
                  <c:v>41936</c:v>
                </c:pt>
                <c:pt idx="207">
                  <c:v>41937</c:v>
                </c:pt>
                <c:pt idx="208">
                  <c:v>41938</c:v>
                </c:pt>
                <c:pt idx="209">
                  <c:v>41939</c:v>
                </c:pt>
                <c:pt idx="210">
                  <c:v>41940</c:v>
                </c:pt>
                <c:pt idx="211">
                  <c:v>41941</c:v>
                </c:pt>
                <c:pt idx="212">
                  <c:v>41942</c:v>
                </c:pt>
                <c:pt idx="213">
                  <c:v>41943</c:v>
                </c:pt>
                <c:pt idx="214">
                  <c:v>41944</c:v>
                </c:pt>
                <c:pt idx="215">
                  <c:v>41945</c:v>
                </c:pt>
                <c:pt idx="216">
                  <c:v>41946</c:v>
                </c:pt>
                <c:pt idx="217">
                  <c:v>41947</c:v>
                </c:pt>
                <c:pt idx="218">
                  <c:v>41948</c:v>
                </c:pt>
                <c:pt idx="219">
                  <c:v>41949</c:v>
                </c:pt>
                <c:pt idx="220">
                  <c:v>41950</c:v>
                </c:pt>
                <c:pt idx="221">
                  <c:v>41951</c:v>
                </c:pt>
                <c:pt idx="222">
                  <c:v>41952</c:v>
                </c:pt>
                <c:pt idx="223">
                  <c:v>41953</c:v>
                </c:pt>
                <c:pt idx="224">
                  <c:v>41954</c:v>
                </c:pt>
                <c:pt idx="225">
                  <c:v>41955</c:v>
                </c:pt>
                <c:pt idx="226">
                  <c:v>41956</c:v>
                </c:pt>
                <c:pt idx="227">
                  <c:v>41957</c:v>
                </c:pt>
                <c:pt idx="228">
                  <c:v>41958</c:v>
                </c:pt>
                <c:pt idx="229">
                  <c:v>41959</c:v>
                </c:pt>
                <c:pt idx="230">
                  <c:v>41960</c:v>
                </c:pt>
                <c:pt idx="231">
                  <c:v>41961</c:v>
                </c:pt>
                <c:pt idx="232">
                  <c:v>41962</c:v>
                </c:pt>
                <c:pt idx="233">
                  <c:v>41963</c:v>
                </c:pt>
                <c:pt idx="234">
                  <c:v>41964</c:v>
                </c:pt>
                <c:pt idx="235">
                  <c:v>41965</c:v>
                </c:pt>
                <c:pt idx="236">
                  <c:v>41966</c:v>
                </c:pt>
                <c:pt idx="237">
                  <c:v>41967</c:v>
                </c:pt>
                <c:pt idx="238">
                  <c:v>41968</c:v>
                </c:pt>
                <c:pt idx="239">
                  <c:v>41969</c:v>
                </c:pt>
                <c:pt idx="240">
                  <c:v>41970</c:v>
                </c:pt>
                <c:pt idx="241">
                  <c:v>41971</c:v>
                </c:pt>
                <c:pt idx="242">
                  <c:v>41972</c:v>
                </c:pt>
                <c:pt idx="243">
                  <c:v>41973</c:v>
                </c:pt>
                <c:pt idx="244">
                  <c:v>41974</c:v>
                </c:pt>
                <c:pt idx="245">
                  <c:v>41975</c:v>
                </c:pt>
                <c:pt idx="246">
                  <c:v>41976</c:v>
                </c:pt>
                <c:pt idx="247">
                  <c:v>41977</c:v>
                </c:pt>
                <c:pt idx="248">
                  <c:v>41978</c:v>
                </c:pt>
                <c:pt idx="249">
                  <c:v>41979</c:v>
                </c:pt>
                <c:pt idx="250">
                  <c:v>41980</c:v>
                </c:pt>
                <c:pt idx="251">
                  <c:v>41981</c:v>
                </c:pt>
                <c:pt idx="252">
                  <c:v>41982</c:v>
                </c:pt>
                <c:pt idx="253">
                  <c:v>41983</c:v>
                </c:pt>
                <c:pt idx="254">
                  <c:v>41984</c:v>
                </c:pt>
                <c:pt idx="255">
                  <c:v>41985</c:v>
                </c:pt>
                <c:pt idx="256">
                  <c:v>41986</c:v>
                </c:pt>
                <c:pt idx="257">
                  <c:v>41987</c:v>
                </c:pt>
                <c:pt idx="258">
                  <c:v>41988</c:v>
                </c:pt>
                <c:pt idx="259">
                  <c:v>41989</c:v>
                </c:pt>
                <c:pt idx="260">
                  <c:v>41990</c:v>
                </c:pt>
                <c:pt idx="261">
                  <c:v>41991</c:v>
                </c:pt>
                <c:pt idx="262">
                  <c:v>41992</c:v>
                </c:pt>
                <c:pt idx="263">
                  <c:v>41993</c:v>
                </c:pt>
                <c:pt idx="264">
                  <c:v>41994</c:v>
                </c:pt>
                <c:pt idx="265">
                  <c:v>41995</c:v>
                </c:pt>
                <c:pt idx="266">
                  <c:v>41996</c:v>
                </c:pt>
                <c:pt idx="267">
                  <c:v>41997</c:v>
                </c:pt>
                <c:pt idx="268">
                  <c:v>41998</c:v>
                </c:pt>
                <c:pt idx="269">
                  <c:v>41999</c:v>
                </c:pt>
                <c:pt idx="270">
                  <c:v>42000</c:v>
                </c:pt>
                <c:pt idx="271">
                  <c:v>42001</c:v>
                </c:pt>
                <c:pt idx="272">
                  <c:v>42002</c:v>
                </c:pt>
                <c:pt idx="273">
                  <c:v>42003</c:v>
                </c:pt>
                <c:pt idx="274">
                  <c:v>42004</c:v>
                </c:pt>
                <c:pt idx="275">
                  <c:v>42005</c:v>
                </c:pt>
                <c:pt idx="276">
                  <c:v>42006</c:v>
                </c:pt>
                <c:pt idx="277">
                  <c:v>42007</c:v>
                </c:pt>
                <c:pt idx="278">
                  <c:v>42008</c:v>
                </c:pt>
                <c:pt idx="279">
                  <c:v>42009</c:v>
                </c:pt>
                <c:pt idx="280">
                  <c:v>42010</c:v>
                </c:pt>
                <c:pt idx="281">
                  <c:v>42011</c:v>
                </c:pt>
                <c:pt idx="282">
                  <c:v>42012</c:v>
                </c:pt>
                <c:pt idx="283">
                  <c:v>42013</c:v>
                </c:pt>
                <c:pt idx="284">
                  <c:v>42014</c:v>
                </c:pt>
                <c:pt idx="285">
                  <c:v>42015</c:v>
                </c:pt>
                <c:pt idx="286">
                  <c:v>42016</c:v>
                </c:pt>
                <c:pt idx="287">
                  <c:v>42017</c:v>
                </c:pt>
                <c:pt idx="288">
                  <c:v>42018</c:v>
                </c:pt>
                <c:pt idx="289">
                  <c:v>42019</c:v>
                </c:pt>
                <c:pt idx="290">
                  <c:v>42020</c:v>
                </c:pt>
                <c:pt idx="291">
                  <c:v>42021</c:v>
                </c:pt>
                <c:pt idx="292">
                  <c:v>42022</c:v>
                </c:pt>
                <c:pt idx="293">
                  <c:v>42023</c:v>
                </c:pt>
                <c:pt idx="294">
                  <c:v>42024</c:v>
                </c:pt>
                <c:pt idx="295">
                  <c:v>42025</c:v>
                </c:pt>
                <c:pt idx="296">
                  <c:v>42026</c:v>
                </c:pt>
                <c:pt idx="297">
                  <c:v>42027</c:v>
                </c:pt>
                <c:pt idx="298">
                  <c:v>42028</c:v>
                </c:pt>
                <c:pt idx="299">
                  <c:v>42029</c:v>
                </c:pt>
                <c:pt idx="300">
                  <c:v>42030</c:v>
                </c:pt>
                <c:pt idx="301">
                  <c:v>42031</c:v>
                </c:pt>
                <c:pt idx="302">
                  <c:v>42032</c:v>
                </c:pt>
                <c:pt idx="303">
                  <c:v>42033</c:v>
                </c:pt>
                <c:pt idx="304">
                  <c:v>42034</c:v>
                </c:pt>
                <c:pt idx="305">
                  <c:v>42035</c:v>
                </c:pt>
                <c:pt idx="306">
                  <c:v>42036</c:v>
                </c:pt>
                <c:pt idx="307">
                  <c:v>42037</c:v>
                </c:pt>
                <c:pt idx="308">
                  <c:v>42038</c:v>
                </c:pt>
                <c:pt idx="309">
                  <c:v>42039</c:v>
                </c:pt>
                <c:pt idx="310">
                  <c:v>42040</c:v>
                </c:pt>
                <c:pt idx="311">
                  <c:v>42041</c:v>
                </c:pt>
                <c:pt idx="312">
                  <c:v>42042</c:v>
                </c:pt>
                <c:pt idx="313">
                  <c:v>42043</c:v>
                </c:pt>
                <c:pt idx="314">
                  <c:v>42044</c:v>
                </c:pt>
                <c:pt idx="315">
                  <c:v>42045</c:v>
                </c:pt>
                <c:pt idx="316">
                  <c:v>42046</c:v>
                </c:pt>
                <c:pt idx="317">
                  <c:v>42047</c:v>
                </c:pt>
                <c:pt idx="318">
                  <c:v>42048</c:v>
                </c:pt>
                <c:pt idx="319">
                  <c:v>42049</c:v>
                </c:pt>
                <c:pt idx="320">
                  <c:v>42050</c:v>
                </c:pt>
                <c:pt idx="321">
                  <c:v>42051</c:v>
                </c:pt>
                <c:pt idx="322">
                  <c:v>42052</c:v>
                </c:pt>
                <c:pt idx="323">
                  <c:v>42053</c:v>
                </c:pt>
                <c:pt idx="324">
                  <c:v>42054</c:v>
                </c:pt>
                <c:pt idx="325">
                  <c:v>42055</c:v>
                </c:pt>
                <c:pt idx="326">
                  <c:v>42056</c:v>
                </c:pt>
                <c:pt idx="327">
                  <c:v>42057</c:v>
                </c:pt>
                <c:pt idx="328">
                  <c:v>42058</c:v>
                </c:pt>
                <c:pt idx="329">
                  <c:v>42059</c:v>
                </c:pt>
                <c:pt idx="330">
                  <c:v>42060</c:v>
                </c:pt>
                <c:pt idx="331">
                  <c:v>42061</c:v>
                </c:pt>
                <c:pt idx="332">
                  <c:v>42062</c:v>
                </c:pt>
                <c:pt idx="333">
                  <c:v>42063</c:v>
                </c:pt>
                <c:pt idx="334">
                  <c:v>42064</c:v>
                </c:pt>
                <c:pt idx="335">
                  <c:v>42065</c:v>
                </c:pt>
                <c:pt idx="336">
                  <c:v>42066</c:v>
                </c:pt>
                <c:pt idx="337">
                  <c:v>42067</c:v>
                </c:pt>
                <c:pt idx="338">
                  <c:v>42068</c:v>
                </c:pt>
                <c:pt idx="339">
                  <c:v>42069</c:v>
                </c:pt>
                <c:pt idx="340">
                  <c:v>42070</c:v>
                </c:pt>
                <c:pt idx="341">
                  <c:v>42071</c:v>
                </c:pt>
                <c:pt idx="342">
                  <c:v>42072</c:v>
                </c:pt>
                <c:pt idx="343">
                  <c:v>42073</c:v>
                </c:pt>
                <c:pt idx="344">
                  <c:v>42074</c:v>
                </c:pt>
                <c:pt idx="345">
                  <c:v>42075</c:v>
                </c:pt>
                <c:pt idx="346">
                  <c:v>42076</c:v>
                </c:pt>
                <c:pt idx="347">
                  <c:v>42077</c:v>
                </c:pt>
                <c:pt idx="348">
                  <c:v>42078</c:v>
                </c:pt>
                <c:pt idx="349">
                  <c:v>42079</c:v>
                </c:pt>
                <c:pt idx="350">
                  <c:v>42080</c:v>
                </c:pt>
                <c:pt idx="351">
                  <c:v>42081</c:v>
                </c:pt>
                <c:pt idx="352">
                  <c:v>42082</c:v>
                </c:pt>
                <c:pt idx="353">
                  <c:v>42083</c:v>
                </c:pt>
                <c:pt idx="354">
                  <c:v>42084</c:v>
                </c:pt>
                <c:pt idx="355">
                  <c:v>42085</c:v>
                </c:pt>
                <c:pt idx="356">
                  <c:v>42086</c:v>
                </c:pt>
                <c:pt idx="357">
                  <c:v>42087</c:v>
                </c:pt>
                <c:pt idx="358">
                  <c:v>42088</c:v>
                </c:pt>
                <c:pt idx="359">
                  <c:v>42089</c:v>
                </c:pt>
                <c:pt idx="360">
                  <c:v>42090</c:v>
                </c:pt>
                <c:pt idx="361">
                  <c:v>42091</c:v>
                </c:pt>
                <c:pt idx="362">
                  <c:v>42092</c:v>
                </c:pt>
                <c:pt idx="363">
                  <c:v>42093</c:v>
                </c:pt>
                <c:pt idx="364">
                  <c:v>42094</c:v>
                </c:pt>
              </c:numCache>
            </c:numRef>
          </c:cat>
          <c:val>
            <c:numRef>
              <c:f>シャコ!$AM$3:$AM$367</c:f>
              <c:numCache>
                <c:formatCode>0</c:formatCode>
                <c:ptCount val="365"/>
                <c:pt idx="0">
                  <c:v>46.6920285791279</c:v>
                </c:pt>
                <c:pt idx="1">
                  <c:v>50.373504648104891</c:v>
                </c:pt>
                <c:pt idx="2">
                  <c:v>54.310377517069888</c:v>
                </c:pt>
                <c:pt idx="3">
                  <c:v>58.517805775768601</c:v>
                </c:pt>
                <c:pt idx="4">
                  <c:v>63.011688922781964</c:v>
                </c:pt>
                <c:pt idx="5">
                  <c:v>67.808683331651054</c:v>
                </c:pt>
                <c:pt idx="6">
                  <c:v>72.926227809811309</c:v>
                </c:pt>
                <c:pt idx="7">
                  <c:v>78.382553649608653</c:v>
                </c:pt>
                <c:pt idx="8">
                  <c:v>84.196772836056056</c:v>
                </c:pt>
                <c:pt idx="9">
                  <c:v>90.388794785614579</c:v>
                </c:pt>
                <c:pt idx="10">
                  <c:v>96.979445276994198</c:v>
                </c:pt>
                <c:pt idx="11">
                  <c:v>103.99048507906555</c:v>
                </c:pt>
                <c:pt idx="12">
                  <c:v>111.44459924640017</c:v>
                </c:pt>
                <c:pt idx="13">
                  <c:v>119.36541684814236</c:v>
                </c:pt>
                <c:pt idx="14">
                  <c:v>127.77758175334101</c:v>
                </c:pt>
                <c:pt idx="15">
                  <c:v>136.70676017203164</c:v>
                </c:pt>
                <c:pt idx="16">
                  <c:v>146.17969810868769</c:v>
                </c:pt>
                <c:pt idx="17">
                  <c:v>156.2241301203116</c:v>
                </c:pt>
                <c:pt idx="18">
                  <c:v>166.86901583227743</c:v>
                </c:pt>
                <c:pt idx="19">
                  <c:v>178.14431659329776</c:v>
                </c:pt>
                <c:pt idx="20">
                  <c:v>190.08125113465192</c:v>
                </c:pt>
                <c:pt idx="21">
                  <c:v>202.71219096113435</c:v>
                </c:pt>
                <c:pt idx="22">
                  <c:v>216.07071928094828</c:v>
                </c:pt>
                <c:pt idx="23">
                  <c:v>230.1916090096835</c:v>
                </c:pt>
                <c:pt idx="24">
                  <c:v>245.11098730500728</c:v>
                </c:pt>
                <c:pt idx="25">
                  <c:v>260.86617363440831</c:v>
                </c:pt>
                <c:pt idx="26">
                  <c:v>277.49590526245686</c:v>
                </c:pt>
                <c:pt idx="27">
                  <c:v>295.04014830845705</c:v>
                </c:pt>
                <c:pt idx="28">
                  <c:v>313.54028329136713</c:v>
                </c:pt>
                <c:pt idx="29">
                  <c:v>333.03914817662036</c:v>
                </c:pt>
                <c:pt idx="30">
                  <c:v>353.58078202342</c:v>
                </c:pt>
                <c:pt idx="31">
                  <c:v>375.21094026361931</c:v>
                </c:pt>
                <c:pt idx="32">
                  <c:v>397.97652917988523</c:v>
                </c:pt>
                <c:pt idx="33">
                  <c:v>421.92616079011123</c:v>
                </c:pt>
                <c:pt idx="34">
                  <c:v>447.10986615087728</c:v>
                </c:pt>
                <c:pt idx="35">
                  <c:v>473.57919015686906</c:v>
                </c:pt>
                <c:pt idx="36">
                  <c:v>501.38720986545553</c:v>
                </c:pt>
                <c:pt idx="37">
                  <c:v>530.58843647533172</c:v>
                </c:pt>
                <c:pt idx="38">
                  <c:v>561.23916386200005</c:v>
                </c:pt>
                <c:pt idx="39">
                  <c:v>593.39703481836716</c:v>
                </c:pt>
                <c:pt idx="40">
                  <c:v>627.12139389865365</c:v>
                </c:pt>
                <c:pt idx="41">
                  <c:v>662.47333698106456</c:v>
                </c:pt>
                <c:pt idx="42">
                  <c:v>699.51530340119996</c:v>
                </c:pt>
                <c:pt idx="43">
                  <c:v>738.3114899842019</c:v>
                </c:pt>
                <c:pt idx="44">
                  <c:v>778.92790272647744</c:v>
                </c:pt>
                <c:pt idx="45">
                  <c:v>821.43168485134686</c:v>
                </c:pt>
                <c:pt idx="46">
                  <c:v>865.89212809785397</c:v>
                </c:pt>
                <c:pt idx="47">
                  <c:v>912.38001667698234</c:v>
                </c:pt>
                <c:pt idx="48">
                  <c:v>960.96779350497468</c:v>
                </c:pt>
                <c:pt idx="49">
                  <c:v>1011.7295619305644</c:v>
                </c:pt>
                <c:pt idx="50">
                  <c:v>1064.7410858823337</c:v>
                </c:pt>
                <c:pt idx="51">
                  <c:v>1120.0795361905607</c:v>
                </c:pt>
                <c:pt idx="52">
                  <c:v>1177.8239508867023</c:v>
                </c:pt>
                <c:pt idx="53">
                  <c:v>1238.0552955615472</c:v>
                </c:pt>
                <c:pt idx="54">
                  <c:v>1300.8559411073272</c:v>
                </c:pt>
                <c:pt idx="55">
                  <c:v>1366.3095838457548</c:v>
                </c:pt>
                <c:pt idx="56">
                  <c:v>1434.5018079523595</c:v>
                </c:pt>
                <c:pt idx="57">
                  <c:v>1505.5198074617986</c:v>
                </c:pt>
                <c:pt idx="58">
                  <c:v>1579.4523723055108</c:v>
                </c:pt>
                <c:pt idx="59">
                  <c:v>1656.3902529626771</c:v>
                </c:pt>
                <c:pt idx="60">
                  <c:v>1736.4246402421429</c:v>
                </c:pt>
                <c:pt idx="61">
                  <c:v>1811.5745305084247</c:v>
                </c:pt>
                <c:pt idx="62">
                  <c:v>1897.7012289876643</c:v>
                </c:pt>
                <c:pt idx="63">
                  <c:v>1979.2270352181981</c:v>
                </c:pt>
                <c:pt idx="64">
                  <c:v>2071.8115532871716</c:v>
                </c:pt>
                <c:pt idx="65">
                  <c:v>2159.2897994745585</c:v>
                </c:pt>
                <c:pt idx="66">
                  <c:v>2258.6740980376962</c:v>
                </c:pt>
                <c:pt idx="67">
                  <c:v>2352.0391704826948</c:v>
                </c:pt>
                <c:pt idx="68">
                  <c:v>2458.5538307356951</c:v>
                </c:pt>
                <c:pt idx="69">
                  <c:v>2558.400263389688</c:v>
                </c:pt>
                <c:pt idx="70">
                  <c:v>2672.3964906621031</c:v>
                </c:pt>
                <c:pt idx="71">
                  <c:v>2778.1846994305988</c:v>
                </c:pt>
                <c:pt idx="72">
                  <c:v>2899.980880693025</c:v>
                </c:pt>
                <c:pt idx="73">
                  <c:v>3012.3052495642614</c:v>
                </c:pt>
                <c:pt idx="74">
                  <c:v>3142.0173492150975</c:v>
                </c:pt>
                <c:pt idx="75">
                  <c:v>3260.7323498810324</c:v>
                </c:pt>
                <c:pt idx="76">
                  <c:v>3396.9843824795762</c:v>
                </c:pt>
                <c:pt idx="77">
                  <c:v>3519.9952734907397</c:v>
                </c:pt>
                <c:pt idx="78">
                  <c:v>3660.0830777786832</c:v>
                </c:pt>
                <c:pt idx="79">
                  <c:v>3776.8071703610867</c:v>
                </c:pt>
                <c:pt idx="80">
                  <c:v>3922.1121745817445</c:v>
                </c:pt>
                <c:pt idx="81">
                  <c:v>4051.9499364428007</c:v>
                </c:pt>
                <c:pt idx="82">
                  <c:v>4211.4331951460736</c:v>
                </c:pt>
                <c:pt idx="83">
                  <c:v>4349.8489832928008</c:v>
                </c:pt>
                <c:pt idx="84">
                  <c:v>4521.0934710353258</c:v>
                </c:pt>
                <c:pt idx="85">
                  <c:v>4666.0004439307249</c:v>
                </c:pt>
                <c:pt idx="86">
                  <c:v>4848.4307332567096</c:v>
                </c:pt>
                <c:pt idx="87">
                  <c:v>5000.6255091444582</c:v>
                </c:pt>
                <c:pt idx="88">
                  <c:v>5192.8544391007399</c:v>
                </c:pt>
                <c:pt idx="89">
                  <c:v>5351.7376574833443</c:v>
                </c:pt>
                <c:pt idx="90">
                  <c:v>5553.9932352169935</c:v>
                </c:pt>
                <c:pt idx="91">
                  <c:v>5707.6820122477811</c:v>
                </c:pt>
                <c:pt idx="92">
                  <c:v>5919.485576717334</c:v>
                </c:pt>
                <c:pt idx="93">
                  <c:v>6083.620280878441</c:v>
                </c:pt>
                <c:pt idx="94">
                  <c:v>6306.1532728203711</c:v>
                </c:pt>
                <c:pt idx="95">
                  <c:v>6479.219856901912</c:v>
                </c:pt>
                <c:pt idx="96">
                  <c:v>6710.3602886293156</c:v>
                </c:pt>
                <c:pt idx="97">
                  <c:v>6888.2501400795109</c:v>
                </c:pt>
                <c:pt idx="98">
                  <c:v>7131.5273994495974</c:v>
                </c:pt>
                <c:pt idx="99">
                  <c:v>7317.3127238303077</c:v>
                </c:pt>
                <c:pt idx="100">
                  <c:v>7571.8445245854082</c:v>
                </c:pt>
                <c:pt idx="101">
                  <c:v>7763.054981717426</c:v>
                </c:pt>
                <c:pt idx="102">
                  <c:v>8028.0885870754109</c:v>
                </c:pt>
                <c:pt idx="103">
                  <c:v>8229.0907397543651</c:v>
                </c:pt>
                <c:pt idx="104">
                  <c:v>8506.3730034269156</c:v>
                </c:pt>
                <c:pt idx="105">
                  <c:v>8710.9225120664942</c:v>
                </c:pt>
                <c:pt idx="106">
                  <c:v>8996.3892753103119</c:v>
                </c:pt>
                <c:pt idx="107">
                  <c:v>9188.5711238899548</c:v>
                </c:pt>
                <c:pt idx="108">
                  <c:v>9483.4912686553926</c:v>
                </c:pt>
                <c:pt idx="109">
                  <c:v>9697.1863158919641</c:v>
                </c:pt>
                <c:pt idx="110">
                  <c:v>10007.458928606569</c:v>
                </c:pt>
                <c:pt idx="111">
                  <c:v>10222.129755269721</c:v>
                </c:pt>
                <c:pt idx="112">
                  <c:v>10544.517312441614</c:v>
                </c:pt>
                <c:pt idx="113">
                  <c:v>10756.616123576787</c:v>
                </c:pt>
                <c:pt idx="114">
                  <c:v>11087.867105784178</c:v>
                </c:pt>
                <c:pt idx="115">
                  <c:v>11301.590412181828</c:v>
                </c:pt>
                <c:pt idx="116">
                  <c:v>11632.109999661774</c:v>
                </c:pt>
                <c:pt idx="117">
                  <c:v>11840.334874888433</c:v>
                </c:pt>
                <c:pt idx="118">
                  <c:v>12191.45217577207</c:v>
                </c:pt>
                <c:pt idx="119">
                  <c:v>12393.877254544948</c:v>
                </c:pt>
                <c:pt idx="120">
                  <c:v>12750.755586940712</c:v>
                </c:pt>
                <c:pt idx="121">
                  <c:v>12947.931865453855</c:v>
                </c:pt>
                <c:pt idx="122">
                  <c:v>13312.69883679204</c:v>
                </c:pt>
                <c:pt idx="123">
                  <c:v>13494.230934851445</c:v>
                </c:pt>
                <c:pt idx="124">
                  <c:v>13865.450894661068</c:v>
                </c:pt>
                <c:pt idx="125">
                  <c:v>13983.24826964664</c:v>
                </c:pt>
                <c:pt idx="126">
                  <c:v>14321.601414011162</c:v>
                </c:pt>
                <c:pt idx="127">
                  <c:v>14484.920526954566</c:v>
                </c:pt>
                <c:pt idx="128">
                  <c:v>14870.690287912676</c:v>
                </c:pt>
                <c:pt idx="129">
                  <c:v>15040.374943460092</c:v>
                </c:pt>
                <c:pt idx="130">
                  <c:v>15430.922554619699</c:v>
                </c:pt>
                <c:pt idx="131">
                  <c:v>15606.352737344476</c:v>
                </c:pt>
                <c:pt idx="132">
                  <c:v>16019.55205923141</c:v>
                </c:pt>
                <c:pt idx="133">
                  <c:v>16202.504182201901</c:v>
                </c:pt>
                <c:pt idx="134">
                  <c:v>16585.594372904528</c:v>
                </c:pt>
                <c:pt idx="135">
                  <c:v>16744.008182317004</c:v>
                </c:pt>
                <c:pt idx="136">
                  <c:v>17147.157954362418</c:v>
                </c:pt>
                <c:pt idx="137">
                  <c:v>17268.70327657523</c:v>
                </c:pt>
                <c:pt idx="138">
                  <c:v>17704.242714242904</c:v>
                </c:pt>
                <c:pt idx="139">
                  <c:v>17900.730343678693</c:v>
                </c:pt>
                <c:pt idx="140">
                  <c:v>18314.846058934407</c:v>
                </c:pt>
                <c:pt idx="141">
                  <c:v>18310.680412172285</c:v>
                </c:pt>
                <c:pt idx="142">
                  <c:v>18748.522889060965</c:v>
                </c:pt>
                <c:pt idx="143">
                  <c:v>18946.015703123438</c:v>
                </c:pt>
                <c:pt idx="144">
                  <c:v>19398.523216735197</c:v>
                </c:pt>
                <c:pt idx="145">
                  <c:v>19604.303698592961</c:v>
                </c:pt>
                <c:pt idx="146">
                  <c:v>20060.740896741954</c:v>
                </c:pt>
                <c:pt idx="147">
                  <c:v>20266.048552972876</c:v>
                </c:pt>
                <c:pt idx="148">
                  <c:v>20735.753147264611</c:v>
                </c:pt>
                <c:pt idx="149">
                  <c:v>20930.703056136004</c:v>
                </c:pt>
                <c:pt idx="150">
                  <c:v>21406.221669641694</c:v>
                </c:pt>
                <c:pt idx="151">
                  <c:v>21609.729649065393</c:v>
                </c:pt>
                <c:pt idx="152">
                  <c:v>22087.020788861319</c:v>
                </c:pt>
                <c:pt idx="153">
                  <c:v>22338.897236153156</c:v>
                </c:pt>
                <c:pt idx="154">
                  <c:v>22821.84085171367</c:v>
                </c:pt>
                <c:pt idx="155">
                  <c:v>23034.055239326259</c:v>
                </c:pt>
                <c:pt idx="156">
                  <c:v>23531.57053822618</c:v>
                </c:pt>
                <c:pt idx="157">
                  <c:v>23749.802127696839</c:v>
                </c:pt>
                <c:pt idx="158">
                  <c:v>24254.00124936847</c:v>
                </c:pt>
                <c:pt idx="159">
                  <c:v>24425.132750609093</c:v>
                </c:pt>
                <c:pt idx="160">
                  <c:v>24677.623574437144</c:v>
                </c:pt>
                <c:pt idx="161">
                  <c:v>24600.07756030294</c:v>
                </c:pt>
                <c:pt idx="162">
                  <c:v>24949.735944900862</c:v>
                </c:pt>
                <c:pt idx="163">
                  <c:v>25138.126330098876</c:v>
                </c:pt>
                <c:pt idx="164">
                  <c:v>25638.256992423707</c:v>
                </c:pt>
                <c:pt idx="165">
                  <c:v>25838.093111927759</c:v>
                </c:pt>
                <c:pt idx="166">
                  <c:v>26318.963618928516</c:v>
                </c:pt>
                <c:pt idx="167">
                  <c:v>26501.390704998561</c:v>
                </c:pt>
                <c:pt idx="168">
                  <c:v>27001.560466330964</c:v>
                </c:pt>
                <c:pt idx="169">
                  <c:v>27193.64530054207</c:v>
                </c:pt>
                <c:pt idx="170">
                  <c:v>27703.919306321757</c:v>
                </c:pt>
                <c:pt idx="171">
                  <c:v>27870.025652466604</c:v>
                </c:pt>
                <c:pt idx="172">
                  <c:v>28377.993518223029</c:v>
                </c:pt>
                <c:pt idx="173">
                  <c:v>28557.053986206116</c:v>
                </c:pt>
                <c:pt idx="174">
                  <c:v>29084.572403999846</c:v>
                </c:pt>
                <c:pt idx="175">
                  <c:v>29261.10477772163</c:v>
                </c:pt>
                <c:pt idx="176">
                  <c:v>29791.302465653265</c:v>
                </c:pt>
                <c:pt idx="177">
                  <c:v>29943.704017018277</c:v>
                </c:pt>
                <c:pt idx="178">
                  <c:v>30472.584291546493</c:v>
                </c:pt>
                <c:pt idx="179">
                  <c:v>30579.39032633121</c:v>
                </c:pt>
                <c:pt idx="180">
                  <c:v>31023.401111077503</c:v>
                </c:pt>
                <c:pt idx="181">
                  <c:v>31110.326629028215</c:v>
                </c:pt>
                <c:pt idx="182">
                  <c:v>31641.652267663852</c:v>
                </c:pt>
                <c:pt idx="183">
                  <c:v>31730.712763770676</c:v>
                </c:pt>
                <c:pt idx="184">
                  <c:v>32263.066449370912</c:v>
                </c:pt>
                <c:pt idx="185">
                  <c:v>32339.348391130647</c:v>
                </c:pt>
                <c:pt idx="186">
                  <c:v>32871.855724599518</c:v>
                </c:pt>
                <c:pt idx="187">
                  <c:v>32966.889447948626</c:v>
                </c:pt>
                <c:pt idx="188">
                  <c:v>33502.888526153263</c:v>
                </c:pt>
                <c:pt idx="189">
                  <c:v>33580.691982252814</c:v>
                </c:pt>
                <c:pt idx="190">
                  <c:v>34028.578716678123</c:v>
                </c:pt>
                <c:pt idx="191">
                  <c:v>34094.894729984539</c:v>
                </c:pt>
                <c:pt idx="192">
                  <c:v>34624.307658997001</c:v>
                </c:pt>
                <c:pt idx="193">
                  <c:v>34664.596901527162</c:v>
                </c:pt>
                <c:pt idx="194">
                  <c:v>35114.47233637984</c:v>
                </c:pt>
                <c:pt idx="195">
                  <c:v>35144.748688980355</c:v>
                </c:pt>
                <c:pt idx="196">
                  <c:v>35669.299805030329</c:v>
                </c:pt>
                <c:pt idx="197">
                  <c:v>35701.713870179621</c:v>
                </c:pt>
                <c:pt idx="198">
                  <c:v>36224.432227112149</c:v>
                </c:pt>
                <c:pt idx="199">
                  <c:v>36262.733485642959</c:v>
                </c:pt>
                <c:pt idx="200">
                  <c:v>36791.006468453175</c:v>
                </c:pt>
                <c:pt idx="201">
                  <c:v>36788.20463076434</c:v>
                </c:pt>
                <c:pt idx="202">
                  <c:v>37314.17062272958</c:v>
                </c:pt>
                <c:pt idx="203">
                  <c:v>37260.940320578033</c:v>
                </c:pt>
                <c:pt idx="204">
                  <c:v>37774.328961609186</c:v>
                </c:pt>
                <c:pt idx="205">
                  <c:v>37554.827302160884</c:v>
                </c:pt>
                <c:pt idx="206">
                  <c:v>38070.32488795364</c:v>
                </c:pt>
                <c:pt idx="207">
                  <c:v>37840.560881228485</c:v>
                </c:pt>
                <c:pt idx="208">
                  <c:v>38351.701452011141</c:v>
                </c:pt>
                <c:pt idx="209">
                  <c:v>38110.748875159261</c:v>
                </c:pt>
                <c:pt idx="210">
                  <c:v>38615.645514493037</c:v>
                </c:pt>
                <c:pt idx="211">
                  <c:v>38378.793826443318</c:v>
                </c:pt>
                <c:pt idx="212">
                  <c:v>38877.760218351017</c:v>
                </c:pt>
                <c:pt idx="213">
                  <c:v>38646.595261672795</c:v>
                </c:pt>
                <c:pt idx="214">
                  <c:v>39139.539270459522</c:v>
                </c:pt>
                <c:pt idx="215">
                  <c:v>38918.639058265748</c:v>
                </c:pt>
                <c:pt idx="216">
                  <c:v>39405.595545510703</c:v>
                </c:pt>
                <c:pt idx="217">
                  <c:v>39190.907290125659</c:v>
                </c:pt>
                <c:pt idx="218">
                  <c:v>39671.840384565257</c:v>
                </c:pt>
                <c:pt idx="219">
                  <c:v>39451.983797297216</c:v>
                </c:pt>
                <c:pt idx="220">
                  <c:v>39926.877624857174</c:v>
                </c:pt>
                <c:pt idx="221">
                  <c:v>39707.477405089223</c:v>
                </c:pt>
                <c:pt idx="222">
                  <c:v>40176.131265510136</c:v>
                </c:pt>
                <c:pt idx="223">
                  <c:v>39952.834219907447</c:v>
                </c:pt>
                <c:pt idx="224">
                  <c:v>40415.342259565965</c:v>
                </c:pt>
                <c:pt idx="225">
                  <c:v>40191.539826427477</c:v>
                </c:pt>
                <c:pt idx="226">
                  <c:v>40647.726330312682</c:v>
                </c:pt>
                <c:pt idx="227">
                  <c:v>40426.146261309106</c:v>
                </c:pt>
                <c:pt idx="228">
                  <c:v>40876.03550332741</c:v>
                </c:pt>
                <c:pt idx="229">
                  <c:v>40648.114894360559</c:v>
                </c:pt>
                <c:pt idx="230">
                  <c:v>41091.619123921228</c:v>
                </c:pt>
                <c:pt idx="231">
                  <c:v>40864.614054731661</c:v>
                </c:pt>
                <c:pt idx="232">
                  <c:v>41301.702212341013</c:v>
                </c:pt>
                <c:pt idx="233">
                  <c:v>41071.214033313292</c:v>
                </c:pt>
                <c:pt idx="234">
                  <c:v>41501.843981787388</c:v>
                </c:pt>
                <c:pt idx="235">
                  <c:v>41260.188438643236</c:v>
                </c:pt>
                <c:pt idx="236">
                  <c:v>41684.17619715503</c:v>
                </c:pt>
                <c:pt idx="237">
                  <c:v>41441.076927987713</c:v>
                </c:pt>
                <c:pt idx="238">
                  <c:v>41858.513711783773</c:v>
                </c:pt>
                <c:pt idx="239">
                  <c:v>41593.236420650712</c:v>
                </c:pt>
                <c:pt idx="240">
                  <c:v>42003.816040484147</c:v>
                </c:pt>
                <c:pt idx="241">
                  <c:v>41739.001105944852</c:v>
                </c:pt>
                <c:pt idx="242">
                  <c:v>42142.753636404945</c:v>
                </c:pt>
                <c:pt idx="243">
                  <c:v>41852.626211290757</c:v>
                </c:pt>
                <c:pt idx="244">
                  <c:v>42249.328131255621</c:v>
                </c:pt>
                <c:pt idx="245">
                  <c:v>42179.104809379693</c:v>
                </c:pt>
                <c:pt idx="246">
                  <c:v>42570.733526237527</c:v>
                </c:pt>
                <c:pt idx="247">
                  <c:v>42474.194359471359</c:v>
                </c:pt>
                <c:pt idx="248">
                  <c:v>42860.560646083686</c:v>
                </c:pt>
                <c:pt idx="249">
                  <c:v>42749.368789615233</c:v>
                </c:pt>
                <c:pt idx="250">
                  <c:v>43130.328158787197</c:v>
                </c:pt>
                <c:pt idx="251">
                  <c:v>43002.796608658951</c:v>
                </c:pt>
                <c:pt idx="252">
                  <c:v>43378.13891004389</c:v>
                </c:pt>
                <c:pt idx="253">
                  <c:v>43236.260802960926</c:v>
                </c:pt>
                <c:pt idx="254">
                  <c:v>43605.865580836209</c:v>
                </c:pt>
                <c:pt idx="255">
                  <c:v>43448.429266829167</c:v>
                </c:pt>
                <c:pt idx="256">
                  <c:v>43812.11299889841</c:v>
                </c:pt>
                <c:pt idx="257">
                  <c:v>43641.420122117561</c:v>
                </c:pt>
                <c:pt idx="258">
                  <c:v>43999.155882564308</c:v>
                </c:pt>
                <c:pt idx="259">
                  <c:v>43816.94654443724</c:v>
                </c:pt>
                <c:pt idx="260">
                  <c:v>44168.613142812821</c:v>
                </c:pt>
                <c:pt idx="261">
                  <c:v>43972.060534095173</c:v>
                </c:pt>
                <c:pt idx="262">
                  <c:v>44317.5123088892</c:v>
                </c:pt>
                <c:pt idx="263">
                  <c:v>44105.432877692198</c:v>
                </c:pt>
                <c:pt idx="264">
                  <c:v>44444.58428809313</c:v>
                </c:pt>
                <c:pt idx="265">
                  <c:v>44222.240595619565</c:v>
                </c:pt>
                <c:pt idx="266">
                  <c:v>44555.137373848469</c:v>
                </c:pt>
                <c:pt idx="267">
                  <c:v>44323.65739903535</c:v>
                </c:pt>
                <c:pt idx="268">
                  <c:v>44650.161862466186</c:v>
                </c:pt>
                <c:pt idx="269">
                  <c:v>44406.766360301022</c:v>
                </c:pt>
                <c:pt idx="270">
                  <c:v>44726.853133660246</c:v>
                </c:pt>
                <c:pt idx="271">
                  <c:v>44463.154686201822</c:v>
                </c:pt>
                <c:pt idx="272">
                  <c:v>44776.726657146231</c:v>
                </c:pt>
                <c:pt idx="273">
                  <c:v>44513.1842138434</c:v>
                </c:pt>
                <c:pt idx="274">
                  <c:v>44820.348165451738</c:v>
                </c:pt>
                <c:pt idx="275">
                  <c:v>44754.33299680816</c:v>
                </c:pt>
                <c:pt idx="276">
                  <c:v>45056.429848978027</c:v>
                </c:pt>
                <c:pt idx="277">
                  <c:v>44972.464694900969</c:v>
                </c:pt>
                <c:pt idx="278">
                  <c:v>45269.374047465477</c:v>
                </c:pt>
                <c:pt idx="279">
                  <c:v>45168.950725323521</c:v>
                </c:pt>
                <c:pt idx="280">
                  <c:v>45460.575484131703</c:v>
                </c:pt>
                <c:pt idx="281">
                  <c:v>45351.557002902031</c:v>
                </c:pt>
                <c:pt idx="282">
                  <c:v>45637.878627325561</c:v>
                </c:pt>
                <c:pt idx="283">
                  <c:v>45516.399583146085</c:v>
                </c:pt>
                <c:pt idx="284">
                  <c:v>45797.452358705123</c:v>
                </c:pt>
                <c:pt idx="285">
                  <c:v>45668.066956412746</c:v>
                </c:pt>
                <c:pt idx="286">
                  <c:v>45943.691645024257</c:v>
                </c:pt>
                <c:pt idx="287">
                  <c:v>45801.368997545549</c:v>
                </c:pt>
                <c:pt idx="288">
                  <c:v>46071.60879954572</c:v>
                </c:pt>
                <c:pt idx="289">
                  <c:v>45927.160762390951</c:v>
                </c:pt>
                <c:pt idx="290">
                  <c:v>46191.991673414217</c:v>
                </c:pt>
                <c:pt idx="291">
                  <c:v>46029.836992368924</c:v>
                </c:pt>
                <c:pt idx="292">
                  <c:v>46289.278056836993</c:v>
                </c:pt>
                <c:pt idx="293">
                  <c:v>46120.490763261863</c:v>
                </c:pt>
                <c:pt idx="294">
                  <c:v>46374.401630491491</c:v>
                </c:pt>
                <c:pt idx="295">
                  <c:v>46194.108506487551</c:v>
                </c:pt>
                <c:pt idx="296">
                  <c:v>46442.570597275262</c:v>
                </c:pt>
                <c:pt idx="297">
                  <c:v>46245.358435943468</c:v>
                </c:pt>
                <c:pt idx="298">
                  <c:v>46488.332022965173</c:v>
                </c:pt>
                <c:pt idx="299">
                  <c:v>46298.015063841252</c:v>
                </c:pt>
                <c:pt idx="300">
                  <c:v>46535.558404672418</c:v>
                </c:pt>
                <c:pt idx="301">
                  <c:v>46321.996142905497</c:v>
                </c:pt>
                <c:pt idx="302">
                  <c:v>46554.121175542343</c:v>
                </c:pt>
                <c:pt idx="303">
                  <c:v>46335.938264824763</c:v>
                </c:pt>
                <c:pt idx="304">
                  <c:v>46562.620384910093</c:v>
                </c:pt>
                <c:pt idx="305">
                  <c:v>46332.165484955221</c:v>
                </c:pt>
                <c:pt idx="306">
                  <c:v>46553.417965858316</c:v>
                </c:pt>
                <c:pt idx="307">
                  <c:v>46364.407171106439</c:v>
                </c:pt>
                <c:pt idx="308">
                  <c:v>46580.53657993763</c:v>
                </c:pt>
                <c:pt idx="309">
                  <c:v>46419.132788134193</c:v>
                </c:pt>
                <c:pt idx="310">
                  <c:v>46630.234632547174</c:v>
                </c:pt>
                <c:pt idx="311">
                  <c:v>46443.186374933313</c:v>
                </c:pt>
                <c:pt idx="312">
                  <c:v>46649.268955387306</c:v>
                </c:pt>
                <c:pt idx="313">
                  <c:v>46467.429468809656</c:v>
                </c:pt>
                <c:pt idx="314">
                  <c:v>46668.523512168889</c:v>
                </c:pt>
                <c:pt idx="315">
                  <c:v>46476.015805952513</c:v>
                </c:pt>
                <c:pt idx="316">
                  <c:v>46672.244718746733</c:v>
                </c:pt>
                <c:pt idx="317">
                  <c:v>46469.093708927838</c:v>
                </c:pt>
                <c:pt idx="318">
                  <c:v>46660.382674571651</c:v>
                </c:pt>
                <c:pt idx="319">
                  <c:v>46460.903494985731</c:v>
                </c:pt>
                <c:pt idx="320">
                  <c:v>46647.375025682297</c:v>
                </c:pt>
                <c:pt idx="321">
                  <c:v>46435.799451460072</c:v>
                </c:pt>
                <c:pt idx="322">
                  <c:v>46617.474840375384</c:v>
                </c:pt>
                <c:pt idx="323">
                  <c:v>46391.001664653777</c:v>
                </c:pt>
                <c:pt idx="324">
                  <c:v>46567.888467113786</c:v>
                </c:pt>
                <c:pt idx="325">
                  <c:v>46344.616107715141</c:v>
                </c:pt>
                <c:pt idx="326">
                  <c:v>46516.72987696567</c:v>
                </c:pt>
                <c:pt idx="327">
                  <c:v>46305.571321774965</c:v>
                </c:pt>
                <c:pt idx="328">
                  <c:v>46472.977226676194</c:v>
                </c:pt>
                <c:pt idx="329">
                  <c:v>46255.673630725665</c:v>
                </c:pt>
                <c:pt idx="330">
                  <c:v>46418.543052334368</c:v>
                </c:pt>
                <c:pt idx="331">
                  <c:v>46177.833870926537</c:v>
                </c:pt>
                <c:pt idx="332">
                  <c:v>46336.242455236985</c:v>
                </c:pt>
                <c:pt idx="333">
                  <c:v>46095.987872361744</c:v>
                </c:pt>
                <c:pt idx="334">
                  <c:v>46249.818181077499</c:v>
                </c:pt>
                <c:pt idx="335">
                  <c:v>45568.348228526775</c:v>
                </c:pt>
                <c:pt idx="336">
                  <c:v>45716.322072756579</c:v>
                </c:pt>
                <c:pt idx="337">
                  <c:v>45105.543991224957</c:v>
                </c:pt>
                <c:pt idx="338">
                  <c:v>45248.143532705784</c:v>
                </c:pt>
                <c:pt idx="339">
                  <c:v>44657.226301196752</c:v>
                </c:pt>
                <c:pt idx="340">
                  <c:v>44794.510018519417</c:v>
                </c:pt>
                <c:pt idx="341">
                  <c:v>44245.951142059457</c:v>
                </c:pt>
                <c:pt idx="342">
                  <c:v>44378.205935922633</c:v>
                </c:pt>
                <c:pt idx="343">
                  <c:v>43799.342135365921</c:v>
                </c:pt>
                <c:pt idx="344">
                  <c:v>43926.568002210959</c:v>
                </c:pt>
                <c:pt idx="345">
                  <c:v>43382.577461560999</c:v>
                </c:pt>
                <c:pt idx="346">
                  <c:v>43505.004781125499</c:v>
                </c:pt>
                <c:pt idx="347">
                  <c:v>42923.075588131644</c:v>
                </c:pt>
                <c:pt idx="348">
                  <c:v>43040.786877723571</c:v>
                </c:pt>
                <c:pt idx="349">
                  <c:v>42473.008737561329</c:v>
                </c:pt>
                <c:pt idx="350">
                  <c:v>42586.117303920604</c:v>
                </c:pt>
                <c:pt idx="351">
                  <c:v>42024.022379529</c:v>
                </c:pt>
                <c:pt idx="352">
                  <c:v>42132.715862083627</c:v>
                </c:pt>
                <c:pt idx="353">
                  <c:v>41574.09163185324</c:v>
                </c:pt>
                <c:pt idx="354">
                  <c:v>41678.289484086432</c:v>
                </c:pt>
                <c:pt idx="355">
                  <c:v>41095.61186843679</c:v>
                </c:pt>
                <c:pt idx="356">
                  <c:v>41195.72994584281</c:v>
                </c:pt>
                <c:pt idx="357">
                  <c:v>40639.084367142837</c:v>
                </c:pt>
                <c:pt idx="358">
                  <c:v>40735.019418152748</c:v>
                </c:pt>
                <c:pt idx="359">
                  <c:v>40169.817496789707</c:v>
                </c:pt>
                <c:pt idx="360">
                  <c:v>40261.674381352503</c:v>
                </c:pt>
                <c:pt idx="361">
                  <c:v>39682.692121448039</c:v>
                </c:pt>
                <c:pt idx="362">
                  <c:v>39770.551350502021</c:v>
                </c:pt>
                <c:pt idx="363">
                  <c:v>39216.669759190198</c:v>
                </c:pt>
                <c:pt idx="364">
                  <c:v>39300.927248638043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C2-4B20-9EB9-6D4F587EFB90}"/>
            </c:ext>
          </c:extLst>
        </c:ser>
        <c:ser>
          <c:idx val="2"/>
          <c:order val="2"/>
          <c:tx>
            <c:v>3rd year</c:v>
          </c:tx>
          <c:spPr>
            <a:solidFill>
              <a:srgbClr val="00CC00"/>
            </a:solidFill>
            <a:ln w="25400">
              <a:noFill/>
            </a:ln>
            <a:effectLst/>
          </c:spPr>
          <c:val>
            <c:numRef>
              <c:f>シャコ!$AN$3:$AN$368</c:f>
              <c:numCache>
                <c:formatCode>0</c:formatCode>
                <c:ptCount val="366"/>
                <c:pt idx="0">
                  <c:v>39379.740133679879</c:v>
                </c:pt>
                <c:pt idx="1">
                  <c:v>38351.387298764537</c:v>
                </c:pt>
                <c:pt idx="2">
                  <c:v>38429.719960293987</c:v>
                </c:pt>
                <c:pt idx="3">
                  <c:v>37467.264023872303</c:v>
                </c:pt>
                <c:pt idx="4">
                  <c:v>37541.35088185405</c:v>
                </c:pt>
                <c:pt idx="5">
                  <c:v>36587.64001231912</c:v>
                </c:pt>
                <c:pt idx="6">
                  <c:v>36657.586168154237</c:v>
                </c:pt>
                <c:pt idx="7">
                  <c:v>35748.62031786087</c:v>
                </c:pt>
                <c:pt idx="8">
                  <c:v>35814.678910287017</c:v>
                </c:pt>
                <c:pt idx="9">
                  <c:v>34889.751912394451</c:v>
                </c:pt>
                <c:pt idx="10">
                  <c:v>34952.041911189939</c:v>
                </c:pt>
                <c:pt idx="11">
                  <c:v>34073.527163075873</c:v>
                </c:pt>
                <c:pt idx="12">
                  <c:v>34132.28946080801</c:v>
                </c:pt>
                <c:pt idx="13">
                  <c:v>33255.154785249142</c:v>
                </c:pt>
                <c:pt idx="14">
                  <c:v>33310.428606279733</c:v>
                </c:pt>
                <c:pt idx="15">
                  <c:v>32447.435147236618</c:v>
                </c:pt>
                <c:pt idx="16">
                  <c:v>32499.305247779343</c:v>
                </c:pt>
                <c:pt idx="17">
                  <c:v>31666.740709494552</c:v>
                </c:pt>
                <c:pt idx="18">
                  <c:v>31715.49387678862</c:v>
                </c:pt>
                <c:pt idx="19">
                  <c:v>30902.712496889104</c:v>
                </c:pt>
                <c:pt idx="20">
                  <c:v>30948.585989752071</c:v>
                </c:pt>
                <c:pt idx="21">
                  <c:v>30138.152370704971</c:v>
                </c:pt>
                <c:pt idx="22">
                  <c:v>30181.162360650982</c:v>
                </c:pt>
                <c:pt idx="23">
                  <c:v>29401.273821482515</c:v>
                </c:pt>
                <c:pt idx="24">
                  <c:v>29441.687415231085</c:v>
                </c:pt>
                <c:pt idx="25">
                  <c:v>28673.602206977226</c:v>
                </c:pt>
                <c:pt idx="26">
                  <c:v>28711.309065149624</c:v>
                </c:pt>
                <c:pt idx="27">
                  <c:v>27968.185182305926</c:v>
                </c:pt>
                <c:pt idx="28">
                  <c:v>28003.414098525805</c:v>
                </c:pt>
                <c:pt idx="29">
                  <c:v>27275.589152200886</c:v>
                </c:pt>
                <c:pt idx="30">
                  <c:v>27308.679291102515</c:v>
                </c:pt>
                <c:pt idx="31">
                  <c:v>26658.30140346133</c:v>
                </c:pt>
                <c:pt idx="32">
                  <c:v>26689.206985045639</c:v>
                </c:pt>
                <c:pt idx="33">
                  <c:v>26050.573231107654</c:v>
                </c:pt>
                <c:pt idx="34">
                  <c:v>26079.449426700081</c:v>
                </c:pt>
                <c:pt idx="35">
                  <c:v>25445.443589654169</c:v>
                </c:pt>
                <c:pt idx="36">
                  <c:v>25472.416935389923</c:v>
                </c:pt>
                <c:pt idx="37">
                  <c:v>24857.998193628944</c:v>
                </c:pt>
                <c:pt idx="38">
                  <c:v>24883.089066848781</c:v>
                </c:pt>
                <c:pt idx="39">
                  <c:v>24282.088548179683</c:v>
                </c:pt>
                <c:pt idx="40">
                  <c:v>24305.44527183802</c:v>
                </c:pt>
                <c:pt idx="41">
                  <c:v>23704.26207406398</c:v>
                </c:pt>
                <c:pt idx="42">
                  <c:v>23725.983246004445</c:v>
                </c:pt>
                <c:pt idx="43">
                  <c:v>23143.901227955237</c:v>
                </c:pt>
                <c:pt idx="44">
                  <c:v>23163.989243678916</c:v>
                </c:pt>
                <c:pt idx="45">
                  <c:v>22598.333264188248</c:v>
                </c:pt>
                <c:pt idx="46">
                  <c:v>22616.934522332111</c:v>
                </c:pt>
                <c:pt idx="47">
                  <c:v>22057.700207610327</c:v>
                </c:pt>
                <c:pt idx="48">
                  <c:v>22074.924854016121</c:v>
                </c:pt>
                <c:pt idx="49">
                  <c:v>21529.213025602439</c:v>
                </c:pt>
                <c:pt idx="50">
                  <c:v>21544.866562262312</c:v>
                </c:pt>
                <c:pt idx="51">
                  <c:v>21016.826918592778</c:v>
                </c:pt>
                <c:pt idx="52">
                  <c:v>21031.372586768277</c:v>
                </c:pt>
                <c:pt idx="53">
                  <c:v>20502.57129943285</c:v>
                </c:pt>
                <c:pt idx="54">
                  <c:v>20515.759272381176</c:v>
                </c:pt>
                <c:pt idx="55">
                  <c:v>20007.665091174033</c:v>
                </c:pt>
                <c:pt idx="56">
                  <c:v>20019.800982839679</c:v>
                </c:pt>
                <c:pt idx="57">
                  <c:v>19520.588141753553</c:v>
                </c:pt>
                <c:pt idx="58">
                  <c:v>19531.607750670952</c:v>
                </c:pt>
                <c:pt idx="59">
                  <c:v>19045.074686288972</c:v>
                </c:pt>
                <c:pt idx="60">
                  <c:v>19054.919493957615</c:v>
                </c:pt>
                <c:pt idx="61">
                  <c:v>18489.673417619822</c:v>
                </c:pt>
                <c:pt idx="62">
                  <c:v>18498.512911981608</c:v>
                </c:pt>
                <c:pt idx="63">
                  <c:v>17918.197320313055</c:v>
                </c:pt>
                <c:pt idx="64">
                  <c:v>17926.062873064373</c:v>
                </c:pt>
                <c:pt idx="65">
                  <c:v>17363.135946677103</c:v>
                </c:pt>
                <c:pt idx="66">
                  <c:v>17370.153436015818</c:v>
                </c:pt>
                <c:pt idx="67">
                  <c:v>16833.411196061759</c:v>
                </c:pt>
                <c:pt idx="68">
                  <c:v>16839.728580815376</c:v>
                </c:pt>
                <c:pt idx="69">
                  <c:v>16303.331937005942</c:v>
                </c:pt>
                <c:pt idx="70">
                  <c:v>16308.847387630045</c:v>
                </c:pt>
                <c:pt idx="71">
                  <c:v>15806.371143268845</c:v>
                </c:pt>
                <c:pt idx="72">
                  <c:v>15811.071940980975</c:v>
                </c:pt>
                <c:pt idx="73">
                  <c:v>15296.431621558273</c:v>
                </c:pt>
                <c:pt idx="74">
                  <c:v>15299.471368181203</c:v>
                </c:pt>
                <c:pt idx="75">
                  <c:v>14783.478217280221</c:v>
                </c:pt>
                <c:pt idx="76">
                  <c:v>14779.105348990537</c:v>
                </c:pt>
                <c:pt idx="77">
                  <c:v>14281.744351670481</c:v>
                </c:pt>
                <c:pt idx="78">
                  <c:v>14258.323253510887</c:v>
                </c:pt>
                <c:pt idx="79">
                  <c:v>13695.100044200033</c:v>
                </c:pt>
                <c:pt idx="80">
                  <c:v>13663.276070399183</c:v>
                </c:pt>
                <c:pt idx="81">
                  <c:v>13124.904337627691</c:v>
                </c:pt>
                <c:pt idx="82">
                  <c:v>13111.833755073711</c:v>
                </c:pt>
                <c:pt idx="83">
                  <c:v>12603.822367813633</c:v>
                </c:pt>
                <c:pt idx="84">
                  <c:v>12601.64674134159</c:v>
                </c:pt>
                <c:pt idx="85">
                  <c:v>12114.279362323878</c:v>
                </c:pt>
                <c:pt idx="86">
                  <c:v>12114.779634653742</c:v>
                </c:pt>
                <c:pt idx="87">
                  <c:v>11659.278958587598</c:v>
                </c:pt>
                <c:pt idx="88">
                  <c:v>11659.002501806261</c:v>
                </c:pt>
                <c:pt idx="89">
                  <c:v>11242.589891972924</c:v>
                </c:pt>
                <c:pt idx="90">
                  <c:v>11242.223570112603</c:v>
                </c:pt>
                <c:pt idx="91">
                  <c:v>10931.392247466367</c:v>
                </c:pt>
                <c:pt idx="92">
                  <c:v>10929.96174433566</c:v>
                </c:pt>
                <c:pt idx="93">
                  <c:v>10604.43553090555</c:v>
                </c:pt>
                <c:pt idx="94">
                  <c:v>10603.401211134542</c:v>
                </c:pt>
                <c:pt idx="95">
                  <c:v>10279.660164803092</c:v>
                </c:pt>
                <c:pt idx="96">
                  <c:v>10277.220772043776</c:v>
                </c:pt>
                <c:pt idx="97">
                  <c:v>9994.6235680985046</c:v>
                </c:pt>
                <c:pt idx="98">
                  <c:v>9992.5681210826442</c:v>
                </c:pt>
                <c:pt idx="99">
                  <c:v>9708.2933560626589</c:v>
                </c:pt>
                <c:pt idx="100">
                  <c:v>9706.2817841631349</c:v>
                </c:pt>
                <c:pt idx="101">
                  <c:v>9440.1880999348032</c:v>
                </c:pt>
                <c:pt idx="102">
                  <c:v>9438.1073040301617</c:v>
                </c:pt>
                <c:pt idx="103">
                  <c:v>9194.9672945392831</c:v>
                </c:pt>
                <c:pt idx="104">
                  <c:v>9192.7101596135963</c:v>
                </c:pt>
                <c:pt idx="105">
                  <c:v>8948.4866567371719</c:v>
                </c:pt>
                <c:pt idx="106">
                  <c:v>8944.5621232681151</c:v>
                </c:pt>
                <c:pt idx="107">
                  <c:v>8728.102880491735</c:v>
                </c:pt>
                <c:pt idx="108">
                  <c:v>8722.3905411857631</c:v>
                </c:pt>
                <c:pt idx="109">
                  <c:v>8479.7673259996445</c:v>
                </c:pt>
                <c:pt idx="110">
                  <c:v>8476.7939142273644</c:v>
                </c:pt>
                <c:pt idx="111">
                  <c:v>8254.62887640386</c:v>
                </c:pt>
                <c:pt idx="112">
                  <c:v>8252.0021096977925</c:v>
                </c:pt>
                <c:pt idx="113">
                  <c:v>8049.2157334483554</c:v>
                </c:pt>
                <c:pt idx="114">
                  <c:v>8045.6560947605967</c:v>
                </c:pt>
                <c:pt idx="115">
                  <c:v>7834.7069068453411</c:v>
                </c:pt>
                <c:pt idx="116">
                  <c:v>7822.4726100041507</c:v>
                </c:pt>
                <c:pt idx="117">
                  <c:v>7607.3583554197312</c:v>
                </c:pt>
                <c:pt idx="118">
                  <c:v>7603.2640106175168</c:v>
                </c:pt>
                <c:pt idx="119">
                  <c:v>7420.5778296920234</c:v>
                </c:pt>
                <c:pt idx="120">
                  <c:v>7415.6327941760583</c:v>
                </c:pt>
                <c:pt idx="121">
                  <c:v>7229.5934433338743</c:v>
                </c:pt>
                <c:pt idx="122">
                  <c:v>7222.8206317688901</c:v>
                </c:pt>
                <c:pt idx="123">
                  <c:v>7035.9696596893</c:v>
                </c:pt>
                <c:pt idx="124">
                  <c:v>7026.973010326963</c:v>
                </c:pt>
                <c:pt idx="125">
                  <c:v>6871.2445050711785</c:v>
                </c:pt>
                <c:pt idx="126">
                  <c:v>6857.5153384559808</c:v>
                </c:pt>
                <c:pt idx="127">
                  <c:v>6680.2263210692681</c:v>
                </c:pt>
                <c:pt idx="128">
                  <c:v>6666.4464758170561</c:v>
                </c:pt>
                <c:pt idx="129">
                  <c:v>6484.2878294192387</c:v>
                </c:pt>
                <c:pt idx="130">
                  <c:v>6471.4589290242848</c:v>
                </c:pt>
                <c:pt idx="131">
                  <c:v>6335.2570276345423</c:v>
                </c:pt>
                <c:pt idx="132">
                  <c:v>6330.8872005801468</c:v>
                </c:pt>
                <c:pt idx="133">
                  <c:v>6212.5083848588201</c:v>
                </c:pt>
                <c:pt idx="134">
                  <c:v>6197.0723761050285</c:v>
                </c:pt>
                <c:pt idx="135">
                  <c:v>6094.67791078555</c:v>
                </c:pt>
                <c:pt idx="136">
                  <c:v>6088.4461336129398</c:v>
                </c:pt>
                <c:pt idx="137">
                  <c:v>5983.0608918175876</c:v>
                </c:pt>
                <c:pt idx="138">
                  <c:v>5978.8506228998713</c:v>
                </c:pt>
                <c:pt idx="139">
                  <c:v>5869.2504986352624</c:v>
                </c:pt>
                <c:pt idx="140">
                  <c:v>5843.3475607350729</c:v>
                </c:pt>
                <c:pt idx="141">
                  <c:v>5627.6421414621982</c:v>
                </c:pt>
                <c:pt idx="142">
                  <c:v>5621.1960489416879</c:v>
                </c:pt>
                <c:pt idx="143">
                  <c:v>5542.2327539312437</c:v>
                </c:pt>
                <c:pt idx="144">
                  <c:v>5536.8892083761402</c:v>
                </c:pt>
                <c:pt idx="145">
                  <c:v>5456.3123414227985</c:v>
                </c:pt>
                <c:pt idx="146">
                  <c:v>5447.7787855543183</c:v>
                </c:pt>
                <c:pt idx="147">
                  <c:v>5374.0044825334026</c:v>
                </c:pt>
                <c:pt idx="148">
                  <c:v>5370.0946966080746</c:v>
                </c:pt>
                <c:pt idx="149">
                  <c:v>5306.0910415577182</c:v>
                </c:pt>
                <c:pt idx="150">
                  <c:v>5301.9128122517595</c:v>
                </c:pt>
                <c:pt idx="151">
                  <c:v>5225.83834200606</c:v>
                </c:pt>
                <c:pt idx="152">
                  <c:v>5219.5083160164222</c:v>
                </c:pt>
                <c:pt idx="153">
                  <c:v>5157.84687087359</c:v>
                </c:pt>
                <c:pt idx="154">
                  <c:v>5152.4989391460185</c:v>
                </c:pt>
                <c:pt idx="155">
                  <c:v>5107.4721596581221</c:v>
                </c:pt>
                <c:pt idx="156">
                  <c:v>5103.1496753735273</c:v>
                </c:pt>
                <c:pt idx="157">
                  <c:v>5056.2981983965701</c:v>
                </c:pt>
                <c:pt idx="158">
                  <c:v>5052.1739266534414</c:v>
                </c:pt>
                <c:pt idx="159">
                  <c:v>4992.9967337594908</c:v>
                </c:pt>
                <c:pt idx="160">
                  <c:v>4969.5071382260721</c:v>
                </c:pt>
                <c:pt idx="161">
                  <c:v>4804.3848051833174</c:v>
                </c:pt>
                <c:pt idx="162">
                  <c:v>4768.7874762885485</c:v>
                </c:pt>
                <c:pt idx="163">
                  <c:v>4732.8069268575364</c:v>
                </c:pt>
                <c:pt idx="164">
                  <c:v>4728.1856811619809</c:v>
                </c:pt>
                <c:pt idx="165">
                  <c:v>4682.3759277709387</c:v>
                </c:pt>
                <c:pt idx="166">
                  <c:v>4668.4243413140493</c:v>
                </c:pt>
                <c:pt idx="167">
                  <c:v>4622.6900245966499</c:v>
                </c:pt>
                <c:pt idx="168">
                  <c:v>4615.3122155924029</c:v>
                </c:pt>
                <c:pt idx="169">
                  <c:v>4575.0050017723161</c:v>
                </c:pt>
                <c:pt idx="170">
                  <c:v>4570.6350527387294</c:v>
                </c:pt>
                <c:pt idx="171">
                  <c:v>4527.6758469308852</c:v>
                </c:pt>
                <c:pt idx="172">
                  <c:v>4521.8356779158266</c:v>
                </c:pt>
                <c:pt idx="173">
                  <c:v>4449.794884498132</c:v>
                </c:pt>
                <c:pt idx="174">
                  <c:v>4445.8717938730806</c:v>
                </c:pt>
                <c:pt idx="175">
                  <c:v>4382.8705410980338</c:v>
                </c:pt>
                <c:pt idx="176">
                  <c:v>4378.5257106403114</c:v>
                </c:pt>
                <c:pt idx="177">
                  <c:v>4309.9481968972859</c:v>
                </c:pt>
                <c:pt idx="178">
                  <c:v>4305.1741685932175</c:v>
                </c:pt>
                <c:pt idx="179">
                  <c:v>4218.1949603433213</c:v>
                </c:pt>
                <c:pt idx="180">
                  <c:v>4195.1637769399094</c:v>
                </c:pt>
                <c:pt idx="181">
                  <c:v>4119.4068533934969</c:v>
                </c:pt>
                <c:pt idx="182">
                  <c:v>4115.0186483364278</c:v>
                </c:pt>
                <c:pt idx="183">
                  <c:v>4039.4846341138573</c:v>
                </c:pt>
                <c:pt idx="184">
                  <c:v>4034.6670122593455</c:v>
                </c:pt>
                <c:pt idx="185">
                  <c:v>3972.2697288013428</c:v>
                </c:pt>
                <c:pt idx="186">
                  <c:v>3967.7008784121203</c:v>
                </c:pt>
                <c:pt idx="187">
                  <c:v>3913.0611628741194</c:v>
                </c:pt>
                <c:pt idx="188">
                  <c:v>3908.978155763109</c:v>
                </c:pt>
                <c:pt idx="189">
                  <c:v>3853.3585253868923</c:v>
                </c:pt>
                <c:pt idx="190">
                  <c:v>3831.0361326132042</c:v>
                </c:pt>
                <c:pt idx="191">
                  <c:v>3780.3665977131564</c:v>
                </c:pt>
                <c:pt idx="192">
                  <c:v>3775.9277704585229</c:v>
                </c:pt>
                <c:pt idx="193">
                  <c:v>3711.2418909529551</c:v>
                </c:pt>
                <c:pt idx="194">
                  <c:v>3693.3262576660345</c:v>
                </c:pt>
                <c:pt idx="195">
                  <c:v>3637.5931204346157</c:v>
                </c:pt>
                <c:pt idx="196">
                  <c:v>3632.5723985061404</c:v>
                </c:pt>
                <c:pt idx="197">
                  <c:v>3581.205816207882</c:v>
                </c:pt>
                <c:pt idx="198">
                  <c:v>3576.6987189264059</c:v>
                </c:pt>
                <c:pt idx="199">
                  <c:v>3529.7353190027329</c:v>
                </c:pt>
                <c:pt idx="200">
                  <c:v>3525.9783237428969</c:v>
                </c:pt>
                <c:pt idx="201">
                  <c:v>3473.1571702295082</c:v>
                </c:pt>
                <c:pt idx="202">
                  <c:v>3469.2535516260477</c:v>
                </c:pt>
                <c:pt idx="203">
                  <c:v>3410.7624011182324</c:v>
                </c:pt>
                <c:pt idx="204">
                  <c:v>3406.4814750253759</c:v>
                </c:pt>
                <c:pt idx="205">
                  <c:v>3313.9226253462916</c:v>
                </c:pt>
                <c:pt idx="206">
                  <c:v>3309.8944568448746</c:v>
                </c:pt>
                <c:pt idx="207">
                  <c:v>3224.7976504130629</c:v>
                </c:pt>
                <c:pt idx="208">
                  <c:v>3221.26419499752</c:v>
                </c:pt>
                <c:pt idx="209">
                  <c:v>3139.1608676694841</c:v>
                </c:pt>
                <c:pt idx="210">
                  <c:v>3135.6799754244498</c:v>
                </c:pt>
                <c:pt idx="211">
                  <c:v>3051.6038877461542</c:v>
                </c:pt>
                <c:pt idx="212">
                  <c:v>3047.949584004562</c:v>
                </c:pt>
                <c:pt idx="213">
                  <c:v>2966.6715911935412</c:v>
                </c:pt>
                <c:pt idx="214">
                  <c:v>2963.3056315680055</c:v>
                </c:pt>
                <c:pt idx="215">
                  <c:v>2885.9911747240162</c:v>
                </c:pt>
                <c:pt idx="216">
                  <c:v>2882.4671428783299</c:v>
                </c:pt>
                <c:pt idx="217">
                  <c:v>2810.9774734265388</c:v>
                </c:pt>
                <c:pt idx="218">
                  <c:v>2807.7631545964227</c:v>
                </c:pt>
                <c:pt idx="219">
                  <c:v>2739.389750032954</c:v>
                </c:pt>
                <c:pt idx="220">
                  <c:v>2736.2644752012761</c:v>
                </c:pt>
                <c:pt idx="221">
                  <c:v>2672.8717363509309</c:v>
                </c:pt>
                <c:pt idx="222">
                  <c:v>2669.6149989754567</c:v>
                </c:pt>
                <c:pt idx="223">
                  <c:v>2609.8560472585509</c:v>
                </c:pt>
                <c:pt idx="224">
                  <c:v>2606.7049928963866</c:v>
                </c:pt>
                <c:pt idx="225">
                  <c:v>2553.3803297371596</c:v>
                </c:pt>
                <c:pt idx="226">
                  <c:v>2550.3461409098995</c:v>
                </c:pt>
                <c:pt idx="227">
                  <c:v>2503.2685713748119</c:v>
                </c:pt>
                <c:pt idx="228">
                  <c:v>2500.1299990696057</c:v>
                </c:pt>
                <c:pt idx="229">
                  <c:v>2453.5354543091603</c:v>
                </c:pt>
                <c:pt idx="230">
                  <c:v>2450.5269614669246</c:v>
                </c:pt>
                <c:pt idx="231">
                  <c:v>2407.6813059475739</c:v>
                </c:pt>
                <c:pt idx="232">
                  <c:v>2404.8102184664322</c:v>
                </c:pt>
                <c:pt idx="233">
                  <c:v>2359.43783501793</c:v>
                </c:pt>
                <c:pt idx="234">
                  <c:v>2356.4700074901202</c:v>
                </c:pt>
                <c:pt idx="235">
                  <c:v>2310.4299400693785</c:v>
                </c:pt>
                <c:pt idx="236">
                  <c:v>2307.6000280783228</c:v>
                </c:pt>
                <c:pt idx="237">
                  <c:v>2257.138759969032</c:v>
                </c:pt>
                <c:pt idx="238">
                  <c:v>2254.2092599374496</c:v>
                </c:pt>
                <c:pt idx="239">
                  <c:v>2207.5313439630027</c:v>
                </c:pt>
                <c:pt idx="240">
                  <c:v>2204.5080094918071</c:v>
                </c:pt>
                <c:pt idx="241">
                  <c:v>2153.8622715646911</c:v>
                </c:pt>
                <c:pt idx="242">
                  <c:v>2151.2134481596277</c:v>
                </c:pt>
                <c:pt idx="243">
                  <c:v>2102.4849268635326</c:v>
                </c:pt>
                <c:pt idx="244">
                  <c:v>2099.7438735789347</c:v>
                </c:pt>
                <c:pt idx="245">
                  <c:v>2057.6817686466957</c:v>
                </c:pt>
                <c:pt idx="246">
                  <c:v>2055.0944143189213</c:v>
                </c:pt>
                <c:pt idx="247">
                  <c:v>2012.1464158455753</c:v>
                </c:pt>
                <c:pt idx="248">
                  <c:v>2009.4765443117965</c:v>
                </c:pt>
                <c:pt idx="249">
                  <c:v>1969.2076991215151</c:v>
                </c:pt>
                <c:pt idx="250">
                  <c:v>1966.4593852313594</c:v>
                </c:pt>
                <c:pt idx="251">
                  <c:v>1925.5497120549762</c:v>
                </c:pt>
                <c:pt idx="252">
                  <c:v>1922.9618483243721</c:v>
                </c:pt>
                <c:pt idx="253">
                  <c:v>1885.7110515159727</c:v>
                </c:pt>
                <c:pt idx="254">
                  <c:v>1883.0508420428844</c:v>
                </c:pt>
                <c:pt idx="255">
                  <c:v>1844.2131392420602</c:v>
                </c:pt>
                <c:pt idx="256">
                  <c:v>1841.7194202430178</c:v>
                </c:pt>
                <c:pt idx="257">
                  <c:v>1806.0884078028409</c:v>
                </c:pt>
                <c:pt idx="258">
                  <c:v>1803.5266670089318</c:v>
                </c:pt>
                <c:pt idx="259">
                  <c:v>1765.3490382848177</c:v>
                </c:pt>
                <c:pt idx="260">
                  <c:v>1762.7172782189134</c:v>
                </c:pt>
                <c:pt idx="261">
                  <c:v>1728.9719536459977</c:v>
                </c:pt>
                <c:pt idx="262">
                  <c:v>1726.5171857852292</c:v>
                </c:pt>
                <c:pt idx="263">
                  <c:v>1688.7745435940594</c:v>
                </c:pt>
                <c:pt idx="264">
                  <c:v>1686.4944957937755</c:v>
                </c:pt>
                <c:pt idx="265">
                  <c:v>1654.419710757036</c:v>
                </c:pt>
                <c:pt idx="266">
                  <c:v>1652.0802001343557</c:v>
                </c:pt>
                <c:pt idx="267">
                  <c:v>1616.4851174911948</c:v>
                </c:pt>
                <c:pt idx="268">
                  <c:v>1614.0830743437771</c:v>
                </c:pt>
                <c:pt idx="269">
                  <c:v>1583.4610843507826</c:v>
                </c:pt>
                <c:pt idx="270">
                  <c:v>1581.2459343654118</c:v>
                </c:pt>
                <c:pt idx="271">
                  <c:v>1545.39091570747</c:v>
                </c:pt>
                <c:pt idx="272">
                  <c:v>1543.1151498961322</c:v>
                </c:pt>
                <c:pt idx="273">
                  <c:v>1514.2104441785652</c:v>
                </c:pt>
                <c:pt idx="274">
                  <c:v>1511.8820353296992</c:v>
                </c:pt>
                <c:pt idx="275">
                  <c:v>1491.1890191553098</c:v>
                </c:pt>
                <c:pt idx="276">
                  <c:v>1489.0620389075195</c:v>
                </c:pt>
                <c:pt idx="277">
                  <c:v>1467.3070431232486</c:v>
                </c:pt>
                <c:pt idx="278">
                  <c:v>1465.1366793403947</c:v>
                </c:pt>
                <c:pt idx="279">
                  <c:v>1439.3667287404687</c:v>
                </c:pt>
                <c:pt idx="280">
                  <c:v>1437.1493528070716</c:v>
                </c:pt>
                <c:pt idx="281">
                  <c:v>1413.992684394035</c:v>
                </c:pt>
                <c:pt idx="282">
                  <c:v>1411.7314747607461</c:v>
                </c:pt>
                <c:pt idx="283">
                  <c:v>1386.2682741102531</c:v>
                </c:pt>
                <c:pt idx="284">
                  <c:v>1384.2083470051721</c:v>
                </c:pt>
                <c:pt idx="285">
                  <c:v>1361.6196584582183</c:v>
                </c:pt>
                <c:pt idx="286">
                  <c:v>1359.518179699628</c:v>
                </c:pt>
                <c:pt idx="287">
                  <c:v>1337.5901571990678</c:v>
                </c:pt>
                <c:pt idx="288">
                  <c:v>1335.448238156288</c:v>
                </c:pt>
                <c:pt idx="289">
                  <c:v>1313.1923743728632</c:v>
                </c:pt>
                <c:pt idx="290">
                  <c:v>1311.2585695034554</c:v>
                </c:pt>
                <c:pt idx="291">
                  <c:v>1292.1560046718896</c:v>
                </c:pt>
                <c:pt idx="292">
                  <c:v>1290.1861340156831</c:v>
                </c:pt>
                <c:pt idx="293">
                  <c:v>1269.0206778585823</c:v>
                </c:pt>
                <c:pt idx="294">
                  <c:v>1267.0131196201985</c:v>
                </c:pt>
                <c:pt idx="295">
                  <c:v>1248.2693444716756</c:v>
                </c:pt>
                <c:pt idx="296">
                  <c:v>1246.4767396424186</c:v>
                </c:pt>
                <c:pt idx="297">
                  <c:v>1225.665006342992</c:v>
                </c:pt>
                <c:pt idx="298">
                  <c:v>1223.8365658146477</c:v>
                </c:pt>
                <c:pt idx="299">
                  <c:v>1206.2106700689096</c:v>
                </c:pt>
                <c:pt idx="300">
                  <c:v>1204.3498147156101</c:v>
                </c:pt>
                <c:pt idx="301">
                  <c:v>1182.6440806604412</c:v>
                </c:pt>
                <c:pt idx="302">
                  <c:v>1180.7472902629961</c:v>
                </c:pt>
                <c:pt idx="303">
                  <c:v>1163.9995724674172</c:v>
                </c:pt>
                <c:pt idx="304">
                  <c:v>1162.0718919422834</c:v>
                </c:pt>
                <c:pt idx="305">
                  <c:v>1145.2655185063097</c:v>
                </c:pt>
                <c:pt idx="306">
                  <c:v>1143.5594878252832</c:v>
                </c:pt>
                <c:pt idx="307">
                  <c:v>1123.9174975823123</c:v>
                </c:pt>
                <c:pt idx="308">
                  <c:v>1122.1792329796795</c:v>
                </c:pt>
                <c:pt idx="309">
                  <c:v>1108.5433472195953</c:v>
                </c:pt>
                <c:pt idx="310">
                  <c:v>1106.7787194499517</c:v>
                </c:pt>
                <c:pt idx="311">
                  <c:v>1091.0671521601039</c:v>
                </c:pt>
                <c:pt idx="312">
                  <c:v>1089.2745292107929</c:v>
                </c:pt>
                <c:pt idx="313">
                  <c:v>1073.7634956957781</c:v>
                </c:pt>
                <c:pt idx="314">
                  <c:v>1071.9433461853839</c:v>
                </c:pt>
                <c:pt idx="315">
                  <c:v>1057.6518223115722</c:v>
                </c:pt>
                <c:pt idx="316">
                  <c:v>1056.0601218351967</c:v>
                </c:pt>
                <c:pt idx="317">
                  <c:v>1040.1913563833693</c:v>
                </c:pt>
                <c:pt idx="318">
                  <c:v>1038.5730446561613</c:v>
                </c:pt>
                <c:pt idx="319">
                  <c:v>1024.6944445890329</c:v>
                </c:pt>
                <c:pt idx="320">
                  <c:v>1023.0515654750493</c:v>
                </c:pt>
                <c:pt idx="321">
                  <c:v>1008.3594825092724</c:v>
                </c:pt>
                <c:pt idx="322">
                  <c:v>1006.9475234374813</c:v>
                </c:pt>
                <c:pt idx="323">
                  <c:v>994.00096522763874</c:v>
                </c:pt>
                <c:pt idx="324">
                  <c:v>992.56642697160635</c:v>
                </c:pt>
                <c:pt idx="325">
                  <c:v>978.03731803578626</c:v>
                </c:pt>
                <c:pt idx="326">
                  <c:v>976.57904500925929</c:v>
                </c:pt>
                <c:pt idx="327">
                  <c:v>965.60261631143044</c:v>
                </c:pt>
                <c:pt idx="328">
                  <c:v>964.12392768683662</c:v>
                </c:pt>
                <c:pt idx="329">
                  <c:v>953.36820323698282</c:v>
                </c:pt>
                <c:pt idx="330">
                  <c:v>951.86948760958455</c:v>
                </c:pt>
                <c:pt idx="331">
                  <c:v>939.27205329200331</c:v>
                </c:pt>
                <c:pt idx="332">
                  <c:v>937.75192862290953</c:v>
                </c:pt>
                <c:pt idx="333">
                  <c:v>926.66466329679565</c:v>
                </c:pt>
                <c:pt idx="334">
                  <c:v>925.12462357863376</c:v>
                </c:pt>
                <c:pt idx="335">
                  <c:v>910.63621346854268</c:v>
                </c:pt>
                <c:pt idx="336">
                  <c:v>909.07357869921532</c:v>
                </c:pt>
                <c:pt idx="337">
                  <c:v>888.57720332586155</c:v>
                </c:pt>
                <c:pt idx="338">
                  <c:v>886.98715744567903</c:v>
                </c:pt>
                <c:pt idx="339">
                  <c:v>872.92477110737116</c:v>
                </c:pt>
                <c:pt idx="340">
                  <c:v>871.57289803765127</c:v>
                </c:pt>
                <c:pt idx="341">
                  <c:v>856.42765188072872</c:v>
                </c:pt>
                <c:pt idx="342">
                  <c:v>855.05397764946429</c:v>
                </c:pt>
                <c:pt idx="343">
                  <c:v>838.04009064074239</c:v>
                </c:pt>
                <c:pt idx="344">
                  <c:v>836.64329578342858</c:v>
                </c:pt>
                <c:pt idx="345">
                  <c:v>821.66875768931175</c:v>
                </c:pt>
                <c:pt idx="346">
                  <c:v>820.51196982888064</c:v>
                </c:pt>
                <c:pt idx="347">
                  <c:v>806.01719783289809</c:v>
                </c:pt>
                <c:pt idx="348">
                  <c:v>804.5787772954402</c:v>
                </c:pt>
                <c:pt idx="349">
                  <c:v>787.68546032438098</c:v>
                </c:pt>
                <c:pt idx="350">
                  <c:v>786.2246877596059</c:v>
                </c:pt>
                <c:pt idx="351">
                  <c:v>773.48074188290707</c:v>
                </c:pt>
                <c:pt idx="352">
                  <c:v>772.26366595532295</c:v>
                </c:pt>
                <c:pt idx="353">
                  <c:v>758.69499664604086</c:v>
                </c:pt>
                <c:pt idx="354">
                  <c:v>757.45927452227102</c:v>
                </c:pt>
                <c:pt idx="355">
                  <c:v>742.53673280498867</c:v>
                </c:pt>
                <c:pt idx="356">
                  <c:v>741.28147587267847</c:v>
                </c:pt>
                <c:pt idx="357">
                  <c:v>728.95321365860923</c:v>
                </c:pt>
                <c:pt idx="358">
                  <c:v>727.94440563802323</c:v>
                </c:pt>
                <c:pt idx="359">
                  <c:v>713.20610578478511</c:v>
                </c:pt>
                <c:pt idx="360">
                  <c:v>711.91473993418811</c:v>
                </c:pt>
                <c:pt idx="361">
                  <c:v>699.51575117385426</c:v>
                </c:pt>
                <c:pt idx="362">
                  <c:v>698.20737393983336</c:v>
                </c:pt>
                <c:pt idx="363">
                  <c:v>686.56851777832117</c:v>
                </c:pt>
                <c:pt idx="364">
                  <c:v>685.24388056477903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C2-4B20-9EB9-6D4F587EF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79639264"/>
        <c:axId val="-1879645792"/>
      </c:areaChart>
      <c:dateAx>
        <c:axId val="-1879639264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79645792"/>
        <c:crosses val="autoZero"/>
        <c:auto val="1"/>
        <c:lblOffset val="100"/>
        <c:baseTimeUnit val="days"/>
      </c:dateAx>
      <c:valAx>
        <c:axId val="-187964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>
                    <a:solidFill>
                      <a:sysClr val="windowText" lastClr="000000"/>
                    </a:solidFill>
                  </a:rPr>
                  <a:t>Potentially</a:t>
                </a: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 Saleable Quantity(kg)</a:t>
                </a:r>
                <a:endParaRPr lang="ja-JP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79639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1"/>
          <c:order val="0"/>
          <c:tx>
            <c:strRef>
              <c:f>'マアナゴ (本宮計算)'!$Q$1</c:f>
              <c:strCache>
                <c:ptCount val="1"/>
                <c:pt idx="0">
                  <c:v>2年級群総重量</c:v>
                </c:pt>
              </c:strCache>
            </c:strRef>
          </c:tx>
          <c:spPr>
            <a:solidFill>
              <a:srgbClr val="FF5050"/>
            </a:solidFill>
            <a:ln>
              <a:noFill/>
            </a:ln>
            <a:effectLst/>
          </c:spPr>
          <c:cat>
            <c:numRef>
              <c:f>'マアナゴ (本宮計算)'!$A$3:$A$367</c:f>
              <c:numCache>
                <c:formatCode>m/d/yyyy</c:formatCode>
                <c:ptCount val="365"/>
                <c:pt idx="0">
                  <c:v>41730</c:v>
                </c:pt>
                <c:pt idx="1">
                  <c:v>41731</c:v>
                </c:pt>
                <c:pt idx="2">
                  <c:v>41732</c:v>
                </c:pt>
                <c:pt idx="3">
                  <c:v>41733</c:v>
                </c:pt>
                <c:pt idx="4">
                  <c:v>41734</c:v>
                </c:pt>
                <c:pt idx="5">
                  <c:v>41735</c:v>
                </c:pt>
                <c:pt idx="6">
                  <c:v>41736</c:v>
                </c:pt>
                <c:pt idx="7">
                  <c:v>41737</c:v>
                </c:pt>
                <c:pt idx="8">
                  <c:v>41738</c:v>
                </c:pt>
                <c:pt idx="9">
                  <c:v>41739</c:v>
                </c:pt>
                <c:pt idx="10">
                  <c:v>41740</c:v>
                </c:pt>
                <c:pt idx="11">
                  <c:v>41741</c:v>
                </c:pt>
                <c:pt idx="12">
                  <c:v>41742</c:v>
                </c:pt>
                <c:pt idx="13">
                  <c:v>41743</c:v>
                </c:pt>
                <c:pt idx="14">
                  <c:v>41744</c:v>
                </c:pt>
                <c:pt idx="15">
                  <c:v>41745</c:v>
                </c:pt>
                <c:pt idx="16">
                  <c:v>41746</c:v>
                </c:pt>
                <c:pt idx="17">
                  <c:v>41747</c:v>
                </c:pt>
                <c:pt idx="18">
                  <c:v>41748</c:v>
                </c:pt>
                <c:pt idx="19">
                  <c:v>41749</c:v>
                </c:pt>
                <c:pt idx="20">
                  <c:v>41750</c:v>
                </c:pt>
                <c:pt idx="21">
                  <c:v>41751</c:v>
                </c:pt>
                <c:pt idx="22">
                  <c:v>41752</c:v>
                </c:pt>
                <c:pt idx="23">
                  <c:v>41753</c:v>
                </c:pt>
                <c:pt idx="24">
                  <c:v>41754</c:v>
                </c:pt>
                <c:pt idx="25">
                  <c:v>41755</c:v>
                </c:pt>
                <c:pt idx="26">
                  <c:v>41756</c:v>
                </c:pt>
                <c:pt idx="27">
                  <c:v>41757</c:v>
                </c:pt>
                <c:pt idx="28">
                  <c:v>41758</c:v>
                </c:pt>
                <c:pt idx="29">
                  <c:v>41759</c:v>
                </c:pt>
                <c:pt idx="30">
                  <c:v>41760</c:v>
                </c:pt>
                <c:pt idx="31">
                  <c:v>41761</c:v>
                </c:pt>
                <c:pt idx="32">
                  <c:v>41762</c:v>
                </c:pt>
                <c:pt idx="33">
                  <c:v>41763</c:v>
                </c:pt>
                <c:pt idx="34">
                  <c:v>41764</c:v>
                </c:pt>
                <c:pt idx="35">
                  <c:v>41765</c:v>
                </c:pt>
                <c:pt idx="36">
                  <c:v>41766</c:v>
                </c:pt>
                <c:pt idx="37">
                  <c:v>41767</c:v>
                </c:pt>
                <c:pt idx="38">
                  <c:v>41768</c:v>
                </c:pt>
                <c:pt idx="39">
                  <c:v>41769</c:v>
                </c:pt>
                <c:pt idx="40">
                  <c:v>41770</c:v>
                </c:pt>
                <c:pt idx="41">
                  <c:v>41771</c:v>
                </c:pt>
                <c:pt idx="42">
                  <c:v>41772</c:v>
                </c:pt>
                <c:pt idx="43">
                  <c:v>41773</c:v>
                </c:pt>
                <c:pt idx="44">
                  <c:v>41774</c:v>
                </c:pt>
                <c:pt idx="45">
                  <c:v>41775</c:v>
                </c:pt>
                <c:pt idx="46">
                  <c:v>41776</c:v>
                </c:pt>
                <c:pt idx="47">
                  <c:v>41777</c:v>
                </c:pt>
                <c:pt idx="48">
                  <c:v>41778</c:v>
                </c:pt>
                <c:pt idx="49">
                  <c:v>41779</c:v>
                </c:pt>
                <c:pt idx="50">
                  <c:v>41780</c:v>
                </c:pt>
                <c:pt idx="51">
                  <c:v>41781</c:v>
                </c:pt>
                <c:pt idx="52">
                  <c:v>41782</c:v>
                </c:pt>
                <c:pt idx="53">
                  <c:v>41783</c:v>
                </c:pt>
                <c:pt idx="54">
                  <c:v>41784</c:v>
                </c:pt>
                <c:pt idx="55">
                  <c:v>41785</c:v>
                </c:pt>
                <c:pt idx="56">
                  <c:v>41786</c:v>
                </c:pt>
                <c:pt idx="57">
                  <c:v>41787</c:v>
                </c:pt>
                <c:pt idx="58">
                  <c:v>41788</c:v>
                </c:pt>
                <c:pt idx="59">
                  <c:v>41789</c:v>
                </c:pt>
                <c:pt idx="60">
                  <c:v>41790</c:v>
                </c:pt>
                <c:pt idx="61">
                  <c:v>41791</c:v>
                </c:pt>
                <c:pt idx="62">
                  <c:v>41792</c:v>
                </c:pt>
                <c:pt idx="63">
                  <c:v>41793</c:v>
                </c:pt>
                <c:pt idx="64">
                  <c:v>41794</c:v>
                </c:pt>
                <c:pt idx="65">
                  <c:v>41795</c:v>
                </c:pt>
                <c:pt idx="66">
                  <c:v>41796</c:v>
                </c:pt>
                <c:pt idx="67">
                  <c:v>41797</c:v>
                </c:pt>
                <c:pt idx="68">
                  <c:v>41798</c:v>
                </c:pt>
                <c:pt idx="69">
                  <c:v>41799</c:v>
                </c:pt>
                <c:pt idx="70">
                  <c:v>41800</c:v>
                </c:pt>
                <c:pt idx="71">
                  <c:v>41801</c:v>
                </c:pt>
                <c:pt idx="72">
                  <c:v>41802</c:v>
                </c:pt>
                <c:pt idx="73">
                  <c:v>41803</c:v>
                </c:pt>
                <c:pt idx="74">
                  <c:v>41804</c:v>
                </c:pt>
                <c:pt idx="75">
                  <c:v>41805</c:v>
                </c:pt>
                <c:pt idx="76">
                  <c:v>41806</c:v>
                </c:pt>
                <c:pt idx="77">
                  <c:v>41807</c:v>
                </c:pt>
                <c:pt idx="78">
                  <c:v>41808</c:v>
                </c:pt>
                <c:pt idx="79">
                  <c:v>41809</c:v>
                </c:pt>
                <c:pt idx="80">
                  <c:v>41810</c:v>
                </c:pt>
                <c:pt idx="81">
                  <c:v>41811</c:v>
                </c:pt>
                <c:pt idx="82">
                  <c:v>41812</c:v>
                </c:pt>
                <c:pt idx="83">
                  <c:v>41813</c:v>
                </c:pt>
                <c:pt idx="84">
                  <c:v>41814</c:v>
                </c:pt>
                <c:pt idx="85">
                  <c:v>41815</c:v>
                </c:pt>
                <c:pt idx="86">
                  <c:v>41816</c:v>
                </c:pt>
                <c:pt idx="87">
                  <c:v>41817</c:v>
                </c:pt>
                <c:pt idx="88">
                  <c:v>41818</c:v>
                </c:pt>
                <c:pt idx="89">
                  <c:v>41819</c:v>
                </c:pt>
                <c:pt idx="90">
                  <c:v>41820</c:v>
                </c:pt>
                <c:pt idx="91">
                  <c:v>41821</c:v>
                </c:pt>
                <c:pt idx="92">
                  <c:v>41822</c:v>
                </c:pt>
                <c:pt idx="93">
                  <c:v>41823</c:v>
                </c:pt>
                <c:pt idx="94">
                  <c:v>41824</c:v>
                </c:pt>
                <c:pt idx="95">
                  <c:v>41825</c:v>
                </c:pt>
                <c:pt idx="96">
                  <c:v>41826</c:v>
                </c:pt>
                <c:pt idx="97">
                  <c:v>41827</c:v>
                </c:pt>
                <c:pt idx="98">
                  <c:v>41828</c:v>
                </c:pt>
                <c:pt idx="99">
                  <c:v>41829</c:v>
                </c:pt>
                <c:pt idx="100">
                  <c:v>41830</c:v>
                </c:pt>
                <c:pt idx="101">
                  <c:v>41831</c:v>
                </c:pt>
                <c:pt idx="102">
                  <c:v>41832</c:v>
                </c:pt>
                <c:pt idx="103">
                  <c:v>41833</c:v>
                </c:pt>
                <c:pt idx="104">
                  <c:v>41834</c:v>
                </c:pt>
                <c:pt idx="105">
                  <c:v>41835</c:v>
                </c:pt>
                <c:pt idx="106">
                  <c:v>41836</c:v>
                </c:pt>
                <c:pt idx="107">
                  <c:v>41837</c:v>
                </c:pt>
                <c:pt idx="108">
                  <c:v>41838</c:v>
                </c:pt>
                <c:pt idx="109">
                  <c:v>41839</c:v>
                </c:pt>
                <c:pt idx="110">
                  <c:v>41840</c:v>
                </c:pt>
                <c:pt idx="111">
                  <c:v>41841</c:v>
                </c:pt>
                <c:pt idx="112">
                  <c:v>41842</c:v>
                </c:pt>
                <c:pt idx="113">
                  <c:v>41843</c:v>
                </c:pt>
                <c:pt idx="114">
                  <c:v>41844</c:v>
                </c:pt>
                <c:pt idx="115">
                  <c:v>41845</c:v>
                </c:pt>
                <c:pt idx="116">
                  <c:v>41846</c:v>
                </c:pt>
                <c:pt idx="117">
                  <c:v>41847</c:v>
                </c:pt>
                <c:pt idx="118">
                  <c:v>41848</c:v>
                </c:pt>
                <c:pt idx="119">
                  <c:v>41849</c:v>
                </c:pt>
                <c:pt idx="120">
                  <c:v>41850</c:v>
                </c:pt>
                <c:pt idx="121">
                  <c:v>41851</c:v>
                </c:pt>
                <c:pt idx="122">
                  <c:v>41852</c:v>
                </c:pt>
                <c:pt idx="123">
                  <c:v>41853</c:v>
                </c:pt>
                <c:pt idx="124">
                  <c:v>41854</c:v>
                </c:pt>
                <c:pt idx="125">
                  <c:v>41855</c:v>
                </c:pt>
                <c:pt idx="126">
                  <c:v>41856</c:v>
                </c:pt>
                <c:pt idx="127">
                  <c:v>41857</c:v>
                </c:pt>
                <c:pt idx="128">
                  <c:v>41858</c:v>
                </c:pt>
                <c:pt idx="129">
                  <c:v>41859</c:v>
                </c:pt>
                <c:pt idx="130">
                  <c:v>41860</c:v>
                </c:pt>
                <c:pt idx="131">
                  <c:v>41861</c:v>
                </c:pt>
                <c:pt idx="132">
                  <c:v>41862</c:v>
                </c:pt>
                <c:pt idx="133">
                  <c:v>41863</c:v>
                </c:pt>
                <c:pt idx="134">
                  <c:v>41864</c:v>
                </c:pt>
                <c:pt idx="135">
                  <c:v>41865</c:v>
                </c:pt>
                <c:pt idx="136">
                  <c:v>41866</c:v>
                </c:pt>
                <c:pt idx="137">
                  <c:v>41867</c:v>
                </c:pt>
                <c:pt idx="138">
                  <c:v>41868</c:v>
                </c:pt>
                <c:pt idx="139">
                  <c:v>41869</c:v>
                </c:pt>
                <c:pt idx="140">
                  <c:v>41870</c:v>
                </c:pt>
                <c:pt idx="141">
                  <c:v>41871</c:v>
                </c:pt>
                <c:pt idx="142">
                  <c:v>41872</c:v>
                </c:pt>
                <c:pt idx="143">
                  <c:v>41873</c:v>
                </c:pt>
                <c:pt idx="144">
                  <c:v>41874</c:v>
                </c:pt>
                <c:pt idx="145">
                  <c:v>41875</c:v>
                </c:pt>
                <c:pt idx="146">
                  <c:v>41876</c:v>
                </c:pt>
                <c:pt idx="147">
                  <c:v>41877</c:v>
                </c:pt>
                <c:pt idx="148">
                  <c:v>41878</c:v>
                </c:pt>
                <c:pt idx="149">
                  <c:v>41879</c:v>
                </c:pt>
                <c:pt idx="150">
                  <c:v>41880</c:v>
                </c:pt>
                <c:pt idx="151">
                  <c:v>41881</c:v>
                </c:pt>
                <c:pt idx="152">
                  <c:v>41882</c:v>
                </c:pt>
                <c:pt idx="153">
                  <c:v>41883</c:v>
                </c:pt>
                <c:pt idx="154">
                  <c:v>41884</c:v>
                </c:pt>
                <c:pt idx="155">
                  <c:v>41885</c:v>
                </c:pt>
                <c:pt idx="156">
                  <c:v>41886</c:v>
                </c:pt>
                <c:pt idx="157">
                  <c:v>41887</c:v>
                </c:pt>
                <c:pt idx="158">
                  <c:v>41888</c:v>
                </c:pt>
                <c:pt idx="159">
                  <c:v>41889</c:v>
                </c:pt>
                <c:pt idx="160">
                  <c:v>41890</c:v>
                </c:pt>
                <c:pt idx="161">
                  <c:v>41891</c:v>
                </c:pt>
                <c:pt idx="162">
                  <c:v>41892</c:v>
                </c:pt>
                <c:pt idx="163">
                  <c:v>41893</c:v>
                </c:pt>
                <c:pt idx="164">
                  <c:v>41894</c:v>
                </c:pt>
                <c:pt idx="165">
                  <c:v>41895</c:v>
                </c:pt>
                <c:pt idx="166">
                  <c:v>41896</c:v>
                </c:pt>
                <c:pt idx="167">
                  <c:v>41897</c:v>
                </c:pt>
                <c:pt idx="168">
                  <c:v>41898</c:v>
                </c:pt>
                <c:pt idx="169">
                  <c:v>41899</c:v>
                </c:pt>
                <c:pt idx="170">
                  <c:v>41900</c:v>
                </c:pt>
                <c:pt idx="171">
                  <c:v>41901</c:v>
                </c:pt>
                <c:pt idx="172">
                  <c:v>41902</c:v>
                </c:pt>
                <c:pt idx="173">
                  <c:v>41903</c:v>
                </c:pt>
                <c:pt idx="174">
                  <c:v>41904</c:v>
                </c:pt>
                <c:pt idx="175">
                  <c:v>41905</c:v>
                </c:pt>
                <c:pt idx="176">
                  <c:v>41906</c:v>
                </c:pt>
                <c:pt idx="177">
                  <c:v>41907</c:v>
                </c:pt>
                <c:pt idx="178">
                  <c:v>41908</c:v>
                </c:pt>
                <c:pt idx="179">
                  <c:v>41909</c:v>
                </c:pt>
                <c:pt idx="180">
                  <c:v>41910</c:v>
                </c:pt>
                <c:pt idx="181">
                  <c:v>41911</c:v>
                </c:pt>
                <c:pt idx="182">
                  <c:v>41912</c:v>
                </c:pt>
                <c:pt idx="183">
                  <c:v>41913</c:v>
                </c:pt>
                <c:pt idx="184">
                  <c:v>41914</c:v>
                </c:pt>
                <c:pt idx="185">
                  <c:v>41915</c:v>
                </c:pt>
                <c:pt idx="186">
                  <c:v>41916</c:v>
                </c:pt>
                <c:pt idx="187">
                  <c:v>41917</c:v>
                </c:pt>
                <c:pt idx="188">
                  <c:v>41918</c:v>
                </c:pt>
                <c:pt idx="189">
                  <c:v>41919</c:v>
                </c:pt>
                <c:pt idx="190">
                  <c:v>41920</c:v>
                </c:pt>
                <c:pt idx="191">
                  <c:v>41921</c:v>
                </c:pt>
                <c:pt idx="192">
                  <c:v>41922</c:v>
                </c:pt>
                <c:pt idx="193">
                  <c:v>41923</c:v>
                </c:pt>
                <c:pt idx="194">
                  <c:v>41924</c:v>
                </c:pt>
                <c:pt idx="195">
                  <c:v>41925</c:v>
                </c:pt>
                <c:pt idx="196">
                  <c:v>41926</c:v>
                </c:pt>
                <c:pt idx="197">
                  <c:v>41927</c:v>
                </c:pt>
                <c:pt idx="198">
                  <c:v>41928</c:v>
                </c:pt>
                <c:pt idx="199">
                  <c:v>41929</c:v>
                </c:pt>
                <c:pt idx="200">
                  <c:v>41930</c:v>
                </c:pt>
                <c:pt idx="201">
                  <c:v>41931</c:v>
                </c:pt>
                <c:pt idx="202">
                  <c:v>41932</c:v>
                </c:pt>
                <c:pt idx="203">
                  <c:v>41933</c:v>
                </c:pt>
                <c:pt idx="204">
                  <c:v>41934</c:v>
                </c:pt>
                <c:pt idx="205">
                  <c:v>41935</c:v>
                </c:pt>
                <c:pt idx="206">
                  <c:v>41936</c:v>
                </c:pt>
                <c:pt idx="207">
                  <c:v>41937</c:v>
                </c:pt>
                <c:pt idx="208">
                  <c:v>41938</c:v>
                </c:pt>
                <c:pt idx="209">
                  <c:v>41939</c:v>
                </c:pt>
                <c:pt idx="210">
                  <c:v>41940</c:v>
                </c:pt>
                <c:pt idx="211">
                  <c:v>41941</c:v>
                </c:pt>
                <c:pt idx="212">
                  <c:v>41942</c:v>
                </c:pt>
                <c:pt idx="213">
                  <c:v>41943</c:v>
                </c:pt>
                <c:pt idx="214">
                  <c:v>41944</c:v>
                </c:pt>
                <c:pt idx="215">
                  <c:v>41945</c:v>
                </c:pt>
                <c:pt idx="216">
                  <c:v>41946</c:v>
                </c:pt>
                <c:pt idx="217">
                  <c:v>41947</c:v>
                </c:pt>
                <c:pt idx="218">
                  <c:v>41948</c:v>
                </c:pt>
                <c:pt idx="219">
                  <c:v>41949</c:v>
                </c:pt>
                <c:pt idx="220">
                  <c:v>41950</c:v>
                </c:pt>
                <c:pt idx="221">
                  <c:v>41951</c:v>
                </c:pt>
                <c:pt idx="222">
                  <c:v>41952</c:v>
                </c:pt>
                <c:pt idx="223">
                  <c:v>41953</c:v>
                </c:pt>
                <c:pt idx="224">
                  <c:v>41954</c:v>
                </c:pt>
                <c:pt idx="225">
                  <c:v>41955</c:v>
                </c:pt>
                <c:pt idx="226">
                  <c:v>41956</c:v>
                </c:pt>
                <c:pt idx="227">
                  <c:v>41957</c:v>
                </c:pt>
                <c:pt idx="228">
                  <c:v>41958</c:v>
                </c:pt>
                <c:pt idx="229">
                  <c:v>41959</c:v>
                </c:pt>
                <c:pt idx="230">
                  <c:v>41960</c:v>
                </c:pt>
                <c:pt idx="231">
                  <c:v>41961</c:v>
                </c:pt>
                <c:pt idx="232">
                  <c:v>41962</c:v>
                </c:pt>
                <c:pt idx="233">
                  <c:v>41963</c:v>
                </c:pt>
                <c:pt idx="234">
                  <c:v>41964</c:v>
                </c:pt>
                <c:pt idx="235">
                  <c:v>41965</c:v>
                </c:pt>
                <c:pt idx="236">
                  <c:v>41966</c:v>
                </c:pt>
                <c:pt idx="237">
                  <c:v>41967</c:v>
                </c:pt>
                <c:pt idx="238">
                  <c:v>41968</c:v>
                </c:pt>
                <c:pt idx="239">
                  <c:v>41969</c:v>
                </c:pt>
                <c:pt idx="240">
                  <c:v>41970</c:v>
                </c:pt>
                <c:pt idx="241">
                  <c:v>41971</c:v>
                </c:pt>
                <c:pt idx="242">
                  <c:v>41972</c:v>
                </c:pt>
                <c:pt idx="243">
                  <c:v>41973</c:v>
                </c:pt>
                <c:pt idx="244">
                  <c:v>41974</c:v>
                </c:pt>
                <c:pt idx="245">
                  <c:v>41975</c:v>
                </c:pt>
                <c:pt idx="246">
                  <c:v>41976</c:v>
                </c:pt>
                <c:pt idx="247">
                  <c:v>41977</c:v>
                </c:pt>
                <c:pt idx="248">
                  <c:v>41978</c:v>
                </c:pt>
                <c:pt idx="249">
                  <c:v>41979</c:v>
                </c:pt>
                <c:pt idx="250">
                  <c:v>41980</c:v>
                </c:pt>
                <c:pt idx="251">
                  <c:v>41981</c:v>
                </c:pt>
                <c:pt idx="252">
                  <c:v>41982</c:v>
                </c:pt>
                <c:pt idx="253">
                  <c:v>41983</c:v>
                </c:pt>
                <c:pt idx="254">
                  <c:v>41984</c:v>
                </c:pt>
                <c:pt idx="255">
                  <c:v>41985</c:v>
                </c:pt>
                <c:pt idx="256">
                  <c:v>41986</c:v>
                </c:pt>
                <c:pt idx="257">
                  <c:v>41987</c:v>
                </c:pt>
                <c:pt idx="258">
                  <c:v>41988</c:v>
                </c:pt>
                <c:pt idx="259">
                  <c:v>41989</c:v>
                </c:pt>
                <c:pt idx="260">
                  <c:v>41990</c:v>
                </c:pt>
                <c:pt idx="261">
                  <c:v>41991</c:v>
                </c:pt>
                <c:pt idx="262">
                  <c:v>41992</c:v>
                </c:pt>
                <c:pt idx="263">
                  <c:v>41993</c:v>
                </c:pt>
                <c:pt idx="264">
                  <c:v>41994</c:v>
                </c:pt>
                <c:pt idx="265">
                  <c:v>41995</c:v>
                </c:pt>
                <c:pt idx="266">
                  <c:v>41996</c:v>
                </c:pt>
                <c:pt idx="267">
                  <c:v>41997</c:v>
                </c:pt>
                <c:pt idx="268">
                  <c:v>41998</c:v>
                </c:pt>
                <c:pt idx="269">
                  <c:v>41999</c:v>
                </c:pt>
                <c:pt idx="270">
                  <c:v>42000</c:v>
                </c:pt>
                <c:pt idx="271">
                  <c:v>42001</c:v>
                </c:pt>
                <c:pt idx="272">
                  <c:v>42002</c:v>
                </c:pt>
                <c:pt idx="273">
                  <c:v>42003</c:v>
                </c:pt>
                <c:pt idx="274">
                  <c:v>42004</c:v>
                </c:pt>
                <c:pt idx="275">
                  <c:v>42005</c:v>
                </c:pt>
                <c:pt idx="276">
                  <c:v>42006</c:v>
                </c:pt>
                <c:pt idx="277">
                  <c:v>42007</c:v>
                </c:pt>
                <c:pt idx="278">
                  <c:v>42008</c:v>
                </c:pt>
                <c:pt idx="279">
                  <c:v>42009</c:v>
                </c:pt>
                <c:pt idx="280">
                  <c:v>42010</c:v>
                </c:pt>
                <c:pt idx="281">
                  <c:v>42011</c:v>
                </c:pt>
                <c:pt idx="282">
                  <c:v>42012</c:v>
                </c:pt>
                <c:pt idx="283">
                  <c:v>42013</c:v>
                </c:pt>
                <c:pt idx="284">
                  <c:v>42014</c:v>
                </c:pt>
                <c:pt idx="285">
                  <c:v>42015</c:v>
                </c:pt>
                <c:pt idx="286">
                  <c:v>42016</c:v>
                </c:pt>
                <c:pt idx="287">
                  <c:v>42017</c:v>
                </c:pt>
                <c:pt idx="288">
                  <c:v>42018</c:v>
                </c:pt>
                <c:pt idx="289">
                  <c:v>42019</c:v>
                </c:pt>
                <c:pt idx="290">
                  <c:v>42020</c:v>
                </c:pt>
                <c:pt idx="291">
                  <c:v>42021</c:v>
                </c:pt>
                <c:pt idx="292">
                  <c:v>42022</c:v>
                </c:pt>
                <c:pt idx="293">
                  <c:v>42023</c:v>
                </c:pt>
                <c:pt idx="294">
                  <c:v>42024</c:v>
                </c:pt>
                <c:pt idx="295">
                  <c:v>42025</c:v>
                </c:pt>
                <c:pt idx="296">
                  <c:v>42026</c:v>
                </c:pt>
                <c:pt idx="297">
                  <c:v>42027</c:v>
                </c:pt>
                <c:pt idx="298">
                  <c:v>42028</c:v>
                </c:pt>
                <c:pt idx="299">
                  <c:v>42029</c:v>
                </c:pt>
                <c:pt idx="300">
                  <c:v>42030</c:v>
                </c:pt>
                <c:pt idx="301">
                  <c:v>42031</c:v>
                </c:pt>
                <c:pt idx="302">
                  <c:v>42032</c:v>
                </c:pt>
                <c:pt idx="303">
                  <c:v>42033</c:v>
                </c:pt>
                <c:pt idx="304">
                  <c:v>42034</c:v>
                </c:pt>
                <c:pt idx="305">
                  <c:v>42035</c:v>
                </c:pt>
                <c:pt idx="306">
                  <c:v>42036</c:v>
                </c:pt>
                <c:pt idx="307">
                  <c:v>42037</c:v>
                </c:pt>
                <c:pt idx="308">
                  <c:v>42038</c:v>
                </c:pt>
                <c:pt idx="309">
                  <c:v>42039</c:v>
                </c:pt>
                <c:pt idx="310">
                  <c:v>42040</c:v>
                </c:pt>
                <c:pt idx="311">
                  <c:v>42041</c:v>
                </c:pt>
                <c:pt idx="312">
                  <c:v>42042</c:v>
                </c:pt>
                <c:pt idx="313">
                  <c:v>42043</c:v>
                </c:pt>
                <c:pt idx="314">
                  <c:v>42044</c:v>
                </c:pt>
                <c:pt idx="315">
                  <c:v>42045</c:v>
                </c:pt>
                <c:pt idx="316">
                  <c:v>42046</c:v>
                </c:pt>
                <c:pt idx="317">
                  <c:v>42047</c:v>
                </c:pt>
                <c:pt idx="318">
                  <c:v>42048</c:v>
                </c:pt>
                <c:pt idx="319">
                  <c:v>42049</c:v>
                </c:pt>
                <c:pt idx="320">
                  <c:v>42050</c:v>
                </c:pt>
                <c:pt idx="321">
                  <c:v>42051</c:v>
                </c:pt>
                <c:pt idx="322">
                  <c:v>42052</c:v>
                </c:pt>
                <c:pt idx="323">
                  <c:v>42053</c:v>
                </c:pt>
                <c:pt idx="324">
                  <c:v>42054</c:v>
                </c:pt>
                <c:pt idx="325">
                  <c:v>42055</c:v>
                </c:pt>
                <c:pt idx="326">
                  <c:v>42056</c:v>
                </c:pt>
                <c:pt idx="327">
                  <c:v>42057</c:v>
                </c:pt>
                <c:pt idx="328">
                  <c:v>42058</c:v>
                </c:pt>
                <c:pt idx="329">
                  <c:v>42059</c:v>
                </c:pt>
                <c:pt idx="330">
                  <c:v>42060</c:v>
                </c:pt>
                <c:pt idx="331">
                  <c:v>42061</c:v>
                </c:pt>
                <c:pt idx="332">
                  <c:v>42062</c:v>
                </c:pt>
                <c:pt idx="333">
                  <c:v>42063</c:v>
                </c:pt>
                <c:pt idx="334">
                  <c:v>42064</c:v>
                </c:pt>
                <c:pt idx="335">
                  <c:v>42065</c:v>
                </c:pt>
                <c:pt idx="336">
                  <c:v>42066</c:v>
                </c:pt>
                <c:pt idx="337">
                  <c:v>42067</c:v>
                </c:pt>
                <c:pt idx="338">
                  <c:v>42068</c:v>
                </c:pt>
                <c:pt idx="339">
                  <c:v>42069</c:v>
                </c:pt>
                <c:pt idx="340">
                  <c:v>42070</c:v>
                </c:pt>
                <c:pt idx="341">
                  <c:v>42071</c:v>
                </c:pt>
                <c:pt idx="342">
                  <c:v>42072</c:v>
                </c:pt>
                <c:pt idx="343">
                  <c:v>42073</c:v>
                </c:pt>
                <c:pt idx="344">
                  <c:v>42074</c:v>
                </c:pt>
                <c:pt idx="345">
                  <c:v>42075</c:v>
                </c:pt>
                <c:pt idx="346">
                  <c:v>42076</c:v>
                </c:pt>
                <c:pt idx="347">
                  <c:v>42077</c:v>
                </c:pt>
                <c:pt idx="348">
                  <c:v>42078</c:v>
                </c:pt>
                <c:pt idx="349">
                  <c:v>42079</c:v>
                </c:pt>
                <c:pt idx="350">
                  <c:v>42080</c:v>
                </c:pt>
                <c:pt idx="351">
                  <c:v>42081</c:v>
                </c:pt>
                <c:pt idx="352">
                  <c:v>42082</c:v>
                </c:pt>
                <c:pt idx="353">
                  <c:v>42083</c:v>
                </c:pt>
                <c:pt idx="354">
                  <c:v>42084</c:v>
                </c:pt>
                <c:pt idx="355">
                  <c:v>42085</c:v>
                </c:pt>
                <c:pt idx="356">
                  <c:v>42086</c:v>
                </c:pt>
                <c:pt idx="357">
                  <c:v>42087</c:v>
                </c:pt>
                <c:pt idx="358">
                  <c:v>42088</c:v>
                </c:pt>
                <c:pt idx="359">
                  <c:v>42089</c:v>
                </c:pt>
                <c:pt idx="360">
                  <c:v>42090</c:v>
                </c:pt>
                <c:pt idx="361">
                  <c:v>42091</c:v>
                </c:pt>
                <c:pt idx="362">
                  <c:v>42092</c:v>
                </c:pt>
                <c:pt idx="363">
                  <c:v>42093</c:v>
                </c:pt>
                <c:pt idx="364">
                  <c:v>42094</c:v>
                </c:pt>
              </c:numCache>
            </c:numRef>
          </c:cat>
          <c:val>
            <c:numRef>
              <c:f>'マアナゴ (本宮計算)'!$Q$3:$Q$367</c:f>
              <c:numCache>
                <c:formatCode>0</c:formatCode>
                <c:ptCount val="365"/>
                <c:pt idx="0">
                  <c:v>242362.50891469329</c:v>
                </c:pt>
                <c:pt idx="1">
                  <c:v>242323.20701541199</c:v>
                </c:pt>
                <c:pt idx="2">
                  <c:v>242338.48742318258</c:v>
                </c:pt>
                <c:pt idx="3">
                  <c:v>242239.7049541593</c:v>
                </c:pt>
                <c:pt idx="4">
                  <c:v>242053.16630701677</c:v>
                </c:pt>
                <c:pt idx="5">
                  <c:v>241973.06007697509</c:v>
                </c:pt>
                <c:pt idx="6">
                  <c:v>241827.39682087846</c:v>
                </c:pt>
                <c:pt idx="7">
                  <c:v>241683.39777304541</c:v>
                </c:pt>
                <c:pt idx="8">
                  <c:v>241634.85851275933</c:v>
                </c:pt>
                <c:pt idx="9">
                  <c:v>241413.51915585893</c:v>
                </c:pt>
                <c:pt idx="10">
                  <c:v>241182.1671573089</c:v>
                </c:pt>
                <c:pt idx="11">
                  <c:v>241125.66499392042</c:v>
                </c:pt>
                <c:pt idx="12">
                  <c:v>240948.1260859569</c:v>
                </c:pt>
                <c:pt idx="13">
                  <c:v>240773.91138897795</c:v>
                </c:pt>
                <c:pt idx="14">
                  <c:v>240632.62808346638</c:v>
                </c:pt>
                <c:pt idx="15">
                  <c:v>240384.63815005979</c:v>
                </c:pt>
                <c:pt idx="16">
                  <c:v>240192.52860998479</c:v>
                </c:pt>
                <c:pt idx="17">
                  <c:v>240111.36165535878</c:v>
                </c:pt>
                <c:pt idx="18">
                  <c:v>239908.95066841101</c:v>
                </c:pt>
                <c:pt idx="19">
                  <c:v>239640.10192432735</c:v>
                </c:pt>
                <c:pt idx="20">
                  <c:v>239471.06691339368</c:v>
                </c:pt>
                <c:pt idx="21">
                  <c:v>239262.22586839527</c:v>
                </c:pt>
                <c:pt idx="22">
                  <c:v>239044.30404873163</c:v>
                </c:pt>
                <c:pt idx="23">
                  <c:v>238939.06369781066</c:v>
                </c:pt>
                <c:pt idx="24">
                  <c:v>238639.15955572447</c:v>
                </c:pt>
                <c:pt idx="25">
                  <c:v>238342.39102315254</c:v>
                </c:pt>
                <c:pt idx="26">
                  <c:v>238217.24468998637</c:v>
                </c:pt>
                <c:pt idx="27">
                  <c:v>237983.33375930946</c:v>
                </c:pt>
                <c:pt idx="28">
                  <c:v>237738.53957281678</c:v>
                </c:pt>
                <c:pt idx="29">
                  <c:v>237536.5321894697</c:v>
                </c:pt>
                <c:pt idx="30">
                  <c:v>236869.85345590394</c:v>
                </c:pt>
                <c:pt idx="31">
                  <c:v>236280.98385843827</c:v>
                </c:pt>
                <c:pt idx="32">
                  <c:v>235849.5854909122</c:v>
                </c:pt>
                <c:pt idx="33">
                  <c:v>235242.69510963571</c:v>
                </c:pt>
                <c:pt idx="34">
                  <c:v>234478.90502485578</c:v>
                </c:pt>
                <c:pt idx="35">
                  <c:v>233897.24405685603</c:v>
                </c:pt>
                <c:pt idx="36">
                  <c:v>233253.55625640487</c:v>
                </c:pt>
                <c:pt idx="37">
                  <c:v>232617.87511498292</c:v>
                </c:pt>
                <c:pt idx="38">
                  <c:v>232148.11248726081</c:v>
                </c:pt>
                <c:pt idx="39">
                  <c:v>231366.55830838127</c:v>
                </c:pt>
                <c:pt idx="40">
                  <c:v>230575.86976069291</c:v>
                </c:pt>
                <c:pt idx="41">
                  <c:v>230107.13422565986</c:v>
                </c:pt>
                <c:pt idx="42">
                  <c:v>229443.29807887046</c:v>
                </c:pt>
                <c:pt idx="43">
                  <c:v>228788.60937929366</c:v>
                </c:pt>
                <c:pt idx="44">
                  <c:v>228158.21293089178</c:v>
                </c:pt>
                <c:pt idx="45">
                  <c:v>227356.34368424347</c:v>
                </c:pt>
                <c:pt idx="46">
                  <c:v>226681.36852327202</c:v>
                </c:pt>
                <c:pt idx="47">
                  <c:v>226188.59562132705</c:v>
                </c:pt>
                <c:pt idx="48">
                  <c:v>225500.66633159449</c:v>
                </c:pt>
                <c:pt idx="49">
                  <c:v>224682.47017341081</c:v>
                </c:pt>
                <c:pt idx="50">
                  <c:v>224005.93396117535</c:v>
                </c:pt>
                <c:pt idx="51">
                  <c:v>223297.59557664342</c:v>
                </c:pt>
                <c:pt idx="52">
                  <c:v>222556.36573831504</c:v>
                </c:pt>
                <c:pt idx="53">
                  <c:v>221999.86843777754</c:v>
                </c:pt>
                <c:pt idx="54">
                  <c:v>221050.55467063625</c:v>
                </c:pt>
                <c:pt idx="55">
                  <c:v>220118.85908990214</c:v>
                </c:pt>
                <c:pt idx="56">
                  <c:v>219481.6510598716</c:v>
                </c:pt>
                <c:pt idx="57">
                  <c:v>218654.77374327165</c:v>
                </c:pt>
                <c:pt idx="58">
                  <c:v>217769.5305541163</c:v>
                </c:pt>
                <c:pt idx="59">
                  <c:v>216945.62750502236</c:v>
                </c:pt>
                <c:pt idx="60">
                  <c:v>215904.24725614188</c:v>
                </c:pt>
                <c:pt idx="61">
                  <c:v>215026.06709003443</c:v>
                </c:pt>
                <c:pt idx="62">
                  <c:v>214046.45180836413</c:v>
                </c:pt>
                <c:pt idx="63">
                  <c:v>212853.73002241735</c:v>
                </c:pt>
                <c:pt idx="64">
                  <c:v>211437.20335032028</c:v>
                </c:pt>
                <c:pt idx="65">
                  <c:v>210278.64645235482</c:v>
                </c:pt>
                <c:pt idx="66">
                  <c:v>209068.77500812072</c:v>
                </c:pt>
                <c:pt idx="67">
                  <c:v>207887.57788272577</c:v>
                </c:pt>
                <c:pt idx="68">
                  <c:v>206886.8927280748</c:v>
                </c:pt>
                <c:pt idx="69">
                  <c:v>205451.82069536339</c:v>
                </c:pt>
                <c:pt idx="70">
                  <c:v>204004.3278026568</c:v>
                </c:pt>
                <c:pt idx="71">
                  <c:v>203006.9720968607</c:v>
                </c:pt>
                <c:pt idx="72">
                  <c:v>201703.67970711598</c:v>
                </c:pt>
                <c:pt idx="73">
                  <c:v>200379.17978392192</c:v>
                </c:pt>
                <c:pt idx="74">
                  <c:v>199006.82330301919</c:v>
                </c:pt>
                <c:pt idx="75">
                  <c:v>197440.89257251218</c:v>
                </c:pt>
                <c:pt idx="76">
                  <c:v>196103.17177533524</c:v>
                </c:pt>
                <c:pt idx="77">
                  <c:v>194979.9714085687</c:v>
                </c:pt>
                <c:pt idx="78">
                  <c:v>193516.74502229632</c:v>
                </c:pt>
                <c:pt idx="79">
                  <c:v>191783.20655956931</c:v>
                </c:pt>
                <c:pt idx="80">
                  <c:v>190321.69901427571</c:v>
                </c:pt>
                <c:pt idx="81">
                  <c:v>188876.86121104148</c:v>
                </c:pt>
                <c:pt idx="82">
                  <c:v>187540.58466108021</c:v>
                </c:pt>
                <c:pt idx="83">
                  <c:v>186487.8211007028</c:v>
                </c:pt>
                <c:pt idx="84">
                  <c:v>184881.61875966867</c:v>
                </c:pt>
                <c:pt idx="85">
                  <c:v>183302.50251628048</c:v>
                </c:pt>
                <c:pt idx="86">
                  <c:v>182281.56474024249</c:v>
                </c:pt>
                <c:pt idx="87">
                  <c:v>181026.93542573502</c:v>
                </c:pt>
                <c:pt idx="88">
                  <c:v>179780.72471449533</c:v>
                </c:pt>
                <c:pt idx="89">
                  <c:v>178490.09108200847</c:v>
                </c:pt>
                <c:pt idx="90">
                  <c:v>176630.1069988097</c:v>
                </c:pt>
                <c:pt idx="91">
                  <c:v>175015.39423995744</c:v>
                </c:pt>
                <c:pt idx="92">
                  <c:v>174120.28582129467</c:v>
                </c:pt>
                <c:pt idx="93">
                  <c:v>172961.54347899192</c:v>
                </c:pt>
                <c:pt idx="94">
                  <c:v>171601.92132010963</c:v>
                </c:pt>
                <c:pt idx="95">
                  <c:v>170531.79585182547</c:v>
                </c:pt>
                <c:pt idx="96">
                  <c:v>169368.88371416804</c:v>
                </c:pt>
                <c:pt idx="97">
                  <c:v>168215.36590981655</c:v>
                </c:pt>
                <c:pt idx="98">
                  <c:v>167264.25930605867</c:v>
                </c:pt>
                <c:pt idx="99">
                  <c:v>166075.15334199413</c:v>
                </c:pt>
                <c:pt idx="100">
                  <c:v>164927.63567345621</c:v>
                </c:pt>
                <c:pt idx="101">
                  <c:v>164102.66715646474</c:v>
                </c:pt>
                <c:pt idx="102">
                  <c:v>163087.21486227438</c:v>
                </c:pt>
                <c:pt idx="103">
                  <c:v>161961.93104754813</c:v>
                </c:pt>
                <c:pt idx="104">
                  <c:v>161153.35101979494</c:v>
                </c:pt>
                <c:pt idx="105">
                  <c:v>160084.27012167888</c:v>
                </c:pt>
                <c:pt idx="106">
                  <c:v>159168.85134967757</c:v>
                </c:pt>
                <c:pt idx="107">
                  <c:v>158625.07087530487</c:v>
                </c:pt>
                <c:pt idx="108">
                  <c:v>157703.9820927929</c:v>
                </c:pt>
                <c:pt idx="109">
                  <c:v>156664.09798535795</c:v>
                </c:pt>
                <c:pt idx="110">
                  <c:v>156001.85348148513</c:v>
                </c:pt>
                <c:pt idx="111">
                  <c:v>155094.09164016199</c:v>
                </c:pt>
                <c:pt idx="112">
                  <c:v>154196.63612001535</c:v>
                </c:pt>
                <c:pt idx="113">
                  <c:v>153695.32413461656</c:v>
                </c:pt>
                <c:pt idx="114">
                  <c:v>152710.00846608719</c:v>
                </c:pt>
                <c:pt idx="115">
                  <c:v>151741.05042062225</c:v>
                </c:pt>
                <c:pt idx="116">
                  <c:v>151265.95016009858</c:v>
                </c:pt>
                <c:pt idx="117">
                  <c:v>150412.19361970012</c:v>
                </c:pt>
                <c:pt idx="118">
                  <c:v>149568.23274125668</c:v>
                </c:pt>
                <c:pt idx="119">
                  <c:v>149010.84531380484</c:v>
                </c:pt>
                <c:pt idx="120">
                  <c:v>148071.17382584984</c:v>
                </c:pt>
                <c:pt idx="121">
                  <c:v>147254.31674850476</c:v>
                </c:pt>
                <c:pt idx="122">
                  <c:v>146534.78784478043</c:v>
                </c:pt>
                <c:pt idx="123">
                  <c:v>145578.48452048347</c:v>
                </c:pt>
                <c:pt idx="124">
                  <c:v>144535.87977612452</c:v>
                </c:pt>
                <c:pt idx="125">
                  <c:v>143745.72037241946</c:v>
                </c:pt>
                <c:pt idx="126">
                  <c:v>142728.80502889209</c:v>
                </c:pt>
                <c:pt idx="127">
                  <c:v>141737.3896005328</c:v>
                </c:pt>
                <c:pt idx="128">
                  <c:v>141036.38309062633</c:v>
                </c:pt>
                <c:pt idx="129">
                  <c:v>140038.45839899633</c:v>
                </c:pt>
                <c:pt idx="130">
                  <c:v>139017.2557470836</c:v>
                </c:pt>
                <c:pt idx="131">
                  <c:v>138333.08610715199</c:v>
                </c:pt>
                <c:pt idx="132">
                  <c:v>137330.01481695427</c:v>
                </c:pt>
                <c:pt idx="133">
                  <c:v>136318.63033673578</c:v>
                </c:pt>
                <c:pt idx="134">
                  <c:v>135422.63440940189</c:v>
                </c:pt>
                <c:pt idx="135">
                  <c:v>134350.61676539888</c:v>
                </c:pt>
                <c:pt idx="136">
                  <c:v>133362.94265267905</c:v>
                </c:pt>
                <c:pt idx="137">
                  <c:v>132641.94059691048</c:v>
                </c:pt>
                <c:pt idx="138">
                  <c:v>131586.34877748543</c:v>
                </c:pt>
                <c:pt idx="139">
                  <c:v>130473.43628189291</c:v>
                </c:pt>
                <c:pt idx="140">
                  <c:v>129548.89750718848</c:v>
                </c:pt>
                <c:pt idx="141">
                  <c:v>128540.12132188048</c:v>
                </c:pt>
                <c:pt idx="142">
                  <c:v>127520.95062002691</c:v>
                </c:pt>
                <c:pt idx="143">
                  <c:v>126743.15965787039</c:v>
                </c:pt>
                <c:pt idx="144">
                  <c:v>125648.74757520441</c:v>
                </c:pt>
                <c:pt idx="145">
                  <c:v>124574.41150986659</c:v>
                </c:pt>
                <c:pt idx="146">
                  <c:v>123758.13989930565</c:v>
                </c:pt>
                <c:pt idx="147">
                  <c:v>122772.28879400613</c:v>
                </c:pt>
                <c:pt idx="148">
                  <c:v>121769.55300914156</c:v>
                </c:pt>
                <c:pt idx="149">
                  <c:v>120931.48309824758</c:v>
                </c:pt>
                <c:pt idx="150">
                  <c:v>119881.80398337539</c:v>
                </c:pt>
                <c:pt idx="151">
                  <c:v>118931.70714580387</c:v>
                </c:pt>
                <c:pt idx="152">
                  <c:v>118185.3642089192</c:v>
                </c:pt>
                <c:pt idx="153">
                  <c:v>106686.19910886549</c:v>
                </c:pt>
                <c:pt idx="154">
                  <c:v>99431.254408149747</c:v>
                </c:pt>
                <c:pt idx="155">
                  <c:v>95624.507915416005</c:v>
                </c:pt>
                <c:pt idx="156">
                  <c:v>92731.19466592191</c:v>
                </c:pt>
                <c:pt idx="157">
                  <c:v>90529.771209168408</c:v>
                </c:pt>
                <c:pt idx="158">
                  <c:v>88803.531270136882</c:v>
                </c:pt>
                <c:pt idx="159">
                  <c:v>87081.015836762745</c:v>
                </c:pt>
                <c:pt idx="160">
                  <c:v>85366.697114285795</c:v>
                </c:pt>
                <c:pt idx="161">
                  <c:v>84097.968678719684</c:v>
                </c:pt>
                <c:pt idx="162">
                  <c:v>82753.785934912623</c:v>
                </c:pt>
                <c:pt idx="163">
                  <c:v>81521.791516387297</c:v>
                </c:pt>
                <c:pt idx="164">
                  <c:v>80453.775366021757</c:v>
                </c:pt>
                <c:pt idx="165">
                  <c:v>79375.4143897467</c:v>
                </c:pt>
                <c:pt idx="166">
                  <c:v>78403.616760258097</c:v>
                </c:pt>
                <c:pt idx="167">
                  <c:v>77562.356057610261</c:v>
                </c:pt>
                <c:pt idx="168">
                  <c:v>76664.103647900527</c:v>
                </c:pt>
                <c:pt idx="169">
                  <c:v>75745.119165876196</c:v>
                </c:pt>
                <c:pt idx="170">
                  <c:v>74952.122707344548</c:v>
                </c:pt>
                <c:pt idx="171">
                  <c:v>74151.896131478919</c:v>
                </c:pt>
                <c:pt idx="172">
                  <c:v>73368.80400165201</c:v>
                </c:pt>
                <c:pt idx="173">
                  <c:v>72670.801703821082</c:v>
                </c:pt>
                <c:pt idx="174">
                  <c:v>71869.667982526415</c:v>
                </c:pt>
                <c:pt idx="175">
                  <c:v>71093.485740341057</c:v>
                </c:pt>
                <c:pt idx="176">
                  <c:v>70449.728124382571</c:v>
                </c:pt>
                <c:pt idx="177">
                  <c:v>69744.859199389757</c:v>
                </c:pt>
                <c:pt idx="178">
                  <c:v>69055.314953673354</c:v>
                </c:pt>
                <c:pt idx="179">
                  <c:v>68413.493229430256</c:v>
                </c:pt>
                <c:pt idx="180">
                  <c:v>67694.110743566373</c:v>
                </c:pt>
                <c:pt idx="181">
                  <c:v>67033.822448526567</c:v>
                </c:pt>
                <c:pt idx="182">
                  <c:v>66457.43071567289</c:v>
                </c:pt>
                <c:pt idx="183">
                  <c:v>65720.609902333483</c:v>
                </c:pt>
                <c:pt idx="184">
                  <c:v>64834.921784800004</c:v>
                </c:pt>
                <c:pt idx="185">
                  <c:v>64125.554645841738</c:v>
                </c:pt>
                <c:pt idx="186">
                  <c:v>63324.628155663013</c:v>
                </c:pt>
                <c:pt idx="187">
                  <c:v>62541.700694141036</c:v>
                </c:pt>
                <c:pt idx="188">
                  <c:v>61913.138974159323</c:v>
                </c:pt>
                <c:pt idx="189">
                  <c:v>61117.358979373908</c:v>
                </c:pt>
                <c:pt idx="190">
                  <c:v>60329.006759733769</c:v>
                </c:pt>
                <c:pt idx="191">
                  <c:v>59735.423117473336</c:v>
                </c:pt>
                <c:pt idx="192">
                  <c:v>59025.157929891968</c:v>
                </c:pt>
                <c:pt idx="193">
                  <c:v>58328.465078074303</c:v>
                </c:pt>
                <c:pt idx="194">
                  <c:v>57722.800772279785</c:v>
                </c:pt>
                <c:pt idx="195">
                  <c:v>57017.301019703576</c:v>
                </c:pt>
                <c:pt idx="196">
                  <c:v>56362.879575531348</c:v>
                </c:pt>
                <c:pt idx="197">
                  <c:v>55836.135798970652</c:v>
                </c:pt>
                <c:pt idx="198">
                  <c:v>55211.774126740325</c:v>
                </c:pt>
                <c:pt idx="199">
                  <c:v>54567.82687298704</c:v>
                </c:pt>
                <c:pt idx="200">
                  <c:v>54036.633977959456</c:v>
                </c:pt>
                <c:pt idx="201">
                  <c:v>53459.384936204689</c:v>
                </c:pt>
                <c:pt idx="202">
                  <c:v>52894.927079431145</c:v>
                </c:pt>
                <c:pt idx="203">
                  <c:v>52434.228349984834</c:v>
                </c:pt>
                <c:pt idx="204">
                  <c:v>51851.74624983879</c:v>
                </c:pt>
                <c:pt idx="205">
                  <c:v>51284.46643964875</c:v>
                </c:pt>
                <c:pt idx="206">
                  <c:v>50846.391306839243</c:v>
                </c:pt>
                <c:pt idx="207">
                  <c:v>50340.559820223141</c:v>
                </c:pt>
                <c:pt idx="208">
                  <c:v>49844.150418750411</c:v>
                </c:pt>
                <c:pt idx="209">
                  <c:v>49404.297994801906</c:v>
                </c:pt>
                <c:pt idx="210">
                  <c:v>48902.421909268043</c:v>
                </c:pt>
                <c:pt idx="211">
                  <c:v>48438.005938746224</c:v>
                </c:pt>
                <c:pt idx="212">
                  <c:v>48037.876487158937</c:v>
                </c:pt>
                <c:pt idx="213">
                  <c:v>47552.748460923875</c:v>
                </c:pt>
                <c:pt idx="214">
                  <c:v>47069.939405416349</c:v>
                </c:pt>
                <c:pt idx="215">
                  <c:v>46652.951010322256</c:v>
                </c:pt>
                <c:pt idx="216">
                  <c:v>46237.662242958766</c:v>
                </c:pt>
                <c:pt idx="217">
                  <c:v>45832.207876660956</c:v>
                </c:pt>
                <c:pt idx="218">
                  <c:v>45464.289315333233</c:v>
                </c:pt>
                <c:pt idx="219">
                  <c:v>45019.960416558686</c:v>
                </c:pt>
                <c:pt idx="220">
                  <c:v>44570.637749896909</c:v>
                </c:pt>
                <c:pt idx="221">
                  <c:v>44204.170666057384</c:v>
                </c:pt>
                <c:pt idx="222">
                  <c:v>43788.647608626263</c:v>
                </c:pt>
                <c:pt idx="223">
                  <c:v>43373.020039726871</c:v>
                </c:pt>
                <c:pt idx="224">
                  <c:v>42958.812044586906</c:v>
                </c:pt>
                <c:pt idx="225">
                  <c:v>42503.908748195565</c:v>
                </c:pt>
                <c:pt idx="226">
                  <c:v>42095.306792304407</c:v>
                </c:pt>
                <c:pt idx="227">
                  <c:v>41707.854079125464</c:v>
                </c:pt>
                <c:pt idx="228">
                  <c:v>41324.625644410255</c:v>
                </c:pt>
                <c:pt idx="229">
                  <c:v>40884.529237817231</c:v>
                </c:pt>
                <c:pt idx="230">
                  <c:v>40305.292272908817</c:v>
                </c:pt>
                <c:pt idx="231">
                  <c:v>39685.895827948189</c:v>
                </c:pt>
                <c:pt idx="232">
                  <c:v>39206.179497760502</c:v>
                </c:pt>
                <c:pt idx="233">
                  <c:v>38836.322504734206</c:v>
                </c:pt>
                <c:pt idx="234">
                  <c:v>38434.128838857221</c:v>
                </c:pt>
                <c:pt idx="235">
                  <c:v>38019.635733652394</c:v>
                </c:pt>
                <c:pt idx="236">
                  <c:v>37662.065844642297</c:v>
                </c:pt>
                <c:pt idx="237">
                  <c:v>37277.74184161779</c:v>
                </c:pt>
                <c:pt idx="238">
                  <c:v>36898.448655191678</c:v>
                </c:pt>
                <c:pt idx="239">
                  <c:v>36529.004337918537</c:v>
                </c:pt>
                <c:pt idx="240">
                  <c:v>36134.607820460464</c:v>
                </c:pt>
                <c:pt idx="241">
                  <c:v>35774.196952792474</c:v>
                </c:pt>
                <c:pt idx="242">
                  <c:v>35448.458621955571</c:v>
                </c:pt>
                <c:pt idx="243">
                  <c:v>35099.24124911816</c:v>
                </c:pt>
                <c:pt idx="244">
                  <c:v>34808.322222213617</c:v>
                </c:pt>
                <c:pt idx="245">
                  <c:v>34550.385162446226</c:v>
                </c:pt>
                <c:pt idx="246">
                  <c:v>34306.755773536119</c:v>
                </c:pt>
                <c:pt idx="247">
                  <c:v>34066.895499160557</c:v>
                </c:pt>
                <c:pt idx="248">
                  <c:v>33842.896425943196</c:v>
                </c:pt>
                <c:pt idx="249">
                  <c:v>33587.534956402138</c:v>
                </c:pt>
                <c:pt idx="250">
                  <c:v>33335.544012644896</c:v>
                </c:pt>
                <c:pt idx="251">
                  <c:v>33121.211539463518</c:v>
                </c:pt>
                <c:pt idx="252">
                  <c:v>32897.723769198368</c:v>
                </c:pt>
                <c:pt idx="253">
                  <c:v>32677.602218364442</c:v>
                </c:pt>
                <c:pt idx="254">
                  <c:v>32450.407042468902</c:v>
                </c:pt>
                <c:pt idx="255">
                  <c:v>32215.182201627144</c:v>
                </c:pt>
                <c:pt idx="256">
                  <c:v>32004.299995177818</c:v>
                </c:pt>
                <c:pt idx="257">
                  <c:v>31806.969199518702</c:v>
                </c:pt>
                <c:pt idx="258">
                  <c:v>31599.677913331507</c:v>
                </c:pt>
                <c:pt idx="259">
                  <c:v>31373.046545849986</c:v>
                </c:pt>
                <c:pt idx="260">
                  <c:v>31159.592343057615</c:v>
                </c:pt>
                <c:pt idx="261">
                  <c:v>30958.174827676576</c:v>
                </c:pt>
                <c:pt idx="262">
                  <c:v>30757.863541616014</c:v>
                </c:pt>
                <c:pt idx="263">
                  <c:v>30569.135813862606</c:v>
                </c:pt>
                <c:pt idx="264">
                  <c:v>30348.901766054016</c:v>
                </c:pt>
                <c:pt idx="265">
                  <c:v>30130.542368151102</c:v>
                </c:pt>
                <c:pt idx="266">
                  <c:v>29945.076651639185</c:v>
                </c:pt>
                <c:pt idx="267">
                  <c:v>29749.586809783228</c:v>
                </c:pt>
                <c:pt idx="268">
                  <c:v>29554.984016014168</c:v>
                </c:pt>
                <c:pt idx="269">
                  <c:v>29352.338910921557</c:v>
                </c:pt>
                <c:pt idx="270">
                  <c:v>29141.484065168959</c:v>
                </c:pt>
                <c:pt idx="271">
                  <c:v>28952.536797584442</c:v>
                </c:pt>
                <c:pt idx="272">
                  <c:v>28774.58086916988</c:v>
                </c:pt>
                <c:pt idx="273">
                  <c:v>28587.236987798256</c:v>
                </c:pt>
                <c:pt idx="274">
                  <c:v>28381.600914550996</c:v>
                </c:pt>
                <c:pt idx="275">
                  <c:v>28190.381666039546</c:v>
                </c:pt>
                <c:pt idx="276">
                  <c:v>28114.882067146507</c:v>
                </c:pt>
                <c:pt idx="277">
                  <c:v>28039.841691862333</c:v>
                </c:pt>
                <c:pt idx="278">
                  <c:v>27969.10602914905</c:v>
                </c:pt>
                <c:pt idx="279">
                  <c:v>27888.543198534757</c:v>
                </c:pt>
                <c:pt idx="280">
                  <c:v>27808.569936298307</c:v>
                </c:pt>
                <c:pt idx="281">
                  <c:v>27739.387739322792</c:v>
                </c:pt>
                <c:pt idx="282">
                  <c:v>27666.555367571418</c:v>
                </c:pt>
                <c:pt idx="283">
                  <c:v>27593.928226116175</c:v>
                </c:pt>
                <c:pt idx="284">
                  <c:v>27519.017842811776</c:v>
                </c:pt>
                <c:pt idx="285">
                  <c:v>27440.568812255573</c:v>
                </c:pt>
                <c:pt idx="286">
                  <c:v>27368.421709598708</c:v>
                </c:pt>
                <c:pt idx="287">
                  <c:v>27300.65943124871</c:v>
                </c:pt>
                <c:pt idx="288">
                  <c:v>27227.977034538617</c:v>
                </c:pt>
                <c:pt idx="289">
                  <c:v>27149.658281218733</c:v>
                </c:pt>
                <c:pt idx="290">
                  <c:v>27075.172247781826</c:v>
                </c:pt>
                <c:pt idx="291">
                  <c:v>27003.13916529364</c:v>
                </c:pt>
                <c:pt idx="292">
                  <c:v>26930.631660681225</c:v>
                </c:pt>
                <c:pt idx="293">
                  <c:v>26862.274971875253</c:v>
                </c:pt>
                <c:pt idx="294">
                  <c:v>26783.770829361561</c:v>
                </c:pt>
                <c:pt idx="295">
                  <c:v>26705.901517177499</c:v>
                </c:pt>
                <c:pt idx="296">
                  <c:v>26637.398520177747</c:v>
                </c:pt>
                <c:pt idx="297">
                  <c:v>26565.475722056428</c:v>
                </c:pt>
                <c:pt idx="298">
                  <c:v>26492.943437222631</c:v>
                </c:pt>
                <c:pt idx="299">
                  <c:v>26418.10453042424</c:v>
                </c:pt>
                <c:pt idx="300">
                  <c:v>26339.394001927729</c:v>
                </c:pt>
                <c:pt idx="301">
                  <c:v>26267.002737923292</c:v>
                </c:pt>
                <c:pt idx="302">
                  <c:v>26197.835990379794</c:v>
                </c:pt>
                <c:pt idx="303">
                  <c:v>26125.086310182858</c:v>
                </c:pt>
                <c:pt idx="304">
                  <c:v>26045.609207220205</c:v>
                </c:pt>
                <c:pt idx="305">
                  <c:v>25970.067791442569</c:v>
                </c:pt>
                <c:pt idx="306">
                  <c:v>25910.040122880087</c:v>
                </c:pt>
                <c:pt idx="307">
                  <c:v>25849.727985227375</c:v>
                </c:pt>
                <c:pt idx="308">
                  <c:v>25790.133342847181</c:v>
                </c:pt>
                <c:pt idx="309">
                  <c:v>25728.824320862524</c:v>
                </c:pt>
                <c:pt idx="310">
                  <c:v>25666.943265579735</c:v>
                </c:pt>
                <c:pt idx="311">
                  <c:v>25607.07569941158</c:v>
                </c:pt>
                <c:pt idx="312">
                  <c:v>25543.187861599254</c:v>
                </c:pt>
                <c:pt idx="313">
                  <c:v>25478.722771039415</c:v>
                </c:pt>
                <c:pt idx="314">
                  <c:v>25414.833690255407</c:v>
                </c:pt>
                <c:pt idx="315">
                  <c:v>25348.201490256979</c:v>
                </c:pt>
                <c:pt idx="316">
                  <c:v>25279.684477988594</c:v>
                </c:pt>
                <c:pt idx="317">
                  <c:v>25213.042814205903</c:v>
                </c:pt>
                <c:pt idx="318">
                  <c:v>25141.903111105443</c:v>
                </c:pt>
                <c:pt idx="319">
                  <c:v>25069.008427185068</c:v>
                </c:pt>
                <c:pt idx="320">
                  <c:v>24993.04422605424</c:v>
                </c:pt>
                <c:pt idx="321">
                  <c:v>24913.854086669478</c:v>
                </c:pt>
                <c:pt idx="322">
                  <c:v>24830.11421440581</c:v>
                </c:pt>
                <c:pt idx="323">
                  <c:v>24747.794887129872</c:v>
                </c:pt>
                <c:pt idx="324">
                  <c:v>24659.007807302114</c:v>
                </c:pt>
                <c:pt idx="325">
                  <c:v>24568.999553897705</c:v>
                </c:pt>
                <c:pt idx="326">
                  <c:v>24489.055054870492</c:v>
                </c:pt>
                <c:pt idx="327">
                  <c:v>24408.059470211425</c:v>
                </c:pt>
                <c:pt idx="328">
                  <c:v>24334.241278317873</c:v>
                </c:pt>
                <c:pt idx="329">
                  <c:v>24267.188645371436</c:v>
                </c:pt>
                <c:pt idx="330">
                  <c:v>24195.140001609598</c:v>
                </c:pt>
                <c:pt idx="331">
                  <c:v>24122.061269931535</c:v>
                </c:pt>
                <c:pt idx="332">
                  <c:v>24059.474526537138</c:v>
                </c:pt>
                <c:pt idx="333">
                  <c:v>23993.071396664553</c:v>
                </c:pt>
                <c:pt idx="334">
                  <c:v>23927.874925625572</c:v>
                </c:pt>
                <c:pt idx="335">
                  <c:v>23868.637578503407</c:v>
                </c:pt>
                <c:pt idx="336">
                  <c:v>23742.757708926067</c:v>
                </c:pt>
                <c:pt idx="337">
                  <c:v>23622.103663768448</c:v>
                </c:pt>
                <c:pt idx="338">
                  <c:v>23527.841693403763</c:v>
                </c:pt>
                <c:pt idx="339">
                  <c:v>23412.067402511915</c:v>
                </c:pt>
                <c:pt idx="340">
                  <c:v>23299.480883030628</c:v>
                </c:pt>
                <c:pt idx="341">
                  <c:v>23213.563749720321</c:v>
                </c:pt>
                <c:pt idx="342">
                  <c:v>23115.057897580591</c:v>
                </c:pt>
                <c:pt idx="343">
                  <c:v>23019.052174655022</c:v>
                </c:pt>
                <c:pt idx="344">
                  <c:v>22938.011577150679</c:v>
                </c:pt>
                <c:pt idx="345">
                  <c:v>22842.698518362562</c:v>
                </c:pt>
                <c:pt idx="346">
                  <c:v>22757.429321724234</c:v>
                </c:pt>
                <c:pt idx="347">
                  <c:v>22691.129987196411</c:v>
                </c:pt>
                <c:pt idx="348">
                  <c:v>22609.791452773217</c:v>
                </c:pt>
                <c:pt idx="349">
                  <c:v>22523.776897915235</c:v>
                </c:pt>
                <c:pt idx="350">
                  <c:v>22454.992007142984</c:v>
                </c:pt>
                <c:pt idx="351">
                  <c:v>22378.374723715195</c:v>
                </c:pt>
                <c:pt idx="352">
                  <c:v>22304.96107967952</c:v>
                </c:pt>
                <c:pt idx="353">
                  <c:v>22248.573942595569</c:v>
                </c:pt>
                <c:pt idx="354">
                  <c:v>22172.052293499783</c:v>
                </c:pt>
                <c:pt idx="355">
                  <c:v>22096.46835826656</c:v>
                </c:pt>
                <c:pt idx="356">
                  <c:v>22040.409967379434</c:v>
                </c:pt>
                <c:pt idx="357">
                  <c:v>21971.619084909209</c:v>
                </c:pt>
                <c:pt idx="358">
                  <c:v>21905.166561991788</c:v>
                </c:pt>
                <c:pt idx="359">
                  <c:v>21847.942079051998</c:v>
                </c:pt>
                <c:pt idx="360">
                  <c:v>21777.019817988636</c:v>
                </c:pt>
                <c:pt idx="361">
                  <c:v>21712.427614099161</c:v>
                </c:pt>
                <c:pt idx="362">
                  <c:v>21663.243468490833</c:v>
                </c:pt>
                <c:pt idx="363">
                  <c:v>21601.102149090155</c:v>
                </c:pt>
                <c:pt idx="364">
                  <c:v>21532.110113651888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34-46A9-A917-FA395DDB0479}"/>
            </c:ext>
          </c:extLst>
        </c:ser>
        <c:ser>
          <c:idx val="0"/>
          <c:order val="1"/>
          <c:tx>
            <c:strRef>
              <c:f>'マアナゴ (本宮計算)'!$P$1</c:f>
              <c:strCache>
                <c:ptCount val="1"/>
                <c:pt idx="0">
                  <c:v>1年級群総重量</c:v>
                </c:pt>
              </c:strCache>
            </c:strRef>
          </c:tx>
          <c:spPr>
            <a:solidFill>
              <a:srgbClr val="0066FF"/>
            </a:solidFill>
            <a:ln>
              <a:noFill/>
            </a:ln>
            <a:effectLst/>
          </c:spPr>
          <c:cat>
            <c:numRef>
              <c:f>'マアナゴ (本宮計算)'!$A$3:$A$367</c:f>
              <c:numCache>
                <c:formatCode>m/d/yyyy</c:formatCode>
                <c:ptCount val="365"/>
                <c:pt idx="0">
                  <c:v>41730</c:v>
                </c:pt>
                <c:pt idx="1">
                  <c:v>41731</c:v>
                </c:pt>
                <c:pt idx="2">
                  <c:v>41732</c:v>
                </c:pt>
                <c:pt idx="3">
                  <c:v>41733</c:v>
                </c:pt>
                <c:pt idx="4">
                  <c:v>41734</c:v>
                </c:pt>
                <c:pt idx="5">
                  <c:v>41735</c:v>
                </c:pt>
                <c:pt idx="6">
                  <c:v>41736</c:v>
                </c:pt>
                <c:pt idx="7">
                  <c:v>41737</c:v>
                </c:pt>
                <c:pt idx="8">
                  <c:v>41738</c:v>
                </c:pt>
                <c:pt idx="9">
                  <c:v>41739</c:v>
                </c:pt>
                <c:pt idx="10">
                  <c:v>41740</c:v>
                </c:pt>
                <c:pt idx="11">
                  <c:v>41741</c:v>
                </c:pt>
                <c:pt idx="12">
                  <c:v>41742</c:v>
                </c:pt>
                <c:pt idx="13">
                  <c:v>41743</c:v>
                </c:pt>
                <c:pt idx="14">
                  <c:v>41744</c:v>
                </c:pt>
                <c:pt idx="15">
                  <c:v>41745</c:v>
                </c:pt>
                <c:pt idx="16">
                  <c:v>41746</c:v>
                </c:pt>
                <c:pt idx="17">
                  <c:v>41747</c:v>
                </c:pt>
                <c:pt idx="18">
                  <c:v>41748</c:v>
                </c:pt>
                <c:pt idx="19">
                  <c:v>41749</c:v>
                </c:pt>
                <c:pt idx="20">
                  <c:v>41750</c:v>
                </c:pt>
                <c:pt idx="21">
                  <c:v>41751</c:v>
                </c:pt>
                <c:pt idx="22">
                  <c:v>41752</c:v>
                </c:pt>
                <c:pt idx="23">
                  <c:v>41753</c:v>
                </c:pt>
                <c:pt idx="24">
                  <c:v>41754</c:v>
                </c:pt>
                <c:pt idx="25">
                  <c:v>41755</c:v>
                </c:pt>
                <c:pt idx="26">
                  <c:v>41756</c:v>
                </c:pt>
                <c:pt idx="27">
                  <c:v>41757</c:v>
                </c:pt>
                <c:pt idx="28">
                  <c:v>41758</c:v>
                </c:pt>
                <c:pt idx="29">
                  <c:v>41759</c:v>
                </c:pt>
                <c:pt idx="30">
                  <c:v>41760</c:v>
                </c:pt>
                <c:pt idx="31">
                  <c:v>41761</c:v>
                </c:pt>
                <c:pt idx="32">
                  <c:v>41762</c:v>
                </c:pt>
                <c:pt idx="33">
                  <c:v>41763</c:v>
                </c:pt>
                <c:pt idx="34">
                  <c:v>41764</c:v>
                </c:pt>
                <c:pt idx="35">
                  <c:v>41765</c:v>
                </c:pt>
                <c:pt idx="36">
                  <c:v>41766</c:v>
                </c:pt>
                <c:pt idx="37">
                  <c:v>41767</c:v>
                </c:pt>
                <c:pt idx="38">
                  <c:v>41768</c:v>
                </c:pt>
                <c:pt idx="39">
                  <c:v>41769</c:v>
                </c:pt>
                <c:pt idx="40">
                  <c:v>41770</c:v>
                </c:pt>
                <c:pt idx="41">
                  <c:v>41771</c:v>
                </c:pt>
                <c:pt idx="42">
                  <c:v>41772</c:v>
                </c:pt>
                <c:pt idx="43">
                  <c:v>41773</c:v>
                </c:pt>
                <c:pt idx="44">
                  <c:v>41774</c:v>
                </c:pt>
                <c:pt idx="45">
                  <c:v>41775</c:v>
                </c:pt>
                <c:pt idx="46">
                  <c:v>41776</c:v>
                </c:pt>
                <c:pt idx="47">
                  <c:v>41777</c:v>
                </c:pt>
                <c:pt idx="48">
                  <c:v>41778</c:v>
                </c:pt>
                <c:pt idx="49">
                  <c:v>41779</c:v>
                </c:pt>
                <c:pt idx="50">
                  <c:v>41780</c:v>
                </c:pt>
                <c:pt idx="51">
                  <c:v>41781</c:v>
                </c:pt>
                <c:pt idx="52">
                  <c:v>41782</c:v>
                </c:pt>
                <c:pt idx="53">
                  <c:v>41783</c:v>
                </c:pt>
                <c:pt idx="54">
                  <c:v>41784</c:v>
                </c:pt>
                <c:pt idx="55">
                  <c:v>41785</c:v>
                </c:pt>
                <c:pt idx="56">
                  <c:v>41786</c:v>
                </c:pt>
                <c:pt idx="57">
                  <c:v>41787</c:v>
                </c:pt>
                <c:pt idx="58">
                  <c:v>41788</c:v>
                </c:pt>
                <c:pt idx="59">
                  <c:v>41789</c:v>
                </c:pt>
                <c:pt idx="60">
                  <c:v>41790</c:v>
                </c:pt>
                <c:pt idx="61">
                  <c:v>41791</c:v>
                </c:pt>
                <c:pt idx="62">
                  <c:v>41792</c:v>
                </c:pt>
                <c:pt idx="63">
                  <c:v>41793</c:v>
                </c:pt>
                <c:pt idx="64">
                  <c:v>41794</c:v>
                </c:pt>
                <c:pt idx="65">
                  <c:v>41795</c:v>
                </c:pt>
                <c:pt idx="66">
                  <c:v>41796</c:v>
                </c:pt>
                <c:pt idx="67">
                  <c:v>41797</c:v>
                </c:pt>
                <c:pt idx="68">
                  <c:v>41798</c:v>
                </c:pt>
                <c:pt idx="69">
                  <c:v>41799</c:v>
                </c:pt>
                <c:pt idx="70">
                  <c:v>41800</c:v>
                </c:pt>
                <c:pt idx="71">
                  <c:v>41801</c:v>
                </c:pt>
                <c:pt idx="72">
                  <c:v>41802</c:v>
                </c:pt>
                <c:pt idx="73">
                  <c:v>41803</c:v>
                </c:pt>
                <c:pt idx="74">
                  <c:v>41804</c:v>
                </c:pt>
                <c:pt idx="75">
                  <c:v>41805</c:v>
                </c:pt>
                <c:pt idx="76">
                  <c:v>41806</c:v>
                </c:pt>
                <c:pt idx="77">
                  <c:v>41807</c:v>
                </c:pt>
                <c:pt idx="78">
                  <c:v>41808</c:v>
                </c:pt>
                <c:pt idx="79">
                  <c:v>41809</c:v>
                </c:pt>
                <c:pt idx="80">
                  <c:v>41810</c:v>
                </c:pt>
                <c:pt idx="81">
                  <c:v>41811</c:v>
                </c:pt>
                <c:pt idx="82">
                  <c:v>41812</c:v>
                </c:pt>
                <c:pt idx="83">
                  <c:v>41813</c:v>
                </c:pt>
                <c:pt idx="84">
                  <c:v>41814</c:v>
                </c:pt>
                <c:pt idx="85">
                  <c:v>41815</c:v>
                </c:pt>
                <c:pt idx="86">
                  <c:v>41816</c:v>
                </c:pt>
                <c:pt idx="87">
                  <c:v>41817</c:v>
                </c:pt>
                <c:pt idx="88">
                  <c:v>41818</c:v>
                </c:pt>
                <c:pt idx="89">
                  <c:v>41819</c:v>
                </c:pt>
                <c:pt idx="90">
                  <c:v>41820</c:v>
                </c:pt>
                <c:pt idx="91">
                  <c:v>41821</c:v>
                </c:pt>
                <c:pt idx="92">
                  <c:v>41822</c:v>
                </c:pt>
                <c:pt idx="93">
                  <c:v>41823</c:v>
                </c:pt>
                <c:pt idx="94">
                  <c:v>41824</c:v>
                </c:pt>
                <c:pt idx="95">
                  <c:v>41825</c:v>
                </c:pt>
                <c:pt idx="96">
                  <c:v>41826</c:v>
                </c:pt>
                <c:pt idx="97">
                  <c:v>41827</c:v>
                </c:pt>
                <c:pt idx="98">
                  <c:v>41828</c:v>
                </c:pt>
                <c:pt idx="99">
                  <c:v>41829</c:v>
                </c:pt>
                <c:pt idx="100">
                  <c:v>41830</c:v>
                </c:pt>
                <c:pt idx="101">
                  <c:v>41831</c:v>
                </c:pt>
                <c:pt idx="102">
                  <c:v>41832</c:v>
                </c:pt>
                <c:pt idx="103">
                  <c:v>41833</c:v>
                </c:pt>
                <c:pt idx="104">
                  <c:v>41834</c:v>
                </c:pt>
                <c:pt idx="105">
                  <c:v>41835</c:v>
                </c:pt>
                <c:pt idx="106">
                  <c:v>41836</c:v>
                </c:pt>
                <c:pt idx="107">
                  <c:v>41837</c:v>
                </c:pt>
                <c:pt idx="108">
                  <c:v>41838</c:v>
                </c:pt>
                <c:pt idx="109">
                  <c:v>41839</c:v>
                </c:pt>
                <c:pt idx="110">
                  <c:v>41840</c:v>
                </c:pt>
                <c:pt idx="111">
                  <c:v>41841</c:v>
                </c:pt>
                <c:pt idx="112">
                  <c:v>41842</c:v>
                </c:pt>
                <c:pt idx="113">
                  <c:v>41843</c:v>
                </c:pt>
                <c:pt idx="114">
                  <c:v>41844</c:v>
                </c:pt>
                <c:pt idx="115">
                  <c:v>41845</c:v>
                </c:pt>
                <c:pt idx="116">
                  <c:v>41846</c:v>
                </c:pt>
                <c:pt idx="117">
                  <c:v>41847</c:v>
                </c:pt>
                <c:pt idx="118">
                  <c:v>41848</c:v>
                </c:pt>
                <c:pt idx="119">
                  <c:v>41849</c:v>
                </c:pt>
                <c:pt idx="120">
                  <c:v>41850</c:v>
                </c:pt>
                <c:pt idx="121">
                  <c:v>41851</c:v>
                </c:pt>
                <c:pt idx="122">
                  <c:v>41852</c:v>
                </c:pt>
                <c:pt idx="123">
                  <c:v>41853</c:v>
                </c:pt>
                <c:pt idx="124">
                  <c:v>41854</c:v>
                </c:pt>
                <c:pt idx="125">
                  <c:v>41855</c:v>
                </c:pt>
                <c:pt idx="126">
                  <c:v>41856</c:v>
                </c:pt>
                <c:pt idx="127">
                  <c:v>41857</c:v>
                </c:pt>
                <c:pt idx="128">
                  <c:v>41858</c:v>
                </c:pt>
                <c:pt idx="129">
                  <c:v>41859</c:v>
                </c:pt>
                <c:pt idx="130">
                  <c:v>41860</c:v>
                </c:pt>
                <c:pt idx="131">
                  <c:v>41861</c:v>
                </c:pt>
                <c:pt idx="132">
                  <c:v>41862</c:v>
                </c:pt>
                <c:pt idx="133">
                  <c:v>41863</c:v>
                </c:pt>
                <c:pt idx="134">
                  <c:v>41864</c:v>
                </c:pt>
                <c:pt idx="135">
                  <c:v>41865</c:v>
                </c:pt>
                <c:pt idx="136">
                  <c:v>41866</c:v>
                </c:pt>
                <c:pt idx="137">
                  <c:v>41867</c:v>
                </c:pt>
                <c:pt idx="138">
                  <c:v>41868</c:v>
                </c:pt>
                <c:pt idx="139">
                  <c:v>41869</c:v>
                </c:pt>
                <c:pt idx="140">
                  <c:v>41870</c:v>
                </c:pt>
                <c:pt idx="141">
                  <c:v>41871</c:v>
                </c:pt>
                <c:pt idx="142">
                  <c:v>41872</c:v>
                </c:pt>
                <c:pt idx="143">
                  <c:v>41873</c:v>
                </c:pt>
                <c:pt idx="144">
                  <c:v>41874</c:v>
                </c:pt>
                <c:pt idx="145">
                  <c:v>41875</c:v>
                </c:pt>
                <c:pt idx="146">
                  <c:v>41876</c:v>
                </c:pt>
                <c:pt idx="147">
                  <c:v>41877</c:v>
                </c:pt>
                <c:pt idx="148">
                  <c:v>41878</c:v>
                </c:pt>
                <c:pt idx="149">
                  <c:v>41879</c:v>
                </c:pt>
                <c:pt idx="150">
                  <c:v>41880</c:v>
                </c:pt>
                <c:pt idx="151">
                  <c:v>41881</c:v>
                </c:pt>
                <c:pt idx="152">
                  <c:v>41882</c:v>
                </c:pt>
                <c:pt idx="153">
                  <c:v>41883</c:v>
                </c:pt>
                <c:pt idx="154">
                  <c:v>41884</c:v>
                </c:pt>
                <c:pt idx="155">
                  <c:v>41885</c:v>
                </c:pt>
                <c:pt idx="156">
                  <c:v>41886</c:v>
                </c:pt>
                <c:pt idx="157">
                  <c:v>41887</c:v>
                </c:pt>
                <c:pt idx="158">
                  <c:v>41888</c:v>
                </c:pt>
                <c:pt idx="159">
                  <c:v>41889</c:v>
                </c:pt>
                <c:pt idx="160">
                  <c:v>41890</c:v>
                </c:pt>
                <c:pt idx="161">
                  <c:v>41891</c:v>
                </c:pt>
                <c:pt idx="162">
                  <c:v>41892</c:v>
                </c:pt>
                <c:pt idx="163">
                  <c:v>41893</c:v>
                </c:pt>
                <c:pt idx="164">
                  <c:v>41894</c:v>
                </c:pt>
                <c:pt idx="165">
                  <c:v>41895</c:v>
                </c:pt>
                <c:pt idx="166">
                  <c:v>41896</c:v>
                </c:pt>
                <c:pt idx="167">
                  <c:v>41897</c:v>
                </c:pt>
                <c:pt idx="168">
                  <c:v>41898</c:v>
                </c:pt>
                <c:pt idx="169">
                  <c:v>41899</c:v>
                </c:pt>
                <c:pt idx="170">
                  <c:v>41900</c:v>
                </c:pt>
                <c:pt idx="171">
                  <c:v>41901</c:v>
                </c:pt>
                <c:pt idx="172">
                  <c:v>41902</c:v>
                </c:pt>
                <c:pt idx="173">
                  <c:v>41903</c:v>
                </c:pt>
                <c:pt idx="174">
                  <c:v>41904</c:v>
                </c:pt>
                <c:pt idx="175">
                  <c:v>41905</c:v>
                </c:pt>
                <c:pt idx="176">
                  <c:v>41906</c:v>
                </c:pt>
                <c:pt idx="177">
                  <c:v>41907</c:v>
                </c:pt>
                <c:pt idx="178">
                  <c:v>41908</c:v>
                </c:pt>
                <c:pt idx="179">
                  <c:v>41909</c:v>
                </c:pt>
                <c:pt idx="180">
                  <c:v>41910</c:v>
                </c:pt>
                <c:pt idx="181">
                  <c:v>41911</c:v>
                </c:pt>
                <c:pt idx="182">
                  <c:v>41912</c:v>
                </c:pt>
                <c:pt idx="183">
                  <c:v>41913</c:v>
                </c:pt>
                <c:pt idx="184">
                  <c:v>41914</c:v>
                </c:pt>
                <c:pt idx="185">
                  <c:v>41915</c:v>
                </c:pt>
                <c:pt idx="186">
                  <c:v>41916</c:v>
                </c:pt>
                <c:pt idx="187">
                  <c:v>41917</c:v>
                </c:pt>
                <c:pt idx="188">
                  <c:v>41918</c:v>
                </c:pt>
                <c:pt idx="189">
                  <c:v>41919</c:v>
                </c:pt>
                <c:pt idx="190">
                  <c:v>41920</c:v>
                </c:pt>
                <c:pt idx="191">
                  <c:v>41921</c:v>
                </c:pt>
                <c:pt idx="192">
                  <c:v>41922</c:v>
                </c:pt>
                <c:pt idx="193">
                  <c:v>41923</c:v>
                </c:pt>
                <c:pt idx="194">
                  <c:v>41924</c:v>
                </c:pt>
                <c:pt idx="195">
                  <c:v>41925</c:v>
                </c:pt>
                <c:pt idx="196">
                  <c:v>41926</c:v>
                </c:pt>
                <c:pt idx="197">
                  <c:v>41927</c:v>
                </c:pt>
                <c:pt idx="198">
                  <c:v>41928</c:v>
                </c:pt>
                <c:pt idx="199">
                  <c:v>41929</c:v>
                </c:pt>
                <c:pt idx="200">
                  <c:v>41930</c:v>
                </c:pt>
                <c:pt idx="201">
                  <c:v>41931</c:v>
                </c:pt>
                <c:pt idx="202">
                  <c:v>41932</c:v>
                </c:pt>
                <c:pt idx="203">
                  <c:v>41933</c:v>
                </c:pt>
                <c:pt idx="204">
                  <c:v>41934</c:v>
                </c:pt>
                <c:pt idx="205">
                  <c:v>41935</c:v>
                </c:pt>
                <c:pt idx="206">
                  <c:v>41936</c:v>
                </c:pt>
                <c:pt idx="207">
                  <c:v>41937</c:v>
                </c:pt>
                <c:pt idx="208">
                  <c:v>41938</c:v>
                </c:pt>
                <c:pt idx="209">
                  <c:v>41939</c:v>
                </c:pt>
                <c:pt idx="210">
                  <c:v>41940</c:v>
                </c:pt>
                <c:pt idx="211">
                  <c:v>41941</c:v>
                </c:pt>
                <c:pt idx="212">
                  <c:v>41942</c:v>
                </c:pt>
                <c:pt idx="213">
                  <c:v>41943</c:v>
                </c:pt>
                <c:pt idx="214">
                  <c:v>41944</c:v>
                </c:pt>
                <c:pt idx="215">
                  <c:v>41945</c:v>
                </c:pt>
                <c:pt idx="216">
                  <c:v>41946</c:v>
                </c:pt>
                <c:pt idx="217">
                  <c:v>41947</c:v>
                </c:pt>
                <c:pt idx="218">
                  <c:v>41948</c:v>
                </c:pt>
                <c:pt idx="219">
                  <c:v>41949</c:v>
                </c:pt>
                <c:pt idx="220">
                  <c:v>41950</c:v>
                </c:pt>
                <c:pt idx="221">
                  <c:v>41951</c:v>
                </c:pt>
                <c:pt idx="222">
                  <c:v>41952</c:v>
                </c:pt>
                <c:pt idx="223">
                  <c:v>41953</c:v>
                </c:pt>
                <c:pt idx="224">
                  <c:v>41954</c:v>
                </c:pt>
                <c:pt idx="225">
                  <c:v>41955</c:v>
                </c:pt>
                <c:pt idx="226">
                  <c:v>41956</c:v>
                </c:pt>
                <c:pt idx="227">
                  <c:v>41957</c:v>
                </c:pt>
                <c:pt idx="228">
                  <c:v>41958</c:v>
                </c:pt>
                <c:pt idx="229">
                  <c:v>41959</c:v>
                </c:pt>
                <c:pt idx="230">
                  <c:v>41960</c:v>
                </c:pt>
                <c:pt idx="231">
                  <c:v>41961</c:v>
                </c:pt>
                <c:pt idx="232">
                  <c:v>41962</c:v>
                </c:pt>
                <c:pt idx="233">
                  <c:v>41963</c:v>
                </c:pt>
                <c:pt idx="234">
                  <c:v>41964</c:v>
                </c:pt>
                <c:pt idx="235">
                  <c:v>41965</c:v>
                </c:pt>
                <c:pt idx="236">
                  <c:v>41966</c:v>
                </c:pt>
                <c:pt idx="237">
                  <c:v>41967</c:v>
                </c:pt>
                <c:pt idx="238">
                  <c:v>41968</c:v>
                </c:pt>
                <c:pt idx="239">
                  <c:v>41969</c:v>
                </c:pt>
                <c:pt idx="240">
                  <c:v>41970</c:v>
                </c:pt>
                <c:pt idx="241">
                  <c:v>41971</c:v>
                </c:pt>
                <c:pt idx="242">
                  <c:v>41972</c:v>
                </c:pt>
                <c:pt idx="243">
                  <c:v>41973</c:v>
                </c:pt>
                <c:pt idx="244">
                  <c:v>41974</c:v>
                </c:pt>
                <c:pt idx="245">
                  <c:v>41975</c:v>
                </c:pt>
                <c:pt idx="246">
                  <c:v>41976</c:v>
                </c:pt>
                <c:pt idx="247">
                  <c:v>41977</c:v>
                </c:pt>
                <c:pt idx="248">
                  <c:v>41978</c:v>
                </c:pt>
                <c:pt idx="249">
                  <c:v>41979</c:v>
                </c:pt>
                <c:pt idx="250">
                  <c:v>41980</c:v>
                </c:pt>
                <c:pt idx="251">
                  <c:v>41981</c:v>
                </c:pt>
                <c:pt idx="252">
                  <c:v>41982</c:v>
                </c:pt>
                <c:pt idx="253">
                  <c:v>41983</c:v>
                </c:pt>
                <c:pt idx="254">
                  <c:v>41984</c:v>
                </c:pt>
                <c:pt idx="255">
                  <c:v>41985</c:v>
                </c:pt>
                <c:pt idx="256">
                  <c:v>41986</c:v>
                </c:pt>
                <c:pt idx="257">
                  <c:v>41987</c:v>
                </c:pt>
                <c:pt idx="258">
                  <c:v>41988</c:v>
                </c:pt>
                <c:pt idx="259">
                  <c:v>41989</c:v>
                </c:pt>
                <c:pt idx="260">
                  <c:v>41990</c:v>
                </c:pt>
                <c:pt idx="261">
                  <c:v>41991</c:v>
                </c:pt>
                <c:pt idx="262">
                  <c:v>41992</c:v>
                </c:pt>
                <c:pt idx="263">
                  <c:v>41993</c:v>
                </c:pt>
                <c:pt idx="264">
                  <c:v>41994</c:v>
                </c:pt>
                <c:pt idx="265">
                  <c:v>41995</c:v>
                </c:pt>
                <c:pt idx="266">
                  <c:v>41996</c:v>
                </c:pt>
                <c:pt idx="267">
                  <c:v>41997</c:v>
                </c:pt>
                <c:pt idx="268">
                  <c:v>41998</c:v>
                </c:pt>
                <c:pt idx="269">
                  <c:v>41999</c:v>
                </c:pt>
                <c:pt idx="270">
                  <c:v>42000</c:v>
                </c:pt>
                <c:pt idx="271">
                  <c:v>42001</c:v>
                </c:pt>
                <c:pt idx="272">
                  <c:v>42002</c:v>
                </c:pt>
                <c:pt idx="273">
                  <c:v>42003</c:v>
                </c:pt>
                <c:pt idx="274">
                  <c:v>42004</c:v>
                </c:pt>
                <c:pt idx="275">
                  <c:v>42005</c:v>
                </c:pt>
                <c:pt idx="276">
                  <c:v>42006</c:v>
                </c:pt>
                <c:pt idx="277">
                  <c:v>42007</c:v>
                </c:pt>
                <c:pt idx="278">
                  <c:v>42008</c:v>
                </c:pt>
                <c:pt idx="279">
                  <c:v>42009</c:v>
                </c:pt>
                <c:pt idx="280">
                  <c:v>42010</c:v>
                </c:pt>
                <c:pt idx="281">
                  <c:v>42011</c:v>
                </c:pt>
                <c:pt idx="282">
                  <c:v>42012</c:v>
                </c:pt>
                <c:pt idx="283">
                  <c:v>42013</c:v>
                </c:pt>
                <c:pt idx="284">
                  <c:v>42014</c:v>
                </c:pt>
                <c:pt idx="285">
                  <c:v>42015</c:v>
                </c:pt>
                <c:pt idx="286">
                  <c:v>42016</c:v>
                </c:pt>
                <c:pt idx="287">
                  <c:v>42017</c:v>
                </c:pt>
                <c:pt idx="288">
                  <c:v>42018</c:v>
                </c:pt>
                <c:pt idx="289">
                  <c:v>42019</c:v>
                </c:pt>
                <c:pt idx="290">
                  <c:v>42020</c:v>
                </c:pt>
                <c:pt idx="291">
                  <c:v>42021</c:v>
                </c:pt>
                <c:pt idx="292">
                  <c:v>42022</c:v>
                </c:pt>
                <c:pt idx="293">
                  <c:v>42023</c:v>
                </c:pt>
                <c:pt idx="294">
                  <c:v>42024</c:v>
                </c:pt>
                <c:pt idx="295">
                  <c:v>42025</c:v>
                </c:pt>
                <c:pt idx="296">
                  <c:v>42026</c:v>
                </c:pt>
                <c:pt idx="297">
                  <c:v>42027</c:v>
                </c:pt>
                <c:pt idx="298">
                  <c:v>42028</c:v>
                </c:pt>
                <c:pt idx="299">
                  <c:v>42029</c:v>
                </c:pt>
                <c:pt idx="300">
                  <c:v>42030</c:v>
                </c:pt>
                <c:pt idx="301">
                  <c:v>42031</c:v>
                </c:pt>
                <c:pt idx="302">
                  <c:v>42032</c:v>
                </c:pt>
                <c:pt idx="303">
                  <c:v>42033</c:v>
                </c:pt>
                <c:pt idx="304">
                  <c:v>42034</c:v>
                </c:pt>
                <c:pt idx="305">
                  <c:v>42035</c:v>
                </c:pt>
                <c:pt idx="306">
                  <c:v>42036</c:v>
                </c:pt>
                <c:pt idx="307">
                  <c:v>42037</c:v>
                </c:pt>
                <c:pt idx="308">
                  <c:v>42038</c:v>
                </c:pt>
                <c:pt idx="309">
                  <c:v>42039</c:v>
                </c:pt>
                <c:pt idx="310">
                  <c:v>42040</c:v>
                </c:pt>
                <c:pt idx="311">
                  <c:v>42041</c:v>
                </c:pt>
                <c:pt idx="312">
                  <c:v>42042</c:v>
                </c:pt>
                <c:pt idx="313">
                  <c:v>42043</c:v>
                </c:pt>
                <c:pt idx="314">
                  <c:v>42044</c:v>
                </c:pt>
                <c:pt idx="315">
                  <c:v>42045</c:v>
                </c:pt>
                <c:pt idx="316">
                  <c:v>42046</c:v>
                </c:pt>
                <c:pt idx="317">
                  <c:v>42047</c:v>
                </c:pt>
                <c:pt idx="318">
                  <c:v>42048</c:v>
                </c:pt>
                <c:pt idx="319">
                  <c:v>42049</c:v>
                </c:pt>
                <c:pt idx="320">
                  <c:v>42050</c:v>
                </c:pt>
                <c:pt idx="321">
                  <c:v>42051</c:v>
                </c:pt>
                <c:pt idx="322">
                  <c:v>42052</c:v>
                </c:pt>
                <c:pt idx="323">
                  <c:v>42053</c:v>
                </c:pt>
                <c:pt idx="324">
                  <c:v>42054</c:v>
                </c:pt>
                <c:pt idx="325">
                  <c:v>42055</c:v>
                </c:pt>
                <c:pt idx="326">
                  <c:v>42056</c:v>
                </c:pt>
                <c:pt idx="327">
                  <c:v>42057</c:v>
                </c:pt>
                <c:pt idx="328">
                  <c:v>42058</c:v>
                </c:pt>
                <c:pt idx="329">
                  <c:v>42059</c:v>
                </c:pt>
                <c:pt idx="330">
                  <c:v>42060</c:v>
                </c:pt>
                <c:pt idx="331">
                  <c:v>42061</c:v>
                </c:pt>
                <c:pt idx="332">
                  <c:v>42062</c:v>
                </c:pt>
                <c:pt idx="333">
                  <c:v>42063</c:v>
                </c:pt>
                <c:pt idx="334">
                  <c:v>42064</c:v>
                </c:pt>
                <c:pt idx="335">
                  <c:v>42065</c:v>
                </c:pt>
                <c:pt idx="336">
                  <c:v>42066</c:v>
                </c:pt>
                <c:pt idx="337">
                  <c:v>42067</c:v>
                </c:pt>
                <c:pt idx="338">
                  <c:v>42068</c:v>
                </c:pt>
                <c:pt idx="339">
                  <c:v>42069</c:v>
                </c:pt>
                <c:pt idx="340">
                  <c:v>42070</c:v>
                </c:pt>
                <c:pt idx="341">
                  <c:v>42071</c:v>
                </c:pt>
                <c:pt idx="342">
                  <c:v>42072</c:v>
                </c:pt>
                <c:pt idx="343">
                  <c:v>42073</c:v>
                </c:pt>
                <c:pt idx="344">
                  <c:v>42074</c:v>
                </c:pt>
                <c:pt idx="345">
                  <c:v>42075</c:v>
                </c:pt>
                <c:pt idx="346">
                  <c:v>42076</c:v>
                </c:pt>
                <c:pt idx="347">
                  <c:v>42077</c:v>
                </c:pt>
                <c:pt idx="348">
                  <c:v>42078</c:v>
                </c:pt>
                <c:pt idx="349">
                  <c:v>42079</c:v>
                </c:pt>
                <c:pt idx="350">
                  <c:v>42080</c:v>
                </c:pt>
                <c:pt idx="351">
                  <c:v>42081</c:v>
                </c:pt>
                <c:pt idx="352">
                  <c:v>42082</c:v>
                </c:pt>
                <c:pt idx="353">
                  <c:v>42083</c:v>
                </c:pt>
                <c:pt idx="354">
                  <c:v>42084</c:v>
                </c:pt>
                <c:pt idx="355">
                  <c:v>42085</c:v>
                </c:pt>
                <c:pt idx="356">
                  <c:v>42086</c:v>
                </c:pt>
                <c:pt idx="357">
                  <c:v>42087</c:v>
                </c:pt>
                <c:pt idx="358">
                  <c:v>42088</c:v>
                </c:pt>
                <c:pt idx="359">
                  <c:v>42089</c:v>
                </c:pt>
                <c:pt idx="360">
                  <c:v>42090</c:v>
                </c:pt>
                <c:pt idx="361">
                  <c:v>42091</c:v>
                </c:pt>
                <c:pt idx="362">
                  <c:v>42092</c:v>
                </c:pt>
                <c:pt idx="363">
                  <c:v>42093</c:v>
                </c:pt>
                <c:pt idx="364">
                  <c:v>42094</c:v>
                </c:pt>
              </c:numCache>
            </c:numRef>
          </c:cat>
          <c:val>
            <c:numRef>
              <c:f>'マアナゴ (本宮計算)'!$P$3:$P$367</c:f>
              <c:numCache>
                <c:formatCode>0</c:formatCode>
                <c:ptCount val="365"/>
                <c:pt idx="0">
                  <c:v>71114.721750145618</c:v>
                </c:pt>
                <c:pt idx="1">
                  <c:v>71611.694223471495</c:v>
                </c:pt>
                <c:pt idx="2">
                  <c:v>72109.856565285649</c:v>
                </c:pt>
                <c:pt idx="3">
                  <c:v>72609.20107190829</c:v>
                </c:pt>
                <c:pt idx="4">
                  <c:v>73109.570998369294</c:v>
                </c:pt>
                <c:pt idx="5">
                  <c:v>73611.105352844868</c:v>
                </c:pt>
                <c:pt idx="6">
                  <c:v>74113.645031805805</c:v>
                </c:pt>
                <c:pt idx="7">
                  <c:v>74617.17879232108</c:v>
                </c:pt>
                <c:pt idx="8">
                  <c:v>75122.002997287142</c:v>
                </c:pt>
                <c:pt idx="9">
                  <c:v>75627.803558887681</c:v>
                </c:pt>
                <c:pt idx="10">
                  <c:v>76134.569220755351</c:v>
                </c:pt>
                <c:pt idx="11">
                  <c:v>76642.446139341904</c:v>
                </c:pt>
                <c:pt idx="12">
                  <c:v>77151.268036392779</c:v>
                </c:pt>
                <c:pt idx="13">
                  <c:v>77661.183490972166</c:v>
                </c:pt>
                <c:pt idx="14">
                  <c:v>78172.184882136338</c:v>
                </c:pt>
                <c:pt idx="15">
                  <c:v>78684.102295521574</c:v>
                </c:pt>
                <c:pt idx="16">
                  <c:v>79197.087987858511</c:v>
                </c:pt>
                <c:pt idx="17">
                  <c:v>79710.969595706512</c:v>
                </c:pt>
                <c:pt idx="18">
                  <c:v>80225.901847577814</c:v>
                </c:pt>
                <c:pt idx="19">
                  <c:v>80741.709914625084</c:v>
                </c:pt>
                <c:pt idx="20">
                  <c:v>81258.551016643847</c:v>
                </c:pt>
                <c:pt idx="21">
                  <c:v>81776.417613249912</c:v>
                </c:pt>
                <c:pt idx="22">
                  <c:v>82295.131153614566</c:v>
                </c:pt>
                <c:pt idx="23">
                  <c:v>82814.680344829263</c:v>
                </c:pt>
                <c:pt idx="24">
                  <c:v>83335.22744733702</c:v>
                </c:pt>
                <c:pt idx="25">
                  <c:v>83856.764971221099</c:v>
                </c:pt>
                <c:pt idx="26">
                  <c:v>84379.109337312024</c:v>
                </c:pt>
                <c:pt idx="27">
                  <c:v>84902.42664354475</c:v>
                </c:pt>
                <c:pt idx="28">
                  <c:v>85426.530772348851</c:v>
                </c:pt>
                <c:pt idx="29">
                  <c:v>85951.590399374414</c:v>
                </c:pt>
                <c:pt idx="30">
                  <c:v>86477.416852560986</c:v>
                </c:pt>
                <c:pt idx="31">
                  <c:v>87004.18140419868</c:v>
                </c:pt>
                <c:pt idx="32">
                  <c:v>87531.876672837592</c:v>
                </c:pt>
                <c:pt idx="33">
                  <c:v>88060.310131118124</c:v>
                </c:pt>
                <c:pt idx="34">
                  <c:v>88589.470508214668</c:v>
                </c:pt>
                <c:pt idx="35">
                  <c:v>89119.534326038731</c:v>
                </c:pt>
                <c:pt idx="36">
                  <c:v>89650.49426871691</c:v>
                </c:pt>
                <c:pt idx="37">
                  <c:v>90182.152603901384</c:v>
                </c:pt>
                <c:pt idx="38">
                  <c:v>90714.498077246608</c:v>
                </c:pt>
                <c:pt idx="39">
                  <c:v>91247.905636438853</c:v>
                </c:pt>
                <c:pt idx="40">
                  <c:v>91781.788731068795</c:v>
                </c:pt>
                <c:pt idx="41">
                  <c:v>92316.719445922907</c:v>
                </c:pt>
                <c:pt idx="42">
                  <c:v>92852.103231768255</c:v>
                </c:pt>
                <c:pt idx="43">
                  <c:v>93388.520247097185</c:v>
                </c:pt>
                <c:pt idx="44">
                  <c:v>93925.567724317269</c:v>
                </c:pt>
                <c:pt idx="45">
                  <c:v>94463.234457212558</c:v>
                </c:pt>
                <c:pt idx="46">
                  <c:v>95001.711791571259</c:v>
                </c:pt>
                <c:pt idx="47">
                  <c:v>95540.992623638231</c:v>
                </c:pt>
                <c:pt idx="48">
                  <c:v>96080.864587657561</c:v>
                </c:pt>
                <c:pt idx="49">
                  <c:v>96621.316508285556</c:v>
                </c:pt>
                <c:pt idx="50">
                  <c:v>97162.545255458608</c:v>
                </c:pt>
                <c:pt idx="51">
                  <c:v>97704.543808819886</c:v>
                </c:pt>
                <c:pt idx="52">
                  <c:v>98247.094361808151</c:v>
                </c:pt>
                <c:pt idx="53">
                  <c:v>98790.397980404392</c:v>
                </c:pt>
                <c:pt idx="54">
                  <c:v>99334.23411444154</c:v>
                </c:pt>
                <c:pt idx="55">
                  <c:v>99878.591643951455</c:v>
                </c:pt>
                <c:pt idx="56">
                  <c:v>100423.89226337135</c:v>
                </c:pt>
                <c:pt idx="57">
                  <c:v>100969.69768309631</c:v>
                </c:pt>
                <c:pt idx="58">
                  <c:v>101515.99682085312</c:v>
                </c:pt>
                <c:pt idx="59">
                  <c:v>102062.99924079223</c:v>
                </c:pt>
                <c:pt idx="60">
                  <c:v>102610.47606986655</c:v>
                </c:pt>
                <c:pt idx="61">
                  <c:v>103158.63973967553</c:v>
                </c:pt>
                <c:pt idx="62">
                  <c:v>103707.25857239775</c:v>
                </c:pt>
                <c:pt idx="63">
                  <c:v>104256.54788426039</c:v>
                </c:pt>
                <c:pt idx="64">
                  <c:v>104806.50096031075</c:v>
                </c:pt>
                <c:pt idx="65">
                  <c:v>105356.88189320045</c:v>
                </c:pt>
                <c:pt idx="66">
                  <c:v>105907.67969669103</c:v>
                </c:pt>
                <c:pt idx="67">
                  <c:v>106459.11550733667</c:v>
                </c:pt>
                <c:pt idx="68">
                  <c:v>107011.18271021705</c:v>
                </c:pt>
                <c:pt idx="69">
                  <c:v>107563.63969795505</c:v>
                </c:pt>
                <c:pt idx="70">
                  <c:v>108116.47553849568</c:v>
                </c:pt>
                <c:pt idx="71">
                  <c:v>108669.91725608434</c:v>
                </c:pt>
                <c:pt idx="72">
                  <c:v>109223.95833925826</c:v>
                </c:pt>
                <c:pt idx="73">
                  <c:v>109778.35142099277</c:v>
                </c:pt>
                <c:pt idx="74">
                  <c:v>110333.3279908135</c:v>
                </c:pt>
                <c:pt idx="75">
                  <c:v>110888.63777967848</c:v>
                </c:pt>
                <c:pt idx="76">
                  <c:v>111444.51527061206</c:v>
                </c:pt>
                <c:pt idx="77">
                  <c:v>112000.70727785713</c:v>
                </c:pt>
                <c:pt idx="78">
                  <c:v>112557.2029891581</c:v>
                </c:pt>
                <c:pt idx="79">
                  <c:v>113114.4912027431</c:v>
                </c:pt>
                <c:pt idx="80">
                  <c:v>113671.81622323183</c:v>
                </c:pt>
                <c:pt idx="81">
                  <c:v>114229.92118959683</c:v>
                </c:pt>
                <c:pt idx="82">
                  <c:v>114788.04145798409</c:v>
                </c:pt>
                <c:pt idx="83">
                  <c:v>115346.9292280979</c:v>
                </c:pt>
                <c:pt idx="84">
                  <c:v>115906.06819500773</c:v>
                </c:pt>
                <c:pt idx="85">
                  <c:v>116465.44766855348</c:v>
                </c:pt>
                <c:pt idx="86">
                  <c:v>117025.31734198448</c:v>
                </c:pt>
                <c:pt idx="87">
                  <c:v>117585.40922793963</c:v>
                </c:pt>
                <c:pt idx="88">
                  <c:v>118145.97610946505</c:v>
                </c:pt>
                <c:pt idx="89">
                  <c:v>118706.74699577903</c:v>
                </c:pt>
                <c:pt idx="90">
                  <c:v>119267.97777537697</c:v>
                </c:pt>
                <c:pt idx="91">
                  <c:v>119829.39443985993</c:v>
                </c:pt>
                <c:pt idx="92">
                  <c:v>120391.25599871101</c:v>
                </c:pt>
                <c:pt idx="93">
                  <c:v>120953.55653819926</c:v>
                </c:pt>
                <c:pt idx="94">
                  <c:v>121515.7448250022</c:v>
                </c:pt>
                <c:pt idx="95">
                  <c:v>122078.62838473159</c:v>
                </c:pt>
                <c:pt idx="96">
                  <c:v>122641.65448238155</c:v>
                </c:pt>
                <c:pt idx="97">
                  <c:v>123204.81264980386</c:v>
                </c:pt>
                <c:pt idx="98">
                  <c:v>123768.37135152108</c:v>
                </c:pt>
                <c:pt idx="99">
                  <c:v>124332.04436820069</c:v>
                </c:pt>
                <c:pt idx="100">
                  <c:v>124896.10334636582</c:v>
                </c:pt>
                <c:pt idx="101">
                  <c:v>125460.54261612074</c:v>
                </c:pt>
                <c:pt idx="102">
                  <c:v>126025.07132712868</c:v>
                </c:pt>
                <c:pt idx="103">
                  <c:v>126589.67913187128</c:v>
                </c:pt>
                <c:pt idx="104">
                  <c:v>127154.64408564911</c:v>
                </c:pt>
                <c:pt idx="105">
                  <c:v>127719.67066558998</c:v>
                </c:pt>
                <c:pt idx="106">
                  <c:v>128285.04015355615</c:v>
                </c:pt>
                <c:pt idx="107">
                  <c:v>128850.74706798814</c:v>
                </c:pt>
                <c:pt idx="108">
                  <c:v>129416.49119351784</c:v>
                </c:pt>
                <c:pt idx="109">
                  <c:v>129982.26230901918</c:v>
                </c:pt>
                <c:pt idx="110">
                  <c:v>130548.34819322712</c:v>
                </c:pt>
                <c:pt idx="111">
                  <c:v>131114.44389749516</c:v>
                </c:pt>
                <c:pt idx="112">
                  <c:v>131680.84047065268</c:v>
                </c:pt>
                <c:pt idx="113">
                  <c:v>132247.53262362062</c:v>
                </c:pt>
                <c:pt idx="114">
                  <c:v>132814.21065483303</c:v>
                </c:pt>
                <c:pt idx="115">
                  <c:v>133380.86447485312</c:v>
                </c:pt>
                <c:pt idx="116">
                  <c:v>133947.79171542329</c:v>
                </c:pt>
                <c:pt idx="117">
                  <c:v>134514.67788203983</c:v>
                </c:pt>
                <c:pt idx="118">
                  <c:v>135081.82391904676</c:v>
                </c:pt>
                <c:pt idx="119">
                  <c:v>135649.22473352315</c:v>
                </c:pt>
                <c:pt idx="120">
                  <c:v>136216.24676683662</c:v>
                </c:pt>
                <c:pt idx="121">
                  <c:v>136783.82282171655</c:v>
                </c:pt>
                <c:pt idx="122">
                  <c:v>137351.31775377833</c:v>
                </c:pt>
                <c:pt idx="123">
                  <c:v>137918.72165664309</c:v>
                </c:pt>
                <c:pt idx="124">
                  <c:v>138486.3454956366</c:v>
                </c:pt>
                <c:pt idx="125">
                  <c:v>139053.86186544204</c:v>
                </c:pt>
                <c:pt idx="126">
                  <c:v>139621.58509906766</c:v>
                </c:pt>
                <c:pt idx="127">
                  <c:v>140189.18453136622</c:v>
                </c:pt>
                <c:pt idx="128">
                  <c:v>140756.97787651283</c:v>
                </c:pt>
                <c:pt idx="129">
                  <c:v>141324.63119684433</c:v>
                </c:pt>
                <c:pt idx="130">
                  <c:v>141892.46560107486</c:v>
                </c:pt>
                <c:pt idx="131">
                  <c:v>142460.14386642387</c:v>
                </c:pt>
                <c:pt idx="132">
                  <c:v>143027.99050940323</c:v>
                </c:pt>
                <c:pt idx="133">
                  <c:v>143595.6650095974</c:v>
                </c:pt>
                <c:pt idx="134">
                  <c:v>144163.49530446058</c:v>
                </c:pt>
                <c:pt idx="135">
                  <c:v>144731.13756351062</c:v>
                </c:pt>
                <c:pt idx="136">
                  <c:v>145298.92315817534</c:v>
                </c:pt>
                <c:pt idx="137">
                  <c:v>145866.5049355579</c:v>
                </c:pt>
                <c:pt idx="138">
                  <c:v>146434.21771397878</c:v>
                </c:pt>
                <c:pt idx="139">
                  <c:v>147001.71100586434</c:v>
                </c:pt>
                <c:pt idx="140">
                  <c:v>147568.97531330938</c:v>
                </c:pt>
                <c:pt idx="141">
                  <c:v>148136.35064431748</c:v>
                </c:pt>
                <c:pt idx="142">
                  <c:v>148703.8326797185</c:v>
                </c:pt>
                <c:pt idx="143">
                  <c:v>149271.0642261531</c:v>
                </c:pt>
                <c:pt idx="144">
                  <c:v>149838.3905190127</c:v>
                </c:pt>
                <c:pt idx="145">
                  <c:v>150405.45099399067</c:v>
                </c:pt>
                <c:pt idx="146">
                  <c:v>150972.23630566362</c:v>
                </c:pt>
                <c:pt idx="147">
                  <c:v>151539.09693569984</c:v>
                </c:pt>
                <c:pt idx="148">
                  <c:v>152105.66723655903</c:v>
                </c:pt>
                <c:pt idx="149">
                  <c:v>152672.3012058856</c:v>
                </c:pt>
                <c:pt idx="150">
                  <c:v>153238.99480244503</c:v>
                </c:pt>
                <c:pt idx="151">
                  <c:v>153805.37727795081</c:v>
                </c:pt>
                <c:pt idx="152">
                  <c:v>154371.43944230789</c:v>
                </c:pt>
                <c:pt idx="153">
                  <c:v>154937.5423615484</c:v>
                </c:pt>
                <c:pt idx="154">
                  <c:v>155503.31015151498</c:v>
                </c:pt>
                <c:pt idx="155">
                  <c:v>156069.10743043979</c:v>
                </c:pt>
                <c:pt idx="156">
                  <c:v>156634.55487879526</c:v>
                </c:pt>
                <c:pt idx="157">
                  <c:v>157200.02067886377</c:v>
                </c:pt>
                <c:pt idx="158">
                  <c:v>157765.12206431146</c:v>
                </c:pt>
                <c:pt idx="159">
                  <c:v>158330.23079320957</c:v>
                </c:pt>
                <c:pt idx="160">
                  <c:v>158894.96064106742</c:v>
                </c:pt>
                <c:pt idx="161">
                  <c:v>159459.68695337279</c:v>
                </c:pt>
                <c:pt idx="162">
                  <c:v>160024.02003621819</c:v>
                </c:pt>
                <c:pt idx="163">
                  <c:v>160587.95098632699</c:v>
                </c:pt>
                <c:pt idx="164">
                  <c:v>161151.86054767031</c:v>
                </c:pt>
                <c:pt idx="165">
                  <c:v>161715.74520144903</c:v>
                </c:pt>
                <c:pt idx="166">
                  <c:v>162279.20828150335</c:v>
                </c:pt>
                <c:pt idx="167">
                  <c:v>162842.24099217801</c:v>
                </c:pt>
                <c:pt idx="168">
                  <c:v>163405.23132077052</c:v>
                </c:pt>
                <c:pt idx="169">
                  <c:v>163967.77733891862</c:v>
                </c:pt>
                <c:pt idx="170">
                  <c:v>164530.27067233896</c:v>
                </c:pt>
                <c:pt idx="171">
                  <c:v>165092.70801411907</c:v>
                </c:pt>
                <c:pt idx="172">
                  <c:v>165654.27821822264</c:v>
                </c:pt>
                <c:pt idx="173">
                  <c:v>166216.18446961659</c:v>
                </c:pt>
                <c:pt idx="174">
                  <c:v>166777.20634098776</c:v>
                </c:pt>
                <c:pt idx="175">
                  <c:v>167338.14853732035</c:v>
                </c:pt>
                <c:pt idx="176">
                  <c:v>167899.00792445711</c:v>
                </c:pt>
                <c:pt idx="177">
                  <c:v>168459.36843396482</c:v>
                </c:pt>
                <c:pt idx="178">
                  <c:v>169019.63635432976</c:v>
                </c:pt>
                <c:pt idx="179">
                  <c:v>169579.39205561447</c:v>
                </c:pt>
                <c:pt idx="180">
                  <c:v>170138.62709291923</c:v>
                </c:pt>
                <c:pt idx="181">
                  <c:v>170697.75329340759</c:v>
                </c:pt>
                <c:pt idx="182">
                  <c:v>171256.76773508402</c:v>
                </c:pt>
                <c:pt idx="183">
                  <c:v>171814.81973257751</c:v>
                </c:pt>
                <c:pt idx="184">
                  <c:v>172373.17265523679</c:v>
                </c:pt>
                <c:pt idx="185">
                  <c:v>172930.97405294809</c:v>
                </c:pt>
                <c:pt idx="186">
                  <c:v>173488.21564658722</c:v>
                </c:pt>
                <c:pt idx="187">
                  <c:v>174045.32041852942</c:v>
                </c:pt>
                <c:pt idx="188">
                  <c:v>174601.8525807524</c:v>
                </c:pt>
                <c:pt idx="189">
                  <c:v>175157.80393362904</c:v>
                </c:pt>
                <c:pt idx="190">
                  <c:v>175713.60306767511</c:v>
                </c:pt>
                <c:pt idx="191">
                  <c:v>176269.24737483557</c:v>
                </c:pt>
                <c:pt idx="192">
                  <c:v>176824.29382192204</c:v>
                </c:pt>
                <c:pt idx="193">
                  <c:v>177378.73432066405</c:v>
                </c:pt>
                <c:pt idx="194">
                  <c:v>177933.00497883666</c:v>
                </c:pt>
                <c:pt idx="195">
                  <c:v>178487.10332921523</c:v>
                </c:pt>
                <c:pt idx="196">
                  <c:v>179040.13116490559</c:v>
                </c:pt>
                <c:pt idx="197">
                  <c:v>179593.42417690746</c:v>
                </c:pt>
                <c:pt idx="198">
                  <c:v>180145.63074528816</c:v>
                </c:pt>
                <c:pt idx="199">
                  <c:v>180698.09779784016</c:v>
                </c:pt>
                <c:pt idx="200">
                  <c:v>181249.46258968531</c:v>
                </c:pt>
                <c:pt idx="201">
                  <c:v>181800.62608948845</c:v>
                </c:pt>
                <c:pt idx="202">
                  <c:v>182351.58607209462</c:v>
                </c:pt>
                <c:pt idx="203">
                  <c:v>182901.87937605541</c:v>
                </c:pt>
                <c:pt idx="204">
                  <c:v>183451.49821706009</c:v>
                </c:pt>
                <c:pt idx="205">
                  <c:v>184000.89956978156</c:v>
                </c:pt>
                <c:pt idx="206">
                  <c:v>184549.61473119466</c:v>
                </c:pt>
                <c:pt idx="207">
                  <c:v>185098.10450082613</c:v>
                </c:pt>
                <c:pt idx="208">
                  <c:v>185645.89647207313</c:v>
                </c:pt>
                <c:pt idx="209">
                  <c:v>186193.45527834346</c:v>
                </c:pt>
                <c:pt idx="210">
                  <c:v>186740.30480034612</c:v>
                </c:pt>
                <c:pt idx="211">
                  <c:v>187286.91351429268</c:v>
                </c:pt>
                <c:pt idx="212">
                  <c:v>187832.80157918323</c:v>
                </c:pt>
                <c:pt idx="213">
                  <c:v>188377.96145969251</c:v>
                </c:pt>
                <c:pt idx="214">
                  <c:v>188922.86740946432</c:v>
                </c:pt>
                <c:pt idx="215">
                  <c:v>189467.51765237816</c:v>
                </c:pt>
                <c:pt idx="216">
                  <c:v>190010.93930455588</c:v>
                </c:pt>
                <c:pt idx="217">
                  <c:v>190554.58166116537</c:v>
                </c:pt>
                <c:pt idx="218">
                  <c:v>191096.98060554691</c:v>
                </c:pt>
                <c:pt idx="219">
                  <c:v>191639.10563869425</c:v>
                </c:pt>
                <c:pt idx="220">
                  <c:v>192180.95515364647</c:v>
                </c:pt>
                <c:pt idx="221">
                  <c:v>192722.03244940224</c:v>
                </c:pt>
                <c:pt idx="222">
                  <c:v>193262.82728935554</c:v>
                </c:pt>
                <c:pt idx="223">
                  <c:v>193802.34023310707</c:v>
                </c:pt>
                <c:pt idx="224">
                  <c:v>194342.06095964782</c:v>
                </c:pt>
                <c:pt idx="225">
                  <c:v>194880.98817062619</c:v>
                </c:pt>
                <c:pt idx="226">
                  <c:v>195419.11469178149</c:v>
                </c:pt>
                <c:pt idx="227">
                  <c:v>195956.4333737643</c:v>
                </c:pt>
                <c:pt idx="228">
                  <c:v>196493.95429430192</c:v>
                </c:pt>
                <c:pt idx="229">
                  <c:v>197030.15034769365</c:v>
                </c:pt>
                <c:pt idx="230">
                  <c:v>197566.03360388524</c:v>
                </c:pt>
                <c:pt idx="231">
                  <c:v>198101.0884242155</c:v>
                </c:pt>
                <c:pt idx="232">
                  <c:v>198635.82413826638</c:v>
                </c:pt>
                <c:pt idx="233">
                  <c:v>199170.23957896791</c:v>
                </c:pt>
                <c:pt idx="234">
                  <c:v>199703.29316672013</c:v>
                </c:pt>
                <c:pt idx="235">
                  <c:v>200236.01648049281</c:v>
                </c:pt>
                <c:pt idx="236">
                  <c:v>200768.40845133056</c:v>
                </c:pt>
                <c:pt idx="237">
                  <c:v>201299.94198415856</c:v>
                </c:pt>
                <c:pt idx="238">
                  <c:v>201831.13824576617</c:v>
                </c:pt>
                <c:pt idx="239">
                  <c:v>202360.9363425051</c:v>
                </c:pt>
                <c:pt idx="240">
                  <c:v>202890.91937642908</c:v>
                </c:pt>
                <c:pt idx="241">
                  <c:v>203420.02456331693</c:v>
                </c:pt>
                <c:pt idx="242">
                  <c:v>203948.24516855832</c:v>
                </c:pt>
                <c:pt idx="243">
                  <c:v>204475.57448245658</c:v>
                </c:pt>
                <c:pt idx="244">
                  <c:v>204952.34879649125</c:v>
                </c:pt>
                <c:pt idx="245">
                  <c:v>205420.81506360925</c:v>
                </c:pt>
                <c:pt idx="246">
                  <c:v>205872.73437253165</c:v>
                </c:pt>
                <c:pt idx="247">
                  <c:v>206330.85142121531</c:v>
                </c:pt>
                <c:pt idx="248">
                  <c:v>206800.17008529598</c:v>
                </c:pt>
                <c:pt idx="249">
                  <c:v>207254.43917267278</c:v>
                </c:pt>
                <c:pt idx="250">
                  <c:v>207697.36465111398</c:v>
                </c:pt>
                <c:pt idx="251">
                  <c:v>208153.74152773662</c:v>
                </c:pt>
                <c:pt idx="252">
                  <c:v>208600.39150775972</c:v>
                </c:pt>
                <c:pt idx="253">
                  <c:v>209046.1382652082</c:v>
                </c:pt>
                <c:pt idx="254">
                  <c:v>209504.4076331594</c:v>
                </c:pt>
                <c:pt idx="255">
                  <c:v>209936.04047081692</c:v>
                </c:pt>
                <c:pt idx="256">
                  <c:v>210364.98936994467</c:v>
                </c:pt>
                <c:pt idx="257">
                  <c:v>210816.67848019669</c:v>
                </c:pt>
                <c:pt idx="258">
                  <c:v>211249.93750914637</c:v>
                </c:pt>
                <c:pt idx="259">
                  <c:v>211680.52332538468</c:v>
                </c:pt>
                <c:pt idx="260">
                  <c:v>212114.13070373822</c:v>
                </c:pt>
                <c:pt idx="261">
                  <c:v>212529.01306123432</c:v>
                </c:pt>
                <c:pt idx="262">
                  <c:v>212951.45019077821</c:v>
                </c:pt>
                <c:pt idx="263">
                  <c:v>213388.45888859103</c:v>
                </c:pt>
                <c:pt idx="264">
                  <c:v>213804.86053021657</c:v>
                </c:pt>
                <c:pt idx="265">
                  <c:v>214208.00807366072</c:v>
                </c:pt>
                <c:pt idx="266">
                  <c:v>214624.60793602586</c:v>
                </c:pt>
                <c:pt idx="267">
                  <c:v>215033.73741570098</c:v>
                </c:pt>
                <c:pt idx="268">
                  <c:v>215440.02839892649</c:v>
                </c:pt>
                <c:pt idx="269">
                  <c:v>215862.32076931678</c:v>
                </c:pt>
                <c:pt idx="270">
                  <c:v>216249.93328194143</c:v>
                </c:pt>
                <c:pt idx="271">
                  <c:v>216635.15624600265</c:v>
                </c:pt>
                <c:pt idx="272">
                  <c:v>217048.3397049536</c:v>
                </c:pt>
                <c:pt idx="273">
                  <c:v>217440.79487217774</c:v>
                </c:pt>
                <c:pt idx="274">
                  <c:v>217829.10460671526</c:v>
                </c:pt>
                <c:pt idx="275">
                  <c:v>218230.07683162254</c:v>
                </c:pt>
                <c:pt idx="276">
                  <c:v>218629.36848502341</c:v>
                </c:pt>
                <c:pt idx="277">
                  <c:v>219031.81639953092</c:v>
                </c:pt>
                <c:pt idx="278">
                  <c:v>219437.46256009207</c:v>
                </c:pt>
                <c:pt idx="279">
                  <c:v>219834.16021694423</c:v>
                </c:pt>
                <c:pt idx="280">
                  <c:v>220221.21895744681</c:v>
                </c:pt>
                <c:pt idx="281">
                  <c:v>220614.50420332191</c:v>
                </c:pt>
                <c:pt idx="282">
                  <c:v>221001.77843387472</c:v>
                </c:pt>
                <c:pt idx="283">
                  <c:v>221386.69809020543</c:v>
                </c:pt>
                <c:pt idx="284">
                  <c:v>221776.06592534221</c:v>
                </c:pt>
                <c:pt idx="285">
                  <c:v>222149.42450445658</c:v>
                </c:pt>
                <c:pt idx="286">
                  <c:v>222517.8526836599</c:v>
                </c:pt>
                <c:pt idx="287">
                  <c:v>222899.45716748221</c:v>
                </c:pt>
                <c:pt idx="288">
                  <c:v>223269.27146344021</c:v>
                </c:pt>
                <c:pt idx="289">
                  <c:v>223638.52649547119</c:v>
                </c:pt>
                <c:pt idx="290">
                  <c:v>224005.33320079243</c:v>
                </c:pt>
                <c:pt idx="291">
                  <c:v>224360.80681035115</c:v>
                </c:pt>
                <c:pt idx="292">
                  <c:v>224720.10878826148</c:v>
                </c:pt>
                <c:pt idx="293">
                  <c:v>225086.47722532376</c:v>
                </c:pt>
                <c:pt idx="294">
                  <c:v>225437.59635025449</c:v>
                </c:pt>
                <c:pt idx="295">
                  <c:v>225779.10898737895</c:v>
                </c:pt>
                <c:pt idx="296">
                  <c:v>226126.39047820269</c:v>
                </c:pt>
                <c:pt idx="297">
                  <c:v>226470.46452732658</c:v>
                </c:pt>
                <c:pt idx="298">
                  <c:v>226807.42482340569</c:v>
                </c:pt>
                <c:pt idx="299">
                  <c:v>227150.21795210391</c:v>
                </c:pt>
                <c:pt idx="300">
                  <c:v>227472.82692109354</c:v>
                </c:pt>
                <c:pt idx="301">
                  <c:v>227794.04487792778</c:v>
                </c:pt>
                <c:pt idx="302">
                  <c:v>228129.62122436939</c:v>
                </c:pt>
                <c:pt idx="303">
                  <c:v>228453.37335692189</c:v>
                </c:pt>
                <c:pt idx="304">
                  <c:v>228769.16522465006</c:v>
                </c:pt>
                <c:pt idx="305">
                  <c:v>229083.55936715324</c:v>
                </c:pt>
                <c:pt idx="306">
                  <c:v>229423.13275871694</c:v>
                </c:pt>
                <c:pt idx="307">
                  <c:v>229768.80473749107</c:v>
                </c:pt>
                <c:pt idx="308">
                  <c:v>230114.62707448434</c:v>
                </c:pt>
                <c:pt idx="309">
                  <c:v>230452.56593826564</c:v>
                </c:pt>
                <c:pt idx="310">
                  <c:v>230784.5783185068</c:v>
                </c:pt>
                <c:pt idx="311">
                  <c:v>231119.39275343972</c:v>
                </c:pt>
                <c:pt idx="312">
                  <c:v>231442.15865614873</c:v>
                </c:pt>
                <c:pt idx="313">
                  <c:v>231760.24490357554</c:v>
                </c:pt>
                <c:pt idx="314">
                  <c:v>232079.74923732775</c:v>
                </c:pt>
                <c:pt idx="315">
                  <c:v>232388.40454173271</c:v>
                </c:pt>
                <c:pt idx="316">
                  <c:v>232690.23505114127</c:v>
                </c:pt>
                <c:pt idx="317">
                  <c:v>232996.1850289384</c:v>
                </c:pt>
                <c:pt idx="318">
                  <c:v>233286.32047592185</c:v>
                </c:pt>
                <c:pt idx="319">
                  <c:v>233571.57120635663</c:v>
                </c:pt>
                <c:pt idx="320">
                  <c:v>233852.60043074636</c:v>
                </c:pt>
                <c:pt idx="321">
                  <c:v>234120.34516474625</c:v>
                </c:pt>
                <c:pt idx="322">
                  <c:v>234374.70091891717</c:v>
                </c:pt>
                <c:pt idx="323">
                  <c:v>234631.65066859496</c:v>
                </c:pt>
                <c:pt idx="324">
                  <c:v>234867.38071388542</c:v>
                </c:pt>
                <c:pt idx="325">
                  <c:v>235096.49368735024</c:v>
                </c:pt>
                <c:pt idx="326">
                  <c:v>235345.76259855216</c:v>
                </c:pt>
                <c:pt idx="327">
                  <c:v>235582.11726559367</c:v>
                </c:pt>
                <c:pt idx="328">
                  <c:v>235833.14222087091</c:v>
                </c:pt>
                <c:pt idx="329">
                  <c:v>236103.25314684169</c:v>
                </c:pt>
                <c:pt idx="330">
                  <c:v>236346.22383418746</c:v>
                </c:pt>
                <c:pt idx="331">
                  <c:v>236583.31274867497</c:v>
                </c:pt>
                <c:pt idx="332">
                  <c:v>236845.36314275005</c:v>
                </c:pt>
                <c:pt idx="333">
                  <c:v>237092.99588327674</c:v>
                </c:pt>
                <c:pt idx="334">
                  <c:v>237341.99034693881</c:v>
                </c:pt>
                <c:pt idx="335">
                  <c:v>237577.88568493171</c:v>
                </c:pt>
                <c:pt idx="336">
                  <c:v>237593.54707124014</c:v>
                </c:pt>
                <c:pt idx="337">
                  <c:v>237715.66106060398</c:v>
                </c:pt>
                <c:pt idx="338">
                  <c:v>237921.78617545133</c:v>
                </c:pt>
                <c:pt idx="339">
                  <c:v>238053.66709514972</c:v>
                </c:pt>
                <c:pt idx="340">
                  <c:v>238152.56854158267</c:v>
                </c:pt>
                <c:pt idx="341">
                  <c:v>238322.12649314938</c:v>
                </c:pt>
                <c:pt idx="342">
                  <c:v>238458.03129171205</c:v>
                </c:pt>
                <c:pt idx="343">
                  <c:v>238593.36179958159</c:v>
                </c:pt>
                <c:pt idx="344">
                  <c:v>238803.93028897844</c:v>
                </c:pt>
                <c:pt idx="345">
                  <c:v>238916.75621273668</c:v>
                </c:pt>
                <c:pt idx="346">
                  <c:v>239032.66541686637</c:v>
                </c:pt>
                <c:pt idx="347">
                  <c:v>239246.87541063593</c:v>
                </c:pt>
                <c:pt idx="348">
                  <c:v>239391.89727852505</c:v>
                </c:pt>
                <c:pt idx="349">
                  <c:v>239533.48235308783</c:v>
                </c:pt>
                <c:pt idx="350">
                  <c:v>239713.18110607352</c:v>
                </c:pt>
                <c:pt idx="351">
                  <c:v>239823.72733074776</c:v>
                </c:pt>
                <c:pt idx="352">
                  <c:v>239967.14313731866</c:v>
                </c:pt>
                <c:pt idx="353">
                  <c:v>240181.05419659254</c:v>
                </c:pt>
                <c:pt idx="354">
                  <c:v>240323.949360848</c:v>
                </c:pt>
                <c:pt idx="355">
                  <c:v>240433.56523510406</c:v>
                </c:pt>
                <c:pt idx="356">
                  <c:v>240601.83276678983</c:v>
                </c:pt>
                <c:pt idx="357">
                  <c:v>240734.50155546548</c:v>
                </c:pt>
                <c:pt idx="358">
                  <c:v>240873.00741281477</c:v>
                </c:pt>
                <c:pt idx="359">
                  <c:v>241076.27832010185</c:v>
                </c:pt>
                <c:pt idx="360">
                  <c:v>241177.10988499885</c:v>
                </c:pt>
                <c:pt idx="361">
                  <c:v>241276.69690702891</c:v>
                </c:pt>
                <c:pt idx="362">
                  <c:v>241473.42964570303</c:v>
                </c:pt>
                <c:pt idx="363">
                  <c:v>241601.35096650588</c:v>
                </c:pt>
                <c:pt idx="364">
                  <c:v>241715.65702264212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34-46A9-A917-FA395DDB0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79645248"/>
        <c:axId val="-1879640352"/>
      </c:areaChart>
      <c:dateAx>
        <c:axId val="-1879645248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79640352"/>
        <c:crosses val="autoZero"/>
        <c:auto val="1"/>
        <c:lblOffset val="100"/>
        <c:baseTimeUnit val="days"/>
      </c:dateAx>
      <c:valAx>
        <c:axId val="-187964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重量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7964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142725349369129"/>
          <c:y val="0.89461637888154366"/>
          <c:w val="0.40898027251517383"/>
          <c:h val="7.8110864461521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1"/>
          <c:order val="0"/>
          <c:tx>
            <c:v>2年級群個体数</c:v>
          </c:tx>
          <c:spPr>
            <a:solidFill>
              <a:srgbClr val="FF5050"/>
            </a:solidFill>
            <a:ln>
              <a:noFill/>
            </a:ln>
            <a:effectLst/>
          </c:spPr>
          <c:cat>
            <c:numRef>
              <c:f>'マアナゴ (本宮計算)'!$A$3:$A$367</c:f>
              <c:numCache>
                <c:formatCode>m/d/yyyy</c:formatCode>
                <c:ptCount val="365"/>
                <c:pt idx="0">
                  <c:v>41730</c:v>
                </c:pt>
                <c:pt idx="1">
                  <c:v>41731</c:v>
                </c:pt>
                <c:pt idx="2">
                  <c:v>41732</c:v>
                </c:pt>
                <c:pt idx="3">
                  <c:v>41733</c:v>
                </c:pt>
                <c:pt idx="4">
                  <c:v>41734</c:v>
                </c:pt>
                <c:pt idx="5">
                  <c:v>41735</c:v>
                </c:pt>
                <c:pt idx="6">
                  <c:v>41736</c:v>
                </c:pt>
                <c:pt idx="7">
                  <c:v>41737</c:v>
                </c:pt>
                <c:pt idx="8">
                  <c:v>41738</c:v>
                </c:pt>
                <c:pt idx="9">
                  <c:v>41739</c:v>
                </c:pt>
                <c:pt idx="10">
                  <c:v>41740</c:v>
                </c:pt>
                <c:pt idx="11">
                  <c:v>41741</c:v>
                </c:pt>
                <c:pt idx="12">
                  <c:v>41742</c:v>
                </c:pt>
                <c:pt idx="13">
                  <c:v>41743</c:v>
                </c:pt>
                <c:pt idx="14">
                  <c:v>41744</c:v>
                </c:pt>
                <c:pt idx="15">
                  <c:v>41745</c:v>
                </c:pt>
                <c:pt idx="16">
                  <c:v>41746</c:v>
                </c:pt>
                <c:pt idx="17">
                  <c:v>41747</c:v>
                </c:pt>
                <c:pt idx="18">
                  <c:v>41748</c:v>
                </c:pt>
                <c:pt idx="19">
                  <c:v>41749</c:v>
                </c:pt>
                <c:pt idx="20">
                  <c:v>41750</c:v>
                </c:pt>
                <c:pt idx="21">
                  <c:v>41751</c:v>
                </c:pt>
                <c:pt idx="22">
                  <c:v>41752</c:v>
                </c:pt>
                <c:pt idx="23">
                  <c:v>41753</c:v>
                </c:pt>
                <c:pt idx="24">
                  <c:v>41754</c:v>
                </c:pt>
                <c:pt idx="25">
                  <c:v>41755</c:v>
                </c:pt>
                <c:pt idx="26">
                  <c:v>41756</c:v>
                </c:pt>
                <c:pt idx="27">
                  <c:v>41757</c:v>
                </c:pt>
                <c:pt idx="28">
                  <c:v>41758</c:v>
                </c:pt>
                <c:pt idx="29">
                  <c:v>41759</c:v>
                </c:pt>
                <c:pt idx="30">
                  <c:v>41760</c:v>
                </c:pt>
                <c:pt idx="31">
                  <c:v>41761</c:v>
                </c:pt>
                <c:pt idx="32">
                  <c:v>41762</c:v>
                </c:pt>
                <c:pt idx="33">
                  <c:v>41763</c:v>
                </c:pt>
                <c:pt idx="34">
                  <c:v>41764</c:v>
                </c:pt>
                <c:pt idx="35">
                  <c:v>41765</c:v>
                </c:pt>
                <c:pt idx="36">
                  <c:v>41766</c:v>
                </c:pt>
                <c:pt idx="37">
                  <c:v>41767</c:v>
                </c:pt>
                <c:pt idx="38">
                  <c:v>41768</c:v>
                </c:pt>
                <c:pt idx="39">
                  <c:v>41769</c:v>
                </c:pt>
                <c:pt idx="40">
                  <c:v>41770</c:v>
                </c:pt>
                <c:pt idx="41">
                  <c:v>41771</c:v>
                </c:pt>
                <c:pt idx="42">
                  <c:v>41772</c:v>
                </c:pt>
                <c:pt idx="43">
                  <c:v>41773</c:v>
                </c:pt>
                <c:pt idx="44">
                  <c:v>41774</c:v>
                </c:pt>
                <c:pt idx="45">
                  <c:v>41775</c:v>
                </c:pt>
                <c:pt idx="46">
                  <c:v>41776</c:v>
                </c:pt>
                <c:pt idx="47">
                  <c:v>41777</c:v>
                </c:pt>
                <c:pt idx="48">
                  <c:v>41778</c:v>
                </c:pt>
                <c:pt idx="49">
                  <c:v>41779</c:v>
                </c:pt>
                <c:pt idx="50">
                  <c:v>41780</c:v>
                </c:pt>
                <c:pt idx="51">
                  <c:v>41781</c:v>
                </c:pt>
                <c:pt idx="52">
                  <c:v>41782</c:v>
                </c:pt>
                <c:pt idx="53">
                  <c:v>41783</c:v>
                </c:pt>
                <c:pt idx="54">
                  <c:v>41784</c:v>
                </c:pt>
                <c:pt idx="55">
                  <c:v>41785</c:v>
                </c:pt>
                <c:pt idx="56">
                  <c:v>41786</c:v>
                </c:pt>
                <c:pt idx="57">
                  <c:v>41787</c:v>
                </c:pt>
                <c:pt idx="58">
                  <c:v>41788</c:v>
                </c:pt>
                <c:pt idx="59">
                  <c:v>41789</c:v>
                </c:pt>
                <c:pt idx="60">
                  <c:v>41790</c:v>
                </c:pt>
                <c:pt idx="61">
                  <c:v>41791</c:v>
                </c:pt>
                <c:pt idx="62">
                  <c:v>41792</c:v>
                </c:pt>
                <c:pt idx="63">
                  <c:v>41793</c:v>
                </c:pt>
                <c:pt idx="64">
                  <c:v>41794</c:v>
                </c:pt>
                <c:pt idx="65">
                  <c:v>41795</c:v>
                </c:pt>
                <c:pt idx="66">
                  <c:v>41796</c:v>
                </c:pt>
                <c:pt idx="67">
                  <c:v>41797</c:v>
                </c:pt>
                <c:pt idx="68">
                  <c:v>41798</c:v>
                </c:pt>
                <c:pt idx="69">
                  <c:v>41799</c:v>
                </c:pt>
                <c:pt idx="70">
                  <c:v>41800</c:v>
                </c:pt>
                <c:pt idx="71">
                  <c:v>41801</c:v>
                </c:pt>
                <c:pt idx="72">
                  <c:v>41802</c:v>
                </c:pt>
                <c:pt idx="73">
                  <c:v>41803</c:v>
                </c:pt>
                <c:pt idx="74">
                  <c:v>41804</c:v>
                </c:pt>
                <c:pt idx="75">
                  <c:v>41805</c:v>
                </c:pt>
                <c:pt idx="76">
                  <c:v>41806</c:v>
                </c:pt>
                <c:pt idx="77">
                  <c:v>41807</c:v>
                </c:pt>
                <c:pt idx="78">
                  <c:v>41808</c:v>
                </c:pt>
                <c:pt idx="79">
                  <c:v>41809</c:v>
                </c:pt>
                <c:pt idx="80">
                  <c:v>41810</c:v>
                </c:pt>
                <c:pt idx="81">
                  <c:v>41811</c:v>
                </c:pt>
                <c:pt idx="82">
                  <c:v>41812</c:v>
                </c:pt>
                <c:pt idx="83">
                  <c:v>41813</c:v>
                </c:pt>
                <c:pt idx="84">
                  <c:v>41814</c:v>
                </c:pt>
                <c:pt idx="85">
                  <c:v>41815</c:v>
                </c:pt>
                <c:pt idx="86">
                  <c:v>41816</c:v>
                </c:pt>
                <c:pt idx="87">
                  <c:v>41817</c:v>
                </c:pt>
                <c:pt idx="88">
                  <c:v>41818</c:v>
                </c:pt>
                <c:pt idx="89">
                  <c:v>41819</c:v>
                </c:pt>
                <c:pt idx="90">
                  <c:v>41820</c:v>
                </c:pt>
                <c:pt idx="91">
                  <c:v>41821</c:v>
                </c:pt>
                <c:pt idx="92">
                  <c:v>41822</c:v>
                </c:pt>
                <c:pt idx="93">
                  <c:v>41823</c:v>
                </c:pt>
                <c:pt idx="94">
                  <c:v>41824</c:v>
                </c:pt>
                <c:pt idx="95">
                  <c:v>41825</c:v>
                </c:pt>
                <c:pt idx="96">
                  <c:v>41826</c:v>
                </c:pt>
                <c:pt idx="97">
                  <c:v>41827</c:v>
                </c:pt>
                <c:pt idx="98">
                  <c:v>41828</c:v>
                </c:pt>
                <c:pt idx="99">
                  <c:v>41829</c:v>
                </c:pt>
                <c:pt idx="100">
                  <c:v>41830</c:v>
                </c:pt>
                <c:pt idx="101">
                  <c:v>41831</c:v>
                </c:pt>
                <c:pt idx="102">
                  <c:v>41832</c:v>
                </c:pt>
                <c:pt idx="103">
                  <c:v>41833</c:v>
                </c:pt>
                <c:pt idx="104">
                  <c:v>41834</c:v>
                </c:pt>
                <c:pt idx="105">
                  <c:v>41835</c:v>
                </c:pt>
                <c:pt idx="106">
                  <c:v>41836</c:v>
                </c:pt>
                <c:pt idx="107">
                  <c:v>41837</c:v>
                </c:pt>
                <c:pt idx="108">
                  <c:v>41838</c:v>
                </c:pt>
                <c:pt idx="109">
                  <c:v>41839</c:v>
                </c:pt>
                <c:pt idx="110">
                  <c:v>41840</c:v>
                </c:pt>
                <c:pt idx="111">
                  <c:v>41841</c:v>
                </c:pt>
                <c:pt idx="112">
                  <c:v>41842</c:v>
                </c:pt>
                <c:pt idx="113">
                  <c:v>41843</c:v>
                </c:pt>
                <c:pt idx="114">
                  <c:v>41844</c:v>
                </c:pt>
                <c:pt idx="115">
                  <c:v>41845</c:v>
                </c:pt>
                <c:pt idx="116">
                  <c:v>41846</c:v>
                </c:pt>
                <c:pt idx="117">
                  <c:v>41847</c:v>
                </c:pt>
                <c:pt idx="118">
                  <c:v>41848</c:v>
                </c:pt>
                <c:pt idx="119">
                  <c:v>41849</c:v>
                </c:pt>
                <c:pt idx="120">
                  <c:v>41850</c:v>
                </c:pt>
                <c:pt idx="121">
                  <c:v>41851</c:v>
                </c:pt>
                <c:pt idx="122">
                  <c:v>41852</c:v>
                </c:pt>
                <c:pt idx="123">
                  <c:v>41853</c:v>
                </c:pt>
                <c:pt idx="124">
                  <c:v>41854</c:v>
                </c:pt>
                <c:pt idx="125">
                  <c:v>41855</c:v>
                </c:pt>
                <c:pt idx="126">
                  <c:v>41856</c:v>
                </c:pt>
                <c:pt idx="127">
                  <c:v>41857</c:v>
                </c:pt>
                <c:pt idx="128">
                  <c:v>41858</c:v>
                </c:pt>
                <c:pt idx="129">
                  <c:v>41859</c:v>
                </c:pt>
                <c:pt idx="130">
                  <c:v>41860</c:v>
                </c:pt>
                <c:pt idx="131">
                  <c:v>41861</c:v>
                </c:pt>
                <c:pt idx="132">
                  <c:v>41862</c:v>
                </c:pt>
                <c:pt idx="133">
                  <c:v>41863</c:v>
                </c:pt>
                <c:pt idx="134">
                  <c:v>41864</c:v>
                </c:pt>
                <c:pt idx="135">
                  <c:v>41865</c:v>
                </c:pt>
                <c:pt idx="136">
                  <c:v>41866</c:v>
                </c:pt>
                <c:pt idx="137">
                  <c:v>41867</c:v>
                </c:pt>
                <c:pt idx="138">
                  <c:v>41868</c:v>
                </c:pt>
                <c:pt idx="139">
                  <c:v>41869</c:v>
                </c:pt>
                <c:pt idx="140">
                  <c:v>41870</c:v>
                </c:pt>
                <c:pt idx="141">
                  <c:v>41871</c:v>
                </c:pt>
                <c:pt idx="142">
                  <c:v>41872</c:v>
                </c:pt>
                <c:pt idx="143">
                  <c:v>41873</c:v>
                </c:pt>
                <c:pt idx="144">
                  <c:v>41874</c:v>
                </c:pt>
                <c:pt idx="145">
                  <c:v>41875</c:v>
                </c:pt>
                <c:pt idx="146">
                  <c:v>41876</c:v>
                </c:pt>
                <c:pt idx="147">
                  <c:v>41877</c:v>
                </c:pt>
                <c:pt idx="148">
                  <c:v>41878</c:v>
                </c:pt>
                <c:pt idx="149">
                  <c:v>41879</c:v>
                </c:pt>
                <c:pt idx="150">
                  <c:v>41880</c:v>
                </c:pt>
                <c:pt idx="151">
                  <c:v>41881</c:v>
                </c:pt>
                <c:pt idx="152">
                  <c:v>41882</c:v>
                </c:pt>
                <c:pt idx="153">
                  <c:v>41883</c:v>
                </c:pt>
                <c:pt idx="154">
                  <c:v>41884</c:v>
                </c:pt>
                <c:pt idx="155">
                  <c:v>41885</c:v>
                </c:pt>
                <c:pt idx="156">
                  <c:v>41886</c:v>
                </c:pt>
                <c:pt idx="157">
                  <c:v>41887</c:v>
                </c:pt>
                <c:pt idx="158">
                  <c:v>41888</c:v>
                </c:pt>
                <c:pt idx="159">
                  <c:v>41889</c:v>
                </c:pt>
                <c:pt idx="160">
                  <c:v>41890</c:v>
                </c:pt>
                <c:pt idx="161">
                  <c:v>41891</c:v>
                </c:pt>
                <c:pt idx="162">
                  <c:v>41892</c:v>
                </c:pt>
                <c:pt idx="163">
                  <c:v>41893</c:v>
                </c:pt>
                <c:pt idx="164">
                  <c:v>41894</c:v>
                </c:pt>
                <c:pt idx="165">
                  <c:v>41895</c:v>
                </c:pt>
                <c:pt idx="166">
                  <c:v>41896</c:v>
                </c:pt>
                <c:pt idx="167">
                  <c:v>41897</c:v>
                </c:pt>
                <c:pt idx="168">
                  <c:v>41898</c:v>
                </c:pt>
                <c:pt idx="169">
                  <c:v>41899</c:v>
                </c:pt>
                <c:pt idx="170">
                  <c:v>41900</c:v>
                </c:pt>
                <c:pt idx="171">
                  <c:v>41901</c:v>
                </c:pt>
                <c:pt idx="172">
                  <c:v>41902</c:v>
                </c:pt>
                <c:pt idx="173">
                  <c:v>41903</c:v>
                </c:pt>
                <c:pt idx="174">
                  <c:v>41904</c:v>
                </c:pt>
                <c:pt idx="175">
                  <c:v>41905</c:v>
                </c:pt>
                <c:pt idx="176">
                  <c:v>41906</c:v>
                </c:pt>
                <c:pt idx="177">
                  <c:v>41907</c:v>
                </c:pt>
                <c:pt idx="178">
                  <c:v>41908</c:v>
                </c:pt>
                <c:pt idx="179">
                  <c:v>41909</c:v>
                </c:pt>
                <c:pt idx="180">
                  <c:v>41910</c:v>
                </c:pt>
                <c:pt idx="181">
                  <c:v>41911</c:v>
                </c:pt>
                <c:pt idx="182">
                  <c:v>41912</c:v>
                </c:pt>
                <c:pt idx="183">
                  <c:v>41913</c:v>
                </c:pt>
                <c:pt idx="184">
                  <c:v>41914</c:v>
                </c:pt>
                <c:pt idx="185">
                  <c:v>41915</c:v>
                </c:pt>
                <c:pt idx="186">
                  <c:v>41916</c:v>
                </c:pt>
                <c:pt idx="187">
                  <c:v>41917</c:v>
                </c:pt>
                <c:pt idx="188">
                  <c:v>41918</c:v>
                </c:pt>
                <c:pt idx="189">
                  <c:v>41919</c:v>
                </c:pt>
                <c:pt idx="190">
                  <c:v>41920</c:v>
                </c:pt>
                <c:pt idx="191">
                  <c:v>41921</c:v>
                </c:pt>
                <c:pt idx="192">
                  <c:v>41922</c:v>
                </c:pt>
                <c:pt idx="193">
                  <c:v>41923</c:v>
                </c:pt>
                <c:pt idx="194">
                  <c:v>41924</c:v>
                </c:pt>
                <c:pt idx="195">
                  <c:v>41925</c:v>
                </c:pt>
                <c:pt idx="196">
                  <c:v>41926</c:v>
                </c:pt>
                <c:pt idx="197">
                  <c:v>41927</c:v>
                </c:pt>
                <c:pt idx="198">
                  <c:v>41928</c:v>
                </c:pt>
                <c:pt idx="199">
                  <c:v>41929</c:v>
                </c:pt>
                <c:pt idx="200">
                  <c:v>41930</c:v>
                </c:pt>
                <c:pt idx="201">
                  <c:v>41931</c:v>
                </c:pt>
                <c:pt idx="202">
                  <c:v>41932</c:v>
                </c:pt>
                <c:pt idx="203">
                  <c:v>41933</c:v>
                </c:pt>
                <c:pt idx="204">
                  <c:v>41934</c:v>
                </c:pt>
                <c:pt idx="205">
                  <c:v>41935</c:v>
                </c:pt>
                <c:pt idx="206">
                  <c:v>41936</c:v>
                </c:pt>
                <c:pt idx="207">
                  <c:v>41937</c:v>
                </c:pt>
                <c:pt idx="208">
                  <c:v>41938</c:v>
                </c:pt>
                <c:pt idx="209">
                  <c:v>41939</c:v>
                </c:pt>
                <c:pt idx="210">
                  <c:v>41940</c:v>
                </c:pt>
                <c:pt idx="211">
                  <c:v>41941</c:v>
                </c:pt>
                <c:pt idx="212">
                  <c:v>41942</c:v>
                </c:pt>
                <c:pt idx="213">
                  <c:v>41943</c:v>
                </c:pt>
                <c:pt idx="214">
                  <c:v>41944</c:v>
                </c:pt>
                <c:pt idx="215">
                  <c:v>41945</c:v>
                </c:pt>
                <c:pt idx="216">
                  <c:v>41946</c:v>
                </c:pt>
                <c:pt idx="217">
                  <c:v>41947</c:v>
                </c:pt>
                <c:pt idx="218">
                  <c:v>41948</c:v>
                </c:pt>
                <c:pt idx="219">
                  <c:v>41949</c:v>
                </c:pt>
                <c:pt idx="220">
                  <c:v>41950</c:v>
                </c:pt>
                <c:pt idx="221">
                  <c:v>41951</c:v>
                </c:pt>
                <c:pt idx="222">
                  <c:v>41952</c:v>
                </c:pt>
                <c:pt idx="223">
                  <c:v>41953</c:v>
                </c:pt>
                <c:pt idx="224">
                  <c:v>41954</c:v>
                </c:pt>
                <c:pt idx="225">
                  <c:v>41955</c:v>
                </c:pt>
                <c:pt idx="226">
                  <c:v>41956</c:v>
                </c:pt>
                <c:pt idx="227">
                  <c:v>41957</c:v>
                </c:pt>
                <c:pt idx="228">
                  <c:v>41958</c:v>
                </c:pt>
                <c:pt idx="229">
                  <c:v>41959</c:v>
                </c:pt>
                <c:pt idx="230">
                  <c:v>41960</c:v>
                </c:pt>
                <c:pt idx="231">
                  <c:v>41961</c:v>
                </c:pt>
                <c:pt idx="232">
                  <c:v>41962</c:v>
                </c:pt>
                <c:pt idx="233">
                  <c:v>41963</c:v>
                </c:pt>
                <c:pt idx="234">
                  <c:v>41964</c:v>
                </c:pt>
                <c:pt idx="235">
                  <c:v>41965</c:v>
                </c:pt>
                <c:pt idx="236">
                  <c:v>41966</c:v>
                </c:pt>
                <c:pt idx="237">
                  <c:v>41967</c:v>
                </c:pt>
                <c:pt idx="238">
                  <c:v>41968</c:v>
                </c:pt>
                <c:pt idx="239">
                  <c:v>41969</c:v>
                </c:pt>
                <c:pt idx="240">
                  <c:v>41970</c:v>
                </c:pt>
                <c:pt idx="241">
                  <c:v>41971</c:v>
                </c:pt>
                <c:pt idx="242">
                  <c:v>41972</c:v>
                </c:pt>
                <c:pt idx="243">
                  <c:v>41973</c:v>
                </c:pt>
                <c:pt idx="244">
                  <c:v>41974</c:v>
                </c:pt>
                <c:pt idx="245">
                  <c:v>41975</c:v>
                </c:pt>
                <c:pt idx="246">
                  <c:v>41976</c:v>
                </c:pt>
                <c:pt idx="247">
                  <c:v>41977</c:v>
                </c:pt>
                <c:pt idx="248">
                  <c:v>41978</c:v>
                </c:pt>
                <c:pt idx="249">
                  <c:v>41979</c:v>
                </c:pt>
                <c:pt idx="250">
                  <c:v>41980</c:v>
                </c:pt>
                <c:pt idx="251">
                  <c:v>41981</c:v>
                </c:pt>
                <c:pt idx="252">
                  <c:v>41982</c:v>
                </c:pt>
                <c:pt idx="253">
                  <c:v>41983</c:v>
                </c:pt>
                <c:pt idx="254">
                  <c:v>41984</c:v>
                </c:pt>
                <c:pt idx="255">
                  <c:v>41985</c:v>
                </c:pt>
                <c:pt idx="256">
                  <c:v>41986</c:v>
                </c:pt>
                <c:pt idx="257">
                  <c:v>41987</c:v>
                </c:pt>
                <c:pt idx="258">
                  <c:v>41988</c:v>
                </c:pt>
                <c:pt idx="259">
                  <c:v>41989</c:v>
                </c:pt>
                <c:pt idx="260">
                  <c:v>41990</c:v>
                </c:pt>
                <c:pt idx="261">
                  <c:v>41991</c:v>
                </c:pt>
                <c:pt idx="262">
                  <c:v>41992</c:v>
                </c:pt>
                <c:pt idx="263">
                  <c:v>41993</c:v>
                </c:pt>
                <c:pt idx="264">
                  <c:v>41994</c:v>
                </c:pt>
                <c:pt idx="265">
                  <c:v>41995</c:v>
                </c:pt>
                <c:pt idx="266">
                  <c:v>41996</c:v>
                </c:pt>
                <c:pt idx="267">
                  <c:v>41997</c:v>
                </c:pt>
                <c:pt idx="268">
                  <c:v>41998</c:v>
                </c:pt>
                <c:pt idx="269">
                  <c:v>41999</c:v>
                </c:pt>
                <c:pt idx="270">
                  <c:v>42000</c:v>
                </c:pt>
                <c:pt idx="271">
                  <c:v>42001</c:v>
                </c:pt>
                <c:pt idx="272">
                  <c:v>42002</c:v>
                </c:pt>
                <c:pt idx="273">
                  <c:v>42003</c:v>
                </c:pt>
                <c:pt idx="274">
                  <c:v>42004</c:v>
                </c:pt>
                <c:pt idx="275">
                  <c:v>42005</c:v>
                </c:pt>
                <c:pt idx="276">
                  <c:v>42006</c:v>
                </c:pt>
                <c:pt idx="277">
                  <c:v>42007</c:v>
                </c:pt>
                <c:pt idx="278">
                  <c:v>42008</c:v>
                </c:pt>
                <c:pt idx="279">
                  <c:v>42009</c:v>
                </c:pt>
                <c:pt idx="280">
                  <c:v>42010</c:v>
                </c:pt>
                <c:pt idx="281">
                  <c:v>42011</c:v>
                </c:pt>
                <c:pt idx="282">
                  <c:v>42012</c:v>
                </c:pt>
                <c:pt idx="283">
                  <c:v>42013</c:v>
                </c:pt>
                <c:pt idx="284">
                  <c:v>42014</c:v>
                </c:pt>
                <c:pt idx="285">
                  <c:v>42015</c:v>
                </c:pt>
                <c:pt idx="286">
                  <c:v>42016</c:v>
                </c:pt>
                <c:pt idx="287">
                  <c:v>42017</c:v>
                </c:pt>
                <c:pt idx="288">
                  <c:v>42018</c:v>
                </c:pt>
                <c:pt idx="289">
                  <c:v>42019</c:v>
                </c:pt>
                <c:pt idx="290">
                  <c:v>42020</c:v>
                </c:pt>
                <c:pt idx="291">
                  <c:v>42021</c:v>
                </c:pt>
                <c:pt idx="292">
                  <c:v>42022</c:v>
                </c:pt>
                <c:pt idx="293">
                  <c:v>42023</c:v>
                </c:pt>
                <c:pt idx="294">
                  <c:v>42024</c:v>
                </c:pt>
                <c:pt idx="295">
                  <c:v>42025</c:v>
                </c:pt>
                <c:pt idx="296">
                  <c:v>42026</c:v>
                </c:pt>
                <c:pt idx="297">
                  <c:v>42027</c:v>
                </c:pt>
                <c:pt idx="298">
                  <c:v>42028</c:v>
                </c:pt>
                <c:pt idx="299">
                  <c:v>42029</c:v>
                </c:pt>
                <c:pt idx="300">
                  <c:v>42030</c:v>
                </c:pt>
                <c:pt idx="301">
                  <c:v>42031</c:v>
                </c:pt>
                <c:pt idx="302">
                  <c:v>42032</c:v>
                </c:pt>
                <c:pt idx="303">
                  <c:v>42033</c:v>
                </c:pt>
                <c:pt idx="304">
                  <c:v>42034</c:v>
                </c:pt>
                <c:pt idx="305">
                  <c:v>42035</c:v>
                </c:pt>
                <c:pt idx="306">
                  <c:v>42036</c:v>
                </c:pt>
                <c:pt idx="307">
                  <c:v>42037</c:v>
                </c:pt>
                <c:pt idx="308">
                  <c:v>42038</c:v>
                </c:pt>
                <c:pt idx="309">
                  <c:v>42039</c:v>
                </c:pt>
                <c:pt idx="310">
                  <c:v>42040</c:v>
                </c:pt>
                <c:pt idx="311">
                  <c:v>42041</c:v>
                </c:pt>
                <c:pt idx="312">
                  <c:v>42042</c:v>
                </c:pt>
                <c:pt idx="313">
                  <c:v>42043</c:v>
                </c:pt>
                <c:pt idx="314">
                  <c:v>42044</c:v>
                </c:pt>
                <c:pt idx="315">
                  <c:v>42045</c:v>
                </c:pt>
                <c:pt idx="316">
                  <c:v>42046</c:v>
                </c:pt>
                <c:pt idx="317">
                  <c:v>42047</c:v>
                </c:pt>
                <c:pt idx="318">
                  <c:v>42048</c:v>
                </c:pt>
                <c:pt idx="319">
                  <c:v>42049</c:v>
                </c:pt>
                <c:pt idx="320">
                  <c:v>42050</c:v>
                </c:pt>
                <c:pt idx="321">
                  <c:v>42051</c:v>
                </c:pt>
                <c:pt idx="322">
                  <c:v>42052</c:v>
                </c:pt>
                <c:pt idx="323">
                  <c:v>42053</c:v>
                </c:pt>
                <c:pt idx="324">
                  <c:v>42054</c:v>
                </c:pt>
                <c:pt idx="325">
                  <c:v>42055</c:v>
                </c:pt>
                <c:pt idx="326">
                  <c:v>42056</c:v>
                </c:pt>
                <c:pt idx="327">
                  <c:v>42057</c:v>
                </c:pt>
                <c:pt idx="328">
                  <c:v>42058</c:v>
                </c:pt>
                <c:pt idx="329">
                  <c:v>42059</c:v>
                </c:pt>
                <c:pt idx="330">
                  <c:v>42060</c:v>
                </c:pt>
                <c:pt idx="331">
                  <c:v>42061</c:v>
                </c:pt>
                <c:pt idx="332">
                  <c:v>42062</c:v>
                </c:pt>
                <c:pt idx="333">
                  <c:v>42063</c:v>
                </c:pt>
                <c:pt idx="334">
                  <c:v>42064</c:v>
                </c:pt>
                <c:pt idx="335">
                  <c:v>42065</c:v>
                </c:pt>
                <c:pt idx="336">
                  <c:v>42066</c:v>
                </c:pt>
                <c:pt idx="337">
                  <c:v>42067</c:v>
                </c:pt>
                <c:pt idx="338">
                  <c:v>42068</c:v>
                </c:pt>
                <c:pt idx="339">
                  <c:v>42069</c:v>
                </c:pt>
                <c:pt idx="340">
                  <c:v>42070</c:v>
                </c:pt>
                <c:pt idx="341">
                  <c:v>42071</c:v>
                </c:pt>
                <c:pt idx="342">
                  <c:v>42072</c:v>
                </c:pt>
                <c:pt idx="343">
                  <c:v>42073</c:v>
                </c:pt>
                <c:pt idx="344">
                  <c:v>42074</c:v>
                </c:pt>
                <c:pt idx="345">
                  <c:v>42075</c:v>
                </c:pt>
                <c:pt idx="346">
                  <c:v>42076</c:v>
                </c:pt>
                <c:pt idx="347">
                  <c:v>42077</c:v>
                </c:pt>
                <c:pt idx="348">
                  <c:v>42078</c:v>
                </c:pt>
                <c:pt idx="349">
                  <c:v>42079</c:v>
                </c:pt>
                <c:pt idx="350">
                  <c:v>42080</c:v>
                </c:pt>
                <c:pt idx="351">
                  <c:v>42081</c:v>
                </c:pt>
                <c:pt idx="352">
                  <c:v>42082</c:v>
                </c:pt>
                <c:pt idx="353">
                  <c:v>42083</c:v>
                </c:pt>
                <c:pt idx="354">
                  <c:v>42084</c:v>
                </c:pt>
                <c:pt idx="355">
                  <c:v>42085</c:v>
                </c:pt>
                <c:pt idx="356">
                  <c:v>42086</c:v>
                </c:pt>
                <c:pt idx="357">
                  <c:v>42087</c:v>
                </c:pt>
                <c:pt idx="358">
                  <c:v>42088</c:v>
                </c:pt>
                <c:pt idx="359">
                  <c:v>42089</c:v>
                </c:pt>
                <c:pt idx="360">
                  <c:v>42090</c:v>
                </c:pt>
                <c:pt idx="361">
                  <c:v>42091</c:v>
                </c:pt>
                <c:pt idx="362">
                  <c:v>42092</c:v>
                </c:pt>
                <c:pt idx="363">
                  <c:v>42093</c:v>
                </c:pt>
                <c:pt idx="364">
                  <c:v>42094</c:v>
                </c:pt>
              </c:numCache>
            </c:numRef>
          </c:cat>
          <c:val>
            <c:numRef>
              <c:f>'マアナゴ (本宮計算)'!$M$3:$M$367</c:f>
              <c:numCache>
                <c:formatCode>0</c:formatCode>
                <c:ptCount val="365"/>
                <c:pt idx="0">
                  <c:v>6250.9516046846356</c:v>
                </c:pt>
                <c:pt idx="1">
                  <c:v>6233.2973544722381</c:v>
                </c:pt>
                <c:pt idx="2">
                  <c:v>6217.13300052054</c:v>
                </c:pt>
                <c:pt idx="3">
                  <c:v>6198.1317208121682</c:v>
                </c:pt>
                <c:pt idx="4">
                  <c:v>6176.9874396329269</c:v>
                </c:pt>
                <c:pt idx="5">
                  <c:v>6158.6596746725418</c:v>
                </c:pt>
                <c:pt idx="6">
                  <c:v>6138.7603753001868</c:v>
                </c:pt>
                <c:pt idx="7">
                  <c:v>6119.0039426925559</c:v>
                </c:pt>
                <c:pt idx="8">
                  <c:v>6101.7578832365143</c:v>
                </c:pt>
                <c:pt idx="9">
                  <c:v>6080.2462303765524</c:v>
                </c:pt>
                <c:pt idx="10">
                  <c:v>6058.5917107518671</c:v>
                </c:pt>
                <c:pt idx="11">
                  <c:v>6041.427289447096</c:v>
                </c:pt>
                <c:pt idx="12">
                  <c:v>6021.323894696563</c:v>
                </c:pt>
                <c:pt idx="13">
                  <c:v>6001.4041857863895</c:v>
                </c:pt>
                <c:pt idx="14">
                  <c:v>5982.4029060780167</c:v>
                </c:pt>
                <c:pt idx="15">
                  <c:v>5960.8504341424205</c:v>
                </c:pt>
                <c:pt idx="16">
                  <c:v>5940.7878584675218</c:v>
                </c:pt>
                <c:pt idx="17">
                  <c:v>5923.5622085492987</c:v>
                </c:pt>
                <c:pt idx="18">
                  <c:v>5903.4384042609472</c:v>
                </c:pt>
                <c:pt idx="19">
                  <c:v>5881.783884636262</c:v>
                </c:pt>
                <c:pt idx="20">
                  <c:v>5862.6805572388002</c:v>
                </c:pt>
                <c:pt idx="21">
                  <c:v>5842.6996197151739</c:v>
                </c:pt>
                <c:pt idx="22">
                  <c:v>5822.5962249646409</c:v>
                </c:pt>
                <c:pt idx="23">
                  <c:v>5805.3297559707808</c:v>
                </c:pt>
                <c:pt idx="24">
                  <c:v>5783.4303218922814</c:v>
                </c:pt>
                <c:pt idx="25">
                  <c:v>5761.7145736541424</c:v>
                </c:pt>
                <c:pt idx="26">
                  <c:v>5744.2440092821043</c:v>
                </c:pt>
                <c:pt idx="27">
                  <c:v>5724.2426622206603</c:v>
                </c:pt>
                <c:pt idx="28">
                  <c:v>5704.0780388566727</c:v>
                </c:pt>
                <c:pt idx="29">
                  <c:v>5685.0359400726657</c:v>
                </c:pt>
                <c:pt idx="30">
                  <c:v>5654.993100404864</c:v>
                </c:pt>
                <c:pt idx="31">
                  <c:v>5626.9503954432057</c:v>
                </c:pt>
                <c:pt idx="32">
                  <c:v>5602.7855026669304</c:v>
                </c:pt>
                <c:pt idx="33">
                  <c:v>5574.5795214027303</c:v>
                </c:pt>
                <c:pt idx="34">
                  <c:v>5542.8018710204142</c:v>
                </c:pt>
                <c:pt idx="35">
                  <c:v>5515.4734998823806</c:v>
                </c:pt>
                <c:pt idx="36">
                  <c:v>5486.8185087861884</c:v>
                </c:pt>
                <c:pt idx="37">
                  <c:v>5458.4900702950818</c:v>
                </c:pt>
                <c:pt idx="38">
                  <c:v>5434.1823107540813</c:v>
                </c:pt>
                <c:pt idx="39">
                  <c:v>5402.710803439033</c:v>
                </c:pt>
                <c:pt idx="40">
                  <c:v>5371.178067510531</c:v>
                </c:pt>
                <c:pt idx="41">
                  <c:v>5347.2784987258865</c:v>
                </c:pt>
                <c:pt idx="42">
                  <c:v>5318.9704697725974</c:v>
                </c:pt>
                <c:pt idx="43">
                  <c:v>5291.0094029622114</c:v>
                </c:pt>
                <c:pt idx="44">
                  <c:v>5263.7422604376297</c:v>
                </c:pt>
                <c:pt idx="45">
                  <c:v>5232.6585343411198</c:v>
                </c:pt>
                <c:pt idx="46">
                  <c:v>5204.6362389172791</c:v>
                </c:pt>
                <c:pt idx="47">
                  <c:v>5180.9203559729958</c:v>
                </c:pt>
                <c:pt idx="48">
                  <c:v>5152.8572414735199</c:v>
                </c:pt>
                <c:pt idx="49">
                  <c:v>5121.9572012173712</c:v>
                </c:pt>
                <c:pt idx="50">
                  <c:v>5094.4247347011569</c:v>
                </c:pt>
                <c:pt idx="51">
                  <c:v>5066.3003915882291</c:v>
                </c:pt>
                <c:pt idx="52">
                  <c:v>5037.5637623407656</c:v>
                </c:pt>
                <c:pt idx="53">
                  <c:v>5013.1335455728586</c:v>
                </c:pt>
                <c:pt idx="54">
                  <c:v>4979.9680466189329</c:v>
                </c:pt>
                <c:pt idx="55">
                  <c:v>4947.3536051860883</c:v>
                </c:pt>
                <c:pt idx="56">
                  <c:v>4921.4947207709347</c:v>
                </c:pt>
                <c:pt idx="57">
                  <c:v>4891.5131097165859</c:v>
                </c:pt>
                <c:pt idx="58">
                  <c:v>4860.3681550066231</c:v>
                </c:pt>
                <c:pt idx="59">
                  <c:v>4830.7335060951773</c:v>
                </c:pt>
                <c:pt idx="60">
                  <c:v>4796.4046634856359</c:v>
                </c:pt>
                <c:pt idx="61">
                  <c:v>4765.8515853723893</c:v>
                </c:pt>
                <c:pt idx="62">
                  <c:v>4733.1963248639086</c:v>
                </c:pt>
                <c:pt idx="63">
                  <c:v>4695.9897374220582</c:v>
                </c:pt>
                <c:pt idx="64">
                  <c:v>4654.0277276686611</c:v>
                </c:pt>
                <c:pt idx="65">
                  <c:v>4617.9232552689718</c:v>
                </c:pt>
                <c:pt idx="66">
                  <c:v>4580.8595345918457</c:v>
                </c:pt>
                <c:pt idx="67">
                  <c:v>4544.5917858896146</c:v>
                </c:pt>
                <c:pt idx="68">
                  <c:v>4512.4263542887611</c:v>
                </c:pt>
                <c:pt idx="69">
                  <c:v>4470.9541734429913</c:v>
                </c:pt>
                <c:pt idx="70">
                  <c:v>4429.4003544459501</c:v>
                </c:pt>
                <c:pt idx="71">
                  <c:v>4397.7859803661768</c:v>
                </c:pt>
                <c:pt idx="72">
                  <c:v>4359.7017827981617</c:v>
                </c:pt>
                <c:pt idx="73">
                  <c:v>4321.3318517006965</c:v>
                </c:pt>
                <c:pt idx="74">
                  <c:v>4282.1047200148842</c:v>
                </c:pt>
                <c:pt idx="75">
                  <c:v>4238.8977284546008</c:v>
                </c:pt>
                <c:pt idx="76">
                  <c:v>4200.7727118109487</c:v>
                </c:pt>
                <c:pt idx="77">
                  <c:v>4167.4031174788461</c:v>
                </c:pt>
                <c:pt idx="78">
                  <c:v>4126.9310039861475</c:v>
                </c:pt>
                <c:pt idx="79">
                  <c:v>4080.88708666919</c:v>
                </c:pt>
                <c:pt idx="80">
                  <c:v>4040.8231639328474</c:v>
                </c:pt>
                <c:pt idx="81">
                  <c:v>4001.2898891797686</c:v>
                </c:pt>
                <c:pt idx="82">
                  <c:v>3964.2261685026424</c:v>
                </c:pt>
                <c:pt idx="83">
                  <c:v>3933.3057187086756</c:v>
                </c:pt>
                <c:pt idx="84">
                  <c:v>3890.8742895854684</c:v>
                </c:pt>
                <c:pt idx="85">
                  <c:v>3849.1980133615202</c:v>
                </c:pt>
                <c:pt idx="86">
                  <c:v>3819.4000881475313</c:v>
                </c:pt>
                <c:pt idx="87">
                  <c:v>3784.8467406219952</c:v>
                </c:pt>
                <c:pt idx="88">
                  <c:v>3750.6199457015437</c:v>
                </c:pt>
                <c:pt idx="89">
                  <c:v>3715.6175883440164</c:v>
                </c:pt>
                <c:pt idx="90">
                  <c:v>3668.9409753547066</c:v>
                </c:pt>
                <c:pt idx="91">
                  <c:v>3627.5504326602077</c:v>
                </c:pt>
                <c:pt idx="92">
                  <c:v>3601.2221288752448</c:v>
                </c:pt>
                <c:pt idx="93">
                  <c:v>3569.5669357198362</c:v>
                </c:pt>
                <c:pt idx="94">
                  <c:v>3533.911473152139</c:v>
                </c:pt>
                <c:pt idx="95">
                  <c:v>3504.3584623919642</c:v>
                </c:pt>
                <c:pt idx="96">
                  <c:v>3473.0298218416406</c:v>
                </c:pt>
                <c:pt idx="97">
                  <c:v>3442.027733896402</c:v>
                </c:pt>
                <c:pt idx="98">
                  <c:v>3415.2912393550837</c:v>
                </c:pt>
                <c:pt idx="99">
                  <c:v>3383.819732040035</c:v>
                </c:pt>
                <c:pt idx="100">
                  <c:v>3353.3278825402408</c:v>
                </c:pt>
                <c:pt idx="101">
                  <c:v>3329.5099519068685</c:v>
                </c:pt>
                <c:pt idx="102">
                  <c:v>3301.9366663150199</c:v>
                </c:pt>
                <c:pt idx="103">
                  <c:v>3272.2611983279376</c:v>
                </c:pt>
                <c:pt idx="104">
                  <c:v>3249.0963729047348</c:v>
                </c:pt>
                <c:pt idx="105">
                  <c:v>3220.7883439514458</c:v>
                </c:pt>
                <c:pt idx="106">
                  <c:v>3195.6846124355507</c:v>
                </c:pt>
                <c:pt idx="107">
                  <c:v>3178.132409912243</c:v>
                </c:pt>
                <c:pt idx="108">
                  <c:v>3153.1103165476197</c:v>
                </c:pt>
                <c:pt idx="109">
                  <c:v>3125.82276448522</c:v>
                </c:pt>
                <c:pt idx="110">
                  <c:v>3106.1683795666786</c:v>
                </c:pt>
                <c:pt idx="111">
                  <c:v>3081.7177532609535</c:v>
                </c:pt>
                <c:pt idx="112">
                  <c:v>3057.5732700224958</c:v>
                </c:pt>
                <c:pt idx="113">
                  <c:v>3041.3680969951624</c:v>
                </c:pt>
                <c:pt idx="114">
                  <c:v>3015.6724888825515</c:v>
                </c:pt>
                <c:pt idx="115">
                  <c:v>2990.4054810641146</c:v>
                </c:pt>
                <c:pt idx="116">
                  <c:v>2974.9554609360398</c:v>
                </c:pt>
                <c:pt idx="117">
                  <c:v>2952.1375976557388</c:v>
                </c:pt>
                <c:pt idx="118">
                  <c:v>2929.6054679048871</c:v>
                </c:pt>
                <c:pt idx="119">
                  <c:v>2912.7675992052023</c:v>
                </c:pt>
                <c:pt idx="120">
                  <c:v>2888.5414778154727</c:v>
                </c:pt>
                <c:pt idx="121">
                  <c:v>2866.8053200395157</c:v>
                </c:pt>
                <c:pt idx="122">
                  <c:v>2847.0488874318844</c:v>
                </c:pt>
                <c:pt idx="123">
                  <c:v>2822.7819469665196</c:v>
                </c:pt>
                <c:pt idx="124">
                  <c:v>2796.9434720891845</c:v>
                </c:pt>
                <c:pt idx="125">
                  <c:v>2776.0849244393926</c:v>
                </c:pt>
                <c:pt idx="126">
                  <c:v>2750.9403738478622</c:v>
                </c:pt>
                <c:pt idx="127">
                  <c:v>2726.3876998530486</c:v>
                </c:pt>
                <c:pt idx="128">
                  <c:v>2707.5088773715829</c:v>
                </c:pt>
                <c:pt idx="129">
                  <c:v>2683.0174319902226</c:v>
                </c:pt>
                <c:pt idx="130">
                  <c:v>2658.1790244659601</c:v>
                </c:pt>
                <c:pt idx="131">
                  <c:v>2639.871669043393</c:v>
                </c:pt>
                <c:pt idx="132">
                  <c:v>2615.5639095023921</c:v>
                </c:pt>
                <c:pt idx="133">
                  <c:v>2591.1949213479384</c:v>
                </c:pt>
                <c:pt idx="134">
                  <c:v>2569.1118014290787</c:v>
                </c:pt>
                <c:pt idx="135">
                  <c:v>2543.7835649971885</c:v>
                </c:pt>
                <c:pt idx="136">
                  <c:v>2520.1493202041756</c:v>
                </c:pt>
                <c:pt idx="137">
                  <c:v>2501.6378694034306</c:v>
                </c:pt>
                <c:pt idx="138">
                  <c:v>2476.9015095682562</c:v>
                </c:pt>
                <c:pt idx="139">
                  <c:v>2451.1854919178281</c:v>
                </c:pt>
                <c:pt idx="140">
                  <c:v>2429.102371998968</c:v>
                </c:pt>
                <c:pt idx="141">
                  <c:v>2405.5293558194085</c:v>
                </c:pt>
                <c:pt idx="142">
                  <c:v>2381.8542919507599</c:v>
                </c:pt>
                <c:pt idx="143">
                  <c:v>2362.7713740911167</c:v>
                </c:pt>
                <c:pt idx="144">
                  <c:v>2337.8717379534</c:v>
                </c:pt>
                <c:pt idx="145">
                  <c:v>2313.441521185493</c:v>
                </c:pt>
                <c:pt idx="146">
                  <c:v>2293.8891839560406</c:v>
                </c:pt>
                <c:pt idx="147">
                  <c:v>2271.2754160539175</c:v>
                </c:pt>
                <c:pt idx="148">
                  <c:v>2248.4371432357989</c:v>
                </c:pt>
                <c:pt idx="149">
                  <c:v>2228.7215297038038</c:v>
                </c:pt>
                <c:pt idx="150">
                  <c:v>2205.1893325998799</c:v>
                </c:pt>
                <c:pt idx="151">
                  <c:v>2183.5756320508294</c:v>
                </c:pt>
                <c:pt idx="152">
                  <c:v>2165.7785150737072</c:v>
                </c:pt>
                <c:pt idx="153">
                  <c:v>1951.3722383901502</c:v>
                </c:pt>
                <c:pt idx="154">
                  <c:v>1815.2569487756759</c:v>
                </c:pt>
                <c:pt idx="155">
                  <c:v>1742.4867416863085</c:v>
                </c:pt>
                <c:pt idx="156">
                  <c:v>1686.6033861873893</c:v>
                </c:pt>
                <c:pt idx="157">
                  <c:v>1643.4902785010679</c:v>
                </c:pt>
                <c:pt idx="158">
                  <c:v>1609.1491901688369</c:v>
                </c:pt>
                <c:pt idx="159">
                  <c:v>1575.0040333996567</c:v>
                </c:pt>
                <c:pt idx="160">
                  <c:v>1541.1344053910173</c:v>
                </c:pt>
                <c:pt idx="161">
                  <c:v>1515.4204286943702</c:v>
                </c:pt>
                <c:pt idx="162">
                  <c:v>1488.4451425605835</c:v>
                </c:pt>
                <c:pt idx="163">
                  <c:v>1463.5842845447207</c:v>
                </c:pt>
                <c:pt idx="164">
                  <c:v>1441.7542428948016</c:v>
                </c:pt>
                <c:pt idx="165">
                  <c:v>1419.8201126020112</c:v>
                </c:pt>
                <c:pt idx="166">
                  <c:v>1399.8697893851115</c:v>
                </c:pt>
                <c:pt idx="167">
                  <c:v>1382.3196278155851</c:v>
                </c:pt>
                <c:pt idx="168">
                  <c:v>1363.8204227375306</c:v>
                </c:pt>
                <c:pt idx="169">
                  <c:v>1345.0211974535546</c:v>
                </c:pt>
                <c:pt idx="170">
                  <c:v>1328.5241680354268</c:v>
                </c:pt>
                <c:pt idx="171">
                  <c:v>1311.9597871424999</c:v>
                </c:pt>
                <c:pt idx="172">
                  <c:v>1295.75869602273</c:v>
                </c:pt>
                <c:pt idx="173">
                  <c:v>1281.1168935922401</c:v>
                </c:pt>
                <c:pt idx="174">
                  <c:v>1264.7137480480737</c:v>
                </c:pt>
                <c:pt idx="175">
                  <c:v>1248.808595226662</c:v>
                </c:pt>
                <c:pt idx="176">
                  <c:v>1235.2831945148057</c:v>
                </c:pt>
                <c:pt idx="177">
                  <c:v>1220.7373169120592</c:v>
                </c:pt>
                <c:pt idx="178">
                  <c:v>1206.5118690530524</c:v>
                </c:pt>
                <c:pt idx="179">
                  <c:v>1193.1701541815564</c:v>
                </c:pt>
                <c:pt idx="180">
                  <c:v>1178.5263107972844</c:v>
                </c:pt>
                <c:pt idx="181">
                  <c:v>1164.9621319635744</c:v>
                </c:pt>
                <c:pt idx="182">
                  <c:v>1152.9021360670363</c:v>
                </c:pt>
                <c:pt idx="183">
                  <c:v>1138.1072621029127</c:v>
                </c:pt>
                <c:pt idx="184">
                  <c:v>1120.7918102182905</c:v>
                </c:pt>
                <c:pt idx="185">
                  <c:v>1106.5806490357563</c:v>
                </c:pt>
                <c:pt idx="186">
                  <c:v>1090.8428544244503</c:v>
                </c:pt>
                <c:pt idx="187">
                  <c:v>1075.4703905400834</c:v>
                </c:pt>
                <c:pt idx="188">
                  <c:v>1062.8021904165746</c:v>
                </c:pt>
                <c:pt idx="189">
                  <c:v>1047.3133921666458</c:v>
                </c:pt>
                <c:pt idx="190">
                  <c:v>1032.0062388032954</c:v>
                </c:pt>
                <c:pt idx="191">
                  <c:v>1020.0789049025728</c:v>
                </c:pt>
                <c:pt idx="192">
                  <c:v>1006.2045010940321</c:v>
                </c:pt>
                <c:pt idx="193">
                  <c:v>992.60970795359538</c:v>
                </c:pt>
                <c:pt idx="194">
                  <c:v>980.60889971672862</c:v>
                </c:pt>
                <c:pt idx="195">
                  <c:v>966.95695987040187</c:v>
                </c:pt>
                <c:pt idx="196">
                  <c:v>954.21732636453112</c:v>
                </c:pt>
                <c:pt idx="197">
                  <c:v>943.67988198920079</c:v>
                </c:pt>
                <c:pt idx="198">
                  <c:v>931.53212508004583</c:v>
                </c:pt>
                <c:pt idx="199">
                  <c:v>919.09659368766017</c:v>
                </c:pt>
                <c:pt idx="200">
                  <c:v>908.5999683879653</c:v>
                </c:pt>
                <c:pt idx="201">
                  <c:v>897.36655877304793</c:v>
                </c:pt>
                <c:pt idx="202">
                  <c:v>886.38622742707139</c:v>
                </c:pt>
                <c:pt idx="203">
                  <c:v>877.17948491746154</c:v>
                </c:pt>
                <c:pt idx="204">
                  <c:v>865.97056674792566</c:v>
                </c:pt>
                <c:pt idx="205">
                  <c:v>855.05350496918425</c:v>
                </c:pt>
                <c:pt idx="206">
                  <c:v>846.32434564451103</c:v>
                </c:pt>
                <c:pt idx="207">
                  <c:v>836.49919413902182</c:v>
                </c:pt>
                <c:pt idx="208">
                  <c:v>826.86385133523834</c:v>
                </c:pt>
                <c:pt idx="209">
                  <c:v>818.19796157780024</c:v>
                </c:pt>
                <c:pt idx="210">
                  <c:v>808.53608637485354</c:v>
                </c:pt>
                <c:pt idx="211">
                  <c:v>799.52527542829455</c:v>
                </c:pt>
                <c:pt idx="212">
                  <c:v>791.60433380120639</c:v>
                </c:pt>
                <c:pt idx="213">
                  <c:v>782.31187123276186</c:v>
                </c:pt>
                <c:pt idx="214">
                  <c:v>773.08880109289782</c:v>
                </c:pt>
                <c:pt idx="215">
                  <c:v>764.97600981032213</c:v>
                </c:pt>
                <c:pt idx="216">
                  <c:v>756.91832427985446</c:v>
                </c:pt>
                <c:pt idx="217">
                  <c:v>749.04840649731068</c:v>
                </c:pt>
                <c:pt idx="218">
                  <c:v>741.81730724846409</c:v>
                </c:pt>
                <c:pt idx="219">
                  <c:v>733.36571763811287</c:v>
                </c:pt>
                <c:pt idx="220">
                  <c:v>724.86106322943544</c:v>
                </c:pt>
                <c:pt idx="221">
                  <c:v>717.729970715896</c:v>
                </c:pt>
                <c:pt idx="222">
                  <c:v>709.82739767284363</c:v>
                </c:pt>
                <c:pt idx="223">
                  <c:v>701.94931607517265</c:v>
                </c:pt>
                <c:pt idx="224">
                  <c:v>694.12021736826455</c:v>
                </c:pt>
                <c:pt idx="225">
                  <c:v>685.66046394278624</c:v>
                </c:pt>
                <c:pt idx="226">
                  <c:v>677.97423200060257</c:v>
                </c:pt>
                <c:pt idx="227">
                  <c:v>670.65333078535764</c:v>
                </c:pt>
                <c:pt idx="228">
                  <c:v>663.42427249029265</c:v>
                </c:pt>
                <c:pt idx="229">
                  <c:v>655.30739930015352</c:v>
                </c:pt>
                <c:pt idx="230">
                  <c:v>644.99037793325533</c:v>
                </c:pt>
                <c:pt idx="231">
                  <c:v>634.06515233938683</c:v>
                </c:pt>
                <c:pt idx="232">
                  <c:v>625.40334448951239</c:v>
                </c:pt>
                <c:pt idx="233">
                  <c:v>618.51920738356819</c:v>
                </c:pt>
                <c:pt idx="234">
                  <c:v>611.14320041621511</c:v>
                </c:pt>
                <c:pt idx="235">
                  <c:v>603.59575333119255</c:v>
                </c:pt>
                <c:pt idx="236">
                  <c:v>596.97489926309811</c:v>
                </c:pt>
                <c:pt idx="237">
                  <c:v>589.95197729999302</c:v>
                </c:pt>
                <c:pt idx="238">
                  <c:v>583.0311030259769</c:v>
                </c:pt>
                <c:pt idx="239">
                  <c:v>576.28779173097564</c:v>
                </c:pt>
                <c:pt idx="240">
                  <c:v>569.17302684769038</c:v>
                </c:pt>
                <c:pt idx="241">
                  <c:v>562.61544234683117</c:v>
                </c:pt>
                <c:pt idx="242">
                  <c:v>556.62320204352488</c:v>
                </c:pt>
                <c:pt idx="243">
                  <c:v>550.28195864353438</c:v>
                </c:pt>
                <c:pt idx="244">
                  <c:v>544.87343112181725</c:v>
                </c:pt>
                <c:pt idx="245">
                  <c:v>539.99759253714478</c:v>
                </c:pt>
                <c:pt idx="246">
                  <c:v>535.36054554494058</c:v>
                </c:pt>
                <c:pt idx="247">
                  <c:v>530.7969728888803</c:v>
                </c:pt>
                <c:pt idx="248">
                  <c:v>526.49464231688796</c:v>
                </c:pt>
                <c:pt idx="249">
                  <c:v>521.71881046752264</c:v>
                </c:pt>
                <c:pt idx="250">
                  <c:v>517.01033009295622</c:v>
                </c:pt>
                <c:pt idx="251">
                  <c:v>512.8998491764512</c:v>
                </c:pt>
                <c:pt idx="252">
                  <c:v>508.66078817169404</c:v>
                </c:pt>
                <c:pt idx="253">
                  <c:v>504.48703768795383</c:v>
                </c:pt>
                <c:pt idx="254">
                  <c:v>500.21736237647002</c:v>
                </c:pt>
                <c:pt idx="255">
                  <c:v>495.83747556077003</c:v>
                </c:pt>
                <c:pt idx="256">
                  <c:v>491.84536996360828</c:v>
                </c:pt>
                <c:pt idx="257">
                  <c:v>488.07368737487872</c:v>
                </c:pt>
                <c:pt idx="258">
                  <c:v>484.16117897520644</c:v>
                </c:pt>
                <c:pt idx="259">
                  <c:v>479.96497799986668</c:v>
                </c:pt>
                <c:pt idx="260">
                  <c:v>475.98307717161384</c:v>
                </c:pt>
                <c:pt idx="261">
                  <c:v>472.19710790641182</c:v>
                </c:pt>
                <c:pt idx="262">
                  <c:v>468.43971199415483</c:v>
                </c:pt>
                <c:pt idx="263">
                  <c:v>464.87008382982145</c:v>
                </c:pt>
                <c:pt idx="264">
                  <c:v>460.83307724946064</c:v>
                </c:pt>
                <c:pt idx="265">
                  <c:v>456.83688974473523</c:v>
                </c:pt>
                <c:pt idx="266">
                  <c:v>453.35094068545493</c:v>
                </c:pt>
                <c:pt idx="267">
                  <c:v>449.72416581523174</c:v>
                </c:pt>
                <c:pt idx="268">
                  <c:v>446.12188239039006</c:v>
                </c:pt>
                <c:pt idx="269">
                  <c:v>442.40938746133213</c:v>
                </c:pt>
                <c:pt idx="270">
                  <c:v>438.58464007427636</c:v>
                </c:pt>
                <c:pt idx="271">
                  <c:v>435.10073196877784</c:v>
                </c:pt>
                <c:pt idx="272">
                  <c:v>431.79234588851239</c:v>
                </c:pt>
                <c:pt idx="273">
                  <c:v>428.35333876621297</c:v>
                </c:pt>
                <c:pt idx="274">
                  <c:v>424.65104860606397</c:v>
                </c:pt>
                <c:pt idx="275">
                  <c:v>421.17530431569259</c:v>
                </c:pt>
                <c:pt idx="276">
                  <c:v>419.43641169361598</c:v>
                </c:pt>
                <c:pt idx="277">
                  <c:v>417.70976479423007</c:v>
                </c:pt>
                <c:pt idx="278">
                  <c:v>416.05251032342477</c:v>
                </c:pt>
                <c:pt idx="279">
                  <c:v>414.25443004167647</c:v>
                </c:pt>
                <c:pt idx="280">
                  <c:v>412.47063643640075</c:v>
                </c:pt>
                <c:pt idx="281">
                  <c:v>410.85216008744919</c:v>
                </c:pt>
                <c:pt idx="282">
                  <c:v>409.18470084773486</c:v>
                </c:pt>
                <c:pt idx="283">
                  <c:v>407.52540542314773</c:v>
                </c:pt>
                <c:pt idx="284">
                  <c:v>405.83753664561561</c:v>
                </c:pt>
                <c:pt idx="285">
                  <c:v>404.10272593110261</c:v>
                </c:pt>
                <c:pt idx="286">
                  <c:v>402.46588099811498</c:v>
                </c:pt>
                <c:pt idx="287">
                  <c:v>400.89842849370791</c:v>
                </c:pt>
                <c:pt idx="288">
                  <c:v>399.26362451450211</c:v>
                </c:pt>
                <c:pt idx="289">
                  <c:v>397.55126429158867</c:v>
                </c:pt>
                <c:pt idx="290">
                  <c:v>395.90013268212857</c:v>
                </c:pt>
                <c:pt idx="291">
                  <c:v>394.2898201483041</c:v>
                </c:pt>
                <c:pt idx="292">
                  <c:v>392.67746666069792</c:v>
                </c:pt>
                <c:pt idx="293">
                  <c:v>391.13042369410857</c:v>
                </c:pt>
                <c:pt idx="294">
                  <c:v>389.44051396279474</c:v>
                </c:pt>
                <c:pt idx="295">
                  <c:v>387.76489090795332</c:v>
                </c:pt>
                <c:pt idx="296">
                  <c:v>386.23009366405478</c:v>
                </c:pt>
                <c:pt idx="297">
                  <c:v>384.65039543695701</c:v>
                </c:pt>
                <c:pt idx="298">
                  <c:v>383.0666153022957</c:v>
                </c:pt>
                <c:pt idx="299">
                  <c:v>381.45426181468946</c:v>
                </c:pt>
                <c:pt idx="300">
                  <c:v>379.79088448253873</c:v>
                </c:pt>
                <c:pt idx="301">
                  <c:v>378.22343197813171</c:v>
                </c:pt>
                <c:pt idx="302">
                  <c:v>376.70700331826913</c:v>
                </c:pt>
                <c:pt idx="303">
                  <c:v>375.1436327214256</c:v>
                </c:pt>
                <c:pt idx="304">
                  <c:v>373.48841920440202</c:v>
                </c:pt>
                <c:pt idx="305">
                  <c:v>371.89443430083179</c:v>
                </c:pt>
                <c:pt idx="306">
                  <c:v>370.52699526703913</c:v>
                </c:pt>
                <c:pt idx="307">
                  <c:v>369.15955623324652</c:v>
                </c:pt>
                <c:pt idx="308">
                  <c:v>367.80640387592632</c:v>
                </c:pt>
                <c:pt idx="309">
                  <c:v>366.4328419807884</c:v>
                </c:pt>
                <c:pt idx="310">
                  <c:v>365.05519817808687</c:v>
                </c:pt>
                <c:pt idx="311">
                  <c:v>363.71020963589382</c:v>
                </c:pt>
                <c:pt idx="312">
                  <c:v>362.31215629537445</c:v>
                </c:pt>
                <c:pt idx="313">
                  <c:v>360.91002104729159</c:v>
                </c:pt>
                <c:pt idx="314">
                  <c:v>359.52013152189932</c:v>
                </c:pt>
                <c:pt idx="315">
                  <c:v>358.0955457822169</c:v>
                </c:pt>
                <c:pt idx="316">
                  <c:v>356.64850955093488</c:v>
                </c:pt>
                <c:pt idx="317">
                  <c:v>355.2320876263795</c:v>
                </c:pt>
                <c:pt idx="318">
                  <c:v>353.75647804215254</c:v>
                </c:pt>
                <c:pt idx="319">
                  <c:v>352.26045892010779</c:v>
                </c:pt>
                <c:pt idx="320">
                  <c:v>350.7256616762092</c:v>
                </c:pt>
                <c:pt idx="321">
                  <c:v>349.15004535667504</c:v>
                </c:pt>
                <c:pt idx="322">
                  <c:v>347.51524137746912</c:v>
                </c:pt>
                <c:pt idx="323">
                  <c:v>345.90492884364471</c:v>
                </c:pt>
                <c:pt idx="324">
                  <c:v>344.20889625098556</c:v>
                </c:pt>
                <c:pt idx="325">
                  <c:v>342.5006179356356</c:v>
                </c:pt>
                <c:pt idx="326">
                  <c:v>340.93724733879213</c:v>
                </c:pt>
                <c:pt idx="327">
                  <c:v>339.36367197303963</c:v>
                </c:pt>
                <c:pt idx="328">
                  <c:v>337.89418525015805</c:v>
                </c:pt>
                <c:pt idx="329">
                  <c:v>336.52266430880184</c:v>
                </c:pt>
                <c:pt idx="330">
                  <c:v>335.08583284642879</c:v>
                </c:pt>
                <c:pt idx="331">
                  <c:v>333.6387966151467</c:v>
                </c:pt>
                <c:pt idx="332">
                  <c:v>332.3407500099346</c:v>
                </c:pt>
                <c:pt idx="333">
                  <c:v>330.99372051395972</c:v>
                </c:pt>
                <c:pt idx="334">
                  <c:v>329.66710055580273</c:v>
                </c:pt>
                <c:pt idx="335">
                  <c:v>328.42620065648049</c:v>
                </c:pt>
                <c:pt idx="336">
                  <c:v>326.27299441670249</c:v>
                </c:pt>
                <c:pt idx="337">
                  <c:v>324.19734442063225</c:v>
                </c:pt>
                <c:pt idx="338">
                  <c:v>322.48906610528229</c:v>
                </c:pt>
                <c:pt idx="339">
                  <c:v>320.49097235291964</c:v>
                </c:pt>
                <c:pt idx="340">
                  <c:v>318.54186149131971</c:v>
                </c:pt>
                <c:pt idx="341">
                  <c:v>316.962163264222</c:v>
                </c:pt>
                <c:pt idx="342">
                  <c:v>315.21510682701825</c:v>
                </c:pt>
                <c:pt idx="343">
                  <c:v>313.5068285116684</c:v>
                </c:pt>
                <c:pt idx="344">
                  <c:v>312.00672748206</c:v>
                </c:pt>
                <c:pt idx="345">
                  <c:v>310.31681775074611</c:v>
                </c:pt>
                <c:pt idx="346">
                  <c:v>308.76773383037511</c:v>
                </c:pt>
                <c:pt idx="347">
                  <c:v>307.47989199407192</c:v>
                </c:pt>
                <c:pt idx="348">
                  <c:v>305.99203668715421</c:v>
                </c:pt>
                <c:pt idx="349">
                  <c:v>304.44499372056498</c:v>
                </c:pt>
                <c:pt idx="350">
                  <c:v>303.13470139266224</c:v>
                </c:pt>
                <c:pt idx="351">
                  <c:v>301.72236137567046</c:v>
                </c:pt>
                <c:pt idx="352">
                  <c:v>300.35696329565957</c:v>
                </c:pt>
                <c:pt idx="353">
                  <c:v>299.22423394677168</c:v>
                </c:pt>
                <c:pt idx="354">
                  <c:v>297.82413965247054</c:v>
                </c:pt>
                <c:pt idx="355">
                  <c:v>296.44037298842369</c:v>
                </c:pt>
                <c:pt idx="356">
                  <c:v>295.32193031600821</c:v>
                </c:pt>
                <c:pt idx="357">
                  <c:v>294.03612943348685</c:v>
                </c:pt>
                <c:pt idx="358">
                  <c:v>292.78502476525568</c:v>
                </c:pt>
                <c:pt idx="359">
                  <c:v>291.66045923149483</c:v>
                </c:pt>
                <c:pt idx="360">
                  <c:v>290.35628976493734</c:v>
                </c:pt>
                <c:pt idx="361">
                  <c:v>289.13988131099649</c:v>
                </c:pt>
                <c:pt idx="362">
                  <c:v>288.13165014279718</c:v>
                </c:pt>
                <c:pt idx="363">
                  <c:v>286.95401981071012</c:v>
                </c:pt>
                <c:pt idx="364">
                  <c:v>285.68862846600643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42-46D8-8E4A-81FDA81B5CE2}"/>
            </c:ext>
          </c:extLst>
        </c:ser>
        <c:ser>
          <c:idx val="0"/>
          <c:order val="1"/>
          <c:tx>
            <c:v>1年級群個体数</c:v>
          </c:tx>
          <c:spPr>
            <a:solidFill>
              <a:srgbClr val="0066FF"/>
            </a:solidFill>
            <a:ln>
              <a:noFill/>
            </a:ln>
            <a:effectLst/>
          </c:spPr>
          <c:cat>
            <c:numRef>
              <c:f>'マアナゴ (本宮計算)'!$A$3:$A$367</c:f>
              <c:numCache>
                <c:formatCode>m/d/yyyy</c:formatCode>
                <c:ptCount val="365"/>
                <c:pt idx="0">
                  <c:v>41730</c:v>
                </c:pt>
                <c:pt idx="1">
                  <c:v>41731</c:v>
                </c:pt>
                <c:pt idx="2">
                  <c:v>41732</c:v>
                </c:pt>
                <c:pt idx="3">
                  <c:v>41733</c:v>
                </c:pt>
                <c:pt idx="4">
                  <c:v>41734</c:v>
                </c:pt>
                <c:pt idx="5">
                  <c:v>41735</c:v>
                </c:pt>
                <c:pt idx="6">
                  <c:v>41736</c:v>
                </c:pt>
                <c:pt idx="7">
                  <c:v>41737</c:v>
                </c:pt>
                <c:pt idx="8">
                  <c:v>41738</c:v>
                </c:pt>
                <c:pt idx="9">
                  <c:v>41739</c:v>
                </c:pt>
                <c:pt idx="10">
                  <c:v>41740</c:v>
                </c:pt>
                <c:pt idx="11">
                  <c:v>41741</c:v>
                </c:pt>
                <c:pt idx="12">
                  <c:v>41742</c:v>
                </c:pt>
                <c:pt idx="13">
                  <c:v>41743</c:v>
                </c:pt>
                <c:pt idx="14">
                  <c:v>41744</c:v>
                </c:pt>
                <c:pt idx="15">
                  <c:v>41745</c:v>
                </c:pt>
                <c:pt idx="16">
                  <c:v>41746</c:v>
                </c:pt>
                <c:pt idx="17">
                  <c:v>41747</c:v>
                </c:pt>
                <c:pt idx="18">
                  <c:v>41748</c:v>
                </c:pt>
                <c:pt idx="19">
                  <c:v>41749</c:v>
                </c:pt>
                <c:pt idx="20">
                  <c:v>41750</c:v>
                </c:pt>
                <c:pt idx="21">
                  <c:v>41751</c:v>
                </c:pt>
                <c:pt idx="22">
                  <c:v>41752</c:v>
                </c:pt>
                <c:pt idx="23">
                  <c:v>41753</c:v>
                </c:pt>
                <c:pt idx="24">
                  <c:v>41754</c:v>
                </c:pt>
                <c:pt idx="25">
                  <c:v>41755</c:v>
                </c:pt>
                <c:pt idx="26">
                  <c:v>41756</c:v>
                </c:pt>
                <c:pt idx="27">
                  <c:v>41757</c:v>
                </c:pt>
                <c:pt idx="28">
                  <c:v>41758</c:v>
                </c:pt>
                <c:pt idx="29">
                  <c:v>41759</c:v>
                </c:pt>
                <c:pt idx="30">
                  <c:v>41760</c:v>
                </c:pt>
                <c:pt idx="31">
                  <c:v>41761</c:v>
                </c:pt>
                <c:pt idx="32">
                  <c:v>41762</c:v>
                </c:pt>
                <c:pt idx="33">
                  <c:v>41763</c:v>
                </c:pt>
                <c:pt idx="34">
                  <c:v>41764</c:v>
                </c:pt>
                <c:pt idx="35">
                  <c:v>41765</c:v>
                </c:pt>
                <c:pt idx="36">
                  <c:v>41766</c:v>
                </c:pt>
                <c:pt idx="37">
                  <c:v>41767</c:v>
                </c:pt>
                <c:pt idx="38">
                  <c:v>41768</c:v>
                </c:pt>
                <c:pt idx="39">
                  <c:v>41769</c:v>
                </c:pt>
                <c:pt idx="40">
                  <c:v>41770</c:v>
                </c:pt>
                <c:pt idx="41">
                  <c:v>41771</c:v>
                </c:pt>
                <c:pt idx="42">
                  <c:v>41772</c:v>
                </c:pt>
                <c:pt idx="43">
                  <c:v>41773</c:v>
                </c:pt>
                <c:pt idx="44">
                  <c:v>41774</c:v>
                </c:pt>
                <c:pt idx="45">
                  <c:v>41775</c:v>
                </c:pt>
                <c:pt idx="46">
                  <c:v>41776</c:v>
                </c:pt>
                <c:pt idx="47">
                  <c:v>41777</c:v>
                </c:pt>
                <c:pt idx="48">
                  <c:v>41778</c:v>
                </c:pt>
                <c:pt idx="49">
                  <c:v>41779</c:v>
                </c:pt>
                <c:pt idx="50">
                  <c:v>41780</c:v>
                </c:pt>
                <c:pt idx="51">
                  <c:v>41781</c:v>
                </c:pt>
                <c:pt idx="52">
                  <c:v>41782</c:v>
                </c:pt>
                <c:pt idx="53">
                  <c:v>41783</c:v>
                </c:pt>
                <c:pt idx="54">
                  <c:v>41784</c:v>
                </c:pt>
                <c:pt idx="55">
                  <c:v>41785</c:v>
                </c:pt>
                <c:pt idx="56">
                  <c:v>41786</c:v>
                </c:pt>
                <c:pt idx="57">
                  <c:v>41787</c:v>
                </c:pt>
                <c:pt idx="58">
                  <c:v>41788</c:v>
                </c:pt>
                <c:pt idx="59">
                  <c:v>41789</c:v>
                </c:pt>
                <c:pt idx="60">
                  <c:v>41790</c:v>
                </c:pt>
                <c:pt idx="61">
                  <c:v>41791</c:v>
                </c:pt>
                <c:pt idx="62">
                  <c:v>41792</c:v>
                </c:pt>
                <c:pt idx="63">
                  <c:v>41793</c:v>
                </c:pt>
                <c:pt idx="64">
                  <c:v>41794</c:v>
                </c:pt>
                <c:pt idx="65">
                  <c:v>41795</c:v>
                </c:pt>
                <c:pt idx="66">
                  <c:v>41796</c:v>
                </c:pt>
                <c:pt idx="67">
                  <c:v>41797</c:v>
                </c:pt>
                <c:pt idx="68">
                  <c:v>41798</c:v>
                </c:pt>
                <c:pt idx="69">
                  <c:v>41799</c:v>
                </c:pt>
                <c:pt idx="70">
                  <c:v>41800</c:v>
                </c:pt>
                <c:pt idx="71">
                  <c:v>41801</c:v>
                </c:pt>
                <c:pt idx="72">
                  <c:v>41802</c:v>
                </c:pt>
                <c:pt idx="73">
                  <c:v>41803</c:v>
                </c:pt>
                <c:pt idx="74">
                  <c:v>41804</c:v>
                </c:pt>
                <c:pt idx="75">
                  <c:v>41805</c:v>
                </c:pt>
                <c:pt idx="76">
                  <c:v>41806</c:v>
                </c:pt>
                <c:pt idx="77">
                  <c:v>41807</c:v>
                </c:pt>
                <c:pt idx="78">
                  <c:v>41808</c:v>
                </c:pt>
                <c:pt idx="79">
                  <c:v>41809</c:v>
                </c:pt>
                <c:pt idx="80">
                  <c:v>41810</c:v>
                </c:pt>
                <c:pt idx="81">
                  <c:v>41811</c:v>
                </c:pt>
                <c:pt idx="82">
                  <c:v>41812</c:v>
                </c:pt>
                <c:pt idx="83">
                  <c:v>41813</c:v>
                </c:pt>
                <c:pt idx="84">
                  <c:v>41814</c:v>
                </c:pt>
                <c:pt idx="85">
                  <c:v>41815</c:v>
                </c:pt>
                <c:pt idx="86">
                  <c:v>41816</c:v>
                </c:pt>
                <c:pt idx="87">
                  <c:v>41817</c:v>
                </c:pt>
                <c:pt idx="88">
                  <c:v>41818</c:v>
                </c:pt>
                <c:pt idx="89">
                  <c:v>41819</c:v>
                </c:pt>
                <c:pt idx="90">
                  <c:v>41820</c:v>
                </c:pt>
                <c:pt idx="91">
                  <c:v>41821</c:v>
                </c:pt>
                <c:pt idx="92">
                  <c:v>41822</c:v>
                </c:pt>
                <c:pt idx="93">
                  <c:v>41823</c:v>
                </c:pt>
                <c:pt idx="94">
                  <c:v>41824</c:v>
                </c:pt>
                <c:pt idx="95">
                  <c:v>41825</c:v>
                </c:pt>
                <c:pt idx="96">
                  <c:v>41826</c:v>
                </c:pt>
                <c:pt idx="97">
                  <c:v>41827</c:v>
                </c:pt>
                <c:pt idx="98">
                  <c:v>41828</c:v>
                </c:pt>
                <c:pt idx="99">
                  <c:v>41829</c:v>
                </c:pt>
                <c:pt idx="100">
                  <c:v>41830</c:v>
                </c:pt>
                <c:pt idx="101">
                  <c:v>41831</c:v>
                </c:pt>
                <c:pt idx="102">
                  <c:v>41832</c:v>
                </c:pt>
                <c:pt idx="103">
                  <c:v>41833</c:v>
                </c:pt>
                <c:pt idx="104">
                  <c:v>41834</c:v>
                </c:pt>
                <c:pt idx="105">
                  <c:v>41835</c:v>
                </c:pt>
                <c:pt idx="106">
                  <c:v>41836</c:v>
                </c:pt>
                <c:pt idx="107">
                  <c:v>41837</c:v>
                </c:pt>
                <c:pt idx="108">
                  <c:v>41838</c:v>
                </c:pt>
                <c:pt idx="109">
                  <c:v>41839</c:v>
                </c:pt>
                <c:pt idx="110">
                  <c:v>41840</c:v>
                </c:pt>
                <c:pt idx="111">
                  <c:v>41841</c:v>
                </c:pt>
                <c:pt idx="112">
                  <c:v>41842</c:v>
                </c:pt>
                <c:pt idx="113">
                  <c:v>41843</c:v>
                </c:pt>
                <c:pt idx="114">
                  <c:v>41844</c:v>
                </c:pt>
                <c:pt idx="115">
                  <c:v>41845</c:v>
                </c:pt>
                <c:pt idx="116">
                  <c:v>41846</c:v>
                </c:pt>
                <c:pt idx="117">
                  <c:v>41847</c:v>
                </c:pt>
                <c:pt idx="118">
                  <c:v>41848</c:v>
                </c:pt>
                <c:pt idx="119">
                  <c:v>41849</c:v>
                </c:pt>
                <c:pt idx="120">
                  <c:v>41850</c:v>
                </c:pt>
                <c:pt idx="121">
                  <c:v>41851</c:v>
                </c:pt>
                <c:pt idx="122">
                  <c:v>41852</c:v>
                </c:pt>
                <c:pt idx="123">
                  <c:v>41853</c:v>
                </c:pt>
                <c:pt idx="124">
                  <c:v>41854</c:v>
                </c:pt>
                <c:pt idx="125">
                  <c:v>41855</c:v>
                </c:pt>
                <c:pt idx="126">
                  <c:v>41856</c:v>
                </c:pt>
                <c:pt idx="127">
                  <c:v>41857</c:v>
                </c:pt>
                <c:pt idx="128">
                  <c:v>41858</c:v>
                </c:pt>
                <c:pt idx="129">
                  <c:v>41859</c:v>
                </c:pt>
                <c:pt idx="130">
                  <c:v>41860</c:v>
                </c:pt>
                <c:pt idx="131">
                  <c:v>41861</c:v>
                </c:pt>
                <c:pt idx="132">
                  <c:v>41862</c:v>
                </c:pt>
                <c:pt idx="133">
                  <c:v>41863</c:v>
                </c:pt>
                <c:pt idx="134">
                  <c:v>41864</c:v>
                </c:pt>
                <c:pt idx="135">
                  <c:v>41865</c:v>
                </c:pt>
                <c:pt idx="136">
                  <c:v>41866</c:v>
                </c:pt>
                <c:pt idx="137">
                  <c:v>41867</c:v>
                </c:pt>
                <c:pt idx="138">
                  <c:v>41868</c:v>
                </c:pt>
                <c:pt idx="139">
                  <c:v>41869</c:v>
                </c:pt>
                <c:pt idx="140">
                  <c:v>41870</c:v>
                </c:pt>
                <c:pt idx="141">
                  <c:v>41871</c:v>
                </c:pt>
                <c:pt idx="142">
                  <c:v>41872</c:v>
                </c:pt>
                <c:pt idx="143">
                  <c:v>41873</c:v>
                </c:pt>
                <c:pt idx="144">
                  <c:v>41874</c:v>
                </c:pt>
                <c:pt idx="145">
                  <c:v>41875</c:v>
                </c:pt>
                <c:pt idx="146">
                  <c:v>41876</c:v>
                </c:pt>
                <c:pt idx="147">
                  <c:v>41877</c:v>
                </c:pt>
                <c:pt idx="148">
                  <c:v>41878</c:v>
                </c:pt>
                <c:pt idx="149">
                  <c:v>41879</c:v>
                </c:pt>
                <c:pt idx="150">
                  <c:v>41880</c:v>
                </c:pt>
                <c:pt idx="151">
                  <c:v>41881</c:v>
                </c:pt>
                <c:pt idx="152">
                  <c:v>41882</c:v>
                </c:pt>
                <c:pt idx="153">
                  <c:v>41883</c:v>
                </c:pt>
                <c:pt idx="154">
                  <c:v>41884</c:v>
                </c:pt>
                <c:pt idx="155">
                  <c:v>41885</c:v>
                </c:pt>
                <c:pt idx="156">
                  <c:v>41886</c:v>
                </c:pt>
                <c:pt idx="157">
                  <c:v>41887</c:v>
                </c:pt>
                <c:pt idx="158">
                  <c:v>41888</c:v>
                </c:pt>
                <c:pt idx="159">
                  <c:v>41889</c:v>
                </c:pt>
                <c:pt idx="160">
                  <c:v>41890</c:v>
                </c:pt>
                <c:pt idx="161">
                  <c:v>41891</c:v>
                </c:pt>
                <c:pt idx="162">
                  <c:v>41892</c:v>
                </c:pt>
                <c:pt idx="163">
                  <c:v>41893</c:v>
                </c:pt>
                <c:pt idx="164">
                  <c:v>41894</c:v>
                </c:pt>
                <c:pt idx="165">
                  <c:v>41895</c:v>
                </c:pt>
                <c:pt idx="166">
                  <c:v>41896</c:v>
                </c:pt>
                <c:pt idx="167">
                  <c:v>41897</c:v>
                </c:pt>
                <c:pt idx="168">
                  <c:v>41898</c:v>
                </c:pt>
                <c:pt idx="169">
                  <c:v>41899</c:v>
                </c:pt>
                <c:pt idx="170">
                  <c:v>41900</c:v>
                </c:pt>
                <c:pt idx="171">
                  <c:v>41901</c:v>
                </c:pt>
                <c:pt idx="172">
                  <c:v>41902</c:v>
                </c:pt>
                <c:pt idx="173">
                  <c:v>41903</c:v>
                </c:pt>
                <c:pt idx="174">
                  <c:v>41904</c:v>
                </c:pt>
                <c:pt idx="175">
                  <c:v>41905</c:v>
                </c:pt>
                <c:pt idx="176">
                  <c:v>41906</c:v>
                </c:pt>
                <c:pt idx="177">
                  <c:v>41907</c:v>
                </c:pt>
                <c:pt idx="178">
                  <c:v>41908</c:v>
                </c:pt>
                <c:pt idx="179">
                  <c:v>41909</c:v>
                </c:pt>
                <c:pt idx="180">
                  <c:v>41910</c:v>
                </c:pt>
                <c:pt idx="181">
                  <c:v>41911</c:v>
                </c:pt>
                <c:pt idx="182">
                  <c:v>41912</c:v>
                </c:pt>
                <c:pt idx="183">
                  <c:v>41913</c:v>
                </c:pt>
                <c:pt idx="184">
                  <c:v>41914</c:v>
                </c:pt>
                <c:pt idx="185">
                  <c:v>41915</c:v>
                </c:pt>
                <c:pt idx="186">
                  <c:v>41916</c:v>
                </c:pt>
                <c:pt idx="187">
                  <c:v>41917</c:v>
                </c:pt>
                <c:pt idx="188">
                  <c:v>41918</c:v>
                </c:pt>
                <c:pt idx="189">
                  <c:v>41919</c:v>
                </c:pt>
                <c:pt idx="190">
                  <c:v>41920</c:v>
                </c:pt>
                <c:pt idx="191">
                  <c:v>41921</c:v>
                </c:pt>
                <c:pt idx="192">
                  <c:v>41922</c:v>
                </c:pt>
                <c:pt idx="193">
                  <c:v>41923</c:v>
                </c:pt>
                <c:pt idx="194">
                  <c:v>41924</c:v>
                </c:pt>
                <c:pt idx="195">
                  <c:v>41925</c:v>
                </c:pt>
                <c:pt idx="196">
                  <c:v>41926</c:v>
                </c:pt>
                <c:pt idx="197">
                  <c:v>41927</c:v>
                </c:pt>
                <c:pt idx="198">
                  <c:v>41928</c:v>
                </c:pt>
                <c:pt idx="199">
                  <c:v>41929</c:v>
                </c:pt>
                <c:pt idx="200">
                  <c:v>41930</c:v>
                </c:pt>
                <c:pt idx="201">
                  <c:v>41931</c:v>
                </c:pt>
                <c:pt idx="202">
                  <c:v>41932</c:v>
                </c:pt>
                <c:pt idx="203">
                  <c:v>41933</c:v>
                </c:pt>
                <c:pt idx="204">
                  <c:v>41934</c:v>
                </c:pt>
                <c:pt idx="205">
                  <c:v>41935</c:v>
                </c:pt>
                <c:pt idx="206">
                  <c:v>41936</c:v>
                </c:pt>
                <c:pt idx="207">
                  <c:v>41937</c:v>
                </c:pt>
                <c:pt idx="208">
                  <c:v>41938</c:v>
                </c:pt>
                <c:pt idx="209">
                  <c:v>41939</c:v>
                </c:pt>
                <c:pt idx="210">
                  <c:v>41940</c:v>
                </c:pt>
                <c:pt idx="211">
                  <c:v>41941</c:v>
                </c:pt>
                <c:pt idx="212">
                  <c:v>41942</c:v>
                </c:pt>
                <c:pt idx="213">
                  <c:v>41943</c:v>
                </c:pt>
                <c:pt idx="214">
                  <c:v>41944</c:v>
                </c:pt>
                <c:pt idx="215">
                  <c:v>41945</c:v>
                </c:pt>
                <c:pt idx="216">
                  <c:v>41946</c:v>
                </c:pt>
                <c:pt idx="217">
                  <c:v>41947</c:v>
                </c:pt>
                <c:pt idx="218">
                  <c:v>41948</c:v>
                </c:pt>
                <c:pt idx="219">
                  <c:v>41949</c:v>
                </c:pt>
                <c:pt idx="220">
                  <c:v>41950</c:v>
                </c:pt>
                <c:pt idx="221">
                  <c:v>41951</c:v>
                </c:pt>
                <c:pt idx="222">
                  <c:v>41952</c:v>
                </c:pt>
                <c:pt idx="223">
                  <c:v>41953</c:v>
                </c:pt>
                <c:pt idx="224">
                  <c:v>41954</c:v>
                </c:pt>
                <c:pt idx="225">
                  <c:v>41955</c:v>
                </c:pt>
                <c:pt idx="226">
                  <c:v>41956</c:v>
                </c:pt>
                <c:pt idx="227">
                  <c:v>41957</c:v>
                </c:pt>
                <c:pt idx="228">
                  <c:v>41958</c:v>
                </c:pt>
                <c:pt idx="229">
                  <c:v>41959</c:v>
                </c:pt>
                <c:pt idx="230">
                  <c:v>41960</c:v>
                </c:pt>
                <c:pt idx="231">
                  <c:v>41961</c:v>
                </c:pt>
                <c:pt idx="232">
                  <c:v>41962</c:v>
                </c:pt>
                <c:pt idx="233">
                  <c:v>41963</c:v>
                </c:pt>
                <c:pt idx="234">
                  <c:v>41964</c:v>
                </c:pt>
                <c:pt idx="235">
                  <c:v>41965</c:v>
                </c:pt>
                <c:pt idx="236">
                  <c:v>41966</c:v>
                </c:pt>
                <c:pt idx="237">
                  <c:v>41967</c:v>
                </c:pt>
                <c:pt idx="238">
                  <c:v>41968</c:v>
                </c:pt>
                <c:pt idx="239">
                  <c:v>41969</c:v>
                </c:pt>
                <c:pt idx="240">
                  <c:v>41970</c:v>
                </c:pt>
                <c:pt idx="241">
                  <c:v>41971</c:v>
                </c:pt>
                <c:pt idx="242">
                  <c:v>41972</c:v>
                </c:pt>
                <c:pt idx="243">
                  <c:v>41973</c:v>
                </c:pt>
                <c:pt idx="244">
                  <c:v>41974</c:v>
                </c:pt>
                <c:pt idx="245">
                  <c:v>41975</c:v>
                </c:pt>
                <c:pt idx="246">
                  <c:v>41976</c:v>
                </c:pt>
                <c:pt idx="247">
                  <c:v>41977</c:v>
                </c:pt>
                <c:pt idx="248">
                  <c:v>41978</c:v>
                </c:pt>
                <c:pt idx="249">
                  <c:v>41979</c:v>
                </c:pt>
                <c:pt idx="250">
                  <c:v>41980</c:v>
                </c:pt>
                <c:pt idx="251">
                  <c:v>41981</c:v>
                </c:pt>
                <c:pt idx="252">
                  <c:v>41982</c:v>
                </c:pt>
                <c:pt idx="253">
                  <c:v>41983</c:v>
                </c:pt>
                <c:pt idx="254">
                  <c:v>41984</c:v>
                </c:pt>
                <c:pt idx="255">
                  <c:v>41985</c:v>
                </c:pt>
                <c:pt idx="256">
                  <c:v>41986</c:v>
                </c:pt>
                <c:pt idx="257">
                  <c:v>41987</c:v>
                </c:pt>
                <c:pt idx="258">
                  <c:v>41988</c:v>
                </c:pt>
                <c:pt idx="259">
                  <c:v>41989</c:v>
                </c:pt>
                <c:pt idx="260">
                  <c:v>41990</c:v>
                </c:pt>
                <c:pt idx="261">
                  <c:v>41991</c:v>
                </c:pt>
                <c:pt idx="262">
                  <c:v>41992</c:v>
                </c:pt>
                <c:pt idx="263">
                  <c:v>41993</c:v>
                </c:pt>
                <c:pt idx="264">
                  <c:v>41994</c:v>
                </c:pt>
                <c:pt idx="265">
                  <c:v>41995</c:v>
                </c:pt>
                <c:pt idx="266">
                  <c:v>41996</c:v>
                </c:pt>
                <c:pt idx="267">
                  <c:v>41997</c:v>
                </c:pt>
                <c:pt idx="268">
                  <c:v>41998</c:v>
                </c:pt>
                <c:pt idx="269">
                  <c:v>41999</c:v>
                </c:pt>
                <c:pt idx="270">
                  <c:v>42000</c:v>
                </c:pt>
                <c:pt idx="271">
                  <c:v>42001</c:v>
                </c:pt>
                <c:pt idx="272">
                  <c:v>42002</c:v>
                </c:pt>
                <c:pt idx="273">
                  <c:v>42003</c:v>
                </c:pt>
                <c:pt idx="274">
                  <c:v>42004</c:v>
                </c:pt>
                <c:pt idx="275">
                  <c:v>42005</c:v>
                </c:pt>
                <c:pt idx="276">
                  <c:v>42006</c:v>
                </c:pt>
                <c:pt idx="277">
                  <c:v>42007</c:v>
                </c:pt>
                <c:pt idx="278">
                  <c:v>42008</c:v>
                </c:pt>
                <c:pt idx="279">
                  <c:v>42009</c:v>
                </c:pt>
                <c:pt idx="280">
                  <c:v>42010</c:v>
                </c:pt>
                <c:pt idx="281">
                  <c:v>42011</c:v>
                </c:pt>
                <c:pt idx="282">
                  <c:v>42012</c:v>
                </c:pt>
                <c:pt idx="283">
                  <c:v>42013</c:v>
                </c:pt>
                <c:pt idx="284">
                  <c:v>42014</c:v>
                </c:pt>
                <c:pt idx="285">
                  <c:v>42015</c:v>
                </c:pt>
                <c:pt idx="286">
                  <c:v>42016</c:v>
                </c:pt>
                <c:pt idx="287">
                  <c:v>42017</c:v>
                </c:pt>
                <c:pt idx="288">
                  <c:v>42018</c:v>
                </c:pt>
                <c:pt idx="289">
                  <c:v>42019</c:v>
                </c:pt>
                <c:pt idx="290">
                  <c:v>42020</c:v>
                </c:pt>
                <c:pt idx="291">
                  <c:v>42021</c:v>
                </c:pt>
                <c:pt idx="292">
                  <c:v>42022</c:v>
                </c:pt>
                <c:pt idx="293">
                  <c:v>42023</c:v>
                </c:pt>
                <c:pt idx="294">
                  <c:v>42024</c:v>
                </c:pt>
                <c:pt idx="295">
                  <c:v>42025</c:v>
                </c:pt>
                <c:pt idx="296">
                  <c:v>42026</c:v>
                </c:pt>
                <c:pt idx="297">
                  <c:v>42027</c:v>
                </c:pt>
                <c:pt idx="298">
                  <c:v>42028</c:v>
                </c:pt>
                <c:pt idx="299">
                  <c:v>42029</c:v>
                </c:pt>
                <c:pt idx="300">
                  <c:v>42030</c:v>
                </c:pt>
                <c:pt idx="301">
                  <c:v>42031</c:v>
                </c:pt>
                <c:pt idx="302">
                  <c:v>42032</c:v>
                </c:pt>
                <c:pt idx="303">
                  <c:v>42033</c:v>
                </c:pt>
                <c:pt idx="304">
                  <c:v>42034</c:v>
                </c:pt>
                <c:pt idx="305">
                  <c:v>42035</c:v>
                </c:pt>
                <c:pt idx="306">
                  <c:v>42036</c:v>
                </c:pt>
                <c:pt idx="307">
                  <c:v>42037</c:v>
                </c:pt>
                <c:pt idx="308">
                  <c:v>42038</c:v>
                </c:pt>
                <c:pt idx="309">
                  <c:v>42039</c:v>
                </c:pt>
                <c:pt idx="310">
                  <c:v>42040</c:v>
                </c:pt>
                <c:pt idx="311">
                  <c:v>42041</c:v>
                </c:pt>
                <c:pt idx="312">
                  <c:v>42042</c:v>
                </c:pt>
                <c:pt idx="313">
                  <c:v>42043</c:v>
                </c:pt>
                <c:pt idx="314">
                  <c:v>42044</c:v>
                </c:pt>
                <c:pt idx="315">
                  <c:v>42045</c:v>
                </c:pt>
                <c:pt idx="316">
                  <c:v>42046</c:v>
                </c:pt>
                <c:pt idx="317">
                  <c:v>42047</c:v>
                </c:pt>
                <c:pt idx="318">
                  <c:v>42048</c:v>
                </c:pt>
                <c:pt idx="319">
                  <c:v>42049</c:v>
                </c:pt>
                <c:pt idx="320">
                  <c:v>42050</c:v>
                </c:pt>
                <c:pt idx="321">
                  <c:v>42051</c:v>
                </c:pt>
                <c:pt idx="322">
                  <c:v>42052</c:v>
                </c:pt>
                <c:pt idx="323">
                  <c:v>42053</c:v>
                </c:pt>
                <c:pt idx="324">
                  <c:v>42054</c:v>
                </c:pt>
                <c:pt idx="325">
                  <c:v>42055</c:v>
                </c:pt>
                <c:pt idx="326">
                  <c:v>42056</c:v>
                </c:pt>
                <c:pt idx="327">
                  <c:v>42057</c:v>
                </c:pt>
                <c:pt idx="328">
                  <c:v>42058</c:v>
                </c:pt>
                <c:pt idx="329">
                  <c:v>42059</c:v>
                </c:pt>
                <c:pt idx="330">
                  <c:v>42060</c:v>
                </c:pt>
                <c:pt idx="331">
                  <c:v>42061</c:v>
                </c:pt>
                <c:pt idx="332">
                  <c:v>42062</c:v>
                </c:pt>
                <c:pt idx="333">
                  <c:v>42063</c:v>
                </c:pt>
                <c:pt idx="334">
                  <c:v>42064</c:v>
                </c:pt>
                <c:pt idx="335">
                  <c:v>42065</c:v>
                </c:pt>
                <c:pt idx="336">
                  <c:v>42066</c:v>
                </c:pt>
                <c:pt idx="337">
                  <c:v>42067</c:v>
                </c:pt>
                <c:pt idx="338">
                  <c:v>42068</c:v>
                </c:pt>
                <c:pt idx="339">
                  <c:v>42069</c:v>
                </c:pt>
                <c:pt idx="340">
                  <c:v>42070</c:v>
                </c:pt>
                <c:pt idx="341">
                  <c:v>42071</c:v>
                </c:pt>
                <c:pt idx="342">
                  <c:v>42072</c:v>
                </c:pt>
                <c:pt idx="343">
                  <c:v>42073</c:v>
                </c:pt>
                <c:pt idx="344">
                  <c:v>42074</c:v>
                </c:pt>
                <c:pt idx="345">
                  <c:v>42075</c:v>
                </c:pt>
                <c:pt idx="346">
                  <c:v>42076</c:v>
                </c:pt>
                <c:pt idx="347">
                  <c:v>42077</c:v>
                </c:pt>
                <c:pt idx="348">
                  <c:v>42078</c:v>
                </c:pt>
                <c:pt idx="349">
                  <c:v>42079</c:v>
                </c:pt>
                <c:pt idx="350">
                  <c:v>42080</c:v>
                </c:pt>
                <c:pt idx="351">
                  <c:v>42081</c:v>
                </c:pt>
                <c:pt idx="352">
                  <c:v>42082</c:v>
                </c:pt>
                <c:pt idx="353">
                  <c:v>42083</c:v>
                </c:pt>
                <c:pt idx="354">
                  <c:v>42084</c:v>
                </c:pt>
                <c:pt idx="355">
                  <c:v>42085</c:v>
                </c:pt>
                <c:pt idx="356">
                  <c:v>42086</c:v>
                </c:pt>
                <c:pt idx="357">
                  <c:v>42087</c:v>
                </c:pt>
                <c:pt idx="358">
                  <c:v>42088</c:v>
                </c:pt>
                <c:pt idx="359">
                  <c:v>42089</c:v>
                </c:pt>
                <c:pt idx="360">
                  <c:v>42090</c:v>
                </c:pt>
                <c:pt idx="361">
                  <c:v>42091</c:v>
                </c:pt>
                <c:pt idx="362">
                  <c:v>42092</c:v>
                </c:pt>
                <c:pt idx="363">
                  <c:v>42093</c:v>
                </c:pt>
                <c:pt idx="364">
                  <c:v>42094</c:v>
                </c:pt>
              </c:numCache>
            </c:numRef>
          </c:cat>
          <c:val>
            <c:numRef>
              <c:f>'マアナゴ (本宮計算)'!$F$3:$F$367</c:f>
              <c:numCache>
                <c:formatCode>0</c:formatCode>
                <c:ptCount val="365"/>
                <c:pt idx="0">
                  <c:v>10000</c:v>
                </c:pt>
                <c:pt idx="1">
                  <c:v>9989.3420275320805</c:v>
                </c:pt>
                <c:pt idx="2">
                  <c:v>9978.7043559640988</c:v>
                </c:pt>
                <c:pt idx="3">
                  <c:v>9968.0869852960568</c:v>
                </c:pt>
                <c:pt idx="4">
                  <c:v>9957.4696146280148</c:v>
                </c:pt>
                <c:pt idx="5">
                  <c:v>9946.8725448599143</c:v>
                </c:pt>
                <c:pt idx="6">
                  <c:v>9936.2754750918102</c:v>
                </c:pt>
                <c:pt idx="7">
                  <c:v>9925.6784053237061</c:v>
                </c:pt>
                <c:pt idx="8">
                  <c:v>9915.1219373554814</c:v>
                </c:pt>
                <c:pt idx="9">
                  <c:v>9904.5654693872584</c:v>
                </c:pt>
                <c:pt idx="10">
                  <c:v>9894.0090014190337</c:v>
                </c:pt>
                <c:pt idx="11">
                  <c:v>9883.4728343507468</c:v>
                </c:pt>
                <c:pt idx="12">
                  <c:v>9872.9366672824599</c:v>
                </c:pt>
                <c:pt idx="13">
                  <c:v>9862.4208011141127</c:v>
                </c:pt>
                <c:pt idx="14">
                  <c:v>9851.9252358457052</c:v>
                </c:pt>
                <c:pt idx="15">
                  <c:v>9841.4296705772958</c:v>
                </c:pt>
                <c:pt idx="16">
                  <c:v>9830.9544062088262</c:v>
                </c:pt>
                <c:pt idx="17">
                  <c:v>9820.4791418403565</c:v>
                </c:pt>
                <c:pt idx="18">
                  <c:v>9810.0241783718284</c:v>
                </c:pt>
                <c:pt idx="19">
                  <c:v>9799.5692149032948</c:v>
                </c:pt>
                <c:pt idx="20">
                  <c:v>9789.1345523347045</c:v>
                </c:pt>
                <c:pt idx="21">
                  <c:v>9778.7201906660521</c:v>
                </c:pt>
                <c:pt idx="22">
                  <c:v>9768.3058289973997</c:v>
                </c:pt>
                <c:pt idx="23">
                  <c:v>9757.8914673287472</c:v>
                </c:pt>
                <c:pt idx="24">
                  <c:v>9747.4974065600327</c:v>
                </c:pt>
                <c:pt idx="25">
                  <c:v>9737.1236466912578</c:v>
                </c:pt>
                <c:pt idx="26">
                  <c:v>9726.7498868224829</c:v>
                </c:pt>
                <c:pt idx="27">
                  <c:v>9716.3964278536459</c:v>
                </c:pt>
                <c:pt idx="28">
                  <c:v>9706.0429688848108</c:v>
                </c:pt>
                <c:pt idx="29">
                  <c:v>9695.7098108159116</c:v>
                </c:pt>
                <c:pt idx="30">
                  <c:v>9685.3766527470161</c:v>
                </c:pt>
                <c:pt idx="31">
                  <c:v>9675.0637955780567</c:v>
                </c:pt>
                <c:pt idx="32">
                  <c:v>9664.7712393090387</c:v>
                </c:pt>
                <c:pt idx="33">
                  <c:v>9654.4786830400171</c:v>
                </c:pt>
                <c:pt idx="34">
                  <c:v>9644.1861267709992</c:v>
                </c:pt>
                <c:pt idx="35">
                  <c:v>9633.9138714019191</c:v>
                </c:pt>
                <c:pt idx="36">
                  <c:v>9623.6619169327769</c:v>
                </c:pt>
                <c:pt idx="37">
                  <c:v>9613.4099624636365</c:v>
                </c:pt>
                <c:pt idx="38">
                  <c:v>9603.1580079944943</c:v>
                </c:pt>
                <c:pt idx="39">
                  <c:v>9592.9466553252296</c:v>
                </c:pt>
                <c:pt idx="40">
                  <c:v>9582.715001756027</c:v>
                </c:pt>
                <c:pt idx="41">
                  <c:v>9572.5239499867021</c:v>
                </c:pt>
                <c:pt idx="42">
                  <c:v>9562.3125973174392</c:v>
                </c:pt>
                <c:pt idx="43">
                  <c:v>9552.1418464480521</c:v>
                </c:pt>
                <c:pt idx="44">
                  <c:v>9541.9710955786668</c:v>
                </c:pt>
                <c:pt idx="45">
                  <c:v>9531.8003447092797</c:v>
                </c:pt>
                <c:pt idx="46">
                  <c:v>9521.6498947398322</c:v>
                </c:pt>
                <c:pt idx="47">
                  <c:v>9511.5197456703263</c:v>
                </c:pt>
                <c:pt idx="48">
                  <c:v>9501.3895966008167</c:v>
                </c:pt>
                <c:pt idx="49">
                  <c:v>9491.259447531309</c:v>
                </c:pt>
                <c:pt idx="50">
                  <c:v>9481.1495993617409</c:v>
                </c:pt>
                <c:pt idx="51">
                  <c:v>9471.0600520921089</c:v>
                </c:pt>
                <c:pt idx="52">
                  <c:v>9460.9705048224787</c:v>
                </c:pt>
                <c:pt idx="53">
                  <c:v>9450.9012584527864</c:v>
                </c:pt>
                <c:pt idx="54">
                  <c:v>9440.832012083094</c:v>
                </c:pt>
                <c:pt idx="55">
                  <c:v>9430.7627657134035</c:v>
                </c:pt>
                <c:pt idx="56">
                  <c:v>9420.7341211435905</c:v>
                </c:pt>
                <c:pt idx="57">
                  <c:v>9410.7054765737757</c:v>
                </c:pt>
                <c:pt idx="58">
                  <c:v>9400.6768320039628</c:v>
                </c:pt>
                <c:pt idx="59">
                  <c:v>9390.6684883340859</c:v>
                </c:pt>
                <c:pt idx="60">
                  <c:v>9380.6601446642144</c:v>
                </c:pt>
                <c:pt idx="61">
                  <c:v>9370.6721018942771</c:v>
                </c:pt>
                <c:pt idx="62">
                  <c:v>9360.6840591243417</c:v>
                </c:pt>
                <c:pt idx="63">
                  <c:v>9350.7163172543442</c:v>
                </c:pt>
                <c:pt idx="64">
                  <c:v>9340.7688762842845</c:v>
                </c:pt>
                <c:pt idx="65">
                  <c:v>9330.8214353142266</c:v>
                </c:pt>
                <c:pt idx="66">
                  <c:v>9320.8739943441669</c:v>
                </c:pt>
                <c:pt idx="67">
                  <c:v>9310.9468542740506</c:v>
                </c:pt>
                <c:pt idx="68">
                  <c:v>9301.0400151038702</c:v>
                </c:pt>
                <c:pt idx="69">
                  <c:v>9291.1331759336899</c:v>
                </c:pt>
                <c:pt idx="70">
                  <c:v>9281.2263367635078</c:v>
                </c:pt>
                <c:pt idx="71">
                  <c:v>9271.3397984932672</c:v>
                </c:pt>
                <c:pt idx="72">
                  <c:v>9261.4735611229644</c:v>
                </c:pt>
                <c:pt idx="73">
                  <c:v>9251.6073237526616</c:v>
                </c:pt>
                <c:pt idx="74">
                  <c:v>9241.7613872822985</c:v>
                </c:pt>
                <c:pt idx="75">
                  <c:v>9231.9154508119336</c:v>
                </c:pt>
                <c:pt idx="76">
                  <c:v>9222.0898152415084</c:v>
                </c:pt>
                <c:pt idx="77">
                  <c:v>9212.2641796710832</c:v>
                </c:pt>
                <c:pt idx="78">
                  <c:v>9202.4385441006598</c:v>
                </c:pt>
                <c:pt idx="79">
                  <c:v>9192.6535103301121</c:v>
                </c:pt>
                <c:pt idx="80">
                  <c:v>9182.8481756596266</c:v>
                </c:pt>
                <c:pt idx="81">
                  <c:v>9173.0834427890204</c:v>
                </c:pt>
                <c:pt idx="82">
                  <c:v>9163.2984090184709</c:v>
                </c:pt>
                <c:pt idx="83">
                  <c:v>9153.5539770478008</c:v>
                </c:pt>
                <c:pt idx="84">
                  <c:v>9143.8095450771325</c:v>
                </c:pt>
                <c:pt idx="85">
                  <c:v>9134.0651131064624</c:v>
                </c:pt>
                <c:pt idx="86">
                  <c:v>9124.3409820357338</c:v>
                </c:pt>
                <c:pt idx="87">
                  <c:v>9114.6168509650033</c:v>
                </c:pt>
                <c:pt idx="88">
                  <c:v>9104.9130207942108</c:v>
                </c:pt>
                <c:pt idx="89">
                  <c:v>9095.2091906234182</c:v>
                </c:pt>
                <c:pt idx="90">
                  <c:v>9085.5256613525689</c:v>
                </c:pt>
                <c:pt idx="91">
                  <c:v>9075.8421320817142</c:v>
                </c:pt>
                <c:pt idx="92">
                  <c:v>9066.1789037107992</c:v>
                </c:pt>
                <c:pt idx="93">
                  <c:v>9056.5359762398257</c:v>
                </c:pt>
                <c:pt idx="94">
                  <c:v>9046.8727478689125</c:v>
                </c:pt>
                <c:pt idx="95">
                  <c:v>9037.2501212978768</c:v>
                </c:pt>
                <c:pt idx="96">
                  <c:v>9027.6274947268412</c:v>
                </c:pt>
                <c:pt idx="97">
                  <c:v>9018.0048681558037</c:v>
                </c:pt>
                <c:pt idx="98">
                  <c:v>9008.4025424847077</c:v>
                </c:pt>
                <c:pt idx="99">
                  <c:v>8998.8002168136099</c:v>
                </c:pt>
                <c:pt idx="100">
                  <c:v>8989.2181920424518</c:v>
                </c:pt>
                <c:pt idx="101">
                  <c:v>8979.6564681712334</c:v>
                </c:pt>
                <c:pt idx="102">
                  <c:v>8970.0947443000132</c:v>
                </c:pt>
                <c:pt idx="103">
                  <c:v>8960.5330204287948</c:v>
                </c:pt>
                <c:pt idx="104">
                  <c:v>8950.9915974575142</c:v>
                </c:pt>
                <c:pt idx="105">
                  <c:v>8941.4501744862337</c:v>
                </c:pt>
                <c:pt idx="106">
                  <c:v>8931.9290524148946</c:v>
                </c:pt>
                <c:pt idx="107">
                  <c:v>8922.4282312434916</c:v>
                </c:pt>
                <c:pt idx="108">
                  <c:v>8912.9274100720886</c:v>
                </c:pt>
                <c:pt idx="109">
                  <c:v>8903.4265889006856</c:v>
                </c:pt>
                <c:pt idx="110">
                  <c:v>8893.9460686292223</c:v>
                </c:pt>
                <c:pt idx="111">
                  <c:v>8884.465548357759</c:v>
                </c:pt>
                <c:pt idx="112">
                  <c:v>8875.0053289862335</c:v>
                </c:pt>
                <c:pt idx="113">
                  <c:v>8865.5654105146477</c:v>
                </c:pt>
                <c:pt idx="114">
                  <c:v>8856.125492043062</c:v>
                </c:pt>
                <c:pt idx="115">
                  <c:v>8846.6855735714762</c:v>
                </c:pt>
                <c:pt idx="116">
                  <c:v>8837.2659559998283</c:v>
                </c:pt>
                <c:pt idx="117">
                  <c:v>8827.8463384281822</c:v>
                </c:pt>
                <c:pt idx="118">
                  <c:v>8818.447021756474</c:v>
                </c:pt>
                <c:pt idx="119">
                  <c:v>8809.0680059847055</c:v>
                </c:pt>
                <c:pt idx="120">
                  <c:v>8799.6686893129954</c:v>
                </c:pt>
                <c:pt idx="121">
                  <c:v>8790.3099744411666</c:v>
                </c:pt>
                <c:pt idx="122">
                  <c:v>8780.9512595693359</c:v>
                </c:pt>
                <c:pt idx="123">
                  <c:v>8771.592544697507</c:v>
                </c:pt>
                <c:pt idx="124">
                  <c:v>8762.2541307256142</c:v>
                </c:pt>
                <c:pt idx="125">
                  <c:v>8752.9157167537232</c:v>
                </c:pt>
                <c:pt idx="126">
                  <c:v>8743.5976036817701</c:v>
                </c:pt>
                <c:pt idx="127">
                  <c:v>8734.279490609817</c:v>
                </c:pt>
                <c:pt idx="128">
                  <c:v>8724.9816784378036</c:v>
                </c:pt>
                <c:pt idx="129">
                  <c:v>8715.6838662657901</c:v>
                </c:pt>
                <c:pt idx="130">
                  <c:v>8706.4063549937164</c:v>
                </c:pt>
                <c:pt idx="131">
                  <c:v>8697.1288437216408</c:v>
                </c:pt>
                <c:pt idx="132">
                  <c:v>8687.8716333495067</c:v>
                </c:pt>
                <c:pt idx="133">
                  <c:v>8678.614422977369</c:v>
                </c:pt>
                <c:pt idx="134">
                  <c:v>8669.3775135051728</c:v>
                </c:pt>
                <c:pt idx="135">
                  <c:v>8660.1406040329766</c:v>
                </c:pt>
                <c:pt idx="136">
                  <c:v>8650.9239954607183</c:v>
                </c:pt>
                <c:pt idx="137">
                  <c:v>8641.70738688846</c:v>
                </c:pt>
                <c:pt idx="138">
                  <c:v>8632.5110792161413</c:v>
                </c:pt>
                <c:pt idx="139">
                  <c:v>8623.3147715438226</c:v>
                </c:pt>
                <c:pt idx="140">
                  <c:v>8614.1184638715022</c:v>
                </c:pt>
                <c:pt idx="141">
                  <c:v>8604.9424570991214</c:v>
                </c:pt>
                <c:pt idx="142">
                  <c:v>8595.7867512266803</c:v>
                </c:pt>
                <c:pt idx="143">
                  <c:v>8586.631045354241</c:v>
                </c:pt>
                <c:pt idx="144">
                  <c:v>8577.4956403817378</c:v>
                </c:pt>
                <c:pt idx="145">
                  <c:v>8568.3602354092363</c:v>
                </c:pt>
                <c:pt idx="146">
                  <c:v>8559.2248304367331</c:v>
                </c:pt>
                <c:pt idx="147">
                  <c:v>8550.1097263641677</c:v>
                </c:pt>
                <c:pt idx="148">
                  <c:v>8540.994622291606</c:v>
                </c:pt>
                <c:pt idx="149">
                  <c:v>8531.8998191189803</c:v>
                </c:pt>
                <c:pt idx="150">
                  <c:v>8522.8253168462961</c:v>
                </c:pt>
                <c:pt idx="151">
                  <c:v>8513.7508145736083</c:v>
                </c:pt>
                <c:pt idx="152">
                  <c:v>8504.6763123009259</c:v>
                </c:pt>
                <c:pt idx="153">
                  <c:v>8495.6221109281778</c:v>
                </c:pt>
                <c:pt idx="154">
                  <c:v>8486.5679095554297</c:v>
                </c:pt>
                <c:pt idx="155">
                  <c:v>8477.5340090826212</c:v>
                </c:pt>
                <c:pt idx="156">
                  <c:v>8468.5001086098127</c:v>
                </c:pt>
                <c:pt idx="157">
                  <c:v>8459.4865090369458</c:v>
                </c:pt>
                <c:pt idx="158">
                  <c:v>8450.4729094640752</c:v>
                </c:pt>
                <c:pt idx="159">
                  <c:v>8441.4796107911461</c:v>
                </c:pt>
                <c:pt idx="160">
                  <c:v>8432.4863121182152</c:v>
                </c:pt>
                <c:pt idx="161">
                  <c:v>8423.513314345224</c:v>
                </c:pt>
                <c:pt idx="162">
                  <c:v>8414.5403165722328</c:v>
                </c:pt>
                <c:pt idx="163">
                  <c:v>8405.5673187992415</c:v>
                </c:pt>
                <c:pt idx="164">
                  <c:v>8396.61462192619</c:v>
                </c:pt>
                <c:pt idx="165">
                  <c:v>8387.6822259530763</c:v>
                </c:pt>
                <c:pt idx="166">
                  <c:v>8378.7498299799627</c:v>
                </c:pt>
                <c:pt idx="167">
                  <c:v>8369.817434006849</c:v>
                </c:pt>
                <c:pt idx="168">
                  <c:v>8360.9053389336732</c:v>
                </c:pt>
                <c:pt idx="169">
                  <c:v>8351.993243860501</c:v>
                </c:pt>
                <c:pt idx="170">
                  <c:v>8343.1014496872649</c:v>
                </c:pt>
                <c:pt idx="171">
                  <c:v>8334.2299564139685</c:v>
                </c:pt>
                <c:pt idx="172">
                  <c:v>8325.3381622407323</c:v>
                </c:pt>
                <c:pt idx="173">
                  <c:v>8316.486969867372</c:v>
                </c:pt>
                <c:pt idx="174">
                  <c:v>8307.6154765940773</c:v>
                </c:pt>
                <c:pt idx="175">
                  <c:v>8298.7642842207188</c:v>
                </c:pt>
                <c:pt idx="176">
                  <c:v>8289.9333927472999</c:v>
                </c:pt>
                <c:pt idx="177">
                  <c:v>8281.102501273881</c:v>
                </c:pt>
                <c:pt idx="178">
                  <c:v>8272.2919107004018</c:v>
                </c:pt>
                <c:pt idx="179">
                  <c:v>8263.4813201269208</c:v>
                </c:pt>
                <c:pt idx="180">
                  <c:v>8254.6707295534397</c:v>
                </c:pt>
                <c:pt idx="181">
                  <c:v>8245.8804398798984</c:v>
                </c:pt>
                <c:pt idx="182">
                  <c:v>8237.1104511062968</c:v>
                </c:pt>
                <c:pt idx="183">
                  <c:v>8228.3201614327554</c:v>
                </c:pt>
                <c:pt idx="184">
                  <c:v>8219.5704735590916</c:v>
                </c:pt>
                <c:pt idx="185">
                  <c:v>8210.8207856854278</c:v>
                </c:pt>
                <c:pt idx="186">
                  <c:v>8202.0710978117659</c:v>
                </c:pt>
                <c:pt idx="187">
                  <c:v>8193.3417108380399</c:v>
                </c:pt>
                <c:pt idx="188">
                  <c:v>8184.6123238643167</c:v>
                </c:pt>
                <c:pt idx="189">
                  <c:v>8175.8829368905917</c:v>
                </c:pt>
                <c:pt idx="190">
                  <c:v>8167.1738508168055</c:v>
                </c:pt>
                <c:pt idx="191">
                  <c:v>8158.4850656429599</c:v>
                </c:pt>
                <c:pt idx="192">
                  <c:v>8149.7962804691124</c:v>
                </c:pt>
                <c:pt idx="193">
                  <c:v>8141.1074952952658</c:v>
                </c:pt>
                <c:pt idx="194">
                  <c:v>8132.4390110213571</c:v>
                </c:pt>
                <c:pt idx="195">
                  <c:v>8123.7908276473891</c:v>
                </c:pt>
                <c:pt idx="196">
                  <c:v>8115.1223433734813</c:v>
                </c:pt>
                <c:pt idx="197">
                  <c:v>8106.494460899452</c:v>
                </c:pt>
                <c:pt idx="198">
                  <c:v>8097.846277525482</c:v>
                </c:pt>
                <c:pt idx="199">
                  <c:v>8089.2386959513906</c:v>
                </c:pt>
                <c:pt idx="200">
                  <c:v>8080.6108134773613</c:v>
                </c:pt>
                <c:pt idx="201">
                  <c:v>8072.0032319032698</c:v>
                </c:pt>
                <c:pt idx="202">
                  <c:v>8063.4159512291171</c:v>
                </c:pt>
                <c:pt idx="203">
                  <c:v>8054.8286705549644</c:v>
                </c:pt>
                <c:pt idx="204">
                  <c:v>8046.2413898808127</c:v>
                </c:pt>
                <c:pt idx="205">
                  <c:v>8037.6744101065997</c:v>
                </c:pt>
                <c:pt idx="206">
                  <c:v>8029.1074303323858</c:v>
                </c:pt>
                <c:pt idx="207">
                  <c:v>8020.5607514581125</c:v>
                </c:pt>
                <c:pt idx="208">
                  <c:v>8012.0140725838373</c:v>
                </c:pt>
                <c:pt idx="209">
                  <c:v>8003.487694609501</c:v>
                </c:pt>
                <c:pt idx="210">
                  <c:v>7994.9613166351664</c:v>
                </c:pt>
                <c:pt idx="211">
                  <c:v>7986.4552395607689</c:v>
                </c:pt>
                <c:pt idx="212">
                  <c:v>7977.9491624863722</c:v>
                </c:pt>
                <c:pt idx="213">
                  <c:v>7969.4430854119755</c:v>
                </c:pt>
                <c:pt idx="214">
                  <c:v>7960.9573092375185</c:v>
                </c:pt>
                <c:pt idx="215">
                  <c:v>7952.4918339629994</c:v>
                </c:pt>
                <c:pt idx="216">
                  <c:v>7944.0060577885415</c:v>
                </c:pt>
                <c:pt idx="217">
                  <c:v>7935.5608834139612</c:v>
                </c:pt>
                <c:pt idx="218">
                  <c:v>7927.095408139443</c:v>
                </c:pt>
                <c:pt idx="219">
                  <c:v>7918.6502337648626</c:v>
                </c:pt>
                <c:pt idx="220">
                  <c:v>7910.225360290221</c:v>
                </c:pt>
                <c:pt idx="221">
                  <c:v>7901.8004868155804</c:v>
                </c:pt>
                <c:pt idx="222">
                  <c:v>7893.3959142408776</c:v>
                </c:pt>
                <c:pt idx="223">
                  <c:v>7884.9710407662369</c:v>
                </c:pt>
                <c:pt idx="224">
                  <c:v>7876.5867690914738</c:v>
                </c:pt>
                <c:pt idx="225">
                  <c:v>7868.2024974167098</c:v>
                </c:pt>
                <c:pt idx="226">
                  <c:v>7859.8182257419458</c:v>
                </c:pt>
                <c:pt idx="227">
                  <c:v>7851.4339540671845</c:v>
                </c:pt>
                <c:pt idx="228">
                  <c:v>7843.090284192298</c:v>
                </c:pt>
                <c:pt idx="229">
                  <c:v>7834.7263134174736</c:v>
                </c:pt>
                <c:pt idx="230">
                  <c:v>7826.3826435425872</c:v>
                </c:pt>
                <c:pt idx="231">
                  <c:v>7818.0389736677025</c:v>
                </c:pt>
                <c:pt idx="232">
                  <c:v>7809.7156046927548</c:v>
                </c:pt>
                <c:pt idx="233">
                  <c:v>7801.4125366177477</c:v>
                </c:pt>
                <c:pt idx="234">
                  <c:v>7793.0891676428</c:v>
                </c:pt>
                <c:pt idx="235">
                  <c:v>7784.7860995677929</c:v>
                </c:pt>
                <c:pt idx="236">
                  <c:v>7776.5033323927246</c:v>
                </c:pt>
                <c:pt idx="237">
                  <c:v>7768.2205652176553</c:v>
                </c:pt>
                <c:pt idx="238">
                  <c:v>7759.9580989425258</c:v>
                </c:pt>
                <c:pt idx="239">
                  <c:v>7751.6753317674566</c:v>
                </c:pt>
                <c:pt idx="240">
                  <c:v>7743.4331663922649</c:v>
                </c:pt>
                <c:pt idx="241">
                  <c:v>7735.1910010170741</c:v>
                </c:pt>
                <c:pt idx="242">
                  <c:v>7726.9488356418833</c:v>
                </c:pt>
                <c:pt idx="243">
                  <c:v>7718.7066702666925</c:v>
                </c:pt>
                <c:pt idx="244">
                  <c:v>7708.5968220971235</c:v>
                </c:pt>
                <c:pt idx="245">
                  <c:v>7698.2230622283478</c:v>
                </c:pt>
                <c:pt idx="246">
                  <c:v>7687.2808771612845</c:v>
                </c:pt>
                <c:pt idx="247">
                  <c:v>7676.622904693364</c:v>
                </c:pt>
                <c:pt idx="248">
                  <c:v>7666.431852924039</c:v>
                </c:pt>
                <c:pt idx="249">
                  <c:v>7655.7332786562429</c:v>
                </c:pt>
                <c:pt idx="250">
                  <c:v>7644.6692881895451</c:v>
                </c:pt>
                <c:pt idx="251">
                  <c:v>7634.1534220211979</c:v>
                </c:pt>
                <c:pt idx="252">
                  <c:v>7623.3330423537673</c:v>
                </c:pt>
                <c:pt idx="253">
                  <c:v>7612.5329635862745</c:v>
                </c:pt>
                <c:pt idx="254">
                  <c:v>7602.2404073172565</c:v>
                </c:pt>
                <c:pt idx="255">
                  <c:v>7591.0343105509874</c:v>
                </c:pt>
                <c:pt idx="256">
                  <c:v>7579.7876119848388</c:v>
                </c:pt>
                <c:pt idx="257">
                  <c:v>7569.4138521160639</c:v>
                </c:pt>
                <c:pt idx="258">
                  <c:v>7558.4310652491213</c:v>
                </c:pt>
                <c:pt idx="259">
                  <c:v>7547.4076765823029</c:v>
                </c:pt>
                <c:pt idx="260">
                  <c:v>7536.5466951149938</c:v>
                </c:pt>
                <c:pt idx="261">
                  <c:v>7525.0766866495187</c:v>
                </c:pt>
                <c:pt idx="262">
                  <c:v>7513.9314925830658</c:v>
                </c:pt>
                <c:pt idx="263">
                  <c:v>7503.3547237149023</c:v>
                </c:pt>
                <c:pt idx="264">
                  <c:v>7492.1080251487547</c:v>
                </c:pt>
                <c:pt idx="265">
                  <c:v>7480.4553085838288</c:v>
                </c:pt>
                <c:pt idx="266">
                  <c:v>7469.3304154173147</c:v>
                </c:pt>
                <c:pt idx="267">
                  <c:v>7458.002513251412</c:v>
                </c:pt>
                <c:pt idx="268">
                  <c:v>7446.6340092856308</c:v>
                </c:pt>
                <c:pt idx="269">
                  <c:v>7435.8745323180174</c:v>
                </c:pt>
                <c:pt idx="270">
                  <c:v>7423.9782049538253</c:v>
                </c:pt>
                <c:pt idx="271">
                  <c:v>7412.0615766896935</c:v>
                </c:pt>
                <c:pt idx="272">
                  <c:v>7401.1599934225078</c:v>
                </c:pt>
                <c:pt idx="273">
                  <c:v>7389.6087813572776</c:v>
                </c:pt>
                <c:pt idx="274">
                  <c:v>7377.9763656922905</c:v>
                </c:pt>
                <c:pt idx="275">
                  <c:v>7366.8311716258386</c:v>
                </c:pt>
                <c:pt idx="276">
                  <c:v>7355.6859775593839</c:v>
                </c:pt>
                <c:pt idx="277">
                  <c:v>7344.7031906924431</c:v>
                </c:pt>
                <c:pt idx="278">
                  <c:v>7333.8828110250124</c:v>
                </c:pt>
                <c:pt idx="279">
                  <c:v>7322.8188205583147</c:v>
                </c:pt>
                <c:pt idx="280">
                  <c:v>7311.4909183924119</c:v>
                </c:pt>
                <c:pt idx="281">
                  <c:v>7300.4269279257151</c:v>
                </c:pt>
                <c:pt idx="282">
                  <c:v>7289.220831159445</c:v>
                </c:pt>
                <c:pt idx="283">
                  <c:v>7277.994433493237</c:v>
                </c:pt>
                <c:pt idx="284">
                  <c:v>7266.9710448264168</c:v>
                </c:pt>
                <c:pt idx="285">
                  <c:v>7255.480735461002</c:v>
                </c:pt>
                <c:pt idx="286">
                  <c:v>7243.8889215958943</c:v>
                </c:pt>
                <c:pt idx="287">
                  <c:v>7232.7843293293181</c:v>
                </c:pt>
                <c:pt idx="288">
                  <c:v>7221.3549226637206</c:v>
                </c:pt>
                <c:pt idx="289">
                  <c:v>7209.9661177980024</c:v>
                </c:pt>
                <c:pt idx="290">
                  <c:v>7198.5570120323428</c:v>
                </c:pt>
                <c:pt idx="291">
                  <c:v>7186.8433927675997</c:v>
                </c:pt>
                <c:pt idx="292">
                  <c:v>7175.3124816023092</c:v>
                </c:pt>
                <c:pt idx="293">
                  <c:v>7164.0657830361624</c:v>
                </c:pt>
                <c:pt idx="294">
                  <c:v>7152.3927655712969</c:v>
                </c:pt>
                <c:pt idx="295">
                  <c:v>7140.4761373071669</c:v>
                </c:pt>
                <c:pt idx="296">
                  <c:v>7128.8031198423032</c:v>
                </c:pt>
                <c:pt idx="297">
                  <c:v>7117.0895005775601</c:v>
                </c:pt>
                <c:pt idx="298">
                  <c:v>7105.2134741133068</c:v>
                </c:pt>
                <c:pt idx="299">
                  <c:v>7093.5810584483206</c:v>
                </c:pt>
                <c:pt idx="300">
                  <c:v>7081.3802175850451</c:v>
                </c:pt>
                <c:pt idx="301">
                  <c:v>7069.1996776217084</c:v>
                </c:pt>
                <c:pt idx="302">
                  <c:v>7057.5266601568446</c:v>
                </c:pt>
                <c:pt idx="303">
                  <c:v>7045.5491291928965</c:v>
                </c:pt>
                <c:pt idx="304">
                  <c:v>7033.3888901294995</c:v>
                </c:pt>
                <c:pt idx="305">
                  <c:v>7021.2489519660403</c:v>
                </c:pt>
                <c:pt idx="306">
                  <c:v>7009.9413507000763</c:v>
                </c:pt>
                <c:pt idx="307">
                  <c:v>6998.8773602333786</c:v>
                </c:pt>
                <c:pt idx="308">
                  <c:v>6987.874272466498</c:v>
                </c:pt>
                <c:pt idx="309">
                  <c:v>6976.6884766001667</c:v>
                </c:pt>
                <c:pt idx="310">
                  <c:v>6965.3808753342037</c:v>
                </c:pt>
                <c:pt idx="311">
                  <c:v>6954.215380367812</c:v>
                </c:pt>
                <c:pt idx="312">
                  <c:v>6942.745371902336</c:v>
                </c:pt>
                <c:pt idx="313">
                  <c:v>6931.194159837105</c:v>
                </c:pt>
                <c:pt idx="314">
                  <c:v>6919.7444522715687</c:v>
                </c:pt>
                <c:pt idx="315">
                  <c:v>6908.0308330068274</c:v>
                </c:pt>
                <c:pt idx="316">
                  <c:v>6896.1751074425129</c:v>
                </c:pt>
                <c:pt idx="317">
                  <c:v>6884.5020899776491</c:v>
                </c:pt>
                <c:pt idx="318">
                  <c:v>6872.4230545140063</c:v>
                </c:pt>
                <c:pt idx="319">
                  <c:v>6860.2628154506083</c:v>
                </c:pt>
                <c:pt idx="320">
                  <c:v>6848.041673687394</c:v>
                </c:pt>
                <c:pt idx="321">
                  <c:v>6835.4957175251575</c:v>
                </c:pt>
                <c:pt idx="322">
                  <c:v>6822.6249469638988</c:v>
                </c:pt>
                <c:pt idx="323">
                  <c:v>6809.8962827022115</c:v>
                </c:pt>
                <c:pt idx="324">
                  <c:v>6796.6194941421754</c:v>
                </c:pt>
                <c:pt idx="325">
                  <c:v>6783.2209001825049</c:v>
                </c:pt>
                <c:pt idx="326">
                  <c:v>6770.4719350208788</c:v>
                </c:pt>
                <c:pt idx="327">
                  <c:v>6757.4184563601702</c:v>
                </c:pt>
                <c:pt idx="328">
                  <c:v>6744.852199297995</c:v>
                </c:pt>
                <c:pt idx="329">
                  <c:v>6732.8949692339856</c:v>
                </c:pt>
                <c:pt idx="330">
                  <c:v>6720.2272076721156</c:v>
                </c:pt>
                <c:pt idx="331">
                  <c:v>6707.4579416105507</c:v>
                </c:pt>
                <c:pt idx="332">
                  <c:v>6695.4601097466648</c:v>
                </c:pt>
                <c:pt idx="333">
                  <c:v>6683.1171625838169</c:v>
                </c:pt>
                <c:pt idx="334">
                  <c:v>6670.8757199206639</c:v>
                </c:pt>
                <c:pt idx="335">
                  <c:v>6658.3297637584274</c:v>
                </c:pt>
                <c:pt idx="336">
                  <c:v>6639.693537614522</c:v>
                </c:pt>
                <c:pt idx="337">
                  <c:v>6624.1227473613899</c:v>
                </c:pt>
                <c:pt idx="338">
                  <c:v>6610.9677642009856</c:v>
                </c:pt>
                <c:pt idx="339">
                  <c:v>6595.8232928465723</c:v>
                </c:pt>
                <c:pt idx="340">
                  <c:v>6579.846484594661</c:v>
                </c:pt>
                <c:pt idx="341">
                  <c:v>6565.8997663366417</c:v>
                </c:pt>
                <c:pt idx="342">
                  <c:v>6551.1004102811876</c:v>
                </c:pt>
                <c:pt idx="343">
                  <c:v>6536.3619569255497</c:v>
                </c:pt>
                <c:pt idx="344">
                  <c:v>6523.7550980634969</c:v>
                </c:pt>
                <c:pt idx="345">
                  <c:v>6508.5497240092645</c:v>
                </c:pt>
                <c:pt idx="346">
                  <c:v>6493.5067571545442</c:v>
                </c:pt>
                <c:pt idx="347">
                  <c:v>6481.2044117915748</c:v>
                </c:pt>
                <c:pt idx="348">
                  <c:v>6467.0952863340426</c:v>
                </c:pt>
                <c:pt idx="349">
                  <c:v>6452.9658599765717</c:v>
                </c:pt>
                <c:pt idx="350">
                  <c:v>6439.9326822158018</c:v>
                </c:pt>
                <c:pt idx="351">
                  <c:v>6425.1130252604098</c:v>
                </c:pt>
                <c:pt idx="352">
                  <c:v>6411.2475106021448</c:v>
                </c:pt>
                <c:pt idx="353">
                  <c:v>6399.3308823380139</c:v>
                </c:pt>
                <c:pt idx="354">
                  <c:v>6385.5871730793824</c:v>
                </c:pt>
                <c:pt idx="355">
                  <c:v>6371.0314278231954</c:v>
                </c:pt>
                <c:pt idx="356">
                  <c:v>6358.0997545621185</c:v>
                </c:pt>
                <c:pt idx="357">
                  <c:v>6344.2951426036707</c:v>
                </c:pt>
                <c:pt idx="358">
                  <c:v>6330.7138405445503</c:v>
                </c:pt>
                <c:pt idx="359">
                  <c:v>6318.8987167801151</c:v>
                </c:pt>
                <c:pt idx="360">
                  <c:v>6304.4647769235607</c:v>
                </c:pt>
                <c:pt idx="361">
                  <c:v>6290.0714388668839</c:v>
                </c:pt>
                <c:pt idx="362">
                  <c:v>6278.2766160023875</c:v>
                </c:pt>
                <c:pt idx="363">
                  <c:v>6264.7562166430826</c:v>
                </c:pt>
                <c:pt idx="364">
                  <c:v>6250.9516046846356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42-46D8-8E4A-81FDA81B5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79637632"/>
        <c:axId val="-1879637088"/>
      </c:areaChart>
      <c:dateAx>
        <c:axId val="-1879637632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79637088"/>
        <c:crosses val="autoZero"/>
        <c:auto val="1"/>
        <c:lblOffset val="100"/>
        <c:baseTimeUnit val="days"/>
      </c:dateAx>
      <c:valAx>
        <c:axId val="-187963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個体数</a:t>
                </a:r>
                <a:endParaRPr lang="en-US" alt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ja-JP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79637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142725349369129"/>
          <c:y val="0.90384602933315872"/>
          <c:w val="0.48107323269753188"/>
          <c:h val="7.34494410556311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1"/>
          <c:order val="0"/>
          <c:tx>
            <c:strRef>
              <c:f>'マアナゴ (本宮計算)'!$S$1</c:f>
              <c:strCache>
                <c:ptCount val="1"/>
                <c:pt idx="0">
                  <c:v>2年入網
P重量</c:v>
                </c:pt>
              </c:strCache>
            </c:strRef>
          </c:tx>
          <c:spPr>
            <a:solidFill>
              <a:srgbClr val="FF5050"/>
            </a:solidFill>
            <a:ln>
              <a:noFill/>
            </a:ln>
            <a:effectLst/>
          </c:spPr>
          <c:cat>
            <c:numRef>
              <c:f>'マアナゴ (本宮計算)'!$A$3:$A$367</c:f>
              <c:numCache>
                <c:formatCode>m/d/yyyy</c:formatCode>
                <c:ptCount val="365"/>
                <c:pt idx="0">
                  <c:v>41730</c:v>
                </c:pt>
                <c:pt idx="1">
                  <c:v>41731</c:v>
                </c:pt>
                <c:pt idx="2">
                  <c:v>41732</c:v>
                </c:pt>
                <c:pt idx="3">
                  <c:v>41733</c:v>
                </c:pt>
                <c:pt idx="4">
                  <c:v>41734</c:v>
                </c:pt>
                <c:pt idx="5">
                  <c:v>41735</c:v>
                </c:pt>
                <c:pt idx="6">
                  <c:v>41736</c:v>
                </c:pt>
                <c:pt idx="7">
                  <c:v>41737</c:v>
                </c:pt>
                <c:pt idx="8">
                  <c:v>41738</c:v>
                </c:pt>
                <c:pt idx="9">
                  <c:v>41739</c:v>
                </c:pt>
                <c:pt idx="10">
                  <c:v>41740</c:v>
                </c:pt>
                <c:pt idx="11">
                  <c:v>41741</c:v>
                </c:pt>
                <c:pt idx="12">
                  <c:v>41742</c:v>
                </c:pt>
                <c:pt idx="13">
                  <c:v>41743</c:v>
                </c:pt>
                <c:pt idx="14">
                  <c:v>41744</c:v>
                </c:pt>
                <c:pt idx="15">
                  <c:v>41745</c:v>
                </c:pt>
                <c:pt idx="16">
                  <c:v>41746</c:v>
                </c:pt>
                <c:pt idx="17">
                  <c:v>41747</c:v>
                </c:pt>
                <c:pt idx="18">
                  <c:v>41748</c:v>
                </c:pt>
                <c:pt idx="19">
                  <c:v>41749</c:v>
                </c:pt>
                <c:pt idx="20">
                  <c:v>41750</c:v>
                </c:pt>
                <c:pt idx="21">
                  <c:v>41751</c:v>
                </c:pt>
                <c:pt idx="22">
                  <c:v>41752</c:v>
                </c:pt>
                <c:pt idx="23">
                  <c:v>41753</c:v>
                </c:pt>
                <c:pt idx="24">
                  <c:v>41754</c:v>
                </c:pt>
                <c:pt idx="25">
                  <c:v>41755</c:v>
                </c:pt>
                <c:pt idx="26">
                  <c:v>41756</c:v>
                </c:pt>
                <c:pt idx="27">
                  <c:v>41757</c:v>
                </c:pt>
                <c:pt idx="28">
                  <c:v>41758</c:v>
                </c:pt>
                <c:pt idx="29">
                  <c:v>41759</c:v>
                </c:pt>
                <c:pt idx="30">
                  <c:v>41760</c:v>
                </c:pt>
                <c:pt idx="31">
                  <c:v>41761</c:v>
                </c:pt>
                <c:pt idx="32">
                  <c:v>41762</c:v>
                </c:pt>
                <c:pt idx="33">
                  <c:v>41763</c:v>
                </c:pt>
                <c:pt idx="34">
                  <c:v>41764</c:v>
                </c:pt>
                <c:pt idx="35">
                  <c:v>41765</c:v>
                </c:pt>
                <c:pt idx="36">
                  <c:v>41766</c:v>
                </c:pt>
                <c:pt idx="37">
                  <c:v>41767</c:v>
                </c:pt>
                <c:pt idx="38">
                  <c:v>41768</c:v>
                </c:pt>
                <c:pt idx="39">
                  <c:v>41769</c:v>
                </c:pt>
                <c:pt idx="40">
                  <c:v>41770</c:v>
                </c:pt>
                <c:pt idx="41">
                  <c:v>41771</c:v>
                </c:pt>
                <c:pt idx="42">
                  <c:v>41772</c:v>
                </c:pt>
                <c:pt idx="43">
                  <c:v>41773</c:v>
                </c:pt>
                <c:pt idx="44">
                  <c:v>41774</c:v>
                </c:pt>
                <c:pt idx="45">
                  <c:v>41775</c:v>
                </c:pt>
                <c:pt idx="46">
                  <c:v>41776</c:v>
                </c:pt>
                <c:pt idx="47">
                  <c:v>41777</c:v>
                </c:pt>
                <c:pt idx="48">
                  <c:v>41778</c:v>
                </c:pt>
                <c:pt idx="49">
                  <c:v>41779</c:v>
                </c:pt>
                <c:pt idx="50">
                  <c:v>41780</c:v>
                </c:pt>
                <c:pt idx="51">
                  <c:v>41781</c:v>
                </c:pt>
                <c:pt idx="52">
                  <c:v>41782</c:v>
                </c:pt>
                <c:pt idx="53">
                  <c:v>41783</c:v>
                </c:pt>
                <c:pt idx="54">
                  <c:v>41784</c:v>
                </c:pt>
                <c:pt idx="55">
                  <c:v>41785</c:v>
                </c:pt>
                <c:pt idx="56">
                  <c:v>41786</c:v>
                </c:pt>
                <c:pt idx="57">
                  <c:v>41787</c:v>
                </c:pt>
                <c:pt idx="58">
                  <c:v>41788</c:v>
                </c:pt>
                <c:pt idx="59">
                  <c:v>41789</c:v>
                </c:pt>
                <c:pt idx="60">
                  <c:v>41790</c:v>
                </c:pt>
                <c:pt idx="61">
                  <c:v>41791</c:v>
                </c:pt>
                <c:pt idx="62">
                  <c:v>41792</c:v>
                </c:pt>
                <c:pt idx="63">
                  <c:v>41793</c:v>
                </c:pt>
                <c:pt idx="64">
                  <c:v>41794</c:v>
                </c:pt>
                <c:pt idx="65">
                  <c:v>41795</c:v>
                </c:pt>
                <c:pt idx="66">
                  <c:v>41796</c:v>
                </c:pt>
                <c:pt idx="67">
                  <c:v>41797</c:v>
                </c:pt>
                <c:pt idx="68">
                  <c:v>41798</c:v>
                </c:pt>
                <c:pt idx="69">
                  <c:v>41799</c:v>
                </c:pt>
                <c:pt idx="70">
                  <c:v>41800</c:v>
                </c:pt>
                <c:pt idx="71">
                  <c:v>41801</c:v>
                </c:pt>
                <c:pt idx="72">
                  <c:v>41802</c:v>
                </c:pt>
                <c:pt idx="73">
                  <c:v>41803</c:v>
                </c:pt>
                <c:pt idx="74">
                  <c:v>41804</c:v>
                </c:pt>
                <c:pt idx="75">
                  <c:v>41805</c:v>
                </c:pt>
                <c:pt idx="76">
                  <c:v>41806</c:v>
                </c:pt>
                <c:pt idx="77">
                  <c:v>41807</c:v>
                </c:pt>
                <c:pt idx="78">
                  <c:v>41808</c:v>
                </c:pt>
                <c:pt idx="79">
                  <c:v>41809</c:v>
                </c:pt>
                <c:pt idx="80">
                  <c:v>41810</c:v>
                </c:pt>
                <c:pt idx="81">
                  <c:v>41811</c:v>
                </c:pt>
                <c:pt idx="82">
                  <c:v>41812</c:v>
                </c:pt>
                <c:pt idx="83">
                  <c:v>41813</c:v>
                </c:pt>
                <c:pt idx="84">
                  <c:v>41814</c:v>
                </c:pt>
                <c:pt idx="85">
                  <c:v>41815</c:v>
                </c:pt>
                <c:pt idx="86">
                  <c:v>41816</c:v>
                </c:pt>
                <c:pt idx="87">
                  <c:v>41817</c:v>
                </c:pt>
                <c:pt idx="88">
                  <c:v>41818</c:v>
                </c:pt>
                <c:pt idx="89">
                  <c:v>41819</c:v>
                </c:pt>
                <c:pt idx="90">
                  <c:v>41820</c:v>
                </c:pt>
                <c:pt idx="91">
                  <c:v>41821</c:v>
                </c:pt>
                <c:pt idx="92">
                  <c:v>41822</c:v>
                </c:pt>
                <c:pt idx="93">
                  <c:v>41823</c:v>
                </c:pt>
                <c:pt idx="94">
                  <c:v>41824</c:v>
                </c:pt>
                <c:pt idx="95">
                  <c:v>41825</c:v>
                </c:pt>
                <c:pt idx="96">
                  <c:v>41826</c:v>
                </c:pt>
                <c:pt idx="97">
                  <c:v>41827</c:v>
                </c:pt>
                <c:pt idx="98">
                  <c:v>41828</c:v>
                </c:pt>
                <c:pt idx="99">
                  <c:v>41829</c:v>
                </c:pt>
                <c:pt idx="100">
                  <c:v>41830</c:v>
                </c:pt>
                <c:pt idx="101">
                  <c:v>41831</c:v>
                </c:pt>
                <c:pt idx="102">
                  <c:v>41832</c:v>
                </c:pt>
                <c:pt idx="103">
                  <c:v>41833</c:v>
                </c:pt>
                <c:pt idx="104">
                  <c:v>41834</c:v>
                </c:pt>
                <c:pt idx="105">
                  <c:v>41835</c:v>
                </c:pt>
                <c:pt idx="106">
                  <c:v>41836</c:v>
                </c:pt>
                <c:pt idx="107">
                  <c:v>41837</c:v>
                </c:pt>
                <c:pt idx="108">
                  <c:v>41838</c:v>
                </c:pt>
                <c:pt idx="109">
                  <c:v>41839</c:v>
                </c:pt>
                <c:pt idx="110">
                  <c:v>41840</c:v>
                </c:pt>
                <c:pt idx="111">
                  <c:v>41841</c:v>
                </c:pt>
                <c:pt idx="112">
                  <c:v>41842</c:v>
                </c:pt>
                <c:pt idx="113">
                  <c:v>41843</c:v>
                </c:pt>
                <c:pt idx="114">
                  <c:v>41844</c:v>
                </c:pt>
                <c:pt idx="115">
                  <c:v>41845</c:v>
                </c:pt>
                <c:pt idx="116">
                  <c:v>41846</c:v>
                </c:pt>
                <c:pt idx="117">
                  <c:v>41847</c:v>
                </c:pt>
                <c:pt idx="118">
                  <c:v>41848</c:v>
                </c:pt>
                <c:pt idx="119">
                  <c:v>41849</c:v>
                </c:pt>
                <c:pt idx="120">
                  <c:v>41850</c:v>
                </c:pt>
                <c:pt idx="121">
                  <c:v>41851</c:v>
                </c:pt>
                <c:pt idx="122">
                  <c:v>41852</c:v>
                </c:pt>
                <c:pt idx="123">
                  <c:v>41853</c:v>
                </c:pt>
                <c:pt idx="124">
                  <c:v>41854</c:v>
                </c:pt>
                <c:pt idx="125">
                  <c:v>41855</c:v>
                </c:pt>
                <c:pt idx="126">
                  <c:v>41856</c:v>
                </c:pt>
                <c:pt idx="127">
                  <c:v>41857</c:v>
                </c:pt>
                <c:pt idx="128">
                  <c:v>41858</c:v>
                </c:pt>
                <c:pt idx="129">
                  <c:v>41859</c:v>
                </c:pt>
                <c:pt idx="130">
                  <c:v>41860</c:v>
                </c:pt>
                <c:pt idx="131">
                  <c:v>41861</c:v>
                </c:pt>
                <c:pt idx="132">
                  <c:v>41862</c:v>
                </c:pt>
                <c:pt idx="133">
                  <c:v>41863</c:v>
                </c:pt>
                <c:pt idx="134">
                  <c:v>41864</c:v>
                </c:pt>
                <c:pt idx="135">
                  <c:v>41865</c:v>
                </c:pt>
                <c:pt idx="136">
                  <c:v>41866</c:v>
                </c:pt>
                <c:pt idx="137">
                  <c:v>41867</c:v>
                </c:pt>
                <c:pt idx="138">
                  <c:v>41868</c:v>
                </c:pt>
                <c:pt idx="139">
                  <c:v>41869</c:v>
                </c:pt>
                <c:pt idx="140">
                  <c:v>41870</c:v>
                </c:pt>
                <c:pt idx="141">
                  <c:v>41871</c:v>
                </c:pt>
                <c:pt idx="142">
                  <c:v>41872</c:v>
                </c:pt>
                <c:pt idx="143">
                  <c:v>41873</c:v>
                </c:pt>
                <c:pt idx="144">
                  <c:v>41874</c:v>
                </c:pt>
                <c:pt idx="145">
                  <c:v>41875</c:v>
                </c:pt>
                <c:pt idx="146">
                  <c:v>41876</c:v>
                </c:pt>
                <c:pt idx="147">
                  <c:v>41877</c:v>
                </c:pt>
                <c:pt idx="148">
                  <c:v>41878</c:v>
                </c:pt>
                <c:pt idx="149">
                  <c:v>41879</c:v>
                </c:pt>
                <c:pt idx="150">
                  <c:v>41880</c:v>
                </c:pt>
                <c:pt idx="151">
                  <c:v>41881</c:v>
                </c:pt>
                <c:pt idx="152">
                  <c:v>41882</c:v>
                </c:pt>
                <c:pt idx="153">
                  <c:v>41883</c:v>
                </c:pt>
                <c:pt idx="154">
                  <c:v>41884</c:v>
                </c:pt>
                <c:pt idx="155">
                  <c:v>41885</c:v>
                </c:pt>
                <c:pt idx="156">
                  <c:v>41886</c:v>
                </c:pt>
                <c:pt idx="157">
                  <c:v>41887</c:v>
                </c:pt>
                <c:pt idx="158">
                  <c:v>41888</c:v>
                </c:pt>
                <c:pt idx="159">
                  <c:v>41889</c:v>
                </c:pt>
                <c:pt idx="160">
                  <c:v>41890</c:v>
                </c:pt>
                <c:pt idx="161">
                  <c:v>41891</c:v>
                </c:pt>
                <c:pt idx="162">
                  <c:v>41892</c:v>
                </c:pt>
                <c:pt idx="163">
                  <c:v>41893</c:v>
                </c:pt>
                <c:pt idx="164">
                  <c:v>41894</c:v>
                </c:pt>
                <c:pt idx="165">
                  <c:v>41895</c:v>
                </c:pt>
                <c:pt idx="166">
                  <c:v>41896</c:v>
                </c:pt>
                <c:pt idx="167">
                  <c:v>41897</c:v>
                </c:pt>
                <c:pt idx="168">
                  <c:v>41898</c:v>
                </c:pt>
                <c:pt idx="169">
                  <c:v>41899</c:v>
                </c:pt>
                <c:pt idx="170">
                  <c:v>41900</c:v>
                </c:pt>
                <c:pt idx="171">
                  <c:v>41901</c:v>
                </c:pt>
                <c:pt idx="172">
                  <c:v>41902</c:v>
                </c:pt>
                <c:pt idx="173">
                  <c:v>41903</c:v>
                </c:pt>
                <c:pt idx="174">
                  <c:v>41904</c:v>
                </c:pt>
                <c:pt idx="175">
                  <c:v>41905</c:v>
                </c:pt>
                <c:pt idx="176">
                  <c:v>41906</c:v>
                </c:pt>
                <c:pt idx="177">
                  <c:v>41907</c:v>
                </c:pt>
                <c:pt idx="178">
                  <c:v>41908</c:v>
                </c:pt>
                <c:pt idx="179">
                  <c:v>41909</c:v>
                </c:pt>
                <c:pt idx="180">
                  <c:v>41910</c:v>
                </c:pt>
                <c:pt idx="181">
                  <c:v>41911</c:v>
                </c:pt>
                <c:pt idx="182">
                  <c:v>41912</c:v>
                </c:pt>
                <c:pt idx="183">
                  <c:v>41913</c:v>
                </c:pt>
                <c:pt idx="184">
                  <c:v>41914</c:v>
                </c:pt>
                <c:pt idx="185">
                  <c:v>41915</c:v>
                </c:pt>
                <c:pt idx="186">
                  <c:v>41916</c:v>
                </c:pt>
                <c:pt idx="187">
                  <c:v>41917</c:v>
                </c:pt>
                <c:pt idx="188">
                  <c:v>41918</c:v>
                </c:pt>
                <c:pt idx="189">
                  <c:v>41919</c:v>
                </c:pt>
                <c:pt idx="190">
                  <c:v>41920</c:v>
                </c:pt>
                <c:pt idx="191">
                  <c:v>41921</c:v>
                </c:pt>
                <c:pt idx="192">
                  <c:v>41922</c:v>
                </c:pt>
                <c:pt idx="193">
                  <c:v>41923</c:v>
                </c:pt>
                <c:pt idx="194">
                  <c:v>41924</c:v>
                </c:pt>
                <c:pt idx="195">
                  <c:v>41925</c:v>
                </c:pt>
                <c:pt idx="196">
                  <c:v>41926</c:v>
                </c:pt>
                <c:pt idx="197">
                  <c:v>41927</c:v>
                </c:pt>
                <c:pt idx="198">
                  <c:v>41928</c:v>
                </c:pt>
                <c:pt idx="199">
                  <c:v>41929</c:v>
                </c:pt>
                <c:pt idx="200">
                  <c:v>41930</c:v>
                </c:pt>
                <c:pt idx="201">
                  <c:v>41931</c:v>
                </c:pt>
                <c:pt idx="202">
                  <c:v>41932</c:v>
                </c:pt>
                <c:pt idx="203">
                  <c:v>41933</c:v>
                </c:pt>
                <c:pt idx="204">
                  <c:v>41934</c:v>
                </c:pt>
                <c:pt idx="205">
                  <c:v>41935</c:v>
                </c:pt>
                <c:pt idx="206">
                  <c:v>41936</c:v>
                </c:pt>
                <c:pt idx="207">
                  <c:v>41937</c:v>
                </c:pt>
                <c:pt idx="208">
                  <c:v>41938</c:v>
                </c:pt>
                <c:pt idx="209">
                  <c:v>41939</c:v>
                </c:pt>
                <c:pt idx="210">
                  <c:v>41940</c:v>
                </c:pt>
                <c:pt idx="211">
                  <c:v>41941</c:v>
                </c:pt>
                <c:pt idx="212">
                  <c:v>41942</c:v>
                </c:pt>
                <c:pt idx="213">
                  <c:v>41943</c:v>
                </c:pt>
                <c:pt idx="214">
                  <c:v>41944</c:v>
                </c:pt>
                <c:pt idx="215">
                  <c:v>41945</c:v>
                </c:pt>
                <c:pt idx="216">
                  <c:v>41946</c:v>
                </c:pt>
                <c:pt idx="217">
                  <c:v>41947</c:v>
                </c:pt>
                <c:pt idx="218">
                  <c:v>41948</c:v>
                </c:pt>
                <c:pt idx="219">
                  <c:v>41949</c:v>
                </c:pt>
                <c:pt idx="220">
                  <c:v>41950</c:v>
                </c:pt>
                <c:pt idx="221">
                  <c:v>41951</c:v>
                </c:pt>
                <c:pt idx="222">
                  <c:v>41952</c:v>
                </c:pt>
                <c:pt idx="223">
                  <c:v>41953</c:v>
                </c:pt>
                <c:pt idx="224">
                  <c:v>41954</c:v>
                </c:pt>
                <c:pt idx="225">
                  <c:v>41955</c:v>
                </c:pt>
                <c:pt idx="226">
                  <c:v>41956</c:v>
                </c:pt>
                <c:pt idx="227">
                  <c:v>41957</c:v>
                </c:pt>
                <c:pt idx="228">
                  <c:v>41958</c:v>
                </c:pt>
                <c:pt idx="229">
                  <c:v>41959</c:v>
                </c:pt>
                <c:pt idx="230">
                  <c:v>41960</c:v>
                </c:pt>
                <c:pt idx="231">
                  <c:v>41961</c:v>
                </c:pt>
                <c:pt idx="232">
                  <c:v>41962</c:v>
                </c:pt>
                <c:pt idx="233">
                  <c:v>41963</c:v>
                </c:pt>
                <c:pt idx="234">
                  <c:v>41964</c:v>
                </c:pt>
                <c:pt idx="235">
                  <c:v>41965</c:v>
                </c:pt>
                <c:pt idx="236">
                  <c:v>41966</c:v>
                </c:pt>
                <c:pt idx="237">
                  <c:v>41967</c:v>
                </c:pt>
                <c:pt idx="238">
                  <c:v>41968</c:v>
                </c:pt>
                <c:pt idx="239">
                  <c:v>41969</c:v>
                </c:pt>
                <c:pt idx="240">
                  <c:v>41970</c:v>
                </c:pt>
                <c:pt idx="241">
                  <c:v>41971</c:v>
                </c:pt>
                <c:pt idx="242">
                  <c:v>41972</c:v>
                </c:pt>
                <c:pt idx="243">
                  <c:v>41973</c:v>
                </c:pt>
                <c:pt idx="244">
                  <c:v>41974</c:v>
                </c:pt>
                <c:pt idx="245">
                  <c:v>41975</c:v>
                </c:pt>
                <c:pt idx="246">
                  <c:v>41976</c:v>
                </c:pt>
                <c:pt idx="247">
                  <c:v>41977</c:v>
                </c:pt>
                <c:pt idx="248">
                  <c:v>41978</c:v>
                </c:pt>
                <c:pt idx="249">
                  <c:v>41979</c:v>
                </c:pt>
                <c:pt idx="250">
                  <c:v>41980</c:v>
                </c:pt>
                <c:pt idx="251">
                  <c:v>41981</c:v>
                </c:pt>
                <c:pt idx="252">
                  <c:v>41982</c:v>
                </c:pt>
                <c:pt idx="253">
                  <c:v>41983</c:v>
                </c:pt>
                <c:pt idx="254">
                  <c:v>41984</c:v>
                </c:pt>
                <c:pt idx="255">
                  <c:v>41985</c:v>
                </c:pt>
                <c:pt idx="256">
                  <c:v>41986</c:v>
                </c:pt>
                <c:pt idx="257">
                  <c:v>41987</c:v>
                </c:pt>
                <c:pt idx="258">
                  <c:v>41988</c:v>
                </c:pt>
                <c:pt idx="259">
                  <c:v>41989</c:v>
                </c:pt>
                <c:pt idx="260">
                  <c:v>41990</c:v>
                </c:pt>
                <c:pt idx="261">
                  <c:v>41991</c:v>
                </c:pt>
                <c:pt idx="262">
                  <c:v>41992</c:v>
                </c:pt>
                <c:pt idx="263">
                  <c:v>41993</c:v>
                </c:pt>
                <c:pt idx="264">
                  <c:v>41994</c:v>
                </c:pt>
                <c:pt idx="265">
                  <c:v>41995</c:v>
                </c:pt>
                <c:pt idx="266">
                  <c:v>41996</c:v>
                </c:pt>
                <c:pt idx="267">
                  <c:v>41997</c:v>
                </c:pt>
                <c:pt idx="268">
                  <c:v>41998</c:v>
                </c:pt>
                <c:pt idx="269">
                  <c:v>41999</c:v>
                </c:pt>
                <c:pt idx="270">
                  <c:v>42000</c:v>
                </c:pt>
                <c:pt idx="271">
                  <c:v>42001</c:v>
                </c:pt>
                <c:pt idx="272">
                  <c:v>42002</c:v>
                </c:pt>
                <c:pt idx="273">
                  <c:v>42003</c:v>
                </c:pt>
                <c:pt idx="274">
                  <c:v>42004</c:v>
                </c:pt>
                <c:pt idx="275">
                  <c:v>42005</c:v>
                </c:pt>
                <c:pt idx="276">
                  <c:v>42006</c:v>
                </c:pt>
                <c:pt idx="277">
                  <c:v>42007</c:v>
                </c:pt>
                <c:pt idx="278">
                  <c:v>42008</c:v>
                </c:pt>
                <c:pt idx="279">
                  <c:v>42009</c:v>
                </c:pt>
                <c:pt idx="280">
                  <c:v>42010</c:v>
                </c:pt>
                <c:pt idx="281">
                  <c:v>42011</c:v>
                </c:pt>
                <c:pt idx="282">
                  <c:v>42012</c:v>
                </c:pt>
                <c:pt idx="283">
                  <c:v>42013</c:v>
                </c:pt>
                <c:pt idx="284">
                  <c:v>42014</c:v>
                </c:pt>
                <c:pt idx="285">
                  <c:v>42015</c:v>
                </c:pt>
                <c:pt idx="286">
                  <c:v>42016</c:v>
                </c:pt>
                <c:pt idx="287">
                  <c:v>42017</c:v>
                </c:pt>
                <c:pt idx="288">
                  <c:v>42018</c:v>
                </c:pt>
                <c:pt idx="289">
                  <c:v>42019</c:v>
                </c:pt>
                <c:pt idx="290">
                  <c:v>42020</c:v>
                </c:pt>
                <c:pt idx="291">
                  <c:v>42021</c:v>
                </c:pt>
                <c:pt idx="292">
                  <c:v>42022</c:v>
                </c:pt>
                <c:pt idx="293">
                  <c:v>42023</c:v>
                </c:pt>
                <c:pt idx="294">
                  <c:v>42024</c:v>
                </c:pt>
                <c:pt idx="295">
                  <c:v>42025</c:v>
                </c:pt>
                <c:pt idx="296">
                  <c:v>42026</c:v>
                </c:pt>
                <c:pt idx="297">
                  <c:v>42027</c:v>
                </c:pt>
                <c:pt idx="298">
                  <c:v>42028</c:v>
                </c:pt>
                <c:pt idx="299">
                  <c:v>42029</c:v>
                </c:pt>
                <c:pt idx="300">
                  <c:v>42030</c:v>
                </c:pt>
                <c:pt idx="301">
                  <c:v>42031</c:v>
                </c:pt>
                <c:pt idx="302">
                  <c:v>42032</c:v>
                </c:pt>
                <c:pt idx="303">
                  <c:v>42033</c:v>
                </c:pt>
                <c:pt idx="304">
                  <c:v>42034</c:v>
                </c:pt>
                <c:pt idx="305">
                  <c:v>42035</c:v>
                </c:pt>
                <c:pt idx="306">
                  <c:v>42036</c:v>
                </c:pt>
                <c:pt idx="307">
                  <c:v>42037</c:v>
                </c:pt>
                <c:pt idx="308">
                  <c:v>42038</c:v>
                </c:pt>
                <c:pt idx="309">
                  <c:v>42039</c:v>
                </c:pt>
                <c:pt idx="310">
                  <c:v>42040</c:v>
                </c:pt>
                <c:pt idx="311">
                  <c:v>42041</c:v>
                </c:pt>
                <c:pt idx="312">
                  <c:v>42042</c:v>
                </c:pt>
                <c:pt idx="313">
                  <c:v>42043</c:v>
                </c:pt>
                <c:pt idx="314">
                  <c:v>42044</c:v>
                </c:pt>
                <c:pt idx="315">
                  <c:v>42045</c:v>
                </c:pt>
                <c:pt idx="316">
                  <c:v>42046</c:v>
                </c:pt>
                <c:pt idx="317">
                  <c:v>42047</c:v>
                </c:pt>
                <c:pt idx="318">
                  <c:v>42048</c:v>
                </c:pt>
                <c:pt idx="319">
                  <c:v>42049</c:v>
                </c:pt>
                <c:pt idx="320">
                  <c:v>42050</c:v>
                </c:pt>
                <c:pt idx="321">
                  <c:v>42051</c:v>
                </c:pt>
                <c:pt idx="322">
                  <c:v>42052</c:v>
                </c:pt>
                <c:pt idx="323">
                  <c:v>42053</c:v>
                </c:pt>
                <c:pt idx="324">
                  <c:v>42054</c:v>
                </c:pt>
                <c:pt idx="325">
                  <c:v>42055</c:v>
                </c:pt>
                <c:pt idx="326">
                  <c:v>42056</c:v>
                </c:pt>
                <c:pt idx="327">
                  <c:v>42057</c:v>
                </c:pt>
                <c:pt idx="328">
                  <c:v>42058</c:v>
                </c:pt>
                <c:pt idx="329">
                  <c:v>42059</c:v>
                </c:pt>
                <c:pt idx="330">
                  <c:v>42060</c:v>
                </c:pt>
                <c:pt idx="331">
                  <c:v>42061</c:v>
                </c:pt>
                <c:pt idx="332">
                  <c:v>42062</c:v>
                </c:pt>
                <c:pt idx="333">
                  <c:v>42063</c:v>
                </c:pt>
                <c:pt idx="334">
                  <c:v>42064</c:v>
                </c:pt>
                <c:pt idx="335">
                  <c:v>42065</c:v>
                </c:pt>
                <c:pt idx="336">
                  <c:v>42066</c:v>
                </c:pt>
                <c:pt idx="337">
                  <c:v>42067</c:v>
                </c:pt>
                <c:pt idx="338">
                  <c:v>42068</c:v>
                </c:pt>
                <c:pt idx="339">
                  <c:v>42069</c:v>
                </c:pt>
                <c:pt idx="340">
                  <c:v>42070</c:v>
                </c:pt>
                <c:pt idx="341">
                  <c:v>42071</c:v>
                </c:pt>
                <c:pt idx="342">
                  <c:v>42072</c:v>
                </c:pt>
                <c:pt idx="343">
                  <c:v>42073</c:v>
                </c:pt>
                <c:pt idx="344">
                  <c:v>42074</c:v>
                </c:pt>
                <c:pt idx="345">
                  <c:v>42075</c:v>
                </c:pt>
                <c:pt idx="346">
                  <c:v>42076</c:v>
                </c:pt>
                <c:pt idx="347">
                  <c:v>42077</c:v>
                </c:pt>
                <c:pt idx="348">
                  <c:v>42078</c:v>
                </c:pt>
                <c:pt idx="349">
                  <c:v>42079</c:v>
                </c:pt>
                <c:pt idx="350">
                  <c:v>42080</c:v>
                </c:pt>
                <c:pt idx="351">
                  <c:v>42081</c:v>
                </c:pt>
                <c:pt idx="352">
                  <c:v>42082</c:v>
                </c:pt>
                <c:pt idx="353">
                  <c:v>42083</c:v>
                </c:pt>
                <c:pt idx="354">
                  <c:v>42084</c:v>
                </c:pt>
                <c:pt idx="355">
                  <c:v>42085</c:v>
                </c:pt>
                <c:pt idx="356">
                  <c:v>42086</c:v>
                </c:pt>
                <c:pt idx="357">
                  <c:v>42087</c:v>
                </c:pt>
                <c:pt idx="358">
                  <c:v>42088</c:v>
                </c:pt>
                <c:pt idx="359">
                  <c:v>42089</c:v>
                </c:pt>
                <c:pt idx="360">
                  <c:v>42090</c:v>
                </c:pt>
                <c:pt idx="361">
                  <c:v>42091</c:v>
                </c:pt>
                <c:pt idx="362">
                  <c:v>42092</c:v>
                </c:pt>
                <c:pt idx="363">
                  <c:v>42093</c:v>
                </c:pt>
                <c:pt idx="364">
                  <c:v>42094</c:v>
                </c:pt>
              </c:numCache>
            </c:numRef>
          </c:cat>
          <c:val>
            <c:numRef>
              <c:f>'マアナゴ (本宮計算)'!$S$3:$S$367</c:f>
              <c:numCache>
                <c:formatCode>0</c:formatCode>
                <c:ptCount val="365"/>
                <c:pt idx="0">
                  <c:v>141569.02619975843</c:v>
                </c:pt>
                <c:pt idx="1">
                  <c:v>142399.80583052718</c:v>
                </c:pt>
                <c:pt idx="2">
                  <c:v>143259.05497419098</c:v>
                </c:pt>
                <c:pt idx="3">
                  <c:v>144046.99506437086</c:v>
                </c:pt>
                <c:pt idx="4">
                  <c:v>144778.10321955252</c:v>
                </c:pt>
                <c:pt idx="5">
                  <c:v>145568.2289408494</c:v>
                </c:pt>
                <c:pt idx="6">
                  <c:v>146314.35872129691</c:v>
                </c:pt>
                <c:pt idx="7">
                  <c:v>147056.66185049</c:v>
                </c:pt>
                <c:pt idx="8">
                  <c:v>147852.49453842692</c:v>
                </c:pt>
                <c:pt idx="9">
                  <c:v>148537.72330733447</c:v>
                </c:pt>
                <c:pt idx="10">
                  <c:v>149211.25147371992</c:v>
                </c:pt>
                <c:pt idx="11">
                  <c:v>149987.92462385033</c:v>
                </c:pt>
                <c:pt idx="12">
                  <c:v>150684.41620085516</c:v>
                </c:pt>
                <c:pt idx="13">
                  <c:v>151377.65518555918</c:v>
                </c:pt>
                <c:pt idx="14">
                  <c:v>152086.34662375579</c:v>
                </c:pt>
                <c:pt idx="15">
                  <c:v>152722.06191013657</c:v>
                </c:pt>
                <c:pt idx="16">
                  <c:v>153387.54098306916</c:v>
                </c:pt>
                <c:pt idx="17">
                  <c:v>154118.64142877795</c:v>
                </c:pt>
                <c:pt idx="18">
                  <c:v>154766.62484198259</c:v>
                </c:pt>
                <c:pt idx="19">
                  <c:v>155365.81398163611</c:v>
                </c:pt>
                <c:pt idx="20">
                  <c:v>156023.8599926637</c:v>
                </c:pt>
                <c:pt idx="21">
                  <c:v>156650.28177528037</c:v>
                </c:pt>
                <c:pt idx="22">
                  <c:v>157264.88774491131</c:v>
                </c:pt>
                <c:pt idx="23">
                  <c:v>157948.05854090926</c:v>
                </c:pt>
                <c:pt idx="24">
                  <c:v>158496.70203750511</c:v>
                </c:pt>
                <c:pt idx="25">
                  <c:v>159040.96334764236</c:v>
                </c:pt>
                <c:pt idx="26">
                  <c:v>159693.80706743061</c:v>
                </c:pt>
                <c:pt idx="27">
                  <c:v>160267.97894677712</c:v>
                </c:pt>
                <c:pt idx="28">
                  <c:v>160828.6793839508</c:v>
                </c:pt>
                <c:pt idx="29">
                  <c:v>161412.26765327205</c:v>
                </c:pt>
                <c:pt idx="30">
                  <c:v>161672.76103929203</c:v>
                </c:pt>
                <c:pt idx="31">
                  <c:v>161977.86448390514</c:v>
                </c:pt>
                <c:pt idx="32">
                  <c:v>162383.13810587773</c:v>
                </c:pt>
                <c:pt idx="33">
                  <c:v>162659.76306544215</c:v>
                </c:pt>
                <c:pt idx="34">
                  <c:v>162819.11372137011</c:v>
                </c:pt>
                <c:pt idx="35">
                  <c:v>163096.2437863423</c:v>
                </c:pt>
                <c:pt idx="36">
                  <c:v>163321.8084423111</c:v>
                </c:pt>
                <c:pt idx="37">
                  <c:v>163544.53261160536</c:v>
                </c:pt>
                <c:pt idx="38">
                  <c:v>163875.98310518492</c:v>
                </c:pt>
                <c:pt idx="39">
                  <c:v>163979.02320035905</c:v>
                </c:pt>
                <c:pt idx="40">
                  <c:v>164066.39963768731</c:v>
                </c:pt>
                <c:pt idx="41">
                  <c:v>164374.58396797132</c:v>
                </c:pt>
                <c:pt idx="42">
                  <c:v>164535.50789532493</c:v>
                </c:pt>
                <c:pt idx="43">
                  <c:v>164694.61474059173</c:v>
                </c:pt>
                <c:pt idx="44">
                  <c:v>164862.95845219583</c:v>
                </c:pt>
                <c:pt idx="45">
                  <c:v>164898.78662290529</c:v>
                </c:pt>
                <c:pt idx="46">
                  <c:v>165017.95697967021</c:v>
                </c:pt>
                <c:pt idx="47">
                  <c:v>165261.94196550944</c:v>
                </c:pt>
                <c:pt idx="48">
                  <c:v>165355.51757536674</c:v>
                </c:pt>
                <c:pt idx="49">
                  <c:v>165344.93127045239</c:v>
                </c:pt>
                <c:pt idx="50">
                  <c:v>165430.02984856829</c:v>
                </c:pt>
                <c:pt idx="51">
                  <c:v>165483.41257061032</c:v>
                </c:pt>
                <c:pt idx="52">
                  <c:v>165504.07014753323</c:v>
                </c:pt>
                <c:pt idx="53">
                  <c:v>165654.18883704901</c:v>
                </c:pt>
                <c:pt idx="54">
                  <c:v>165502.79911207157</c:v>
                </c:pt>
                <c:pt idx="55">
                  <c:v>165355.31853553595</c:v>
                </c:pt>
                <c:pt idx="56">
                  <c:v>165420.61650681469</c:v>
                </c:pt>
                <c:pt idx="57">
                  <c:v>165334.83644487412</c:v>
                </c:pt>
                <c:pt idx="58">
                  <c:v>165196.24357762412</c:v>
                </c:pt>
                <c:pt idx="59">
                  <c:v>165095.57090488184</c:v>
                </c:pt>
                <c:pt idx="60">
                  <c:v>164820.47548406449</c:v>
                </c:pt>
                <c:pt idx="61">
                  <c:v>164660.98020323578</c:v>
                </c:pt>
                <c:pt idx="62">
                  <c:v>164415.03957747796</c:v>
                </c:pt>
                <c:pt idx="63">
                  <c:v>163995.96964449756</c:v>
                </c:pt>
                <c:pt idx="64">
                  <c:v>163394.0948619332</c:v>
                </c:pt>
                <c:pt idx="65">
                  <c:v>162981.3704219996</c:v>
                </c:pt>
                <c:pt idx="66">
                  <c:v>162519.23447892175</c:v>
                </c:pt>
                <c:pt idx="67">
                  <c:v>162069.78343947671</c:v>
                </c:pt>
                <c:pt idx="68">
                  <c:v>161752.00929717137</c:v>
                </c:pt>
                <c:pt idx="69">
                  <c:v>161085.08418052748</c:v>
                </c:pt>
                <c:pt idx="70">
                  <c:v>160397.99270348693</c:v>
                </c:pt>
                <c:pt idx="71">
                  <c:v>160055.44665298669</c:v>
                </c:pt>
                <c:pt idx="72">
                  <c:v>159462.72299306918</c:v>
                </c:pt>
                <c:pt idx="73">
                  <c:v>158843.64591664608</c:v>
                </c:pt>
                <c:pt idx="74">
                  <c:v>158176.99291822335</c:v>
                </c:pt>
                <c:pt idx="75">
                  <c:v>157346.4310918308</c:v>
                </c:pt>
                <c:pt idx="76">
                  <c:v>156687.8599724489</c:v>
                </c:pt>
                <c:pt idx="77">
                  <c:v>156191.83156299108</c:v>
                </c:pt>
                <c:pt idx="78">
                  <c:v>155414.39453063015</c:v>
                </c:pt>
                <c:pt idx="79">
                  <c:v>154409.69928008944</c:v>
                </c:pt>
                <c:pt idx="80">
                  <c:v>153613.96506173012</c:v>
                </c:pt>
                <c:pt idx="81">
                  <c:v>152822.31190754799</c:v>
                </c:pt>
                <c:pt idx="82">
                  <c:v>152109.47061889755</c:v>
                </c:pt>
                <c:pt idx="83">
                  <c:v>151618.41461384296</c:v>
                </c:pt>
                <c:pt idx="84">
                  <c:v>150668.80527826428</c:v>
                </c:pt>
                <c:pt idx="85">
                  <c:v>149731.75718837263</c:v>
                </c:pt>
                <c:pt idx="86">
                  <c:v>149242.36225303181</c:v>
                </c:pt>
                <c:pt idx="87">
                  <c:v>148554.0386977079</c:v>
                </c:pt>
                <c:pt idx="88">
                  <c:v>147864.69135892511</c:v>
                </c:pt>
                <c:pt idx="89">
                  <c:v>147130.89697800629</c:v>
                </c:pt>
                <c:pt idx="90">
                  <c:v>145918.84389287618</c:v>
                </c:pt>
                <c:pt idx="91">
                  <c:v>144899.99358768307</c:v>
                </c:pt>
                <c:pt idx="92">
                  <c:v>144469.3356973365</c:v>
                </c:pt>
                <c:pt idx="93">
                  <c:v>143813.24831094814</c:v>
                </c:pt>
                <c:pt idx="94">
                  <c:v>142982.70443452595</c:v>
                </c:pt>
                <c:pt idx="95">
                  <c:v>142386.18352774199</c:v>
                </c:pt>
                <c:pt idx="96">
                  <c:v>141705.42032335393</c:v>
                </c:pt>
                <c:pt idx="97">
                  <c:v>141025.68272372521</c:v>
                </c:pt>
                <c:pt idx="98">
                  <c:v>140509.24019958405</c:v>
                </c:pt>
                <c:pt idx="99">
                  <c:v>139786.48480745952</c:v>
                </c:pt>
                <c:pt idx="100">
                  <c:v>139092.1002023484</c:v>
                </c:pt>
                <c:pt idx="101">
                  <c:v>138663.77604079244</c:v>
                </c:pt>
                <c:pt idx="102">
                  <c:v>138068.81913194954</c:v>
                </c:pt>
                <c:pt idx="103">
                  <c:v>137374.7862528289</c:v>
                </c:pt>
                <c:pt idx="104">
                  <c:v>136943.68416218273</c:v>
                </c:pt>
                <c:pt idx="105">
                  <c:v>136285.67812707165</c:v>
                </c:pt>
                <c:pt idx="106">
                  <c:v>135752.85038888597</c:v>
                </c:pt>
                <c:pt idx="107">
                  <c:v>135532.22129446792</c:v>
                </c:pt>
                <c:pt idx="108">
                  <c:v>134984.49520874766</c:v>
                </c:pt>
                <c:pt idx="109">
                  <c:v>134329.67641200792</c:v>
                </c:pt>
                <c:pt idx="110">
                  <c:v>133993.69750445598</c:v>
                </c:pt>
                <c:pt idx="111">
                  <c:v>133442.13153689195</c:v>
                </c:pt>
                <c:pt idx="112">
                  <c:v>132894.43782566203</c:v>
                </c:pt>
                <c:pt idx="113">
                  <c:v>132683.81134270362</c:v>
                </c:pt>
                <c:pt idx="114">
                  <c:v>132050.92799983331</c:v>
                </c:pt>
                <c:pt idx="115">
                  <c:v>131427.15754055657</c:v>
                </c:pt>
                <c:pt idx="116">
                  <c:v>131226.8740960515</c:v>
                </c:pt>
                <c:pt idx="117">
                  <c:v>130694.05360017106</c:v>
                </c:pt>
                <c:pt idx="118">
                  <c:v>130165.24171559581</c:v>
                </c:pt>
                <c:pt idx="119">
                  <c:v>129881.7805579366</c:v>
                </c:pt>
                <c:pt idx="120">
                  <c:v>129260.98649439964</c:v>
                </c:pt>
                <c:pt idx="121">
                  <c:v>128742.98484872629</c:v>
                </c:pt>
                <c:pt idx="122">
                  <c:v>128306.00062311969</c:v>
                </c:pt>
                <c:pt idx="123">
                  <c:v>127657.49082402076</c:v>
                </c:pt>
                <c:pt idx="124">
                  <c:v>126928.73415200408</c:v>
                </c:pt>
                <c:pt idx="125">
                  <c:v>126417.37009851426</c:v>
                </c:pt>
                <c:pt idx="126">
                  <c:v>125702.37382393485</c:v>
                </c:pt>
                <c:pt idx="127">
                  <c:v>125005.42622515743</c:v>
                </c:pt>
                <c:pt idx="128">
                  <c:v>124560.64176601297</c:v>
                </c:pt>
                <c:pt idx="129">
                  <c:v>123849.70607732185</c:v>
                </c:pt>
                <c:pt idx="130">
                  <c:v>123113.92741257518</c:v>
                </c:pt>
                <c:pt idx="131">
                  <c:v>122672.79923577573</c:v>
                </c:pt>
                <c:pt idx="132">
                  <c:v>121945.11765026001</c:v>
                </c:pt>
                <c:pt idx="133">
                  <c:v>121205.9655155323</c:v>
                </c:pt>
                <c:pt idx="134">
                  <c:v>120565.49857320533</c:v>
                </c:pt>
                <c:pt idx="135">
                  <c:v>119764.39324133268</c:v>
                </c:pt>
                <c:pt idx="136">
                  <c:v>119034.49413154663</c:v>
                </c:pt>
                <c:pt idx="137">
                  <c:v>118539.08152897807</c:v>
                </c:pt>
                <c:pt idx="138">
                  <c:v>117741.09226099454</c:v>
                </c:pt>
                <c:pt idx="139">
                  <c:v>116887.86894746337</c:v>
                </c:pt>
                <c:pt idx="140">
                  <c:v>116199.6553240902</c:v>
                </c:pt>
                <c:pt idx="141">
                  <c:v>115432.29806914351</c:v>
                </c:pt>
                <c:pt idx="142">
                  <c:v>114651.96765972677</c:v>
                </c:pt>
                <c:pt idx="143">
                  <c:v>114085.3102936694</c:v>
                </c:pt>
                <c:pt idx="144">
                  <c:v>113230.27379303148</c:v>
                </c:pt>
                <c:pt idx="145">
                  <c:v>112389.69042518437</c:v>
                </c:pt>
                <c:pt idx="146">
                  <c:v>111778.62341304286</c:v>
                </c:pt>
                <c:pt idx="147">
                  <c:v>111011.22034971062</c:v>
                </c:pt>
                <c:pt idx="148">
                  <c:v>110225.23596416865</c:v>
                </c:pt>
                <c:pt idx="149">
                  <c:v>109585.18265995554</c:v>
                </c:pt>
                <c:pt idx="150">
                  <c:v>108750.2486027509</c:v>
                </c:pt>
                <c:pt idx="151">
                  <c:v>108002.45896065597</c:v>
                </c:pt>
                <c:pt idx="152">
                  <c:v>107436.84060058414</c:v>
                </c:pt>
                <c:pt idx="153">
                  <c:v>97083.610489993967</c:v>
                </c:pt>
                <c:pt idx="154">
                  <c:v>90573.971829019196</c:v>
                </c:pt>
                <c:pt idx="155">
                  <c:v>87194.133043336187</c:v>
                </c:pt>
                <c:pt idx="156">
                  <c:v>84640.118995855373</c:v>
                </c:pt>
                <c:pt idx="157">
                  <c:v>82712.102538387859</c:v>
                </c:pt>
                <c:pt idx="158">
                  <c:v>81213.83758048102</c:v>
                </c:pt>
                <c:pt idx="159">
                  <c:v>79715.070842494693</c:v>
                </c:pt>
                <c:pt idx="160">
                  <c:v>78219.968653203701</c:v>
                </c:pt>
                <c:pt idx="161">
                  <c:v>77129.762027843622</c:v>
                </c:pt>
                <c:pt idx="162">
                  <c:v>75967.329840673745</c:v>
                </c:pt>
                <c:pt idx="163">
                  <c:v>74904.937789623043</c:v>
                </c:pt>
                <c:pt idx="164">
                  <c:v>73990.540588602234</c:v>
                </c:pt>
                <c:pt idx="165">
                  <c:v>73064.122345499069</c:v>
                </c:pt>
                <c:pt idx="166">
                  <c:v>72233.402215502487</c:v>
                </c:pt>
                <c:pt idx="167">
                  <c:v>71520.780223419162</c:v>
                </c:pt>
                <c:pt idx="168">
                  <c:v>70753.530609606591</c:v>
                </c:pt>
                <c:pt idx="169">
                  <c:v>69965.040782178665</c:v>
                </c:pt>
                <c:pt idx="170">
                  <c:v>69290.930973148017</c:v>
                </c:pt>
                <c:pt idx="171">
                  <c:v>68608.264227668929</c:v>
                </c:pt>
                <c:pt idx="172">
                  <c:v>67939.612646522481</c:v>
                </c:pt>
                <c:pt idx="173">
                  <c:v>67348.019786273828</c:v>
                </c:pt>
                <c:pt idx="174">
                  <c:v>66659.126714594066</c:v>
                </c:pt>
                <c:pt idx="175">
                  <c:v>65991.620339549758</c:v>
                </c:pt>
                <c:pt idx="176">
                  <c:v>65445.419993353746</c:v>
                </c:pt>
                <c:pt idx="177">
                  <c:v>64840.909123594633</c:v>
                </c:pt>
                <c:pt idx="178">
                  <c:v>64249.094496635968</c:v>
                </c:pt>
                <c:pt idx="179">
                  <c:v>63700.196942703908</c:v>
                </c:pt>
                <c:pt idx="180">
                  <c:v>63077.59888716718</c:v>
                </c:pt>
                <c:pt idx="181">
                  <c:v>62508.590169663723</c:v>
                </c:pt>
                <c:pt idx="182">
                  <c:v>62016.45877794869</c:v>
                </c:pt>
                <c:pt idx="183">
                  <c:v>61373.231355304728</c:v>
                </c:pt>
                <c:pt idx="184">
                  <c:v>60589.409614213793</c:v>
                </c:pt>
                <c:pt idx="185">
                  <c:v>59968.829313101349</c:v>
                </c:pt>
                <c:pt idx="186">
                  <c:v>59261.169564689451</c:v>
                </c:pt>
                <c:pt idx="187">
                  <c:v>58568.872288465529</c:v>
                </c:pt>
                <c:pt idx="188">
                  <c:v>58019.785450581323</c:v>
                </c:pt>
                <c:pt idx="189">
                  <c:v>57312.658351354898</c:v>
                </c:pt>
                <c:pt idx="190">
                  <c:v>56611.078475065638</c:v>
                </c:pt>
                <c:pt idx="191">
                  <c:v>56090.991899762455</c:v>
                </c:pt>
                <c:pt idx="192">
                  <c:v>55460.137353748432</c:v>
                </c:pt>
                <c:pt idx="193">
                  <c:v>54840.785181465035</c:v>
                </c:pt>
                <c:pt idx="194">
                  <c:v>54305.849395346333</c:v>
                </c:pt>
                <c:pt idx="195">
                  <c:v>53675.831010534588</c:v>
                </c:pt>
                <c:pt idx="196">
                  <c:v>53092.728655376908</c:v>
                </c:pt>
                <c:pt idx="197">
                  <c:v>52628.848095480484</c:v>
                </c:pt>
                <c:pt idx="198">
                  <c:v>52071.941736564688</c:v>
                </c:pt>
                <c:pt idx="199">
                  <c:v>51495.496579792118</c:v>
                </c:pt>
                <c:pt idx="200">
                  <c:v>51024.458117304886</c:v>
                </c:pt>
                <c:pt idx="201">
                  <c:v>50508.983443109377</c:v>
                </c:pt>
                <c:pt idx="202">
                  <c:v>50004.642073123767</c:v>
                </c:pt>
                <c:pt idx="203">
                  <c:v>49597.515352505863</c:v>
                </c:pt>
                <c:pt idx="204">
                  <c:v>49074.322253094513</c:v>
                </c:pt>
                <c:pt idx="205">
                  <c:v>48564.601434785225</c:v>
                </c:pt>
                <c:pt idx="206">
                  <c:v>48176.406377238767</c:v>
                </c:pt>
                <c:pt idx="207">
                  <c:v>47723.230556427181</c:v>
                </c:pt>
                <c:pt idx="208">
                  <c:v>47278.185796127495</c:v>
                </c:pt>
                <c:pt idx="209">
                  <c:v>46886.030449912454</c:v>
                </c:pt>
                <c:pt idx="210">
                  <c:v>46434.265272251403</c:v>
                </c:pt>
                <c:pt idx="211">
                  <c:v>46017.320345184278</c:v>
                </c:pt>
                <c:pt idx="212">
                  <c:v>45660.76091551697</c:v>
                </c:pt>
                <c:pt idx="213">
                  <c:v>45222.720715147974</c:v>
                </c:pt>
                <c:pt idx="214">
                  <c:v>44786.167590098143</c:v>
                </c:pt>
                <c:pt idx="215">
                  <c:v>44411.566135376008</c:v>
                </c:pt>
                <c:pt idx="216">
                  <c:v>44037.948853226007</c:v>
                </c:pt>
                <c:pt idx="217">
                  <c:v>43673.078793259505</c:v>
                </c:pt>
                <c:pt idx="218">
                  <c:v>43343.387632465368</c:v>
                </c:pt>
                <c:pt idx="219">
                  <c:v>42940.252897003775</c:v>
                </c:pt>
                <c:pt idx="220">
                  <c:v>42531.729118681789</c:v>
                </c:pt>
                <c:pt idx="221">
                  <c:v>42201.688381620283</c:v>
                </c:pt>
                <c:pt idx="222">
                  <c:v>41824.255133815474</c:v>
                </c:pt>
                <c:pt idx="223">
                  <c:v>41446.149766481794</c:v>
                </c:pt>
                <c:pt idx="224">
                  <c:v>41068.837439771778</c:v>
                </c:pt>
                <c:pt idx="225">
                  <c:v>40652.048151189221</c:v>
                </c:pt>
                <c:pt idx="226">
                  <c:v>40278.981403092723</c:v>
                </c:pt>
                <c:pt idx="227">
                  <c:v>39925.626217414538</c:v>
                </c:pt>
                <c:pt idx="228">
                  <c:v>39575.807745303646</c:v>
                </c:pt>
                <c:pt idx="229">
                  <c:v>39171.006681380699</c:v>
                </c:pt>
                <c:pt idx="230">
                  <c:v>38632.303753494714</c:v>
                </c:pt>
                <c:pt idx="231">
                  <c:v>38054.452287479617</c:v>
                </c:pt>
                <c:pt idx="232">
                  <c:v>37609.931791356896</c:v>
                </c:pt>
                <c:pt idx="233">
                  <c:v>37270.297459294117</c:v>
                </c:pt>
                <c:pt idx="234">
                  <c:v>36899.16749695356</c:v>
                </c:pt>
                <c:pt idx="235">
                  <c:v>36515.755971813953</c:v>
                </c:pt>
                <c:pt idx="236">
                  <c:v>36186.566421808035</c:v>
                </c:pt>
                <c:pt idx="237">
                  <c:v>35831.23918303242</c:v>
                </c:pt>
                <c:pt idx="238">
                  <c:v>35480.313950737087</c:v>
                </c:pt>
                <c:pt idx="239">
                  <c:v>35138.437184028706</c:v>
                </c:pt>
                <c:pt idx="240">
                  <c:v>34772.136846343179</c:v>
                </c:pt>
                <c:pt idx="241">
                  <c:v>34438.128753627207</c:v>
                </c:pt>
                <c:pt idx="242">
                  <c:v>34137.116657940634</c:v>
                </c:pt>
                <c:pt idx="243">
                  <c:v>33813.121929513465</c:v>
                </c:pt>
                <c:pt idx="244">
                  <c:v>33544.934576184103</c:v>
                </c:pt>
                <c:pt idx="245">
                  <c:v>33308.213803961327</c:v>
                </c:pt>
                <c:pt idx="246">
                  <c:v>33084.988626308499</c:v>
                </c:pt>
                <c:pt idx="247">
                  <c:v>32865.110923899345</c:v>
                </c:pt>
                <c:pt idx="248">
                  <c:v>32660.258021799153</c:v>
                </c:pt>
                <c:pt idx="249">
                  <c:v>32424.860610218158</c:v>
                </c:pt>
                <c:pt idx="250">
                  <c:v>32192.433707195298</c:v>
                </c:pt>
                <c:pt idx="251">
                  <c:v>31996.107769810638</c:v>
                </c:pt>
                <c:pt idx="252">
                  <c:v>31790.68422751363</c:v>
                </c:pt>
                <c:pt idx="253">
                  <c:v>31588.261998390186</c:v>
                </c:pt>
                <c:pt idx="254">
                  <c:v>31378.752667285418</c:v>
                </c:pt>
                <c:pt idx="255">
                  <c:v>31161.228360562942</c:v>
                </c:pt>
                <c:pt idx="256">
                  <c:v>30967.008263110503</c:v>
                </c:pt>
                <c:pt idx="257">
                  <c:v>30785.673172779716</c:v>
                </c:pt>
                <c:pt idx="258">
                  <c:v>30594.474456704709</c:v>
                </c:pt>
                <c:pt idx="259">
                  <c:v>30384.322322048345</c:v>
                </c:pt>
                <c:pt idx="260">
                  <c:v>30186.704855061358</c:v>
                </c:pt>
                <c:pt idx="261">
                  <c:v>30000.5315090447</c:v>
                </c:pt>
                <c:pt idx="262">
                  <c:v>29815.220200779095</c:v>
                </c:pt>
                <c:pt idx="263">
                  <c:v>29640.933965164437</c:v>
                </c:pt>
                <c:pt idx="264">
                  <c:v>29435.891818704815</c:v>
                </c:pt>
                <c:pt idx="265">
                  <c:v>29232.456260690389</c:v>
                </c:pt>
                <c:pt idx="266">
                  <c:v>29060.734753570014</c:v>
                </c:pt>
                <c:pt idx="267">
                  <c:v>28879.094973005627</c:v>
                </c:pt>
                <c:pt idx="268">
                  <c:v>28698.126244599418</c:v>
                </c:pt>
                <c:pt idx="269">
                  <c:v>28509.159039400965</c:v>
                </c:pt>
                <c:pt idx="270">
                  <c:v>28312.026920277287</c:v>
                </c:pt>
                <c:pt idx="271">
                  <c:v>28135.994006168326</c:v>
                </c:pt>
                <c:pt idx="272">
                  <c:v>27970.468678530273</c:v>
                </c:pt>
                <c:pt idx="273">
                  <c:v>27795.646780911567</c:v>
                </c:pt>
                <c:pt idx="274">
                  <c:v>27602.86358630567</c:v>
                </c:pt>
                <c:pt idx="275">
                  <c:v>27423.927447427683</c:v>
                </c:pt>
                <c:pt idx="276">
                  <c:v>27357.425075369309</c:v>
                </c:pt>
                <c:pt idx="277">
                  <c:v>27291.260324210991</c:v>
                </c:pt>
                <c:pt idx="278">
                  <c:v>27229.178676808449</c:v>
                </c:pt>
                <c:pt idx="279">
                  <c:v>27157.423194408642</c:v>
                </c:pt>
                <c:pt idx="280">
                  <c:v>27086.134335892202</c:v>
                </c:pt>
                <c:pt idx="281">
                  <c:v>27025.252758064871</c:v>
                </c:pt>
                <c:pt idx="282">
                  <c:v>26960.714517694247</c:v>
                </c:pt>
                <c:pt idx="283">
                  <c:v>26896.276289116842</c:v>
                </c:pt>
                <c:pt idx="284">
                  <c:v>26829.513358884433</c:v>
                </c:pt>
                <c:pt idx="285">
                  <c:v>26759.201204342662</c:v>
                </c:pt>
                <c:pt idx="286">
                  <c:v>26694.937130237191</c:v>
                </c:pt>
                <c:pt idx="287">
                  <c:v>26634.856209723272</c:v>
                </c:pt>
                <c:pt idx="288">
                  <c:v>26569.882465300252</c:v>
                </c:pt>
                <c:pt idx="289">
                  <c:v>26499.314784228252</c:v>
                </c:pt>
                <c:pt idx="290">
                  <c:v>26432.395002989317</c:v>
                </c:pt>
                <c:pt idx="291">
                  <c:v>26367.77944068961</c:v>
                </c:pt>
                <c:pt idx="292">
                  <c:v>26302.611682201892</c:v>
                </c:pt>
                <c:pt idx="293">
                  <c:v>26241.410889843602</c:v>
                </c:pt>
                <c:pt idx="294">
                  <c:v>26170.209999697745</c:v>
                </c:pt>
                <c:pt idx="295">
                  <c:v>26099.541377527643</c:v>
                </c:pt>
                <c:pt idx="296">
                  <c:v>26037.941512707112</c:v>
                </c:pt>
                <c:pt idx="297">
                  <c:v>25972.916174707752</c:v>
                </c:pt>
                <c:pt idx="298">
                  <c:v>25907.21255545854</c:v>
                </c:pt>
                <c:pt idx="299">
                  <c:v>25839.171390819931</c:v>
                </c:pt>
                <c:pt idx="300">
                  <c:v>25767.261367534767</c:v>
                </c:pt>
                <c:pt idx="301">
                  <c:v>25701.452764127753</c:v>
                </c:pt>
                <c:pt idx="302">
                  <c:v>25638.721494947244</c:v>
                </c:pt>
                <c:pt idx="303">
                  <c:v>25572.406916182401</c:v>
                </c:pt>
                <c:pt idx="304">
                  <c:v>25499.42944342985</c:v>
                </c:pt>
                <c:pt idx="305">
                  <c:v>25430.227798219028</c:v>
                </c:pt>
                <c:pt idx="306">
                  <c:v>25376.144592676719</c:v>
                </c:pt>
                <c:pt idx="307">
                  <c:v>25321.713612593408</c:v>
                </c:pt>
                <c:pt idx="308">
                  <c:v>25267.917237273425</c:v>
                </c:pt>
                <c:pt idx="309">
                  <c:v>25212.373630427581</c:v>
                </c:pt>
                <c:pt idx="310">
                  <c:v>25156.202342560002</c:v>
                </c:pt>
                <c:pt idx="311">
                  <c:v>25101.93842615277</c:v>
                </c:pt>
                <c:pt idx="312">
                  <c:v>25043.667967668138</c:v>
                </c:pt>
                <c:pt idx="313">
                  <c:v>24984.765999739473</c:v>
                </c:pt>
                <c:pt idx="314">
                  <c:v>24926.364140243706</c:v>
                </c:pt>
                <c:pt idx="315">
                  <c:v>24865.207592870211</c:v>
                </c:pt>
                <c:pt idx="316">
                  <c:v>24802.137891954073</c:v>
                </c:pt>
                <c:pt idx="317">
                  <c:v>24740.8446523854</c:v>
                </c:pt>
                <c:pt idx="318">
                  <c:v>24675.074520943512</c:v>
                </c:pt>
                <c:pt idx="319">
                  <c:v>24607.518686930616</c:v>
                </c:pt>
                <c:pt idx="320">
                  <c:v>24536.886561175721</c:v>
                </c:pt>
                <c:pt idx="321">
                  <c:v>24463.023900079192</c:v>
                </c:pt>
                <c:pt idx="322">
                  <c:v>24384.629952493302</c:v>
                </c:pt>
                <c:pt idx="323">
                  <c:v>24307.567499430021</c:v>
                </c:pt>
                <c:pt idx="324">
                  <c:v>24224.088817154119</c:v>
                </c:pt>
                <c:pt idx="325">
                  <c:v>24139.346613400794</c:v>
                </c:pt>
                <c:pt idx="326">
                  <c:v>24064.430402051192</c:v>
                </c:pt>
                <c:pt idx="327">
                  <c:v>23988.421664567086</c:v>
                </c:pt>
                <c:pt idx="328">
                  <c:v>23919.408891032675</c:v>
                </c:pt>
                <c:pt idx="329">
                  <c:v>23856.991045044186</c:v>
                </c:pt>
                <c:pt idx="330">
                  <c:v>23789.607280772601</c:v>
                </c:pt>
                <c:pt idx="331">
                  <c:v>23721.156153873326</c:v>
                </c:pt>
                <c:pt idx="332">
                  <c:v>23662.970095398403</c:v>
                </c:pt>
                <c:pt idx="333">
                  <c:v>23600.979577335107</c:v>
                </c:pt>
                <c:pt idx="334">
                  <c:v>23540.125295451966</c:v>
                </c:pt>
                <c:pt idx="335">
                  <c:v>23485.084460659495</c:v>
                </c:pt>
                <c:pt idx="336">
                  <c:v>23364.415349910523</c:v>
                </c:pt>
                <c:pt idx="337">
                  <c:v>23248.824636818896</c:v>
                </c:pt>
                <c:pt idx="338">
                  <c:v>23159.149783282352</c:v>
                </c:pt>
                <c:pt idx="339">
                  <c:v>23048.241955348429</c:v>
                </c:pt>
                <c:pt idx="340">
                  <c:v>22940.41295022608</c:v>
                </c:pt>
                <c:pt idx="341">
                  <c:v>22858.787494060882</c:v>
                </c:pt>
                <c:pt idx="342">
                  <c:v>22764.713367632834</c:v>
                </c:pt>
                <c:pt idx="343">
                  <c:v>22673.048512635563</c:v>
                </c:pt>
                <c:pt idx="344">
                  <c:v>22596.073709412285</c:v>
                </c:pt>
                <c:pt idx="345">
                  <c:v>22504.989793508834</c:v>
                </c:pt>
                <c:pt idx="346">
                  <c:v>22423.751930259328</c:v>
                </c:pt>
                <c:pt idx="347">
                  <c:v>22361.160584846926</c:v>
                </c:pt>
                <c:pt idx="348">
                  <c:v>22283.704570710175</c:v>
                </c:pt>
                <c:pt idx="349">
                  <c:v>22201.594011345423</c:v>
                </c:pt>
                <c:pt idx="350">
                  <c:v>22136.422732514609</c:v>
                </c:pt>
                <c:pt idx="351">
                  <c:v>22063.487890317978</c:v>
                </c:pt>
                <c:pt idx="352">
                  <c:v>21993.669300862763</c:v>
                </c:pt>
                <c:pt idx="353">
                  <c:v>21940.60010652928</c:v>
                </c:pt>
                <c:pt idx="354">
                  <c:v>21867.635760492343</c:v>
                </c:pt>
                <c:pt idx="355">
                  <c:v>21795.555227868601</c:v>
                </c:pt>
                <c:pt idx="356">
                  <c:v>21742.696075573629</c:v>
                </c:pt>
                <c:pt idx="357">
                  <c:v>21677.239372126634</c:v>
                </c:pt>
                <c:pt idx="358">
                  <c:v>21614.051965587292</c:v>
                </c:pt>
                <c:pt idx="359">
                  <c:v>21559.933927415052</c:v>
                </c:pt>
                <c:pt idx="360">
                  <c:v>21492.262609877907</c:v>
                </c:pt>
                <c:pt idx="361">
                  <c:v>21430.802157889862</c:v>
                </c:pt>
                <c:pt idx="362">
                  <c:v>21384.51620238039</c:v>
                </c:pt>
                <c:pt idx="363">
                  <c:v>21325.406739186437</c:v>
                </c:pt>
                <c:pt idx="364">
                  <c:v>21259.499309325602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17-4CC7-BB84-DD93D7AC1218}"/>
            </c:ext>
          </c:extLst>
        </c:ser>
        <c:ser>
          <c:idx val="0"/>
          <c:order val="1"/>
          <c:tx>
            <c:strRef>
              <c:f>'マアナゴ (本宮計算)'!$R$1</c:f>
              <c:strCache>
                <c:ptCount val="1"/>
                <c:pt idx="0">
                  <c:v>1年入網
P重量</c:v>
                </c:pt>
              </c:strCache>
            </c:strRef>
          </c:tx>
          <c:spPr>
            <a:solidFill>
              <a:srgbClr val="0066FF"/>
            </a:solidFill>
            <a:ln>
              <a:noFill/>
            </a:ln>
            <a:effectLst/>
          </c:spPr>
          <c:cat>
            <c:numRef>
              <c:f>'マアナゴ (本宮計算)'!$A$3:$A$367</c:f>
              <c:numCache>
                <c:formatCode>m/d/yyyy</c:formatCode>
                <c:ptCount val="365"/>
                <c:pt idx="0">
                  <c:v>41730</c:v>
                </c:pt>
                <c:pt idx="1">
                  <c:v>41731</c:v>
                </c:pt>
                <c:pt idx="2">
                  <c:v>41732</c:v>
                </c:pt>
                <c:pt idx="3">
                  <c:v>41733</c:v>
                </c:pt>
                <c:pt idx="4">
                  <c:v>41734</c:v>
                </c:pt>
                <c:pt idx="5">
                  <c:v>41735</c:v>
                </c:pt>
                <c:pt idx="6">
                  <c:v>41736</c:v>
                </c:pt>
                <c:pt idx="7">
                  <c:v>41737</c:v>
                </c:pt>
                <c:pt idx="8">
                  <c:v>41738</c:v>
                </c:pt>
                <c:pt idx="9">
                  <c:v>41739</c:v>
                </c:pt>
                <c:pt idx="10">
                  <c:v>41740</c:v>
                </c:pt>
                <c:pt idx="11">
                  <c:v>41741</c:v>
                </c:pt>
                <c:pt idx="12">
                  <c:v>41742</c:v>
                </c:pt>
                <c:pt idx="13">
                  <c:v>41743</c:v>
                </c:pt>
                <c:pt idx="14">
                  <c:v>41744</c:v>
                </c:pt>
                <c:pt idx="15">
                  <c:v>41745</c:v>
                </c:pt>
                <c:pt idx="16">
                  <c:v>41746</c:v>
                </c:pt>
                <c:pt idx="17">
                  <c:v>41747</c:v>
                </c:pt>
                <c:pt idx="18">
                  <c:v>41748</c:v>
                </c:pt>
                <c:pt idx="19">
                  <c:v>41749</c:v>
                </c:pt>
                <c:pt idx="20">
                  <c:v>41750</c:v>
                </c:pt>
                <c:pt idx="21">
                  <c:v>41751</c:v>
                </c:pt>
                <c:pt idx="22">
                  <c:v>41752</c:v>
                </c:pt>
                <c:pt idx="23">
                  <c:v>41753</c:v>
                </c:pt>
                <c:pt idx="24">
                  <c:v>41754</c:v>
                </c:pt>
                <c:pt idx="25">
                  <c:v>41755</c:v>
                </c:pt>
                <c:pt idx="26">
                  <c:v>41756</c:v>
                </c:pt>
                <c:pt idx="27">
                  <c:v>41757</c:v>
                </c:pt>
                <c:pt idx="28">
                  <c:v>41758</c:v>
                </c:pt>
                <c:pt idx="29">
                  <c:v>41759</c:v>
                </c:pt>
                <c:pt idx="30">
                  <c:v>41760</c:v>
                </c:pt>
                <c:pt idx="31">
                  <c:v>41761</c:v>
                </c:pt>
                <c:pt idx="32">
                  <c:v>41762</c:v>
                </c:pt>
                <c:pt idx="33">
                  <c:v>41763</c:v>
                </c:pt>
                <c:pt idx="34">
                  <c:v>41764</c:v>
                </c:pt>
                <c:pt idx="35">
                  <c:v>41765</c:v>
                </c:pt>
                <c:pt idx="36">
                  <c:v>41766</c:v>
                </c:pt>
                <c:pt idx="37">
                  <c:v>41767</c:v>
                </c:pt>
                <c:pt idx="38">
                  <c:v>41768</c:v>
                </c:pt>
                <c:pt idx="39">
                  <c:v>41769</c:v>
                </c:pt>
                <c:pt idx="40">
                  <c:v>41770</c:v>
                </c:pt>
                <c:pt idx="41">
                  <c:v>41771</c:v>
                </c:pt>
                <c:pt idx="42">
                  <c:v>41772</c:v>
                </c:pt>
                <c:pt idx="43">
                  <c:v>41773</c:v>
                </c:pt>
                <c:pt idx="44">
                  <c:v>41774</c:v>
                </c:pt>
                <c:pt idx="45">
                  <c:v>41775</c:v>
                </c:pt>
                <c:pt idx="46">
                  <c:v>41776</c:v>
                </c:pt>
                <c:pt idx="47">
                  <c:v>41777</c:v>
                </c:pt>
                <c:pt idx="48">
                  <c:v>41778</c:v>
                </c:pt>
                <c:pt idx="49">
                  <c:v>41779</c:v>
                </c:pt>
                <c:pt idx="50">
                  <c:v>41780</c:v>
                </c:pt>
                <c:pt idx="51">
                  <c:v>41781</c:v>
                </c:pt>
                <c:pt idx="52">
                  <c:v>41782</c:v>
                </c:pt>
                <c:pt idx="53">
                  <c:v>41783</c:v>
                </c:pt>
                <c:pt idx="54">
                  <c:v>41784</c:v>
                </c:pt>
                <c:pt idx="55">
                  <c:v>41785</c:v>
                </c:pt>
                <c:pt idx="56">
                  <c:v>41786</c:v>
                </c:pt>
                <c:pt idx="57">
                  <c:v>41787</c:v>
                </c:pt>
                <c:pt idx="58">
                  <c:v>41788</c:v>
                </c:pt>
                <c:pt idx="59">
                  <c:v>41789</c:v>
                </c:pt>
                <c:pt idx="60">
                  <c:v>41790</c:v>
                </c:pt>
                <c:pt idx="61">
                  <c:v>41791</c:v>
                </c:pt>
                <c:pt idx="62">
                  <c:v>41792</c:v>
                </c:pt>
                <c:pt idx="63">
                  <c:v>41793</c:v>
                </c:pt>
                <c:pt idx="64">
                  <c:v>41794</c:v>
                </c:pt>
                <c:pt idx="65">
                  <c:v>41795</c:v>
                </c:pt>
                <c:pt idx="66">
                  <c:v>41796</c:v>
                </c:pt>
                <c:pt idx="67">
                  <c:v>41797</c:v>
                </c:pt>
                <c:pt idx="68">
                  <c:v>41798</c:v>
                </c:pt>
                <c:pt idx="69">
                  <c:v>41799</c:v>
                </c:pt>
                <c:pt idx="70">
                  <c:v>41800</c:v>
                </c:pt>
                <c:pt idx="71">
                  <c:v>41801</c:v>
                </c:pt>
                <c:pt idx="72">
                  <c:v>41802</c:v>
                </c:pt>
                <c:pt idx="73">
                  <c:v>41803</c:v>
                </c:pt>
                <c:pt idx="74">
                  <c:v>41804</c:v>
                </c:pt>
                <c:pt idx="75">
                  <c:v>41805</c:v>
                </c:pt>
                <c:pt idx="76">
                  <c:v>41806</c:v>
                </c:pt>
                <c:pt idx="77">
                  <c:v>41807</c:v>
                </c:pt>
                <c:pt idx="78">
                  <c:v>41808</c:v>
                </c:pt>
                <c:pt idx="79">
                  <c:v>41809</c:v>
                </c:pt>
                <c:pt idx="80">
                  <c:v>41810</c:v>
                </c:pt>
                <c:pt idx="81">
                  <c:v>41811</c:v>
                </c:pt>
                <c:pt idx="82">
                  <c:v>41812</c:v>
                </c:pt>
                <c:pt idx="83">
                  <c:v>41813</c:v>
                </c:pt>
                <c:pt idx="84">
                  <c:v>41814</c:v>
                </c:pt>
                <c:pt idx="85">
                  <c:v>41815</c:v>
                </c:pt>
                <c:pt idx="86">
                  <c:v>41816</c:v>
                </c:pt>
                <c:pt idx="87">
                  <c:v>41817</c:v>
                </c:pt>
                <c:pt idx="88">
                  <c:v>41818</c:v>
                </c:pt>
                <c:pt idx="89">
                  <c:v>41819</c:v>
                </c:pt>
                <c:pt idx="90">
                  <c:v>41820</c:v>
                </c:pt>
                <c:pt idx="91">
                  <c:v>41821</c:v>
                </c:pt>
                <c:pt idx="92">
                  <c:v>41822</c:v>
                </c:pt>
                <c:pt idx="93">
                  <c:v>41823</c:v>
                </c:pt>
                <c:pt idx="94">
                  <c:v>41824</c:v>
                </c:pt>
                <c:pt idx="95">
                  <c:v>41825</c:v>
                </c:pt>
                <c:pt idx="96">
                  <c:v>41826</c:v>
                </c:pt>
                <c:pt idx="97">
                  <c:v>41827</c:v>
                </c:pt>
                <c:pt idx="98">
                  <c:v>41828</c:v>
                </c:pt>
                <c:pt idx="99">
                  <c:v>41829</c:v>
                </c:pt>
                <c:pt idx="100">
                  <c:v>41830</c:v>
                </c:pt>
                <c:pt idx="101">
                  <c:v>41831</c:v>
                </c:pt>
                <c:pt idx="102">
                  <c:v>41832</c:v>
                </c:pt>
                <c:pt idx="103">
                  <c:v>41833</c:v>
                </c:pt>
                <c:pt idx="104">
                  <c:v>41834</c:v>
                </c:pt>
                <c:pt idx="105">
                  <c:v>41835</c:v>
                </c:pt>
                <c:pt idx="106">
                  <c:v>41836</c:v>
                </c:pt>
                <c:pt idx="107">
                  <c:v>41837</c:v>
                </c:pt>
                <c:pt idx="108">
                  <c:v>41838</c:v>
                </c:pt>
                <c:pt idx="109">
                  <c:v>41839</c:v>
                </c:pt>
                <c:pt idx="110">
                  <c:v>41840</c:v>
                </c:pt>
                <c:pt idx="111">
                  <c:v>41841</c:v>
                </c:pt>
                <c:pt idx="112">
                  <c:v>41842</c:v>
                </c:pt>
                <c:pt idx="113">
                  <c:v>41843</c:v>
                </c:pt>
                <c:pt idx="114">
                  <c:v>41844</c:v>
                </c:pt>
                <c:pt idx="115">
                  <c:v>41845</c:v>
                </c:pt>
                <c:pt idx="116">
                  <c:v>41846</c:v>
                </c:pt>
                <c:pt idx="117">
                  <c:v>41847</c:v>
                </c:pt>
                <c:pt idx="118">
                  <c:v>41848</c:v>
                </c:pt>
                <c:pt idx="119">
                  <c:v>41849</c:v>
                </c:pt>
                <c:pt idx="120">
                  <c:v>41850</c:v>
                </c:pt>
                <c:pt idx="121">
                  <c:v>41851</c:v>
                </c:pt>
                <c:pt idx="122">
                  <c:v>41852</c:v>
                </c:pt>
                <c:pt idx="123">
                  <c:v>41853</c:v>
                </c:pt>
                <c:pt idx="124">
                  <c:v>41854</c:v>
                </c:pt>
                <c:pt idx="125">
                  <c:v>41855</c:v>
                </c:pt>
                <c:pt idx="126">
                  <c:v>41856</c:v>
                </c:pt>
                <c:pt idx="127">
                  <c:v>41857</c:v>
                </c:pt>
                <c:pt idx="128">
                  <c:v>41858</c:v>
                </c:pt>
                <c:pt idx="129">
                  <c:v>41859</c:v>
                </c:pt>
                <c:pt idx="130">
                  <c:v>41860</c:v>
                </c:pt>
                <c:pt idx="131">
                  <c:v>41861</c:v>
                </c:pt>
                <c:pt idx="132">
                  <c:v>41862</c:v>
                </c:pt>
                <c:pt idx="133">
                  <c:v>41863</c:v>
                </c:pt>
                <c:pt idx="134">
                  <c:v>41864</c:v>
                </c:pt>
                <c:pt idx="135">
                  <c:v>41865</c:v>
                </c:pt>
                <c:pt idx="136">
                  <c:v>41866</c:v>
                </c:pt>
                <c:pt idx="137">
                  <c:v>41867</c:v>
                </c:pt>
                <c:pt idx="138">
                  <c:v>41868</c:v>
                </c:pt>
                <c:pt idx="139">
                  <c:v>41869</c:v>
                </c:pt>
                <c:pt idx="140">
                  <c:v>41870</c:v>
                </c:pt>
                <c:pt idx="141">
                  <c:v>41871</c:v>
                </c:pt>
                <c:pt idx="142">
                  <c:v>41872</c:v>
                </c:pt>
                <c:pt idx="143">
                  <c:v>41873</c:v>
                </c:pt>
                <c:pt idx="144">
                  <c:v>41874</c:v>
                </c:pt>
                <c:pt idx="145">
                  <c:v>41875</c:v>
                </c:pt>
                <c:pt idx="146">
                  <c:v>41876</c:v>
                </c:pt>
                <c:pt idx="147">
                  <c:v>41877</c:v>
                </c:pt>
                <c:pt idx="148">
                  <c:v>41878</c:v>
                </c:pt>
                <c:pt idx="149">
                  <c:v>41879</c:v>
                </c:pt>
                <c:pt idx="150">
                  <c:v>41880</c:v>
                </c:pt>
                <c:pt idx="151">
                  <c:v>41881</c:v>
                </c:pt>
                <c:pt idx="152">
                  <c:v>41882</c:v>
                </c:pt>
                <c:pt idx="153">
                  <c:v>41883</c:v>
                </c:pt>
                <c:pt idx="154">
                  <c:v>41884</c:v>
                </c:pt>
                <c:pt idx="155">
                  <c:v>41885</c:v>
                </c:pt>
                <c:pt idx="156">
                  <c:v>41886</c:v>
                </c:pt>
                <c:pt idx="157">
                  <c:v>41887</c:v>
                </c:pt>
                <c:pt idx="158">
                  <c:v>41888</c:v>
                </c:pt>
                <c:pt idx="159">
                  <c:v>41889</c:v>
                </c:pt>
                <c:pt idx="160">
                  <c:v>41890</c:v>
                </c:pt>
                <c:pt idx="161">
                  <c:v>41891</c:v>
                </c:pt>
                <c:pt idx="162">
                  <c:v>41892</c:v>
                </c:pt>
                <c:pt idx="163">
                  <c:v>41893</c:v>
                </c:pt>
                <c:pt idx="164">
                  <c:v>41894</c:v>
                </c:pt>
                <c:pt idx="165">
                  <c:v>41895</c:v>
                </c:pt>
                <c:pt idx="166">
                  <c:v>41896</c:v>
                </c:pt>
                <c:pt idx="167">
                  <c:v>41897</c:v>
                </c:pt>
                <c:pt idx="168">
                  <c:v>41898</c:v>
                </c:pt>
                <c:pt idx="169">
                  <c:v>41899</c:v>
                </c:pt>
                <c:pt idx="170">
                  <c:v>41900</c:v>
                </c:pt>
                <c:pt idx="171">
                  <c:v>41901</c:v>
                </c:pt>
                <c:pt idx="172">
                  <c:v>41902</c:v>
                </c:pt>
                <c:pt idx="173">
                  <c:v>41903</c:v>
                </c:pt>
                <c:pt idx="174">
                  <c:v>41904</c:v>
                </c:pt>
                <c:pt idx="175">
                  <c:v>41905</c:v>
                </c:pt>
                <c:pt idx="176">
                  <c:v>41906</c:v>
                </c:pt>
                <c:pt idx="177">
                  <c:v>41907</c:v>
                </c:pt>
                <c:pt idx="178">
                  <c:v>41908</c:v>
                </c:pt>
                <c:pt idx="179">
                  <c:v>41909</c:v>
                </c:pt>
                <c:pt idx="180">
                  <c:v>41910</c:v>
                </c:pt>
                <c:pt idx="181">
                  <c:v>41911</c:v>
                </c:pt>
                <c:pt idx="182">
                  <c:v>41912</c:v>
                </c:pt>
                <c:pt idx="183">
                  <c:v>41913</c:v>
                </c:pt>
                <c:pt idx="184">
                  <c:v>41914</c:v>
                </c:pt>
                <c:pt idx="185">
                  <c:v>41915</c:v>
                </c:pt>
                <c:pt idx="186">
                  <c:v>41916</c:v>
                </c:pt>
                <c:pt idx="187">
                  <c:v>41917</c:v>
                </c:pt>
                <c:pt idx="188">
                  <c:v>41918</c:v>
                </c:pt>
                <c:pt idx="189">
                  <c:v>41919</c:v>
                </c:pt>
                <c:pt idx="190">
                  <c:v>41920</c:v>
                </c:pt>
                <c:pt idx="191">
                  <c:v>41921</c:v>
                </c:pt>
                <c:pt idx="192">
                  <c:v>41922</c:v>
                </c:pt>
                <c:pt idx="193">
                  <c:v>41923</c:v>
                </c:pt>
                <c:pt idx="194">
                  <c:v>41924</c:v>
                </c:pt>
                <c:pt idx="195">
                  <c:v>41925</c:v>
                </c:pt>
                <c:pt idx="196">
                  <c:v>41926</c:v>
                </c:pt>
                <c:pt idx="197">
                  <c:v>41927</c:v>
                </c:pt>
                <c:pt idx="198">
                  <c:v>41928</c:v>
                </c:pt>
                <c:pt idx="199">
                  <c:v>41929</c:v>
                </c:pt>
                <c:pt idx="200">
                  <c:v>41930</c:v>
                </c:pt>
                <c:pt idx="201">
                  <c:v>41931</c:v>
                </c:pt>
                <c:pt idx="202">
                  <c:v>41932</c:v>
                </c:pt>
                <c:pt idx="203">
                  <c:v>41933</c:v>
                </c:pt>
                <c:pt idx="204">
                  <c:v>41934</c:v>
                </c:pt>
                <c:pt idx="205">
                  <c:v>41935</c:v>
                </c:pt>
                <c:pt idx="206">
                  <c:v>41936</c:v>
                </c:pt>
                <c:pt idx="207">
                  <c:v>41937</c:v>
                </c:pt>
                <c:pt idx="208">
                  <c:v>41938</c:v>
                </c:pt>
                <c:pt idx="209">
                  <c:v>41939</c:v>
                </c:pt>
                <c:pt idx="210">
                  <c:v>41940</c:v>
                </c:pt>
                <c:pt idx="211">
                  <c:v>41941</c:v>
                </c:pt>
                <c:pt idx="212">
                  <c:v>41942</c:v>
                </c:pt>
                <c:pt idx="213">
                  <c:v>41943</c:v>
                </c:pt>
                <c:pt idx="214">
                  <c:v>41944</c:v>
                </c:pt>
                <c:pt idx="215">
                  <c:v>41945</c:v>
                </c:pt>
                <c:pt idx="216">
                  <c:v>41946</c:v>
                </c:pt>
                <c:pt idx="217">
                  <c:v>41947</c:v>
                </c:pt>
                <c:pt idx="218">
                  <c:v>41948</c:v>
                </c:pt>
                <c:pt idx="219">
                  <c:v>41949</c:v>
                </c:pt>
                <c:pt idx="220">
                  <c:v>41950</c:v>
                </c:pt>
                <c:pt idx="221">
                  <c:v>41951</c:v>
                </c:pt>
                <c:pt idx="222">
                  <c:v>41952</c:v>
                </c:pt>
                <c:pt idx="223">
                  <c:v>41953</c:v>
                </c:pt>
                <c:pt idx="224">
                  <c:v>41954</c:v>
                </c:pt>
                <c:pt idx="225">
                  <c:v>41955</c:v>
                </c:pt>
                <c:pt idx="226">
                  <c:v>41956</c:v>
                </c:pt>
                <c:pt idx="227">
                  <c:v>41957</c:v>
                </c:pt>
                <c:pt idx="228">
                  <c:v>41958</c:v>
                </c:pt>
                <c:pt idx="229">
                  <c:v>41959</c:v>
                </c:pt>
                <c:pt idx="230">
                  <c:v>41960</c:v>
                </c:pt>
                <c:pt idx="231">
                  <c:v>41961</c:v>
                </c:pt>
                <c:pt idx="232">
                  <c:v>41962</c:v>
                </c:pt>
                <c:pt idx="233">
                  <c:v>41963</c:v>
                </c:pt>
                <c:pt idx="234">
                  <c:v>41964</c:v>
                </c:pt>
                <c:pt idx="235">
                  <c:v>41965</c:v>
                </c:pt>
                <c:pt idx="236">
                  <c:v>41966</c:v>
                </c:pt>
                <c:pt idx="237">
                  <c:v>41967</c:v>
                </c:pt>
                <c:pt idx="238">
                  <c:v>41968</c:v>
                </c:pt>
                <c:pt idx="239">
                  <c:v>41969</c:v>
                </c:pt>
                <c:pt idx="240">
                  <c:v>41970</c:v>
                </c:pt>
                <c:pt idx="241">
                  <c:v>41971</c:v>
                </c:pt>
                <c:pt idx="242">
                  <c:v>41972</c:v>
                </c:pt>
                <c:pt idx="243">
                  <c:v>41973</c:v>
                </c:pt>
                <c:pt idx="244">
                  <c:v>41974</c:v>
                </c:pt>
                <c:pt idx="245">
                  <c:v>41975</c:v>
                </c:pt>
                <c:pt idx="246">
                  <c:v>41976</c:v>
                </c:pt>
                <c:pt idx="247">
                  <c:v>41977</c:v>
                </c:pt>
                <c:pt idx="248">
                  <c:v>41978</c:v>
                </c:pt>
                <c:pt idx="249">
                  <c:v>41979</c:v>
                </c:pt>
                <c:pt idx="250">
                  <c:v>41980</c:v>
                </c:pt>
                <c:pt idx="251">
                  <c:v>41981</c:v>
                </c:pt>
                <c:pt idx="252">
                  <c:v>41982</c:v>
                </c:pt>
                <c:pt idx="253">
                  <c:v>41983</c:v>
                </c:pt>
                <c:pt idx="254">
                  <c:v>41984</c:v>
                </c:pt>
                <c:pt idx="255">
                  <c:v>41985</c:v>
                </c:pt>
                <c:pt idx="256">
                  <c:v>41986</c:v>
                </c:pt>
                <c:pt idx="257">
                  <c:v>41987</c:v>
                </c:pt>
                <c:pt idx="258">
                  <c:v>41988</c:v>
                </c:pt>
                <c:pt idx="259">
                  <c:v>41989</c:v>
                </c:pt>
                <c:pt idx="260">
                  <c:v>41990</c:v>
                </c:pt>
                <c:pt idx="261">
                  <c:v>41991</c:v>
                </c:pt>
                <c:pt idx="262">
                  <c:v>41992</c:v>
                </c:pt>
                <c:pt idx="263">
                  <c:v>41993</c:v>
                </c:pt>
                <c:pt idx="264">
                  <c:v>41994</c:v>
                </c:pt>
                <c:pt idx="265">
                  <c:v>41995</c:v>
                </c:pt>
                <c:pt idx="266">
                  <c:v>41996</c:v>
                </c:pt>
                <c:pt idx="267">
                  <c:v>41997</c:v>
                </c:pt>
                <c:pt idx="268">
                  <c:v>41998</c:v>
                </c:pt>
                <c:pt idx="269">
                  <c:v>41999</c:v>
                </c:pt>
                <c:pt idx="270">
                  <c:v>42000</c:v>
                </c:pt>
                <c:pt idx="271">
                  <c:v>42001</c:v>
                </c:pt>
                <c:pt idx="272">
                  <c:v>42002</c:v>
                </c:pt>
                <c:pt idx="273">
                  <c:v>42003</c:v>
                </c:pt>
                <c:pt idx="274">
                  <c:v>42004</c:v>
                </c:pt>
                <c:pt idx="275">
                  <c:v>42005</c:v>
                </c:pt>
                <c:pt idx="276">
                  <c:v>42006</c:v>
                </c:pt>
                <c:pt idx="277">
                  <c:v>42007</c:v>
                </c:pt>
                <c:pt idx="278">
                  <c:v>42008</c:v>
                </c:pt>
                <c:pt idx="279">
                  <c:v>42009</c:v>
                </c:pt>
                <c:pt idx="280">
                  <c:v>42010</c:v>
                </c:pt>
                <c:pt idx="281">
                  <c:v>42011</c:v>
                </c:pt>
                <c:pt idx="282">
                  <c:v>42012</c:v>
                </c:pt>
                <c:pt idx="283">
                  <c:v>42013</c:v>
                </c:pt>
                <c:pt idx="284">
                  <c:v>42014</c:v>
                </c:pt>
                <c:pt idx="285">
                  <c:v>42015</c:v>
                </c:pt>
                <c:pt idx="286">
                  <c:v>42016</c:v>
                </c:pt>
                <c:pt idx="287">
                  <c:v>42017</c:v>
                </c:pt>
                <c:pt idx="288">
                  <c:v>42018</c:v>
                </c:pt>
                <c:pt idx="289">
                  <c:v>42019</c:v>
                </c:pt>
                <c:pt idx="290">
                  <c:v>42020</c:v>
                </c:pt>
                <c:pt idx="291">
                  <c:v>42021</c:v>
                </c:pt>
                <c:pt idx="292">
                  <c:v>42022</c:v>
                </c:pt>
                <c:pt idx="293">
                  <c:v>42023</c:v>
                </c:pt>
                <c:pt idx="294">
                  <c:v>42024</c:v>
                </c:pt>
                <c:pt idx="295">
                  <c:v>42025</c:v>
                </c:pt>
                <c:pt idx="296">
                  <c:v>42026</c:v>
                </c:pt>
                <c:pt idx="297">
                  <c:v>42027</c:v>
                </c:pt>
                <c:pt idx="298">
                  <c:v>42028</c:v>
                </c:pt>
                <c:pt idx="299">
                  <c:v>42029</c:v>
                </c:pt>
                <c:pt idx="300">
                  <c:v>42030</c:v>
                </c:pt>
                <c:pt idx="301">
                  <c:v>42031</c:v>
                </c:pt>
                <c:pt idx="302">
                  <c:v>42032</c:v>
                </c:pt>
                <c:pt idx="303">
                  <c:v>42033</c:v>
                </c:pt>
                <c:pt idx="304">
                  <c:v>42034</c:v>
                </c:pt>
                <c:pt idx="305">
                  <c:v>42035</c:v>
                </c:pt>
                <c:pt idx="306">
                  <c:v>42036</c:v>
                </c:pt>
                <c:pt idx="307">
                  <c:v>42037</c:v>
                </c:pt>
                <c:pt idx="308">
                  <c:v>42038</c:v>
                </c:pt>
                <c:pt idx="309">
                  <c:v>42039</c:v>
                </c:pt>
                <c:pt idx="310">
                  <c:v>42040</c:v>
                </c:pt>
                <c:pt idx="311">
                  <c:v>42041</c:v>
                </c:pt>
                <c:pt idx="312">
                  <c:v>42042</c:v>
                </c:pt>
                <c:pt idx="313">
                  <c:v>42043</c:v>
                </c:pt>
                <c:pt idx="314">
                  <c:v>42044</c:v>
                </c:pt>
                <c:pt idx="315">
                  <c:v>42045</c:v>
                </c:pt>
                <c:pt idx="316">
                  <c:v>42046</c:v>
                </c:pt>
                <c:pt idx="317">
                  <c:v>42047</c:v>
                </c:pt>
                <c:pt idx="318">
                  <c:v>42048</c:v>
                </c:pt>
                <c:pt idx="319">
                  <c:v>42049</c:v>
                </c:pt>
                <c:pt idx="320">
                  <c:v>42050</c:v>
                </c:pt>
                <c:pt idx="321">
                  <c:v>42051</c:v>
                </c:pt>
                <c:pt idx="322">
                  <c:v>42052</c:v>
                </c:pt>
                <c:pt idx="323">
                  <c:v>42053</c:v>
                </c:pt>
                <c:pt idx="324">
                  <c:v>42054</c:v>
                </c:pt>
                <c:pt idx="325">
                  <c:v>42055</c:v>
                </c:pt>
                <c:pt idx="326">
                  <c:v>42056</c:v>
                </c:pt>
                <c:pt idx="327">
                  <c:v>42057</c:v>
                </c:pt>
                <c:pt idx="328">
                  <c:v>42058</c:v>
                </c:pt>
                <c:pt idx="329">
                  <c:v>42059</c:v>
                </c:pt>
                <c:pt idx="330">
                  <c:v>42060</c:v>
                </c:pt>
                <c:pt idx="331">
                  <c:v>42061</c:v>
                </c:pt>
                <c:pt idx="332">
                  <c:v>42062</c:v>
                </c:pt>
                <c:pt idx="333">
                  <c:v>42063</c:v>
                </c:pt>
                <c:pt idx="334">
                  <c:v>42064</c:v>
                </c:pt>
                <c:pt idx="335">
                  <c:v>42065</c:v>
                </c:pt>
                <c:pt idx="336">
                  <c:v>42066</c:v>
                </c:pt>
                <c:pt idx="337">
                  <c:v>42067</c:v>
                </c:pt>
                <c:pt idx="338">
                  <c:v>42068</c:v>
                </c:pt>
                <c:pt idx="339">
                  <c:v>42069</c:v>
                </c:pt>
                <c:pt idx="340">
                  <c:v>42070</c:v>
                </c:pt>
                <c:pt idx="341">
                  <c:v>42071</c:v>
                </c:pt>
                <c:pt idx="342">
                  <c:v>42072</c:v>
                </c:pt>
                <c:pt idx="343">
                  <c:v>42073</c:v>
                </c:pt>
                <c:pt idx="344">
                  <c:v>42074</c:v>
                </c:pt>
                <c:pt idx="345">
                  <c:v>42075</c:v>
                </c:pt>
                <c:pt idx="346">
                  <c:v>42076</c:v>
                </c:pt>
                <c:pt idx="347">
                  <c:v>42077</c:v>
                </c:pt>
                <c:pt idx="348">
                  <c:v>42078</c:v>
                </c:pt>
                <c:pt idx="349">
                  <c:v>42079</c:v>
                </c:pt>
                <c:pt idx="350">
                  <c:v>42080</c:v>
                </c:pt>
                <c:pt idx="351">
                  <c:v>42081</c:v>
                </c:pt>
                <c:pt idx="352">
                  <c:v>42082</c:v>
                </c:pt>
                <c:pt idx="353">
                  <c:v>42083</c:v>
                </c:pt>
                <c:pt idx="354">
                  <c:v>42084</c:v>
                </c:pt>
                <c:pt idx="355">
                  <c:v>42085</c:v>
                </c:pt>
                <c:pt idx="356">
                  <c:v>42086</c:v>
                </c:pt>
                <c:pt idx="357">
                  <c:v>42087</c:v>
                </c:pt>
                <c:pt idx="358">
                  <c:v>42088</c:v>
                </c:pt>
                <c:pt idx="359">
                  <c:v>42089</c:v>
                </c:pt>
                <c:pt idx="360">
                  <c:v>42090</c:v>
                </c:pt>
                <c:pt idx="361">
                  <c:v>42091</c:v>
                </c:pt>
                <c:pt idx="362">
                  <c:v>42092</c:v>
                </c:pt>
                <c:pt idx="363">
                  <c:v>42093</c:v>
                </c:pt>
                <c:pt idx="364">
                  <c:v>42094</c:v>
                </c:pt>
              </c:numCache>
            </c:numRef>
          </c:cat>
          <c:val>
            <c:numRef>
              <c:f>'マアナゴ (本宮計算)'!$R$3:$R$367</c:f>
              <c:numCache>
                <c:formatCode>0</c:formatCode>
                <c:ptCount val="365"/>
                <c:pt idx="0">
                  <c:v>75.339134868839963</c:v>
                </c:pt>
                <c:pt idx="1">
                  <c:v>77.856780199251659</c:v>
                </c:pt>
                <c:pt idx="2">
                  <c:v>80.452643423536188</c:v>
                </c:pt>
                <c:pt idx="3">
                  <c:v>83.128966454392568</c:v>
                </c:pt>
                <c:pt idx="4">
                  <c:v>85.887874712730621</c:v>
                </c:pt>
                <c:pt idx="5">
                  <c:v>88.731891832119771</c:v>
                </c:pt>
                <c:pt idx="6">
                  <c:v>91.66325185613745</c:v>
                </c:pt>
                <c:pt idx="7">
                  <c:v>94.68441975889823</c:v>
                </c:pt>
                <c:pt idx="8">
                  <c:v>97.798324021805698</c:v>
                </c:pt>
                <c:pt idx="9">
                  <c:v>101.00718378650308</c:v>
                </c:pt>
                <c:pt idx="10">
                  <c:v>104.31365870592639</c:v>
                </c:pt>
                <c:pt idx="11">
                  <c:v>107.72069713036566</c:v>
                </c:pt>
                <c:pt idx="12">
                  <c:v>111.23088874120367</c:v>
                </c:pt>
                <c:pt idx="13">
                  <c:v>114.84733716118193</c:v>
                </c:pt>
                <c:pt idx="14">
                  <c:v>118.57300547296418</c:v>
                </c:pt>
                <c:pt idx="15">
                  <c:v>122.41067940988077</c:v>
                </c:pt>
                <c:pt idx="16">
                  <c:v>126.36370971495087</c:v>
                </c:pt>
                <c:pt idx="17">
                  <c:v>130.43501964960942</c:v>
                </c:pt>
                <c:pt idx="18">
                  <c:v>134.62813413500788</c:v>
                </c:pt>
                <c:pt idx="19">
                  <c:v>138.9461198237544</c:v>
                </c:pt>
                <c:pt idx="20">
                  <c:v>143.39268390751857</c:v>
                </c:pt>
                <c:pt idx="21">
                  <c:v>147.97134968340899</c:v>
                </c:pt>
                <c:pt idx="22">
                  <c:v>152.68541076854746</c:v>
                </c:pt>
                <c:pt idx="23">
                  <c:v>157.53853635997996</c:v>
                </c:pt>
                <c:pt idx="24">
                  <c:v>162.53482378045373</c:v>
                </c:pt>
                <c:pt idx="25">
                  <c:v>167.6781566281667</c:v>
                </c:pt>
                <c:pt idx="26">
                  <c:v>172.9721529940272</c:v>
                </c:pt>
                <c:pt idx="27">
                  <c:v>178.42122703899196</c:v>
                </c:pt>
                <c:pt idx="28">
                  <c:v>184.02916916199567</c:v>
                </c:pt>
                <c:pt idx="29">
                  <c:v>189.80061640015768</c:v>
                </c:pt>
                <c:pt idx="30">
                  <c:v>195.73953845356453</c:v>
                </c:pt>
                <c:pt idx="31">
                  <c:v>201.85080523591034</c:v>
                </c:pt>
                <c:pt idx="32">
                  <c:v>208.13901015327045</c:v>
                </c:pt>
                <c:pt idx="33">
                  <c:v>214.6084060522484</c:v>
                </c:pt>
                <c:pt idx="34">
                  <c:v>221.26376662459862</c:v>
                </c:pt>
                <c:pt idx="35">
                  <c:v>228.11045908225614</c:v>
                </c:pt>
                <c:pt idx="36">
                  <c:v>235.15353120866894</c:v>
                </c:pt>
                <c:pt idx="37">
                  <c:v>242.39763914346236</c:v>
                </c:pt>
                <c:pt idx="38">
                  <c:v>249.84802475595018</c:v>
                </c:pt>
                <c:pt idx="39">
                  <c:v>257.51114221695724</c:v>
                </c:pt>
                <c:pt idx="40">
                  <c:v>265.39089761194873</c:v>
                </c:pt>
                <c:pt idx="41">
                  <c:v>273.49459715810178</c:v>
                </c:pt>
                <c:pt idx="42">
                  <c:v>281.82630370698382</c:v>
                </c:pt>
                <c:pt idx="43">
                  <c:v>290.39369593994252</c:v>
                </c:pt>
                <c:pt idx="44">
                  <c:v>299.2016344409721</c:v>
                </c:pt>
                <c:pt idx="45">
                  <c:v>308.25627780281189</c:v>
                </c:pt>
                <c:pt idx="46">
                  <c:v>317.56460237684774</c:v>
                </c:pt>
                <c:pt idx="47">
                  <c:v>327.1331143022195</c:v>
                </c:pt>
                <c:pt idx="48">
                  <c:v>336.96774963947439</c:v>
                </c:pt>
                <c:pt idx="49">
                  <c:v>347.0752501430876</c:v>
                </c:pt>
                <c:pt idx="50">
                  <c:v>357.46327499870608</c:v>
                </c:pt>
                <c:pt idx="51">
                  <c:v>368.1389440372605</c:v>
                </c:pt>
                <c:pt idx="52">
                  <c:v>379.10872560220281</c:v>
                </c:pt>
                <c:pt idx="53">
                  <c:v>390.38082998264042</c:v>
                </c:pt>
                <c:pt idx="54">
                  <c:v>401.96200602611401</c:v>
                </c:pt>
                <c:pt idx="55">
                  <c:v>413.85995889687194</c:v>
                </c:pt>
                <c:pt idx="56">
                  <c:v>426.08440045815274</c:v>
                </c:pt>
                <c:pt idx="57">
                  <c:v>438.6416556461989</c:v>
                </c:pt>
                <c:pt idx="58">
                  <c:v>451.5399549765915</c:v>
                </c:pt>
                <c:pt idx="59">
                  <c:v>464.78871388318584</c:v>
                </c:pt>
                <c:pt idx="60">
                  <c:v>478.39558268711983</c:v>
                </c:pt>
                <c:pt idx="61">
                  <c:v>492.37041148658687</c:v>
                </c:pt>
                <c:pt idx="62">
                  <c:v>506.72117175900331</c:v>
                </c:pt>
                <c:pt idx="63">
                  <c:v>521.45816562375103</c:v>
                </c:pt>
                <c:pt idx="64">
                  <c:v>536.5908625778377</c:v>
                </c:pt>
                <c:pt idx="65">
                  <c:v>552.12773729156265</c:v>
                </c:pt>
                <c:pt idx="66">
                  <c:v>568.07856784104729</c:v>
                </c:pt>
                <c:pt idx="67">
                  <c:v>584.45461465878918</c:v>
                </c:pt>
                <c:pt idx="68">
                  <c:v>601.2661897205661</c:v>
                </c:pt>
                <c:pt idx="69">
                  <c:v>618.52247523199071</c:v>
                </c:pt>
                <c:pt idx="70">
                  <c:v>636.23410997612757</c:v>
                </c:pt>
                <c:pt idx="71">
                  <c:v>654.41338873033294</c:v>
                </c:pt>
                <c:pt idx="72">
                  <c:v>673.07152748430826</c:v>
                </c:pt>
                <c:pt idx="73">
                  <c:v>692.21846097566606</c:v>
                </c:pt>
                <c:pt idx="74">
                  <c:v>711.86731413080247</c:v>
                </c:pt>
                <c:pt idx="75">
                  <c:v>732.02841518947537</c:v>
                </c:pt>
                <c:pt idx="76">
                  <c:v>752.71546756489863</c:v>
                </c:pt>
                <c:pt idx="77">
                  <c:v>773.93920463626046</c:v>
                </c:pt>
                <c:pt idx="78">
                  <c:v>795.71217452161602</c:v>
                </c:pt>
                <c:pt idx="79">
                  <c:v>818.05079357769296</c:v>
                </c:pt>
                <c:pt idx="80">
                  <c:v>840.96286227708777</c:v>
                </c:pt>
                <c:pt idx="81">
                  <c:v>864.46729237035572</c:v>
                </c:pt>
                <c:pt idx="82">
                  <c:v>888.57210853737627</c:v>
                </c:pt>
                <c:pt idx="83">
                  <c:v>913.29709517713388</c:v>
                </c:pt>
                <c:pt idx="84">
                  <c:v>938.65258557108268</c:v>
                </c:pt>
                <c:pt idx="85">
                  <c:v>964.65302020651404</c:v>
                </c:pt>
                <c:pt idx="86">
                  <c:v>991.31533040499141</c:v>
                </c:pt>
                <c:pt idx="87">
                  <c:v>1018.6524523804231</c:v>
                </c:pt>
                <c:pt idx="88">
                  <c:v>1046.6820342167077</c:v>
                </c:pt>
                <c:pt idx="89">
                  <c:v>1075.4174883170385</c:v>
                </c:pt>
                <c:pt idx="90">
                  <c:v>1104.8772046093163</c:v>
                </c:pt>
                <c:pt idx="91">
                  <c:v>1135.0750834996447</c:v>
                </c:pt>
                <c:pt idx="92">
                  <c:v>1166.0302824138503</c:v>
                </c:pt>
                <c:pt idx="93">
                  <c:v>1197.7598863542878</c:v>
                </c:pt>
                <c:pt idx="94">
                  <c:v>1230.275791859762</c:v>
                </c:pt>
                <c:pt idx="95">
                  <c:v>1263.6038035045672</c:v>
                </c:pt>
                <c:pt idx="96">
                  <c:v>1297.75641086874</c:v>
                </c:pt>
                <c:pt idx="97">
                  <c:v>1332.7518089311791</c:v>
                </c:pt>
                <c:pt idx="98">
                  <c:v>1368.611617187709</c:v>
                </c:pt>
                <c:pt idx="99">
                  <c:v>1405.3518039192043</c:v>
                </c:pt>
                <c:pt idx="100">
                  <c:v>1442.994864288414</c:v>
                </c:pt>
                <c:pt idx="101">
                  <c:v>1481.5606610236875</c:v>
                </c:pt>
                <c:pt idx="102">
                  <c:v>1521.0659873785603</c:v>
                </c:pt>
                <c:pt idx="103">
                  <c:v>1561.5311711477902</c:v>
                </c:pt>
                <c:pt idx="104">
                  <c:v>1602.9805444893645</c:v>
                </c:pt>
                <c:pt idx="105">
                  <c:v>1645.4317424036194</c:v>
                </c:pt>
                <c:pt idx="106">
                  <c:v>1688.9100593025044</c:v>
                </c:pt>
                <c:pt idx="107">
                  <c:v>1733.4376501580034</c:v>
                </c:pt>
                <c:pt idx="108">
                  <c:v>1779.0330214313899</c:v>
                </c:pt>
                <c:pt idx="109">
                  <c:v>1825.7188081609991</c:v>
                </c:pt>
                <c:pt idx="110">
                  <c:v>1873.5223191685452</c:v>
                </c:pt>
                <c:pt idx="111">
                  <c:v>1922.4629452070949</c:v>
                </c:pt>
                <c:pt idx="112">
                  <c:v>1972.5690480275377</c:v>
                </c:pt>
                <c:pt idx="113">
                  <c:v>2023.8652554425539</c:v>
                </c:pt>
                <c:pt idx="114">
                  <c:v>2076.3718697044019</c:v>
                </c:pt>
                <c:pt idx="115">
                  <c:v>2130.1140067993874</c:v>
                </c:pt>
                <c:pt idx="116">
                  <c:v>2185.1222277584461</c:v>
                </c:pt>
                <c:pt idx="117">
                  <c:v>2241.4177537787627</c:v>
                </c:pt>
                <c:pt idx="118">
                  <c:v>2299.0322928085948</c:v>
                </c:pt>
                <c:pt idx="119">
                  <c:v>2357.9931235775684</c:v>
                </c:pt>
                <c:pt idx="120">
                  <c:v>2418.3168305362119</c:v>
                </c:pt>
                <c:pt idx="121">
                  <c:v>2480.0479168404213</c:v>
                </c:pt>
                <c:pt idx="122">
                  <c:v>2543.2037430172563</c:v>
                </c:pt>
                <c:pt idx="123">
                  <c:v>2607.8129943413464</c:v>
                </c:pt>
                <c:pt idx="124">
                  <c:v>2673.9110117458558</c:v>
                </c:pt>
                <c:pt idx="125">
                  <c:v>2741.5215374132827</c:v>
                </c:pt>
                <c:pt idx="126">
                  <c:v>2810.6811878316844</c:v>
                </c:pt>
                <c:pt idx="127">
                  <c:v>2881.4143431007255</c:v>
                </c:pt>
                <c:pt idx="128">
                  <c:v>2953.7589276866338</c:v>
                </c:pt>
                <c:pt idx="129">
                  <c:v>3027.7399602462406</c:v>
                </c:pt>
                <c:pt idx="130">
                  <c:v>3103.3967056369183</c:v>
                </c:pt>
                <c:pt idx="131">
                  <c:v>3180.7548203082029</c:v>
                </c:pt>
                <c:pt idx="132">
                  <c:v>3259.8549418457142</c:v>
                </c:pt>
                <c:pt idx="133">
                  <c:v>3340.7233622074386</c:v>
                </c:pt>
                <c:pt idx="134">
                  <c:v>3423.4021238989799</c:v>
                </c:pt>
                <c:pt idx="135">
                  <c:v>3507.9181504622452</c:v>
                </c:pt>
                <c:pt idx="136">
                  <c:v>3594.3149212949284</c:v>
                </c:pt>
                <c:pt idx="137">
                  <c:v>3682.6199858320574</c:v>
                </c:pt>
                <c:pt idx="138">
                  <c:v>3772.8782920376625</c:v>
                </c:pt>
                <c:pt idx="139">
                  <c:v>3865.1180076513651</c:v>
                </c:pt>
                <c:pt idx="140">
                  <c:v>3959.3762494316948</c:v>
                </c:pt>
                <c:pt idx="141">
                  <c:v>4055.7002187310745</c:v>
                </c:pt>
                <c:pt idx="142">
                  <c:v>4154.1287947383107</c:v>
                </c:pt>
                <c:pt idx="143">
                  <c:v>4254.6913506476176</c:v>
                </c:pt>
                <c:pt idx="144">
                  <c:v>4357.4374258067674</c:v>
                </c:pt>
                <c:pt idx="145">
                  <c:v>4462.3969761650424</c:v>
                </c:pt>
                <c:pt idx="146">
                  <c:v>4569.6102933538468</c:v>
                </c:pt>
                <c:pt idx="147">
                  <c:v>4679.1293044296217</c:v>
                </c:pt>
                <c:pt idx="148">
                  <c:v>4790.9847983025238</c:v>
                </c:pt>
                <c:pt idx="149">
                  <c:v>4905.2303350713755</c:v>
                </c:pt>
                <c:pt idx="150">
                  <c:v>5021.9092013387326</c:v>
                </c:pt>
                <c:pt idx="151">
                  <c:v>5141.0529907712935</c:v>
                </c:pt>
                <c:pt idx="152">
                  <c:v>5262.705212017916</c:v>
                </c:pt>
                <c:pt idx="153">
                  <c:v>5386.922772864641</c:v>
                </c:pt>
                <c:pt idx="154">
                  <c:v>5513.7379961142206</c:v>
                </c:pt>
                <c:pt idx="155">
                  <c:v>5643.2095019065528</c:v>
                </c:pt>
                <c:pt idx="156">
                  <c:v>5775.3700689762718</c:v>
                </c:pt>
                <c:pt idx="157">
                  <c:v>5910.2800538902293</c:v>
                </c:pt>
                <c:pt idx="158">
                  <c:v>6047.972658131137</c:v>
                </c:pt>
                <c:pt idx="159">
                  <c:v>6188.5099973848301</c:v>
                </c:pt>
                <c:pt idx="160">
                  <c:v>6331.9256591162366</c:v>
                </c:pt>
                <c:pt idx="161">
                  <c:v>6478.2835393166424</c:v>
                </c:pt>
                <c:pt idx="162">
                  <c:v>6627.6175709017343</c:v>
                </c:pt>
                <c:pt idx="163">
                  <c:v>6779.977074903938</c:v>
                </c:pt>
                <c:pt idx="164">
                  <c:v>6935.4286415399956</c:v>
                </c:pt>
                <c:pt idx="165">
                  <c:v>7094.0237943894435</c:v>
                </c:pt>
                <c:pt idx="166">
                  <c:v>7255.7970195265561</c:v>
                </c:pt>
                <c:pt idx="167">
                  <c:v>7420.799664785708</c:v>
                </c:pt>
                <c:pt idx="168">
                  <c:v>7589.1019859232738</c:v>
                </c:pt>
                <c:pt idx="169">
                  <c:v>7760.7387332583303</c:v>
                </c:pt>
                <c:pt idx="170">
                  <c:v>7935.7820154839183</c:v>
                </c:pt>
                <c:pt idx="171">
                  <c:v>8114.2864588493539</c:v>
                </c:pt>
                <c:pt idx="172">
                  <c:v>8296.2667401051549</c:v>
                </c:pt>
                <c:pt idx="173">
                  <c:v>8481.8377664793043</c:v>
                </c:pt>
                <c:pt idx="174">
                  <c:v>8670.993503174519</c:v>
                </c:pt>
                <c:pt idx="175">
                  <c:v>8863.8309475444566</c:v>
                </c:pt>
                <c:pt idx="176">
                  <c:v>9060.407116473556</c:v>
                </c:pt>
                <c:pt idx="177">
                  <c:v>9260.7567954515034</c:v>
                </c:pt>
                <c:pt idx="178">
                  <c:v>9464.9595864949079</c:v>
                </c:pt>
                <c:pt idx="179">
                  <c:v>9673.0500966516574</c:v>
                </c:pt>
                <c:pt idx="180">
                  <c:v>9885.08549832264</c:v>
                </c:pt>
                <c:pt idx="181">
                  <c:v>10101.148197796829</c:v>
                </c:pt>
                <c:pt idx="182">
                  <c:v>10321.297792667978</c:v>
                </c:pt>
                <c:pt idx="183">
                  <c:v>10545.542252168751</c:v>
                </c:pt>
                <c:pt idx="184">
                  <c:v>10774.018254698816</c:v>
                </c:pt>
                <c:pt idx="185">
                  <c:v>11006.73389691077</c:v>
                </c:pt>
                <c:pt idx="186">
                  <c:v>11243.748448394666</c:v>
                </c:pt>
                <c:pt idx="187">
                  <c:v>11485.149918084853</c:v>
                </c:pt>
                <c:pt idx="188">
                  <c:v>11730.970946790125</c:v>
                </c:pt>
                <c:pt idx="189">
                  <c:v>11981.27163880895</c:v>
                </c:pt>
                <c:pt idx="190">
                  <c:v>12236.142745774725</c:v>
                </c:pt>
                <c:pt idx="191">
                  <c:v>12495.646852874914</c:v>
                </c:pt>
                <c:pt idx="192">
                  <c:v>12759.815034827961</c:v>
                </c:pt>
                <c:pt idx="193">
                  <c:v>13028.708293764359</c:v>
                </c:pt>
                <c:pt idx="194">
                  <c:v>13302.420996126702</c:v>
                </c:pt>
                <c:pt idx="195">
                  <c:v>13581.016633358577</c:v>
                </c:pt>
                <c:pt idx="196">
                  <c:v>13864.48952854611</c:v>
                </c:pt>
                <c:pt idx="197">
                  <c:v>14153.005323336001</c:v>
                </c:pt>
                <c:pt idx="198">
                  <c:v>14446.521630671285</c:v>
                </c:pt>
                <c:pt idx="199">
                  <c:v>14745.208857222353</c:v>
                </c:pt>
                <c:pt idx="200">
                  <c:v>15049.020135983263</c:v>
                </c:pt>
                <c:pt idx="201">
                  <c:v>15358.092094165802</c:v>
                </c:pt>
                <c:pt idx="202">
                  <c:v>15672.488992021727</c:v>
                </c:pt>
                <c:pt idx="203">
                  <c:v>15992.234826654885</c:v>
                </c:pt>
                <c:pt idx="204">
                  <c:v>16317.391329148206</c:v>
                </c:pt>
                <c:pt idx="205">
                  <c:v>16648.062178174892</c:v>
                </c:pt>
                <c:pt idx="206">
                  <c:v>16984.268617206642</c:v>
                </c:pt>
                <c:pt idx="207">
                  <c:v>17326.115893849117</c:v>
                </c:pt>
                <c:pt idx="208">
                  <c:v>17673.623216816319</c:v>
                </c:pt>
                <c:pt idx="209">
                  <c:v>18026.897354723089</c:v>
                </c:pt>
                <c:pt idx="210">
                  <c:v>18385.95530248123</c:v>
                </c:pt>
                <c:pt idx="211">
                  <c:v>18750.905298486363</c:v>
                </c:pt>
                <c:pt idx="212">
                  <c:v>19121.761938242864</c:v>
                </c:pt>
                <c:pt idx="213">
                  <c:v>19498.585205939307</c:v>
                </c:pt>
                <c:pt idx="214">
                  <c:v>19881.485415413266</c:v>
                </c:pt>
                <c:pt idx="215">
                  <c:v>20270.524920385124</c:v>
                </c:pt>
                <c:pt idx="216">
                  <c:v>20665.660123858215</c:v>
                </c:pt>
                <c:pt idx="217">
                  <c:v>21067.107873830941</c:v>
                </c:pt>
                <c:pt idx="218">
                  <c:v>21474.767648145349</c:v>
                </c:pt>
                <c:pt idx="219">
                  <c:v>21888.805745821126</c:v>
                </c:pt>
                <c:pt idx="220">
                  <c:v>22309.282380618213</c:v>
                </c:pt>
                <c:pt idx="221">
                  <c:v>22736.198856235984</c:v>
                </c:pt>
                <c:pt idx="222">
                  <c:v>23169.670415520417</c:v>
                </c:pt>
                <c:pt idx="223">
                  <c:v>23609.634044989551</c:v>
                </c:pt>
                <c:pt idx="224">
                  <c:v>24056.326410006153</c:v>
                </c:pt>
                <c:pt idx="225">
                  <c:v>24509.681938572416</c:v>
                </c:pt>
                <c:pt idx="226">
                  <c:v>24969.753441951976</c:v>
                </c:pt>
                <c:pt idx="227">
                  <c:v>25436.5928964634</c:v>
                </c:pt>
                <c:pt idx="228">
                  <c:v>25910.385536227368</c:v>
                </c:pt>
                <c:pt idx="229">
                  <c:v>26390.984302934237</c:v>
                </c:pt>
                <c:pt idx="230">
                  <c:v>26878.573984820861</c:v>
                </c:pt>
                <c:pt idx="231">
                  <c:v>27373.13588448078</c:v>
                </c:pt>
                <c:pt idx="232">
                  <c:v>27874.78979764989</c:v>
                </c:pt>
                <c:pt idx="233">
                  <c:v>28383.58619250917</c:v>
                </c:pt>
                <c:pt idx="234">
                  <c:v>28899.423988634775</c:v>
                </c:pt>
                <c:pt idx="235">
                  <c:v>29422.496436703113</c:v>
                </c:pt>
                <c:pt idx="236">
                  <c:v>29952.850807224364</c:v>
                </c:pt>
                <c:pt idx="237">
                  <c:v>30490.453587885637</c:v>
                </c:pt>
                <c:pt idx="238">
                  <c:v>31035.426468064656</c:v>
                </c:pt>
                <c:pt idx="239">
                  <c:v>31587.647780151077</c:v>
                </c:pt>
                <c:pt idx="240">
                  <c:v>32147.403596228891</c:v>
                </c:pt>
                <c:pt idx="241">
                  <c:v>32714.568102795707</c:v>
                </c:pt>
                <c:pt idx="242">
                  <c:v>33289.176436509137</c:v>
                </c:pt>
                <c:pt idx="243">
                  <c:v>33871.262259809242</c:v>
                </c:pt>
                <c:pt idx="244">
                  <c:v>34452.510370252203</c:v>
                </c:pt>
                <c:pt idx="245">
                  <c:v>35039.790013783662</c:v>
                </c:pt>
                <c:pt idx="246">
                  <c:v>35631.646140889505</c:v>
                </c:pt>
                <c:pt idx="247">
                  <c:v>36231.978573642591</c:v>
                </c:pt>
                <c:pt idx="248">
                  <c:v>36841.754655152763</c:v>
                </c:pt>
                <c:pt idx="249">
                  <c:v>37456.344074263361</c:v>
                </c:pt>
                <c:pt idx="250">
                  <c:v>38076.335599874641</c:v>
                </c:pt>
                <c:pt idx="251">
                  <c:v>38706.274618231721</c:v>
                </c:pt>
                <c:pt idx="252">
                  <c:v>39341.918229275783</c:v>
                </c:pt>
                <c:pt idx="253">
                  <c:v>39984.897121647708</c:v>
                </c:pt>
                <c:pt idx="254">
                  <c:v>40637.826803242257</c:v>
                </c:pt>
                <c:pt idx="255">
                  <c:v>41293.124027573591</c:v>
                </c:pt>
                <c:pt idx="256">
                  <c:v>41955.362432254347</c:v>
                </c:pt>
                <c:pt idx="257">
                  <c:v>42629.673096725382</c:v>
                </c:pt>
                <c:pt idx="258">
                  <c:v>43307.816859398154</c:v>
                </c:pt>
                <c:pt idx="259">
                  <c:v>43992.922719629605</c:v>
                </c:pt>
                <c:pt idx="260">
                  <c:v>44686.174615708253</c:v>
                </c:pt>
                <c:pt idx="261">
                  <c:v>45382.959793293332</c:v>
                </c:pt>
                <c:pt idx="262">
                  <c:v>46088.806854050345</c:v>
                </c:pt>
                <c:pt idx="263">
                  <c:v>46805.321010249289</c:v>
                </c:pt>
                <c:pt idx="264">
                  <c:v>47524.809824834505</c:v>
                </c:pt>
                <c:pt idx="265">
                  <c:v>48248.744177134635</c:v>
                </c:pt>
                <c:pt idx="266">
                  <c:v>48983.09486654857</c:v>
                </c:pt>
                <c:pt idx="267">
                  <c:v>49723.136663358477</c:v>
                </c:pt>
                <c:pt idx="268">
                  <c:v>50469.877120520243</c:v>
                </c:pt>
                <c:pt idx="269">
                  <c:v>51227.749114909617</c:v>
                </c:pt>
                <c:pt idx="270">
                  <c:v>51984.702537902056</c:v>
                </c:pt>
                <c:pt idx="271">
                  <c:v>52748.262152432595</c:v>
                </c:pt>
                <c:pt idx="272">
                  <c:v>53525.870471236267</c:v>
                </c:pt>
                <c:pt idx="273">
                  <c:v>54305.609087436569</c:v>
                </c:pt>
                <c:pt idx="274">
                  <c:v>55091.453196152455</c:v>
                </c:pt>
                <c:pt idx="275">
                  <c:v>55887.642073701551</c:v>
                </c:pt>
                <c:pt idx="276">
                  <c:v>56690.550414099554</c:v>
                </c:pt>
                <c:pt idx="277">
                  <c:v>57501.402566857032</c:v>
                </c:pt>
                <c:pt idx="278">
                  <c:v>58320.209051150778</c:v>
                </c:pt>
                <c:pt idx="279">
                  <c:v>59143.699994700197</c:v>
                </c:pt>
                <c:pt idx="280">
                  <c:v>59971.563973446151</c:v>
                </c:pt>
                <c:pt idx="281">
                  <c:v>60808.040561980903</c:v>
                </c:pt>
                <c:pt idx="282">
                  <c:v>61649.737686316737</c:v>
                </c:pt>
                <c:pt idx="283">
                  <c:v>62497.585064384104</c:v>
                </c:pt>
                <c:pt idx="284">
                  <c:v>63353.457640990506</c:v>
                </c:pt>
                <c:pt idx="285">
                  <c:v>64211.44061418272</c:v>
                </c:pt>
                <c:pt idx="286">
                  <c:v>65074.56204920225</c:v>
                </c:pt>
                <c:pt idx="287">
                  <c:v>65948.077017637406</c:v>
                </c:pt>
                <c:pt idx="288">
                  <c:v>66824.595073198318</c:v>
                </c:pt>
                <c:pt idx="289">
                  <c:v>67707.339194895714</c:v>
                </c:pt>
                <c:pt idx="290">
                  <c:v>68595.667406202789</c:v>
                </c:pt>
                <c:pt idx="291">
                  <c:v>69486.742730056023</c:v>
                </c:pt>
                <c:pt idx="292">
                  <c:v>70385.1331084048</c:v>
                </c:pt>
                <c:pt idx="293">
                  <c:v>71291.840367437966</c:v>
                </c:pt>
                <c:pt idx="294">
                  <c:v>72199.726578102986</c:v>
                </c:pt>
                <c:pt idx="295">
                  <c:v>73110.389173357602</c:v>
                </c:pt>
                <c:pt idx="296">
                  <c:v>74028.689036963595</c:v>
                </c:pt>
                <c:pt idx="297">
                  <c:v>74951.645173531346</c:v>
                </c:pt>
                <c:pt idx="298">
                  <c:v>75877.842495357298</c:v>
                </c:pt>
                <c:pt idx="299">
                  <c:v>76811.506439400575</c:v>
                </c:pt>
                <c:pt idx="300">
                  <c:v>77743.730936966618</c:v>
                </c:pt>
                <c:pt idx="301">
                  <c:v>78680.708354739298</c:v>
                </c:pt>
                <c:pt idx="302">
                  <c:v>79627.83943101835</c:v>
                </c:pt>
                <c:pt idx="303">
                  <c:v>80575.964030855641</c:v>
                </c:pt>
                <c:pt idx="304">
                  <c:v>81526.245098298721</c:v>
                </c:pt>
                <c:pt idx="305">
                  <c:v>82480.871751598039</c:v>
                </c:pt>
                <c:pt idx="306">
                  <c:v>83449.407947386295</c:v>
                </c:pt>
                <c:pt idx="307">
                  <c:v>84425.033183525244</c:v>
                </c:pt>
                <c:pt idx="308">
                  <c:v>85405.518041675867</c:v>
                </c:pt>
                <c:pt idx="309">
                  <c:v>86387.761818162166</c:v>
                </c:pt>
                <c:pt idx="310">
                  <c:v>87372.325139807406</c:v>
                </c:pt>
                <c:pt idx="311">
                  <c:v>88362.385119850951</c:v>
                </c:pt>
                <c:pt idx="312">
                  <c:v>89352.144945588341</c:v>
                </c:pt>
                <c:pt idx="313">
                  <c:v>90344.245501327983</c:v>
                </c:pt>
                <c:pt idx="314">
                  <c:v>91340.936519136405</c:v>
                </c:pt>
                <c:pt idx="315">
                  <c:v>92337.261220661298</c:v>
                </c:pt>
                <c:pt idx="316">
                  <c:v>93334.611501845662</c:v>
                </c:pt>
                <c:pt idx="317">
                  <c:v>94337.240563551706</c:v>
                </c:pt>
                <c:pt idx="318">
                  <c:v>95336.947073181102</c:v>
                </c:pt>
                <c:pt idx="319">
                  <c:v>96337.957037899556</c:v>
                </c:pt>
                <c:pt idx="320">
                  <c:v>97340.387578953829</c:v>
                </c:pt>
                <c:pt idx="321">
                  <c:v>98340.279675948506</c:v>
                </c:pt>
                <c:pt idx="322">
                  <c:v>99337.332867220757</c:v>
                </c:pt>
                <c:pt idx="323">
                  <c:v>100338.12395853002</c:v>
                </c:pt>
                <c:pt idx="324">
                  <c:v>101332.30217573605</c:v>
                </c:pt>
                <c:pt idx="325">
                  <c:v>102325.87457491586</c:v>
                </c:pt>
                <c:pt idx="326">
                  <c:v>103330.4135346827</c:v>
                </c:pt>
                <c:pt idx="327">
                  <c:v>104331.39643654748</c:v>
                </c:pt>
                <c:pt idx="328">
                  <c:v>105340.88963311999</c:v>
                </c:pt>
                <c:pt idx="329">
                  <c:v>106360.94236862332</c:v>
                </c:pt>
                <c:pt idx="330">
                  <c:v>107370.66472168089</c:v>
                </c:pt>
                <c:pt idx="331">
                  <c:v>108379.37729695927</c:v>
                </c:pt>
                <c:pt idx="332">
                  <c:v>109401.15186371785</c:v>
                </c:pt>
                <c:pt idx="333">
                  <c:v>110417.82615182434</c:v>
                </c:pt>
                <c:pt idx="334">
                  <c:v>111436.53650497516</c:v>
                </c:pt>
                <c:pt idx="335">
                  <c:v>112450.34619255853</c:v>
                </c:pt>
                <c:pt idx="336">
                  <c:v>113360.17070217381</c:v>
                </c:pt>
                <c:pt idx="337">
                  <c:v>114320.50344681148</c:v>
                </c:pt>
                <c:pt idx="338">
                  <c:v>115321.57330099863</c:v>
                </c:pt>
                <c:pt idx="339">
                  <c:v>116286.92347509558</c:v>
                </c:pt>
                <c:pt idx="340">
                  <c:v>117235.919533263</c:v>
                </c:pt>
                <c:pt idx="341">
                  <c:v>118219.49241908433</c:v>
                </c:pt>
                <c:pt idx="342">
                  <c:v>119186.20271562904</c:v>
                </c:pt>
                <c:pt idx="343">
                  <c:v>120152.22510196961</c:v>
                </c:pt>
                <c:pt idx="344">
                  <c:v>121155.91416579523</c:v>
                </c:pt>
                <c:pt idx="345">
                  <c:v>122109.60590372115</c:v>
                </c:pt>
                <c:pt idx="346">
                  <c:v>123064.00965607034</c:v>
                </c:pt>
                <c:pt idx="347">
                  <c:v>124068.4388801803</c:v>
                </c:pt>
                <c:pt idx="348">
                  <c:v>125036.41442414082</c:v>
                </c:pt>
                <c:pt idx="349">
                  <c:v>126001.6515251786</c:v>
                </c:pt>
                <c:pt idx="350">
                  <c:v>126986.02603644656</c:v>
                </c:pt>
                <c:pt idx="351">
                  <c:v>127932.64500391354</c:v>
                </c:pt>
                <c:pt idx="352">
                  <c:v>128895.44630467659</c:v>
                </c:pt>
                <c:pt idx="353">
                  <c:v>129895.04916864427</c:v>
                </c:pt>
                <c:pt idx="354">
                  <c:v>130855.08574986005</c:v>
                </c:pt>
                <c:pt idx="355">
                  <c:v>131795.36760376801</c:v>
                </c:pt>
                <c:pt idx="356">
                  <c:v>132766.16813564164</c:v>
                </c:pt>
                <c:pt idx="357">
                  <c:v>133715.68858699012</c:v>
                </c:pt>
                <c:pt idx="358">
                  <c:v>134666.61849267306</c:v>
                </c:pt>
                <c:pt idx="359">
                  <c:v>135652.0933076494</c:v>
                </c:pt>
                <c:pt idx="360">
                  <c:v>136578.04061813944</c:v>
                </c:pt>
                <c:pt idx="361">
                  <c:v>137500.94019192102</c:v>
                </c:pt>
                <c:pt idx="362">
                  <c:v>138477.12116202747</c:v>
                </c:pt>
                <c:pt idx="363">
                  <c:v>139411.78021270243</c:v>
                </c:pt>
                <c:pt idx="364">
                  <c:v>140336.14800353936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17-4CC7-BB84-DD93D7AC1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79650688"/>
        <c:axId val="-1879650144"/>
      </c:areaChart>
      <c:dateAx>
        <c:axId val="-1879650688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79650144"/>
        <c:crosses val="autoZero"/>
        <c:auto val="1"/>
        <c:lblOffset val="100"/>
        <c:baseTimeUnit val="days"/>
      </c:dateAx>
      <c:valAx>
        <c:axId val="-187965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入網ポテンシャル重量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79650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1"/>
          <c:order val="0"/>
          <c:tx>
            <c:strRef>
              <c:f>'マアナゴ (本宮計算)'!$U$1</c:f>
              <c:strCache>
                <c:ptCount val="1"/>
                <c:pt idx="0">
                  <c:v>2年級群
金額</c:v>
                </c:pt>
              </c:strCache>
            </c:strRef>
          </c:tx>
          <c:spPr>
            <a:solidFill>
              <a:srgbClr val="FF5050"/>
            </a:solidFill>
            <a:ln>
              <a:noFill/>
            </a:ln>
            <a:effectLst/>
          </c:spPr>
          <c:cat>
            <c:numRef>
              <c:f>'マアナゴ (本宮計算)'!$A$3:$A$367</c:f>
              <c:numCache>
                <c:formatCode>m/d/yyyy</c:formatCode>
                <c:ptCount val="365"/>
                <c:pt idx="0">
                  <c:v>41730</c:v>
                </c:pt>
                <c:pt idx="1">
                  <c:v>41731</c:v>
                </c:pt>
                <c:pt idx="2">
                  <c:v>41732</c:v>
                </c:pt>
                <c:pt idx="3">
                  <c:v>41733</c:v>
                </c:pt>
                <c:pt idx="4">
                  <c:v>41734</c:v>
                </c:pt>
                <c:pt idx="5">
                  <c:v>41735</c:v>
                </c:pt>
                <c:pt idx="6">
                  <c:v>41736</c:v>
                </c:pt>
                <c:pt idx="7">
                  <c:v>41737</c:v>
                </c:pt>
                <c:pt idx="8">
                  <c:v>41738</c:v>
                </c:pt>
                <c:pt idx="9">
                  <c:v>41739</c:v>
                </c:pt>
                <c:pt idx="10">
                  <c:v>41740</c:v>
                </c:pt>
                <c:pt idx="11">
                  <c:v>41741</c:v>
                </c:pt>
                <c:pt idx="12">
                  <c:v>41742</c:v>
                </c:pt>
                <c:pt idx="13">
                  <c:v>41743</c:v>
                </c:pt>
                <c:pt idx="14">
                  <c:v>41744</c:v>
                </c:pt>
                <c:pt idx="15">
                  <c:v>41745</c:v>
                </c:pt>
                <c:pt idx="16">
                  <c:v>41746</c:v>
                </c:pt>
                <c:pt idx="17">
                  <c:v>41747</c:v>
                </c:pt>
                <c:pt idx="18">
                  <c:v>41748</c:v>
                </c:pt>
                <c:pt idx="19">
                  <c:v>41749</c:v>
                </c:pt>
                <c:pt idx="20">
                  <c:v>41750</c:v>
                </c:pt>
                <c:pt idx="21">
                  <c:v>41751</c:v>
                </c:pt>
                <c:pt idx="22">
                  <c:v>41752</c:v>
                </c:pt>
                <c:pt idx="23">
                  <c:v>41753</c:v>
                </c:pt>
                <c:pt idx="24">
                  <c:v>41754</c:v>
                </c:pt>
                <c:pt idx="25">
                  <c:v>41755</c:v>
                </c:pt>
                <c:pt idx="26">
                  <c:v>41756</c:v>
                </c:pt>
                <c:pt idx="27">
                  <c:v>41757</c:v>
                </c:pt>
                <c:pt idx="28">
                  <c:v>41758</c:v>
                </c:pt>
                <c:pt idx="29">
                  <c:v>41759</c:v>
                </c:pt>
                <c:pt idx="30">
                  <c:v>41760</c:v>
                </c:pt>
                <c:pt idx="31">
                  <c:v>41761</c:v>
                </c:pt>
                <c:pt idx="32">
                  <c:v>41762</c:v>
                </c:pt>
                <c:pt idx="33">
                  <c:v>41763</c:v>
                </c:pt>
                <c:pt idx="34">
                  <c:v>41764</c:v>
                </c:pt>
                <c:pt idx="35">
                  <c:v>41765</c:v>
                </c:pt>
                <c:pt idx="36">
                  <c:v>41766</c:v>
                </c:pt>
                <c:pt idx="37">
                  <c:v>41767</c:v>
                </c:pt>
                <c:pt idx="38">
                  <c:v>41768</c:v>
                </c:pt>
                <c:pt idx="39">
                  <c:v>41769</c:v>
                </c:pt>
                <c:pt idx="40">
                  <c:v>41770</c:v>
                </c:pt>
                <c:pt idx="41">
                  <c:v>41771</c:v>
                </c:pt>
                <c:pt idx="42">
                  <c:v>41772</c:v>
                </c:pt>
                <c:pt idx="43">
                  <c:v>41773</c:v>
                </c:pt>
                <c:pt idx="44">
                  <c:v>41774</c:v>
                </c:pt>
                <c:pt idx="45">
                  <c:v>41775</c:v>
                </c:pt>
                <c:pt idx="46">
                  <c:v>41776</c:v>
                </c:pt>
                <c:pt idx="47">
                  <c:v>41777</c:v>
                </c:pt>
                <c:pt idx="48">
                  <c:v>41778</c:v>
                </c:pt>
                <c:pt idx="49">
                  <c:v>41779</c:v>
                </c:pt>
                <c:pt idx="50">
                  <c:v>41780</c:v>
                </c:pt>
                <c:pt idx="51">
                  <c:v>41781</c:v>
                </c:pt>
                <c:pt idx="52">
                  <c:v>41782</c:v>
                </c:pt>
                <c:pt idx="53">
                  <c:v>41783</c:v>
                </c:pt>
                <c:pt idx="54">
                  <c:v>41784</c:v>
                </c:pt>
                <c:pt idx="55">
                  <c:v>41785</c:v>
                </c:pt>
                <c:pt idx="56">
                  <c:v>41786</c:v>
                </c:pt>
                <c:pt idx="57">
                  <c:v>41787</c:v>
                </c:pt>
                <c:pt idx="58">
                  <c:v>41788</c:v>
                </c:pt>
                <c:pt idx="59">
                  <c:v>41789</c:v>
                </c:pt>
                <c:pt idx="60">
                  <c:v>41790</c:v>
                </c:pt>
                <c:pt idx="61">
                  <c:v>41791</c:v>
                </c:pt>
                <c:pt idx="62">
                  <c:v>41792</c:v>
                </c:pt>
                <c:pt idx="63">
                  <c:v>41793</c:v>
                </c:pt>
                <c:pt idx="64">
                  <c:v>41794</c:v>
                </c:pt>
                <c:pt idx="65">
                  <c:v>41795</c:v>
                </c:pt>
                <c:pt idx="66">
                  <c:v>41796</c:v>
                </c:pt>
                <c:pt idx="67">
                  <c:v>41797</c:v>
                </c:pt>
                <c:pt idx="68">
                  <c:v>41798</c:v>
                </c:pt>
                <c:pt idx="69">
                  <c:v>41799</c:v>
                </c:pt>
                <c:pt idx="70">
                  <c:v>41800</c:v>
                </c:pt>
                <c:pt idx="71">
                  <c:v>41801</c:v>
                </c:pt>
                <c:pt idx="72">
                  <c:v>41802</c:v>
                </c:pt>
                <c:pt idx="73">
                  <c:v>41803</c:v>
                </c:pt>
                <c:pt idx="74">
                  <c:v>41804</c:v>
                </c:pt>
                <c:pt idx="75">
                  <c:v>41805</c:v>
                </c:pt>
                <c:pt idx="76">
                  <c:v>41806</c:v>
                </c:pt>
                <c:pt idx="77">
                  <c:v>41807</c:v>
                </c:pt>
                <c:pt idx="78">
                  <c:v>41808</c:v>
                </c:pt>
                <c:pt idx="79">
                  <c:v>41809</c:v>
                </c:pt>
                <c:pt idx="80">
                  <c:v>41810</c:v>
                </c:pt>
                <c:pt idx="81">
                  <c:v>41811</c:v>
                </c:pt>
                <c:pt idx="82">
                  <c:v>41812</c:v>
                </c:pt>
                <c:pt idx="83">
                  <c:v>41813</c:v>
                </c:pt>
                <c:pt idx="84">
                  <c:v>41814</c:v>
                </c:pt>
                <c:pt idx="85">
                  <c:v>41815</c:v>
                </c:pt>
                <c:pt idx="86">
                  <c:v>41816</c:v>
                </c:pt>
                <c:pt idx="87">
                  <c:v>41817</c:v>
                </c:pt>
                <c:pt idx="88">
                  <c:v>41818</c:v>
                </c:pt>
                <c:pt idx="89">
                  <c:v>41819</c:v>
                </c:pt>
                <c:pt idx="90">
                  <c:v>41820</c:v>
                </c:pt>
                <c:pt idx="91">
                  <c:v>41821</c:v>
                </c:pt>
                <c:pt idx="92">
                  <c:v>41822</c:v>
                </c:pt>
                <c:pt idx="93">
                  <c:v>41823</c:v>
                </c:pt>
                <c:pt idx="94">
                  <c:v>41824</c:v>
                </c:pt>
                <c:pt idx="95">
                  <c:v>41825</c:v>
                </c:pt>
                <c:pt idx="96">
                  <c:v>41826</c:v>
                </c:pt>
                <c:pt idx="97">
                  <c:v>41827</c:v>
                </c:pt>
                <c:pt idx="98">
                  <c:v>41828</c:v>
                </c:pt>
                <c:pt idx="99">
                  <c:v>41829</c:v>
                </c:pt>
                <c:pt idx="100">
                  <c:v>41830</c:v>
                </c:pt>
                <c:pt idx="101">
                  <c:v>41831</c:v>
                </c:pt>
                <c:pt idx="102">
                  <c:v>41832</c:v>
                </c:pt>
                <c:pt idx="103">
                  <c:v>41833</c:v>
                </c:pt>
                <c:pt idx="104">
                  <c:v>41834</c:v>
                </c:pt>
                <c:pt idx="105">
                  <c:v>41835</c:v>
                </c:pt>
                <c:pt idx="106">
                  <c:v>41836</c:v>
                </c:pt>
                <c:pt idx="107">
                  <c:v>41837</c:v>
                </c:pt>
                <c:pt idx="108">
                  <c:v>41838</c:v>
                </c:pt>
                <c:pt idx="109">
                  <c:v>41839</c:v>
                </c:pt>
                <c:pt idx="110">
                  <c:v>41840</c:v>
                </c:pt>
                <c:pt idx="111">
                  <c:v>41841</c:v>
                </c:pt>
                <c:pt idx="112">
                  <c:v>41842</c:v>
                </c:pt>
                <c:pt idx="113">
                  <c:v>41843</c:v>
                </c:pt>
                <c:pt idx="114">
                  <c:v>41844</c:v>
                </c:pt>
                <c:pt idx="115">
                  <c:v>41845</c:v>
                </c:pt>
                <c:pt idx="116">
                  <c:v>41846</c:v>
                </c:pt>
                <c:pt idx="117">
                  <c:v>41847</c:v>
                </c:pt>
                <c:pt idx="118">
                  <c:v>41848</c:v>
                </c:pt>
                <c:pt idx="119">
                  <c:v>41849</c:v>
                </c:pt>
                <c:pt idx="120">
                  <c:v>41850</c:v>
                </c:pt>
                <c:pt idx="121">
                  <c:v>41851</c:v>
                </c:pt>
                <c:pt idx="122">
                  <c:v>41852</c:v>
                </c:pt>
                <c:pt idx="123">
                  <c:v>41853</c:v>
                </c:pt>
                <c:pt idx="124">
                  <c:v>41854</c:v>
                </c:pt>
                <c:pt idx="125">
                  <c:v>41855</c:v>
                </c:pt>
                <c:pt idx="126">
                  <c:v>41856</c:v>
                </c:pt>
                <c:pt idx="127">
                  <c:v>41857</c:v>
                </c:pt>
                <c:pt idx="128">
                  <c:v>41858</c:v>
                </c:pt>
                <c:pt idx="129">
                  <c:v>41859</c:v>
                </c:pt>
                <c:pt idx="130">
                  <c:v>41860</c:v>
                </c:pt>
                <c:pt idx="131">
                  <c:v>41861</c:v>
                </c:pt>
                <c:pt idx="132">
                  <c:v>41862</c:v>
                </c:pt>
                <c:pt idx="133">
                  <c:v>41863</c:v>
                </c:pt>
                <c:pt idx="134">
                  <c:v>41864</c:v>
                </c:pt>
                <c:pt idx="135">
                  <c:v>41865</c:v>
                </c:pt>
                <c:pt idx="136">
                  <c:v>41866</c:v>
                </c:pt>
                <c:pt idx="137">
                  <c:v>41867</c:v>
                </c:pt>
                <c:pt idx="138">
                  <c:v>41868</c:v>
                </c:pt>
                <c:pt idx="139">
                  <c:v>41869</c:v>
                </c:pt>
                <c:pt idx="140">
                  <c:v>41870</c:v>
                </c:pt>
                <c:pt idx="141">
                  <c:v>41871</c:v>
                </c:pt>
                <c:pt idx="142">
                  <c:v>41872</c:v>
                </c:pt>
                <c:pt idx="143">
                  <c:v>41873</c:v>
                </c:pt>
                <c:pt idx="144">
                  <c:v>41874</c:v>
                </c:pt>
                <c:pt idx="145">
                  <c:v>41875</c:v>
                </c:pt>
                <c:pt idx="146">
                  <c:v>41876</c:v>
                </c:pt>
                <c:pt idx="147">
                  <c:v>41877</c:v>
                </c:pt>
                <c:pt idx="148">
                  <c:v>41878</c:v>
                </c:pt>
                <c:pt idx="149">
                  <c:v>41879</c:v>
                </c:pt>
                <c:pt idx="150">
                  <c:v>41880</c:v>
                </c:pt>
                <c:pt idx="151">
                  <c:v>41881</c:v>
                </c:pt>
                <c:pt idx="152">
                  <c:v>41882</c:v>
                </c:pt>
                <c:pt idx="153">
                  <c:v>41883</c:v>
                </c:pt>
                <c:pt idx="154">
                  <c:v>41884</c:v>
                </c:pt>
                <c:pt idx="155">
                  <c:v>41885</c:v>
                </c:pt>
                <c:pt idx="156">
                  <c:v>41886</c:v>
                </c:pt>
                <c:pt idx="157">
                  <c:v>41887</c:v>
                </c:pt>
                <c:pt idx="158">
                  <c:v>41888</c:v>
                </c:pt>
                <c:pt idx="159">
                  <c:v>41889</c:v>
                </c:pt>
                <c:pt idx="160">
                  <c:v>41890</c:v>
                </c:pt>
                <c:pt idx="161">
                  <c:v>41891</c:v>
                </c:pt>
                <c:pt idx="162">
                  <c:v>41892</c:v>
                </c:pt>
                <c:pt idx="163">
                  <c:v>41893</c:v>
                </c:pt>
                <c:pt idx="164">
                  <c:v>41894</c:v>
                </c:pt>
                <c:pt idx="165">
                  <c:v>41895</c:v>
                </c:pt>
                <c:pt idx="166">
                  <c:v>41896</c:v>
                </c:pt>
                <c:pt idx="167">
                  <c:v>41897</c:v>
                </c:pt>
                <c:pt idx="168">
                  <c:v>41898</c:v>
                </c:pt>
                <c:pt idx="169">
                  <c:v>41899</c:v>
                </c:pt>
                <c:pt idx="170">
                  <c:v>41900</c:v>
                </c:pt>
                <c:pt idx="171">
                  <c:v>41901</c:v>
                </c:pt>
                <c:pt idx="172">
                  <c:v>41902</c:v>
                </c:pt>
                <c:pt idx="173">
                  <c:v>41903</c:v>
                </c:pt>
                <c:pt idx="174">
                  <c:v>41904</c:v>
                </c:pt>
                <c:pt idx="175">
                  <c:v>41905</c:v>
                </c:pt>
                <c:pt idx="176">
                  <c:v>41906</c:v>
                </c:pt>
                <c:pt idx="177">
                  <c:v>41907</c:v>
                </c:pt>
                <c:pt idx="178">
                  <c:v>41908</c:v>
                </c:pt>
                <c:pt idx="179">
                  <c:v>41909</c:v>
                </c:pt>
                <c:pt idx="180">
                  <c:v>41910</c:v>
                </c:pt>
                <c:pt idx="181">
                  <c:v>41911</c:v>
                </c:pt>
                <c:pt idx="182">
                  <c:v>41912</c:v>
                </c:pt>
                <c:pt idx="183">
                  <c:v>41913</c:v>
                </c:pt>
                <c:pt idx="184">
                  <c:v>41914</c:v>
                </c:pt>
                <c:pt idx="185">
                  <c:v>41915</c:v>
                </c:pt>
                <c:pt idx="186">
                  <c:v>41916</c:v>
                </c:pt>
                <c:pt idx="187">
                  <c:v>41917</c:v>
                </c:pt>
                <c:pt idx="188">
                  <c:v>41918</c:v>
                </c:pt>
                <c:pt idx="189">
                  <c:v>41919</c:v>
                </c:pt>
                <c:pt idx="190">
                  <c:v>41920</c:v>
                </c:pt>
                <c:pt idx="191">
                  <c:v>41921</c:v>
                </c:pt>
                <c:pt idx="192">
                  <c:v>41922</c:v>
                </c:pt>
                <c:pt idx="193">
                  <c:v>41923</c:v>
                </c:pt>
                <c:pt idx="194">
                  <c:v>41924</c:v>
                </c:pt>
                <c:pt idx="195">
                  <c:v>41925</c:v>
                </c:pt>
                <c:pt idx="196">
                  <c:v>41926</c:v>
                </c:pt>
                <c:pt idx="197">
                  <c:v>41927</c:v>
                </c:pt>
                <c:pt idx="198">
                  <c:v>41928</c:v>
                </c:pt>
                <c:pt idx="199">
                  <c:v>41929</c:v>
                </c:pt>
                <c:pt idx="200">
                  <c:v>41930</c:v>
                </c:pt>
                <c:pt idx="201">
                  <c:v>41931</c:v>
                </c:pt>
                <c:pt idx="202">
                  <c:v>41932</c:v>
                </c:pt>
                <c:pt idx="203">
                  <c:v>41933</c:v>
                </c:pt>
                <c:pt idx="204">
                  <c:v>41934</c:v>
                </c:pt>
                <c:pt idx="205">
                  <c:v>41935</c:v>
                </c:pt>
                <c:pt idx="206">
                  <c:v>41936</c:v>
                </c:pt>
                <c:pt idx="207">
                  <c:v>41937</c:v>
                </c:pt>
                <c:pt idx="208">
                  <c:v>41938</c:v>
                </c:pt>
                <c:pt idx="209">
                  <c:v>41939</c:v>
                </c:pt>
                <c:pt idx="210">
                  <c:v>41940</c:v>
                </c:pt>
                <c:pt idx="211">
                  <c:v>41941</c:v>
                </c:pt>
                <c:pt idx="212">
                  <c:v>41942</c:v>
                </c:pt>
                <c:pt idx="213">
                  <c:v>41943</c:v>
                </c:pt>
                <c:pt idx="214">
                  <c:v>41944</c:v>
                </c:pt>
                <c:pt idx="215">
                  <c:v>41945</c:v>
                </c:pt>
                <c:pt idx="216">
                  <c:v>41946</c:v>
                </c:pt>
                <c:pt idx="217">
                  <c:v>41947</c:v>
                </c:pt>
                <c:pt idx="218">
                  <c:v>41948</c:v>
                </c:pt>
                <c:pt idx="219">
                  <c:v>41949</c:v>
                </c:pt>
                <c:pt idx="220">
                  <c:v>41950</c:v>
                </c:pt>
                <c:pt idx="221">
                  <c:v>41951</c:v>
                </c:pt>
                <c:pt idx="222">
                  <c:v>41952</c:v>
                </c:pt>
                <c:pt idx="223">
                  <c:v>41953</c:v>
                </c:pt>
                <c:pt idx="224">
                  <c:v>41954</c:v>
                </c:pt>
                <c:pt idx="225">
                  <c:v>41955</c:v>
                </c:pt>
                <c:pt idx="226">
                  <c:v>41956</c:v>
                </c:pt>
                <c:pt idx="227">
                  <c:v>41957</c:v>
                </c:pt>
                <c:pt idx="228">
                  <c:v>41958</c:v>
                </c:pt>
                <c:pt idx="229">
                  <c:v>41959</c:v>
                </c:pt>
                <c:pt idx="230">
                  <c:v>41960</c:v>
                </c:pt>
                <c:pt idx="231">
                  <c:v>41961</c:v>
                </c:pt>
                <c:pt idx="232">
                  <c:v>41962</c:v>
                </c:pt>
                <c:pt idx="233">
                  <c:v>41963</c:v>
                </c:pt>
                <c:pt idx="234">
                  <c:v>41964</c:v>
                </c:pt>
                <c:pt idx="235">
                  <c:v>41965</c:v>
                </c:pt>
                <c:pt idx="236">
                  <c:v>41966</c:v>
                </c:pt>
                <c:pt idx="237">
                  <c:v>41967</c:v>
                </c:pt>
                <c:pt idx="238">
                  <c:v>41968</c:v>
                </c:pt>
                <c:pt idx="239">
                  <c:v>41969</c:v>
                </c:pt>
                <c:pt idx="240">
                  <c:v>41970</c:v>
                </c:pt>
                <c:pt idx="241">
                  <c:v>41971</c:v>
                </c:pt>
                <c:pt idx="242">
                  <c:v>41972</c:v>
                </c:pt>
                <c:pt idx="243">
                  <c:v>41973</c:v>
                </c:pt>
                <c:pt idx="244">
                  <c:v>41974</c:v>
                </c:pt>
                <c:pt idx="245">
                  <c:v>41975</c:v>
                </c:pt>
                <c:pt idx="246">
                  <c:v>41976</c:v>
                </c:pt>
                <c:pt idx="247">
                  <c:v>41977</c:v>
                </c:pt>
                <c:pt idx="248">
                  <c:v>41978</c:v>
                </c:pt>
                <c:pt idx="249">
                  <c:v>41979</c:v>
                </c:pt>
                <c:pt idx="250">
                  <c:v>41980</c:v>
                </c:pt>
                <c:pt idx="251">
                  <c:v>41981</c:v>
                </c:pt>
                <c:pt idx="252">
                  <c:v>41982</c:v>
                </c:pt>
                <c:pt idx="253">
                  <c:v>41983</c:v>
                </c:pt>
                <c:pt idx="254">
                  <c:v>41984</c:v>
                </c:pt>
                <c:pt idx="255">
                  <c:v>41985</c:v>
                </c:pt>
                <c:pt idx="256">
                  <c:v>41986</c:v>
                </c:pt>
                <c:pt idx="257">
                  <c:v>41987</c:v>
                </c:pt>
                <c:pt idx="258">
                  <c:v>41988</c:v>
                </c:pt>
                <c:pt idx="259">
                  <c:v>41989</c:v>
                </c:pt>
                <c:pt idx="260">
                  <c:v>41990</c:v>
                </c:pt>
                <c:pt idx="261">
                  <c:v>41991</c:v>
                </c:pt>
                <c:pt idx="262">
                  <c:v>41992</c:v>
                </c:pt>
                <c:pt idx="263">
                  <c:v>41993</c:v>
                </c:pt>
                <c:pt idx="264">
                  <c:v>41994</c:v>
                </c:pt>
                <c:pt idx="265">
                  <c:v>41995</c:v>
                </c:pt>
                <c:pt idx="266">
                  <c:v>41996</c:v>
                </c:pt>
                <c:pt idx="267">
                  <c:v>41997</c:v>
                </c:pt>
                <c:pt idx="268">
                  <c:v>41998</c:v>
                </c:pt>
                <c:pt idx="269">
                  <c:v>41999</c:v>
                </c:pt>
                <c:pt idx="270">
                  <c:v>42000</c:v>
                </c:pt>
                <c:pt idx="271">
                  <c:v>42001</c:v>
                </c:pt>
                <c:pt idx="272">
                  <c:v>42002</c:v>
                </c:pt>
                <c:pt idx="273">
                  <c:v>42003</c:v>
                </c:pt>
                <c:pt idx="274">
                  <c:v>42004</c:v>
                </c:pt>
                <c:pt idx="275">
                  <c:v>42005</c:v>
                </c:pt>
                <c:pt idx="276">
                  <c:v>42006</c:v>
                </c:pt>
                <c:pt idx="277">
                  <c:v>42007</c:v>
                </c:pt>
                <c:pt idx="278">
                  <c:v>42008</c:v>
                </c:pt>
                <c:pt idx="279">
                  <c:v>42009</c:v>
                </c:pt>
                <c:pt idx="280">
                  <c:v>42010</c:v>
                </c:pt>
                <c:pt idx="281">
                  <c:v>42011</c:v>
                </c:pt>
                <c:pt idx="282">
                  <c:v>42012</c:v>
                </c:pt>
                <c:pt idx="283">
                  <c:v>42013</c:v>
                </c:pt>
                <c:pt idx="284">
                  <c:v>42014</c:v>
                </c:pt>
                <c:pt idx="285">
                  <c:v>42015</c:v>
                </c:pt>
                <c:pt idx="286">
                  <c:v>42016</c:v>
                </c:pt>
                <c:pt idx="287">
                  <c:v>42017</c:v>
                </c:pt>
                <c:pt idx="288">
                  <c:v>42018</c:v>
                </c:pt>
                <c:pt idx="289">
                  <c:v>42019</c:v>
                </c:pt>
                <c:pt idx="290">
                  <c:v>42020</c:v>
                </c:pt>
                <c:pt idx="291">
                  <c:v>42021</c:v>
                </c:pt>
                <c:pt idx="292">
                  <c:v>42022</c:v>
                </c:pt>
                <c:pt idx="293">
                  <c:v>42023</c:v>
                </c:pt>
                <c:pt idx="294">
                  <c:v>42024</c:v>
                </c:pt>
                <c:pt idx="295">
                  <c:v>42025</c:v>
                </c:pt>
                <c:pt idx="296">
                  <c:v>42026</c:v>
                </c:pt>
                <c:pt idx="297">
                  <c:v>42027</c:v>
                </c:pt>
                <c:pt idx="298">
                  <c:v>42028</c:v>
                </c:pt>
                <c:pt idx="299">
                  <c:v>42029</c:v>
                </c:pt>
                <c:pt idx="300">
                  <c:v>42030</c:v>
                </c:pt>
                <c:pt idx="301">
                  <c:v>42031</c:v>
                </c:pt>
                <c:pt idx="302">
                  <c:v>42032</c:v>
                </c:pt>
                <c:pt idx="303">
                  <c:v>42033</c:v>
                </c:pt>
                <c:pt idx="304">
                  <c:v>42034</c:v>
                </c:pt>
                <c:pt idx="305">
                  <c:v>42035</c:v>
                </c:pt>
                <c:pt idx="306">
                  <c:v>42036</c:v>
                </c:pt>
                <c:pt idx="307">
                  <c:v>42037</c:v>
                </c:pt>
                <c:pt idx="308">
                  <c:v>42038</c:v>
                </c:pt>
                <c:pt idx="309">
                  <c:v>42039</c:v>
                </c:pt>
                <c:pt idx="310">
                  <c:v>42040</c:v>
                </c:pt>
                <c:pt idx="311">
                  <c:v>42041</c:v>
                </c:pt>
                <c:pt idx="312">
                  <c:v>42042</c:v>
                </c:pt>
                <c:pt idx="313">
                  <c:v>42043</c:v>
                </c:pt>
                <c:pt idx="314">
                  <c:v>42044</c:v>
                </c:pt>
                <c:pt idx="315">
                  <c:v>42045</c:v>
                </c:pt>
                <c:pt idx="316">
                  <c:v>42046</c:v>
                </c:pt>
                <c:pt idx="317">
                  <c:v>42047</c:v>
                </c:pt>
                <c:pt idx="318">
                  <c:v>42048</c:v>
                </c:pt>
                <c:pt idx="319">
                  <c:v>42049</c:v>
                </c:pt>
                <c:pt idx="320">
                  <c:v>42050</c:v>
                </c:pt>
                <c:pt idx="321">
                  <c:v>42051</c:v>
                </c:pt>
                <c:pt idx="322">
                  <c:v>42052</c:v>
                </c:pt>
                <c:pt idx="323">
                  <c:v>42053</c:v>
                </c:pt>
                <c:pt idx="324">
                  <c:v>42054</c:v>
                </c:pt>
                <c:pt idx="325">
                  <c:v>42055</c:v>
                </c:pt>
                <c:pt idx="326">
                  <c:v>42056</c:v>
                </c:pt>
                <c:pt idx="327">
                  <c:v>42057</c:v>
                </c:pt>
                <c:pt idx="328">
                  <c:v>42058</c:v>
                </c:pt>
                <c:pt idx="329">
                  <c:v>42059</c:v>
                </c:pt>
                <c:pt idx="330">
                  <c:v>42060</c:v>
                </c:pt>
                <c:pt idx="331">
                  <c:v>42061</c:v>
                </c:pt>
                <c:pt idx="332">
                  <c:v>42062</c:v>
                </c:pt>
                <c:pt idx="333">
                  <c:v>42063</c:v>
                </c:pt>
                <c:pt idx="334">
                  <c:v>42064</c:v>
                </c:pt>
                <c:pt idx="335">
                  <c:v>42065</c:v>
                </c:pt>
                <c:pt idx="336">
                  <c:v>42066</c:v>
                </c:pt>
                <c:pt idx="337">
                  <c:v>42067</c:v>
                </c:pt>
                <c:pt idx="338">
                  <c:v>42068</c:v>
                </c:pt>
                <c:pt idx="339">
                  <c:v>42069</c:v>
                </c:pt>
                <c:pt idx="340">
                  <c:v>42070</c:v>
                </c:pt>
                <c:pt idx="341">
                  <c:v>42071</c:v>
                </c:pt>
                <c:pt idx="342">
                  <c:v>42072</c:v>
                </c:pt>
                <c:pt idx="343">
                  <c:v>42073</c:v>
                </c:pt>
                <c:pt idx="344">
                  <c:v>42074</c:v>
                </c:pt>
                <c:pt idx="345">
                  <c:v>42075</c:v>
                </c:pt>
                <c:pt idx="346">
                  <c:v>42076</c:v>
                </c:pt>
                <c:pt idx="347">
                  <c:v>42077</c:v>
                </c:pt>
                <c:pt idx="348">
                  <c:v>42078</c:v>
                </c:pt>
                <c:pt idx="349">
                  <c:v>42079</c:v>
                </c:pt>
                <c:pt idx="350">
                  <c:v>42080</c:v>
                </c:pt>
                <c:pt idx="351">
                  <c:v>42081</c:v>
                </c:pt>
                <c:pt idx="352">
                  <c:v>42082</c:v>
                </c:pt>
                <c:pt idx="353">
                  <c:v>42083</c:v>
                </c:pt>
                <c:pt idx="354">
                  <c:v>42084</c:v>
                </c:pt>
                <c:pt idx="355">
                  <c:v>42085</c:v>
                </c:pt>
                <c:pt idx="356">
                  <c:v>42086</c:v>
                </c:pt>
                <c:pt idx="357">
                  <c:v>42087</c:v>
                </c:pt>
                <c:pt idx="358">
                  <c:v>42088</c:v>
                </c:pt>
                <c:pt idx="359">
                  <c:v>42089</c:v>
                </c:pt>
                <c:pt idx="360">
                  <c:v>42090</c:v>
                </c:pt>
                <c:pt idx="361">
                  <c:v>42091</c:v>
                </c:pt>
                <c:pt idx="362">
                  <c:v>42092</c:v>
                </c:pt>
                <c:pt idx="363">
                  <c:v>42093</c:v>
                </c:pt>
                <c:pt idx="364">
                  <c:v>42094</c:v>
                </c:pt>
              </c:numCache>
            </c:numRef>
          </c:cat>
          <c:val>
            <c:numRef>
              <c:f>'マアナゴ (本宮計算)'!$U$3:$U$367</c:f>
              <c:numCache>
                <c:formatCode>0</c:formatCode>
                <c:ptCount val="365"/>
                <c:pt idx="0">
                  <c:v>135783.43602598715</c:v>
                </c:pt>
                <c:pt idx="1">
                  <c:v>136843.61432822232</c:v>
                </c:pt>
                <c:pt idx="2">
                  <c:v>137934.14783872635</c:v>
                </c:pt>
                <c:pt idx="3">
                  <c:v>138958.93730182922</c:v>
                </c:pt>
                <c:pt idx="4">
                  <c:v>139931.57717972199</c:v>
                </c:pt>
                <c:pt idx="5">
                  <c:v>140963.9351925365</c:v>
                </c:pt>
                <c:pt idx="6">
                  <c:v>141956.39007294207</c:v>
                </c:pt>
                <c:pt idx="7">
                  <c:v>142947.74254528945</c:v>
                </c:pt>
                <c:pt idx="8">
                  <c:v>143993.828067667</c:v>
                </c:pt>
                <c:pt idx="9">
                  <c:v>144934.7874950096</c:v>
                </c:pt>
                <c:pt idx="10">
                  <c:v>145866.69346458733</c:v>
                </c:pt>
                <c:pt idx="11">
                  <c:v>146901.96148590781</c:v>
                </c:pt>
                <c:pt idx="12">
                  <c:v>147861.26630141813</c:v>
                </c:pt>
                <c:pt idx="13">
                  <c:v>148819.7919745064</c:v>
                </c:pt>
                <c:pt idx="14">
                  <c:v>149795.94130429308</c:v>
                </c:pt>
                <c:pt idx="15">
                  <c:v>150702.53753166084</c:v>
                </c:pt>
                <c:pt idx="16">
                  <c:v>151640.74608256263</c:v>
                </c:pt>
                <c:pt idx="17">
                  <c:v>152646.24330080458</c:v>
                </c:pt>
                <c:pt idx="18">
                  <c:v>153571.79745068765</c:v>
                </c:pt>
                <c:pt idx="19">
                  <c:v>154451.06950810156</c:v>
                </c:pt>
                <c:pt idx="20">
                  <c:v>155391.00333492315</c:v>
                </c:pt>
                <c:pt idx="21">
                  <c:v>156301.64003475034</c:v>
                </c:pt>
                <c:pt idx="22">
                  <c:v>157202.6040294611</c:v>
                </c:pt>
                <c:pt idx="23">
                  <c:v>158174.32380135843</c:v>
                </c:pt>
                <c:pt idx="24">
                  <c:v>159013.41858727593</c:v>
                </c:pt>
                <c:pt idx="25">
                  <c:v>159849.95566312617</c:v>
                </c:pt>
                <c:pt idx="26">
                  <c:v>160797.65419410035</c:v>
                </c:pt>
                <c:pt idx="27">
                  <c:v>161668.21600367897</c:v>
                </c:pt>
                <c:pt idx="28">
                  <c:v>162527.09704450131</c:v>
                </c:pt>
                <c:pt idx="29">
                  <c:v>163411.03080280405</c:v>
                </c:pt>
                <c:pt idx="30">
                  <c:v>163969.24279156345</c:v>
                </c:pt>
                <c:pt idx="31">
                  <c:v>164573.56342777316</c:v>
                </c:pt>
                <c:pt idx="32">
                  <c:v>165280.78635754512</c:v>
                </c:pt>
                <c:pt idx="33">
                  <c:v>165858.13839161082</c:v>
                </c:pt>
                <c:pt idx="34">
                  <c:v>166316.53491572154</c:v>
                </c:pt>
                <c:pt idx="35">
                  <c:v>166895.86512193098</c:v>
                </c:pt>
                <c:pt idx="36">
                  <c:v>167423.17190598778</c:v>
                </c:pt>
                <c:pt idx="37">
                  <c:v>167948.21003898315</c:v>
                </c:pt>
                <c:pt idx="38">
                  <c:v>168585.73596810951</c:v>
                </c:pt>
                <c:pt idx="39">
                  <c:v>168988.90258762488</c:v>
                </c:pt>
                <c:pt idx="40">
                  <c:v>169376.09907349496</c:v>
                </c:pt>
                <c:pt idx="41">
                  <c:v>169991.79198678935</c:v>
                </c:pt>
                <c:pt idx="42">
                  <c:v>170455.86658260666</c:v>
                </c:pt>
                <c:pt idx="43">
                  <c:v>170918.46221263069</c:v>
                </c:pt>
                <c:pt idx="44">
                  <c:v>171391.05957482275</c:v>
                </c:pt>
                <c:pt idx="45">
                  <c:v>171726.08623350356</c:v>
                </c:pt>
                <c:pt idx="46">
                  <c:v>172148.00803507489</c:v>
                </c:pt>
                <c:pt idx="47">
                  <c:v>172700.61442585365</c:v>
                </c:pt>
                <c:pt idx="48">
                  <c:v>173096.47106930369</c:v>
                </c:pt>
                <c:pt idx="49">
                  <c:v>173383.25950876198</c:v>
                </c:pt>
                <c:pt idx="50">
                  <c:v>173770.33852014254</c:v>
                </c:pt>
                <c:pt idx="51">
                  <c:v>174124.17107194272</c:v>
                </c:pt>
                <c:pt idx="52">
                  <c:v>174443.52141629011</c:v>
                </c:pt>
                <c:pt idx="53">
                  <c:v>174899.45035142146</c:v>
                </c:pt>
                <c:pt idx="54">
                  <c:v>175036.85856278168</c:v>
                </c:pt>
                <c:pt idx="55">
                  <c:v>175177.68128674317</c:v>
                </c:pt>
                <c:pt idx="56">
                  <c:v>175543.59074720007</c:v>
                </c:pt>
                <c:pt idx="57">
                  <c:v>175748.95602707268</c:v>
                </c:pt>
                <c:pt idx="58">
                  <c:v>175897.59516969498</c:v>
                </c:pt>
                <c:pt idx="59">
                  <c:v>176085.99734539061</c:v>
                </c:pt>
                <c:pt idx="60">
                  <c:v>176087.50745307907</c:v>
                </c:pt>
                <c:pt idx="61">
                  <c:v>176211.55688924875</c:v>
                </c:pt>
                <c:pt idx="62">
                  <c:v>176242.1862448247</c:v>
                </c:pt>
                <c:pt idx="63">
                  <c:v>176085.85801316195</c:v>
                </c:pt>
                <c:pt idx="64">
                  <c:v>175731.23940124805</c:v>
                </c:pt>
                <c:pt idx="65">
                  <c:v>175578.05641091886</c:v>
                </c:pt>
                <c:pt idx="66">
                  <c:v>175369.89676048703</c:v>
                </c:pt>
                <c:pt idx="67">
                  <c:v>175173.61438271921</c:v>
                </c:pt>
                <c:pt idx="68">
                  <c:v>175118.10279614854</c:v>
                </c:pt>
                <c:pt idx="69">
                  <c:v>174682.65017123052</c:v>
                </c:pt>
                <c:pt idx="70">
                  <c:v>174222.73469845121</c:v>
                </c:pt>
                <c:pt idx="71">
                  <c:v>174135.04509777942</c:v>
                </c:pt>
                <c:pt idx="72">
                  <c:v>173773.32356631919</c:v>
                </c:pt>
                <c:pt idx="73">
                  <c:v>173380.54696299028</c:v>
                </c:pt>
                <c:pt idx="74">
                  <c:v>172933.37432682019</c:v>
                </c:pt>
                <c:pt idx="75">
                  <c:v>172304.16263362794</c:v>
                </c:pt>
                <c:pt idx="76">
                  <c:v>171860.46875513261</c:v>
                </c:pt>
                <c:pt idx="77">
                  <c:v>171592.82869734877</c:v>
                </c:pt>
                <c:pt idx="78">
                  <c:v>171013.59526743309</c:v>
                </c:pt>
                <c:pt idx="79">
                  <c:v>170180.95896756984</c:v>
                </c:pt>
                <c:pt idx="80">
                  <c:v>169575.26267690852</c:v>
                </c:pt>
                <c:pt idx="81">
                  <c:v>168971.08629706709</c:v>
                </c:pt>
                <c:pt idx="82">
                  <c:v>168451.21325992158</c:v>
                </c:pt>
                <c:pt idx="83">
                  <c:v>168174.64835780943</c:v>
                </c:pt>
                <c:pt idx="84">
                  <c:v>167386.73796548098</c:v>
                </c:pt>
                <c:pt idx="85">
                  <c:v>166609.2797898525</c:v>
                </c:pt>
                <c:pt idx="86">
                  <c:v>166327.24322760812</c:v>
                </c:pt>
                <c:pt idx="87">
                  <c:v>165821.25456952237</c:v>
                </c:pt>
                <c:pt idx="88">
                  <c:v>165311.52284742342</c:v>
                </c:pt>
                <c:pt idx="89">
                  <c:v>164749.42168386126</c:v>
                </c:pt>
                <c:pt idx="90">
                  <c:v>163648.19885645167</c:v>
                </c:pt>
                <c:pt idx="91">
                  <c:v>162759.56361105392</c:v>
                </c:pt>
                <c:pt idx="92">
                  <c:v>162528.90111384637</c:v>
                </c:pt>
                <c:pt idx="93">
                  <c:v>162042.54968351996</c:v>
                </c:pt>
                <c:pt idx="94">
                  <c:v>161356.85082012435</c:v>
                </c:pt>
                <c:pt idx="95">
                  <c:v>160932.5772704074</c:v>
                </c:pt>
                <c:pt idx="96">
                  <c:v>160410.68152657896</c:v>
                </c:pt>
                <c:pt idx="97">
                  <c:v>159887.39645181122</c:v>
                </c:pt>
                <c:pt idx="98">
                  <c:v>159546.98509736016</c:v>
                </c:pt>
                <c:pt idx="99">
                  <c:v>158969.97277015541</c:v>
                </c:pt>
                <c:pt idx="100">
                  <c:v>158422.58197017442</c:v>
                </c:pt>
                <c:pt idx="101">
                  <c:v>158176.09977239551</c:v>
                </c:pt>
                <c:pt idx="102">
                  <c:v>157737.5837634505</c:v>
                </c:pt>
                <c:pt idx="103">
                  <c:v>157183.46436876795</c:v>
                </c:pt>
                <c:pt idx="104">
                  <c:v>156928.06210443852</c:v>
                </c:pt>
                <c:pt idx="105">
                  <c:v>156410.58115011334</c:v>
                </c:pt>
                <c:pt idx="106">
                  <c:v>156034.52599041595</c:v>
                </c:pt>
                <c:pt idx="107">
                  <c:v>156015.83523887291</c:v>
                </c:pt>
                <c:pt idx="108">
                  <c:v>155619.11012303448</c:v>
                </c:pt>
                <c:pt idx="109">
                  <c:v>155096.66920627758</c:v>
                </c:pt>
                <c:pt idx="110">
                  <c:v>154940.47581997435</c:v>
                </c:pt>
                <c:pt idx="111">
                  <c:v>154533.28946433825</c:v>
                </c:pt>
                <c:pt idx="112">
                  <c:v>154128.51911007598</c:v>
                </c:pt>
                <c:pt idx="113">
                  <c:v>154113.194932674</c:v>
                </c:pt>
                <c:pt idx="114">
                  <c:v>153605.79267395168</c:v>
                </c:pt>
                <c:pt idx="115">
                  <c:v>153106.65626433407</c:v>
                </c:pt>
                <c:pt idx="116">
                  <c:v>153099.27534713189</c:v>
                </c:pt>
                <c:pt idx="117">
                  <c:v>152702.50178065986</c:v>
                </c:pt>
                <c:pt idx="118">
                  <c:v>152308.41838492529</c:v>
                </c:pt>
                <c:pt idx="119">
                  <c:v>152199.86042607779</c:v>
                </c:pt>
                <c:pt idx="120">
                  <c:v>151694.2845535854</c:v>
                </c:pt>
                <c:pt idx="121">
                  <c:v>151307.21988186598</c:v>
                </c:pt>
                <c:pt idx="122">
                  <c:v>151013.56836762675</c:v>
                </c:pt>
                <c:pt idx="123">
                  <c:v>150468.92978547572</c:v>
                </c:pt>
                <c:pt idx="124">
                  <c:v>149827.18140981992</c:v>
                </c:pt>
                <c:pt idx="125">
                  <c:v>149439.7576314373</c:v>
                </c:pt>
                <c:pt idx="126">
                  <c:v>148809.35661890541</c:v>
                </c:pt>
                <c:pt idx="127">
                  <c:v>148197.74643289702</c:v>
                </c:pt>
                <c:pt idx="128">
                  <c:v>147882.97128542484</c:v>
                </c:pt>
                <c:pt idx="129">
                  <c:v>147250.07785123232</c:v>
                </c:pt>
                <c:pt idx="130">
                  <c:v>146585.01989014022</c:v>
                </c:pt>
                <c:pt idx="131">
                  <c:v>146268.62034036207</c:v>
                </c:pt>
                <c:pt idx="132">
                  <c:v>145608.39973600619</c:v>
                </c:pt>
                <c:pt idx="133">
                  <c:v>144931.82827749522</c:v>
                </c:pt>
                <c:pt idx="134">
                  <c:v>144370.75577471257</c:v>
                </c:pt>
                <c:pt idx="135">
                  <c:v>143614.72108166394</c:v>
                </c:pt>
                <c:pt idx="136">
                  <c:v>142941.31745475184</c:v>
                </c:pt>
                <c:pt idx="137">
                  <c:v>142547.25986396897</c:v>
                </c:pt>
                <c:pt idx="138">
                  <c:v>141786.9960449978</c:v>
                </c:pt>
                <c:pt idx="139">
                  <c:v>140957.26717200156</c:v>
                </c:pt>
                <c:pt idx="140">
                  <c:v>140323.76443493701</c:v>
                </c:pt>
                <c:pt idx="141">
                  <c:v>139592.07298688384</c:v>
                </c:pt>
                <c:pt idx="142">
                  <c:v>138841.92614972076</c:v>
                </c:pt>
                <c:pt idx="143">
                  <c:v>138348.10873278684</c:v>
                </c:pt>
                <c:pt idx="144">
                  <c:v>137502.03299281935</c:v>
                </c:pt>
                <c:pt idx="145">
                  <c:v>136670.50084486432</c:v>
                </c:pt>
                <c:pt idx="146">
                  <c:v>136115.47604188175</c:v>
                </c:pt>
                <c:pt idx="147">
                  <c:v>135367.60900408751</c:v>
                </c:pt>
                <c:pt idx="148">
                  <c:v>134594.32434478827</c:v>
                </c:pt>
                <c:pt idx="149">
                  <c:v>133996.69105658389</c:v>
                </c:pt>
                <c:pt idx="150">
                  <c:v>133158.14270629943</c:v>
                </c:pt>
                <c:pt idx="151">
                  <c:v>132423.49746356468</c:v>
                </c:pt>
                <c:pt idx="152">
                  <c:v>131909.869274264</c:v>
                </c:pt>
                <c:pt idx="153">
                  <c:v>119360.69696494585</c:v>
                </c:pt>
                <c:pt idx="154">
                  <c:v>111508.74377532212</c:v>
                </c:pt>
                <c:pt idx="155">
                  <c:v>107493.34549485998</c:v>
                </c:pt>
                <c:pt idx="156">
                  <c:v>104486.00183949379</c:v>
                </c:pt>
                <c:pt idx="157">
                  <c:v>102243.84318046422</c:v>
                </c:pt>
                <c:pt idx="158">
                  <c:v>100527.09402543925</c:v>
                </c:pt>
                <c:pt idx="159">
                  <c:v>98804.621488371224</c:v>
                </c:pt>
                <c:pt idx="160">
                  <c:v>97081.600041004334</c:v>
                </c:pt>
                <c:pt idx="161">
                  <c:v>95856.703011269186</c:v>
                </c:pt>
                <c:pt idx="162">
                  <c:v>94538.196190362767</c:v>
                </c:pt>
                <c:pt idx="163">
                  <c:v>93340.387764292725</c:v>
                </c:pt>
                <c:pt idx="164">
                  <c:v>92323.616726278909</c:v>
                </c:pt>
                <c:pt idx="165">
                  <c:v>91288.693777243141</c:v>
                </c:pt>
                <c:pt idx="166">
                  <c:v>90370.328997385019</c:v>
                </c:pt>
                <c:pt idx="167">
                  <c:v>89597.062355875125</c:v>
                </c:pt>
                <c:pt idx="168">
                  <c:v>88752.816454417902</c:v>
                </c:pt>
                <c:pt idx="169">
                  <c:v>87879.259637080337</c:v>
                </c:pt>
                <c:pt idx="170">
                  <c:v>87146.858740288895</c:v>
                </c:pt>
                <c:pt idx="171">
                  <c:v>86401.362702214494</c:v>
                </c:pt>
                <c:pt idx="172">
                  <c:v>85671.195137649658</c:v>
                </c:pt>
                <c:pt idx="173">
                  <c:v>85036.029028343124</c:v>
                </c:pt>
                <c:pt idx="174">
                  <c:v>84275.808621676348</c:v>
                </c:pt>
                <c:pt idx="175">
                  <c:v>83540.305222577503</c:v>
                </c:pt>
                <c:pt idx="176">
                  <c:v>82956.281101485365</c:v>
                </c:pt>
                <c:pt idx="177">
                  <c:v>82296.365669450024</c:v>
                </c:pt>
                <c:pt idx="178">
                  <c:v>81650.512917332497</c:v>
                </c:pt>
                <c:pt idx="179">
                  <c:v>81057.243050440855</c:v>
                </c:pt>
                <c:pt idx="180">
                  <c:v>80368.184742104102</c:v>
                </c:pt>
                <c:pt idx="181">
                  <c:v>79745.368906857286</c:v>
                </c:pt>
                <c:pt idx="182">
                  <c:v>79218.808304850638</c:v>
                </c:pt>
                <c:pt idx="183">
                  <c:v>78497.300145903981</c:v>
                </c:pt>
                <c:pt idx="184">
                  <c:v>77593.55640885164</c:v>
                </c:pt>
                <c:pt idx="185">
                  <c:v>76896.493501920573</c:v>
                </c:pt>
                <c:pt idx="186">
                  <c:v>76085.524199613879</c:v>
                </c:pt>
                <c:pt idx="187">
                  <c:v>75291.91819473145</c:v>
                </c:pt>
                <c:pt idx="188">
                  <c:v>74680.313100946325</c:v>
                </c:pt>
                <c:pt idx="189">
                  <c:v>73863.16455836696</c:v>
                </c:pt>
                <c:pt idx="190">
                  <c:v>73050.798764534411</c:v>
                </c:pt>
                <c:pt idx="191">
                  <c:v>72470.571102260103</c:v>
                </c:pt>
                <c:pt idx="192">
                  <c:v>71745.285989214462</c:v>
                </c:pt>
                <c:pt idx="193">
                  <c:v>71032.779251343643</c:v>
                </c:pt>
                <c:pt idx="194">
                  <c:v>70427.669316354382</c:v>
                </c:pt>
                <c:pt idx="195">
                  <c:v>69697.290845536467</c:v>
                </c:pt>
                <c:pt idx="196">
                  <c:v>69025.798100138549</c:v>
                </c:pt>
                <c:pt idx="197">
                  <c:v>68507.541768459632</c:v>
                </c:pt>
                <c:pt idx="198">
                  <c:v>67866.473472375525</c:v>
                </c:pt>
                <c:pt idx="199">
                  <c:v>67198.041487385635</c:v>
                </c:pt>
                <c:pt idx="200">
                  <c:v>66665.399938516814</c:v>
                </c:pt>
                <c:pt idx="201">
                  <c:v>66073.042998918085</c:v>
                </c:pt>
                <c:pt idx="202">
                  <c:v>65493.540812232583</c:v>
                </c:pt>
                <c:pt idx="203">
                  <c:v>65039.832074737293</c:v>
                </c:pt>
                <c:pt idx="204">
                  <c:v>64432.357785673325</c:v>
                </c:pt>
                <c:pt idx="205">
                  <c:v>63840.848033569207</c:v>
                </c:pt>
                <c:pt idx="206">
                  <c:v>63407.584688622177</c:v>
                </c:pt>
                <c:pt idx="207">
                  <c:v>62887.38302159647</c:v>
                </c:pt>
                <c:pt idx="208">
                  <c:v>62376.393422856476</c:v>
                </c:pt>
                <c:pt idx="209">
                  <c:v>61933.779929112789</c:v>
                </c:pt>
                <c:pt idx="210">
                  <c:v>61411.012862031734</c:v>
                </c:pt>
                <c:pt idx="211">
                  <c:v>60932.846730088335</c:v>
                </c:pt>
                <c:pt idx="212">
                  <c:v>60533.341913359887</c:v>
                </c:pt>
                <c:pt idx="213">
                  <c:v>60024.487777393719</c:v>
                </c:pt>
                <c:pt idx="214">
                  <c:v>59516.153343634171</c:v>
                </c:pt>
                <c:pt idx="215">
                  <c:v>59088.794593440041</c:v>
                </c:pt>
                <c:pt idx="216">
                  <c:v>58661.495121931512</c:v>
                </c:pt>
                <c:pt idx="217">
                  <c:v>58244.614370434443</c:v>
                </c:pt>
                <c:pt idx="218">
                  <c:v>57873.487848931036</c:v>
                </c:pt>
                <c:pt idx="219">
                  <c:v>57403.075987870077</c:v>
                </c:pt>
                <c:pt idx="220">
                  <c:v>56924.115883567676</c:v>
                </c:pt>
                <c:pt idx="221">
                  <c:v>56548.969758193452</c:v>
                </c:pt>
                <c:pt idx="222">
                  <c:v>56109.142662832062</c:v>
                </c:pt>
                <c:pt idx="223">
                  <c:v>55667.163202481475</c:v>
                </c:pt>
                <c:pt idx="224">
                  <c:v>55224.999994405815</c:v>
                </c:pt>
                <c:pt idx="225">
                  <c:v>54728.444271601351</c:v>
                </c:pt>
                <c:pt idx="226">
                  <c:v>54289.450916484355</c:v>
                </c:pt>
                <c:pt idx="227">
                  <c:v>53875.826970873844</c:v>
                </c:pt>
                <c:pt idx="228">
                  <c:v>53465.814943273428</c:v>
                </c:pt>
                <c:pt idx="229">
                  <c:v>52980.283355093525</c:v>
                </c:pt>
                <c:pt idx="230">
                  <c:v>52312.110811280727</c:v>
                </c:pt>
                <c:pt idx="231">
                  <c:v>51589.124975652398</c:v>
                </c:pt>
                <c:pt idx="232">
                  <c:v>51045.238702947107</c:v>
                </c:pt>
                <c:pt idx="233">
                  <c:v>50642.42810636291</c:v>
                </c:pt>
                <c:pt idx="234">
                  <c:v>50195.659060575774</c:v>
                </c:pt>
                <c:pt idx="235">
                  <c:v>49730.953585302086</c:v>
                </c:pt>
                <c:pt idx="236">
                  <c:v>49338.930850216253</c:v>
                </c:pt>
                <c:pt idx="237">
                  <c:v>48910.153263617569</c:v>
                </c:pt>
                <c:pt idx="238">
                  <c:v>48486.23501065225</c:v>
                </c:pt>
                <c:pt idx="239">
                  <c:v>48073.555014603349</c:v>
                </c:pt>
                <c:pt idx="240">
                  <c:v>47626.311256095265</c:v>
                </c:pt>
                <c:pt idx="241">
                  <c:v>47222.161452483488</c:v>
                </c:pt>
                <c:pt idx="242">
                  <c:v>46862.223149290388</c:v>
                </c:pt>
                <c:pt idx="243">
                  <c:v>46469.718785502264</c:v>
                </c:pt>
                <c:pt idx="244">
                  <c:v>46152.946766858484</c:v>
                </c:pt>
                <c:pt idx="245">
                  <c:v>45878.63984038643</c:v>
                </c:pt>
                <c:pt idx="246">
                  <c:v>45622.163772345222</c:v>
                </c:pt>
                <c:pt idx="247">
                  <c:v>45369.572663332736</c:v>
                </c:pt>
                <c:pt idx="248">
                  <c:v>45137.021178338786</c:v>
                </c:pt>
                <c:pt idx="249">
                  <c:v>44861.531955042155</c:v>
                </c:pt>
                <c:pt idx="250">
                  <c:v>44589.386458235407</c:v>
                </c:pt>
                <c:pt idx="251">
                  <c:v>44366.538825836869</c:v>
                </c:pt>
                <c:pt idx="252">
                  <c:v>44130.413390603062</c:v>
                </c:pt>
                <c:pt idx="253">
                  <c:v>43897.782913883937</c:v>
                </c:pt>
                <c:pt idx="254">
                  <c:v>43654.626886918639</c:v>
                </c:pt>
                <c:pt idx="255">
                  <c:v>43399.621401863733</c:v>
                </c:pt>
                <c:pt idx="256">
                  <c:v>43176.39808280237</c:v>
                </c:pt>
                <c:pt idx="257">
                  <c:v>42970.521417959375</c:v>
                </c:pt>
                <c:pt idx="258">
                  <c:v>42750.264030408631</c:v>
                </c:pt>
                <c:pt idx="259">
                  <c:v>42502.866474219423</c:v>
                </c:pt>
                <c:pt idx="260">
                  <c:v>42272.337848689276</c:v>
                </c:pt>
                <c:pt idx="261">
                  <c:v>42057.207378591411</c:v>
                </c:pt>
                <c:pt idx="262">
                  <c:v>41842.67713631795</c:v>
                </c:pt>
                <c:pt idx="263">
                  <c:v>41643.030062826008</c:v>
                </c:pt>
                <c:pt idx="264">
                  <c:v>41399.554990204029</c:v>
                </c:pt>
                <c:pt idx="265">
                  <c:v>41157.677639316324</c:v>
                </c:pt>
                <c:pt idx="266">
                  <c:v>40959.84134762649</c:v>
                </c:pt>
                <c:pt idx="267">
                  <c:v>40747.448875303897</c:v>
                </c:pt>
                <c:pt idx="268">
                  <c:v>40535.413236078057</c:v>
                </c:pt>
                <c:pt idx="269">
                  <c:v>40311.479684355923</c:v>
                </c:pt>
                <c:pt idx="270">
                  <c:v>40075.377279742926</c:v>
                </c:pt>
                <c:pt idx="271">
                  <c:v>39868.53707540012</c:v>
                </c:pt>
                <c:pt idx="272">
                  <c:v>39676.030893005329</c:v>
                </c:pt>
                <c:pt idx="273">
                  <c:v>39469.784957001379</c:v>
                </c:pt>
                <c:pt idx="274">
                  <c:v>39237.441250272896</c:v>
                </c:pt>
                <c:pt idx="275">
                  <c:v>39024.182991879563</c:v>
                </c:pt>
                <c:pt idx="276">
                  <c:v>38970.509476433144</c:v>
                </c:pt>
                <c:pt idx="277">
                  <c:v>38917.077952381893</c:v>
                </c:pt>
                <c:pt idx="278">
                  <c:v>38869.236837390497</c:v>
                </c:pt>
                <c:pt idx="279">
                  <c:v>38807.346344360383</c:v>
                </c:pt>
                <c:pt idx="280">
                  <c:v>38745.869069558212</c:v>
                </c:pt>
                <c:pt idx="281">
                  <c:v>38699.042016015213</c:v>
                </c:pt>
                <c:pt idx="282">
                  <c:v>38646.752043403634</c:v>
                </c:pt>
                <c:pt idx="283">
                  <c:v>38594.373681078847</c:v>
                </c:pt>
                <c:pt idx="284">
                  <c:v>38538.424747880686</c:v>
                </c:pt>
                <c:pt idx="285">
                  <c:v>38477.134428033183</c:v>
                </c:pt>
                <c:pt idx="286">
                  <c:v>38424.301445621044</c:v>
                </c:pt>
                <c:pt idx="287">
                  <c:v>38377.265864962472</c:v>
                </c:pt>
                <c:pt idx="288">
                  <c:v>38322.955832836087</c:v>
                </c:pt>
                <c:pt idx="289">
                  <c:v>38260.337631475013</c:v>
                </c:pt>
                <c:pt idx="290">
                  <c:v>38202.743992018011</c:v>
                </c:pt>
                <c:pt idx="291">
                  <c:v>38148.247358931985</c:v>
                </c:pt>
                <c:pt idx="292">
                  <c:v>38092.721409540703</c:v>
                </c:pt>
                <c:pt idx="293">
                  <c:v>38042.715509073045</c:v>
                </c:pt>
                <c:pt idx="294">
                  <c:v>37977.978561548589</c:v>
                </c:pt>
                <c:pt idx="295">
                  <c:v>37913.766710087453</c:v>
                </c:pt>
                <c:pt idx="296">
                  <c:v>37862.495755917902</c:v>
                </c:pt>
                <c:pt idx="297">
                  <c:v>37806.01936859639</c:v>
                </c:pt>
                <c:pt idx="298">
                  <c:v>37748.325585359744</c:v>
                </c:pt>
                <c:pt idx="299">
                  <c:v>37686.991640463064</c:v>
                </c:pt>
                <c:pt idx="300">
                  <c:v>37619.771879593456</c:v>
                </c:pt>
                <c:pt idx="301">
                  <c:v>37561.220652008866</c:v>
                </c:pt>
                <c:pt idx="302">
                  <c:v>37506.941031879069</c:v>
                </c:pt>
                <c:pt idx="303">
                  <c:v>37447.193184648095</c:v>
                </c:pt>
                <c:pt idx="304">
                  <c:v>37377.447635609919</c:v>
                </c:pt>
                <c:pt idx="305">
                  <c:v>37312.992023623374</c:v>
                </c:pt>
                <c:pt idx="306">
                  <c:v>37270.502270045217</c:v>
                </c:pt>
                <c:pt idx="307">
                  <c:v>37227.306486930938</c:v>
                </c:pt>
                <c:pt idx="308">
                  <c:v>37184.849091340933</c:v>
                </c:pt>
                <c:pt idx="309">
                  <c:v>37139.624465201778</c:v>
                </c:pt>
                <c:pt idx="310">
                  <c:v>37093.276059123506</c:v>
                </c:pt>
                <c:pt idx="311">
                  <c:v>37049.543041045188</c:v>
                </c:pt>
                <c:pt idx="312">
                  <c:v>36999.696661738264</c:v>
                </c:pt>
                <c:pt idx="313">
                  <c:v>36948.710989936953</c:v>
                </c:pt>
                <c:pt idx="314">
                  <c:v>36898.25867658465</c:v>
                </c:pt>
                <c:pt idx="315">
                  <c:v>36843.519413039328</c:v>
                </c:pt>
                <c:pt idx="316">
                  <c:v>36785.729711629792</c:v>
                </c:pt>
                <c:pt idx="317">
                  <c:v>36730.359216596029</c:v>
                </c:pt>
                <c:pt idx="318">
                  <c:v>36668.123128082269</c:v>
                </c:pt>
                <c:pt idx="319">
                  <c:v>36603.005536125864</c:v>
                </c:pt>
                <c:pt idx="320">
                  <c:v>36533.077497989463</c:v>
                </c:pt>
                <c:pt idx="321">
                  <c:v>36458.096237910569</c:v>
                </c:pt>
                <c:pt idx="322">
                  <c:v>36376.107807670305</c:v>
                </c:pt>
                <c:pt idx="323">
                  <c:v>36295.847384479624</c:v>
                </c:pt>
                <c:pt idx="324">
                  <c:v>36205.741132034069</c:v>
                </c:pt>
                <c:pt idx="325">
                  <c:v>36113.470639810235</c:v>
                </c:pt>
                <c:pt idx="326">
                  <c:v>36035.637042437069</c:v>
                </c:pt>
                <c:pt idx="327">
                  <c:v>35955.917003822215</c:v>
                </c:pt>
                <c:pt idx="328">
                  <c:v>35886.441417145958</c:v>
                </c:pt>
                <c:pt idx="329">
                  <c:v>35826.638148042133</c:v>
                </c:pt>
                <c:pt idx="330">
                  <c:v>35759.157948424916</c:v>
                </c:pt>
                <c:pt idx="331">
                  <c:v>35689.845609786869</c:v>
                </c:pt>
                <c:pt idx="332">
                  <c:v>35635.763225844174</c:v>
                </c:pt>
                <c:pt idx="333">
                  <c:v>35575.74641889552</c:v>
                </c:pt>
                <c:pt idx="334">
                  <c:v>35517.233843108501</c:v>
                </c:pt>
                <c:pt idx="335">
                  <c:v>35467.29412906168</c:v>
                </c:pt>
                <c:pt idx="336">
                  <c:v>35317.959853136541</c:v>
                </c:pt>
                <c:pt idx="337">
                  <c:v>35175.93491568193</c:v>
                </c:pt>
                <c:pt idx="338">
                  <c:v>35072.798040345442</c:v>
                </c:pt>
                <c:pt idx="339">
                  <c:v>34937.18931766403</c:v>
                </c:pt>
                <c:pt idx="340">
                  <c:v>34805.906442944135</c:v>
                </c:pt>
                <c:pt idx="341">
                  <c:v>34714.080794238653</c:v>
                </c:pt>
                <c:pt idx="342">
                  <c:v>34603.070278285777</c:v>
                </c:pt>
                <c:pt idx="343">
                  <c:v>34495.428360565973</c:v>
                </c:pt>
                <c:pt idx="344">
                  <c:v>34409.867034883864</c:v>
                </c:pt>
                <c:pt idx="345">
                  <c:v>34302.551923312589</c:v>
                </c:pt>
                <c:pt idx="346">
                  <c:v>34209.970711932932</c:v>
                </c:pt>
                <c:pt idx="347">
                  <c:v>34145.60327546559</c:v>
                </c:pt>
                <c:pt idx="348">
                  <c:v>34058.309413648996</c:v>
                </c:pt>
                <c:pt idx="349">
                  <c:v>33963.646759272953</c:v>
                </c:pt>
                <c:pt idx="350">
                  <c:v>33894.660139160893</c:v>
                </c:pt>
                <c:pt idx="351">
                  <c:v>33813.561823755525</c:v>
                </c:pt>
                <c:pt idx="352">
                  <c:v>33737.008868122961</c:v>
                </c:pt>
                <c:pt idx="353">
                  <c:v>33685.945829947836</c:v>
                </c:pt>
                <c:pt idx="354">
                  <c:v>33604.130537726385</c:v>
                </c:pt>
                <c:pt idx="355">
                  <c:v>33523.440706433124</c:v>
                </c:pt>
                <c:pt idx="356">
                  <c:v>33472.110354562072</c:v>
                </c:pt>
                <c:pt idx="357">
                  <c:v>33401.191277810249</c:v>
                </c:pt>
                <c:pt idx="358">
                  <c:v>33333.559638681007</c:v>
                </c:pt>
                <c:pt idx="359">
                  <c:v>33279.721616722352</c:v>
                </c:pt>
                <c:pt idx="360">
                  <c:v>33204.763674217473</c:v>
                </c:pt>
                <c:pt idx="361">
                  <c:v>33139.192292254585</c:v>
                </c:pt>
                <c:pt idx="362">
                  <c:v>33096.90634490591</c:v>
                </c:pt>
                <c:pt idx="363">
                  <c:v>33034.597457204887</c:v>
                </c:pt>
                <c:pt idx="364">
                  <c:v>32961.555499310038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B9-472B-872B-45972FD7CB73}"/>
            </c:ext>
          </c:extLst>
        </c:ser>
        <c:ser>
          <c:idx val="0"/>
          <c:order val="1"/>
          <c:tx>
            <c:strRef>
              <c:f>'マアナゴ (本宮計算)'!$T$1</c:f>
              <c:strCache>
                <c:ptCount val="1"/>
                <c:pt idx="0">
                  <c:v>1年級群金額</c:v>
                </c:pt>
              </c:strCache>
            </c:strRef>
          </c:tx>
          <c:spPr>
            <a:solidFill>
              <a:srgbClr val="0066FF"/>
            </a:solidFill>
            <a:ln>
              <a:noFill/>
            </a:ln>
            <a:effectLst/>
          </c:spPr>
          <c:cat>
            <c:numRef>
              <c:f>'マアナゴ (本宮計算)'!$A$3:$A$367</c:f>
              <c:numCache>
                <c:formatCode>m/d/yyyy</c:formatCode>
                <c:ptCount val="365"/>
                <c:pt idx="0">
                  <c:v>41730</c:v>
                </c:pt>
                <c:pt idx="1">
                  <c:v>41731</c:v>
                </c:pt>
                <c:pt idx="2">
                  <c:v>41732</c:v>
                </c:pt>
                <c:pt idx="3">
                  <c:v>41733</c:v>
                </c:pt>
                <c:pt idx="4">
                  <c:v>41734</c:v>
                </c:pt>
                <c:pt idx="5">
                  <c:v>41735</c:v>
                </c:pt>
                <c:pt idx="6">
                  <c:v>41736</c:v>
                </c:pt>
                <c:pt idx="7">
                  <c:v>41737</c:v>
                </c:pt>
                <c:pt idx="8">
                  <c:v>41738</c:v>
                </c:pt>
                <c:pt idx="9">
                  <c:v>41739</c:v>
                </c:pt>
                <c:pt idx="10">
                  <c:v>41740</c:v>
                </c:pt>
                <c:pt idx="11">
                  <c:v>41741</c:v>
                </c:pt>
                <c:pt idx="12">
                  <c:v>41742</c:v>
                </c:pt>
                <c:pt idx="13">
                  <c:v>41743</c:v>
                </c:pt>
                <c:pt idx="14">
                  <c:v>41744</c:v>
                </c:pt>
                <c:pt idx="15">
                  <c:v>41745</c:v>
                </c:pt>
                <c:pt idx="16">
                  <c:v>41746</c:v>
                </c:pt>
                <c:pt idx="17">
                  <c:v>41747</c:v>
                </c:pt>
                <c:pt idx="18">
                  <c:v>41748</c:v>
                </c:pt>
                <c:pt idx="19">
                  <c:v>41749</c:v>
                </c:pt>
                <c:pt idx="20">
                  <c:v>41750</c:v>
                </c:pt>
                <c:pt idx="21">
                  <c:v>41751</c:v>
                </c:pt>
                <c:pt idx="22">
                  <c:v>41752</c:v>
                </c:pt>
                <c:pt idx="23">
                  <c:v>41753</c:v>
                </c:pt>
                <c:pt idx="24">
                  <c:v>41754</c:v>
                </c:pt>
                <c:pt idx="25">
                  <c:v>41755</c:v>
                </c:pt>
                <c:pt idx="26">
                  <c:v>41756</c:v>
                </c:pt>
                <c:pt idx="27">
                  <c:v>41757</c:v>
                </c:pt>
                <c:pt idx="28">
                  <c:v>41758</c:v>
                </c:pt>
                <c:pt idx="29">
                  <c:v>41759</c:v>
                </c:pt>
                <c:pt idx="30">
                  <c:v>41760</c:v>
                </c:pt>
                <c:pt idx="31">
                  <c:v>41761</c:v>
                </c:pt>
                <c:pt idx="32">
                  <c:v>41762</c:v>
                </c:pt>
                <c:pt idx="33">
                  <c:v>41763</c:v>
                </c:pt>
                <c:pt idx="34">
                  <c:v>41764</c:v>
                </c:pt>
                <c:pt idx="35">
                  <c:v>41765</c:v>
                </c:pt>
                <c:pt idx="36">
                  <c:v>41766</c:v>
                </c:pt>
                <c:pt idx="37">
                  <c:v>41767</c:v>
                </c:pt>
                <c:pt idx="38">
                  <c:v>41768</c:v>
                </c:pt>
                <c:pt idx="39">
                  <c:v>41769</c:v>
                </c:pt>
                <c:pt idx="40">
                  <c:v>41770</c:v>
                </c:pt>
                <c:pt idx="41">
                  <c:v>41771</c:v>
                </c:pt>
                <c:pt idx="42">
                  <c:v>41772</c:v>
                </c:pt>
                <c:pt idx="43">
                  <c:v>41773</c:v>
                </c:pt>
                <c:pt idx="44">
                  <c:v>41774</c:v>
                </c:pt>
                <c:pt idx="45">
                  <c:v>41775</c:v>
                </c:pt>
                <c:pt idx="46">
                  <c:v>41776</c:v>
                </c:pt>
                <c:pt idx="47">
                  <c:v>41777</c:v>
                </c:pt>
                <c:pt idx="48">
                  <c:v>41778</c:v>
                </c:pt>
                <c:pt idx="49">
                  <c:v>41779</c:v>
                </c:pt>
                <c:pt idx="50">
                  <c:v>41780</c:v>
                </c:pt>
                <c:pt idx="51">
                  <c:v>41781</c:v>
                </c:pt>
                <c:pt idx="52">
                  <c:v>41782</c:v>
                </c:pt>
                <c:pt idx="53">
                  <c:v>41783</c:v>
                </c:pt>
                <c:pt idx="54">
                  <c:v>41784</c:v>
                </c:pt>
                <c:pt idx="55">
                  <c:v>41785</c:v>
                </c:pt>
                <c:pt idx="56">
                  <c:v>41786</c:v>
                </c:pt>
                <c:pt idx="57">
                  <c:v>41787</c:v>
                </c:pt>
                <c:pt idx="58">
                  <c:v>41788</c:v>
                </c:pt>
                <c:pt idx="59">
                  <c:v>41789</c:v>
                </c:pt>
                <c:pt idx="60">
                  <c:v>41790</c:v>
                </c:pt>
                <c:pt idx="61">
                  <c:v>41791</c:v>
                </c:pt>
                <c:pt idx="62">
                  <c:v>41792</c:v>
                </c:pt>
                <c:pt idx="63">
                  <c:v>41793</c:v>
                </c:pt>
                <c:pt idx="64">
                  <c:v>41794</c:v>
                </c:pt>
                <c:pt idx="65">
                  <c:v>41795</c:v>
                </c:pt>
                <c:pt idx="66">
                  <c:v>41796</c:v>
                </c:pt>
                <c:pt idx="67">
                  <c:v>41797</c:v>
                </c:pt>
                <c:pt idx="68">
                  <c:v>41798</c:v>
                </c:pt>
                <c:pt idx="69">
                  <c:v>41799</c:v>
                </c:pt>
                <c:pt idx="70">
                  <c:v>41800</c:v>
                </c:pt>
                <c:pt idx="71">
                  <c:v>41801</c:v>
                </c:pt>
                <c:pt idx="72">
                  <c:v>41802</c:v>
                </c:pt>
                <c:pt idx="73">
                  <c:v>41803</c:v>
                </c:pt>
                <c:pt idx="74">
                  <c:v>41804</c:v>
                </c:pt>
                <c:pt idx="75">
                  <c:v>41805</c:v>
                </c:pt>
                <c:pt idx="76">
                  <c:v>41806</c:v>
                </c:pt>
                <c:pt idx="77">
                  <c:v>41807</c:v>
                </c:pt>
                <c:pt idx="78">
                  <c:v>41808</c:v>
                </c:pt>
                <c:pt idx="79">
                  <c:v>41809</c:v>
                </c:pt>
                <c:pt idx="80">
                  <c:v>41810</c:v>
                </c:pt>
                <c:pt idx="81">
                  <c:v>41811</c:v>
                </c:pt>
                <c:pt idx="82">
                  <c:v>41812</c:v>
                </c:pt>
                <c:pt idx="83">
                  <c:v>41813</c:v>
                </c:pt>
                <c:pt idx="84">
                  <c:v>41814</c:v>
                </c:pt>
                <c:pt idx="85">
                  <c:v>41815</c:v>
                </c:pt>
                <c:pt idx="86">
                  <c:v>41816</c:v>
                </c:pt>
                <c:pt idx="87">
                  <c:v>41817</c:v>
                </c:pt>
                <c:pt idx="88">
                  <c:v>41818</c:v>
                </c:pt>
                <c:pt idx="89">
                  <c:v>41819</c:v>
                </c:pt>
                <c:pt idx="90">
                  <c:v>41820</c:v>
                </c:pt>
                <c:pt idx="91">
                  <c:v>41821</c:v>
                </c:pt>
                <c:pt idx="92">
                  <c:v>41822</c:v>
                </c:pt>
                <c:pt idx="93">
                  <c:v>41823</c:v>
                </c:pt>
                <c:pt idx="94">
                  <c:v>41824</c:v>
                </c:pt>
                <c:pt idx="95">
                  <c:v>41825</c:v>
                </c:pt>
                <c:pt idx="96">
                  <c:v>41826</c:v>
                </c:pt>
                <c:pt idx="97">
                  <c:v>41827</c:v>
                </c:pt>
                <c:pt idx="98">
                  <c:v>41828</c:v>
                </c:pt>
                <c:pt idx="99">
                  <c:v>41829</c:v>
                </c:pt>
                <c:pt idx="100">
                  <c:v>41830</c:v>
                </c:pt>
                <c:pt idx="101">
                  <c:v>41831</c:v>
                </c:pt>
                <c:pt idx="102">
                  <c:v>41832</c:v>
                </c:pt>
                <c:pt idx="103">
                  <c:v>41833</c:v>
                </c:pt>
                <c:pt idx="104">
                  <c:v>41834</c:v>
                </c:pt>
                <c:pt idx="105">
                  <c:v>41835</c:v>
                </c:pt>
                <c:pt idx="106">
                  <c:v>41836</c:v>
                </c:pt>
                <c:pt idx="107">
                  <c:v>41837</c:v>
                </c:pt>
                <c:pt idx="108">
                  <c:v>41838</c:v>
                </c:pt>
                <c:pt idx="109">
                  <c:v>41839</c:v>
                </c:pt>
                <c:pt idx="110">
                  <c:v>41840</c:v>
                </c:pt>
                <c:pt idx="111">
                  <c:v>41841</c:v>
                </c:pt>
                <c:pt idx="112">
                  <c:v>41842</c:v>
                </c:pt>
                <c:pt idx="113">
                  <c:v>41843</c:v>
                </c:pt>
                <c:pt idx="114">
                  <c:v>41844</c:v>
                </c:pt>
                <c:pt idx="115">
                  <c:v>41845</c:v>
                </c:pt>
                <c:pt idx="116">
                  <c:v>41846</c:v>
                </c:pt>
                <c:pt idx="117">
                  <c:v>41847</c:v>
                </c:pt>
                <c:pt idx="118">
                  <c:v>41848</c:v>
                </c:pt>
                <c:pt idx="119">
                  <c:v>41849</c:v>
                </c:pt>
                <c:pt idx="120">
                  <c:v>41850</c:v>
                </c:pt>
                <c:pt idx="121">
                  <c:v>41851</c:v>
                </c:pt>
                <c:pt idx="122">
                  <c:v>41852</c:v>
                </c:pt>
                <c:pt idx="123">
                  <c:v>41853</c:v>
                </c:pt>
                <c:pt idx="124">
                  <c:v>41854</c:v>
                </c:pt>
                <c:pt idx="125">
                  <c:v>41855</c:v>
                </c:pt>
                <c:pt idx="126">
                  <c:v>41856</c:v>
                </c:pt>
                <c:pt idx="127">
                  <c:v>41857</c:v>
                </c:pt>
                <c:pt idx="128">
                  <c:v>41858</c:v>
                </c:pt>
                <c:pt idx="129">
                  <c:v>41859</c:v>
                </c:pt>
                <c:pt idx="130">
                  <c:v>41860</c:v>
                </c:pt>
                <c:pt idx="131">
                  <c:v>41861</c:v>
                </c:pt>
                <c:pt idx="132">
                  <c:v>41862</c:v>
                </c:pt>
                <c:pt idx="133">
                  <c:v>41863</c:v>
                </c:pt>
                <c:pt idx="134">
                  <c:v>41864</c:v>
                </c:pt>
                <c:pt idx="135">
                  <c:v>41865</c:v>
                </c:pt>
                <c:pt idx="136">
                  <c:v>41866</c:v>
                </c:pt>
                <c:pt idx="137">
                  <c:v>41867</c:v>
                </c:pt>
                <c:pt idx="138">
                  <c:v>41868</c:v>
                </c:pt>
                <c:pt idx="139">
                  <c:v>41869</c:v>
                </c:pt>
                <c:pt idx="140">
                  <c:v>41870</c:v>
                </c:pt>
                <c:pt idx="141">
                  <c:v>41871</c:v>
                </c:pt>
                <c:pt idx="142">
                  <c:v>41872</c:v>
                </c:pt>
                <c:pt idx="143">
                  <c:v>41873</c:v>
                </c:pt>
                <c:pt idx="144">
                  <c:v>41874</c:v>
                </c:pt>
                <c:pt idx="145">
                  <c:v>41875</c:v>
                </c:pt>
                <c:pt idx="146">
                  <c:v>41876</c:v>
                </c:pt>
                <c:pt idx="147">
                  <c:v>41877</c:v>
                </c:pt>
                <c:pt idx="148">
                  <c:v>41878</c:v>
                </c:pt>
                <c:pt idx="149">
                  <c:v>41879</c:v>
                </c:pt>
                <c:pt idx="150">
                  <c:v>41880</c:v>
                </c:pt>
                <c:pt idx="151">
                  <c:v>41881</c:v>
                </c:pt>
                <c:pt idx="152">
                  <c:v>41882</c:v>
                </c:pt>
                <c:pt idx="153">
                  <c:v>41883</c:v>
                </c:pt>
                <c:pt idx="154">
                  <c:v>41884</c:v>
                </c:pt>
                <c:pt idx="155">
                  <c:v>41885</c:v>
                </c:pt>
                <c:pt idx="156">
                  <c:v>41886</c:v>
                </c:pt>
                <c:pt idx="157">
                  <c:v>41887</c:v>
                </c:pt>
                <c:pt idx="158">
                  <c:v>41888</c:v>
                </c:pt>
                <c:pt idx="159">
                  <c:v>41889</c:v>
                </c:pt>
                <c:pt idx="160">
                  <c:v>41890</c:v>
                </c:pt>
                <c:pt idx="161">
                  <c:v>41891</c:v>
                </c:pt>
                <c:pt idx="162">
                  <c:v>41892</c:v>
                </c:pt>
                <c:pt idx="163">
                  <c:v>41893</c:v>
                </c:pt>
                <c:pt idx="164">
                  <c:v>41894</c:v>
                </c:pt>
                <c:pt idx="165">
                  <c:v>41895</c:v>
                </c:pt>
                <c:pt idx="166">
                  <c:v>41896</c:v>
                </c:pt>
                <c:pt idx="167">
                  <c:v>41897</c:v>
                </c:pt>
                <c:pt idx="168">
                  <c:v>41898</c:v>
                </c:pt>
                <c:pt idx="169">
                  <c:v>41899</c:v>
                </c:pt>
                <c:pt idx="170">
                  <c:v>41900</c:v>
                </c:pt>
                <c:pt idx="171">
                  <c:v>41901</c:v>
                </c:pt>
                <c:pt idx="172">
                  <c:v>41902</c:v>
                </c:pt>
                <c:pt idx="173">
                  <c:v>41903</c:v>
                </c:pt>
                <c:pt idx="174">
                  <c:v>41904</c:v>
                </c:pt>
                <c:pt idx="175">
                  <c:v>41905</c:v>
                </c:pt>
                <c:pt idx="176">
                  <c:v>41906</c:v>
                </c:pt>
                <c:pt idx="177">
                  <c:v>41907</c:v>
                </c:pt>
                <c:pt idx="178">
                  <c:v>41908</c:v>
                </c:pt>
                <c:pt idx="179">
                  <c:v>41909</c:v>
                </c:pt>
                <c:pt idx="180">
                  <c:v>41910</c:v>
                </c:pt>
                <c:pt idx="181">
                  <c:v>41911</c:v>
                </c:pt>
                <c:pt idx="182">
                  <c:v>41912</c:v>
                </c:pt>
                <c:pt idx="183">
                  <c:v>41913</c:v>
                </c:pt>
                <c:pt idx="184">
                  <c:v>41914</c:v>
                </c:pt>
                <c:pt idx="185">
                  <c:v>41915</c:v>
                </c:pt>
                <c:pt idx="186">
                  <c:v>41916</c:v>
                </c:pt>
                <c:pt idx="187">
                  <c:v>41917</c:v>
                </c:pt>
                <c:pt idx="188">
                  <c:v>41918</c:v>
                </c:pt>
                <c:pt idx="189">
                  <c:v>41919</c:v>
                </c:pt>
                <c:pt idx="190">
                  <c:v>41920</c:v>
                </c:pt>
                <c:pt idx="191">
                  <c:v>41921</c:v>
                </c:pt>
                <c:pt idx="192">
                  <c:v>41922</c:v>
                </c:pt>
                <c:pt idx="193">
                  <c:v>41923</c:v>
                </c:pt>
                <c:pt idx="194">
                  <c:v>41924</c:v>
                </c:pt>
                <c:pt idx="195">
                  <c:v>41925</c:v>
                </c:pt>
                <c:pt idx="196">
                  <c:v>41926</c:v>
                </c:pt>
                <c:pt idx="197">
                  <c:v>41927</c:v>
                </c:pt>
                <c:pt idx="198">
                  <c:v>41928</c:v>
                </c:pt>
                <c:pt idx="199">
                  <c:v>41929</c:v>
                </c:pt>
                <c:pt idx="200">
                  <c:v>41930</c:v>
                </c:pt>
                <c:pt idx="201">
                  <c:v>41931</c:v>
                </c:pt>
                <c:pt idx="202">
                  <c:v>41932</c:v>
                </c:pt>
                <c:pt idx="203">
                  <c:v>41933</c:v>
                </c:pt>
                <c:pt idx="204">
                  <c:v>41934</c:v>
                </c:pt>
                <c:pt idx="205">
                  <c:v>41935</c:v>
                </c:pt>
                <c:pt idx="206">
                  <c:v>41936</c:v>
                </c:pt>
                <c:pt idx="207">
                  <c:v>41937</c:v>
                </c:pt>
                <c:pt idx="208">
                  <c:v>41938</c:v>
                </c:pt>
                <c:pt idx="209">
                  <c:v>41939</c:v>
                </c:pt>
                <c:pt idx="210">
                  <c:v>41940</c:v>
                </c:pt>
                <c:pt idx="211">
                  <c:v>41941</c:v>
                </c:pt>
                <c:pt idx="212">
                  <c:v>41942</c:v>
                </c:pt>
                <c:pt idx="213">
                  <c:v>41943</c:v>
                </c:pt>
                <c:pt idx="214">
                  <c:v>41944</c:v>
                </c:pt>
                <c:pt idx="215">
                  <c:v>41945</c:v>
                </c:pt>
                <c:pt idx="216">
                  <c:v>41946</c:v>
                </c:pt>
                <c:pt idx="217">
                  <c:v>41947</c:v>
                </c:pt>
                <c:pt idx="218">
                  <c:v>41948</c:v>
                </c:pt>
                <c:pt idx="219">
                  <c:v>41949</c:v>
                </c:pt>
                <c:pt idx="220">
                  <c:v>41950</c:v>
                </c:pt>
                <c:pt idx="221">
                  <c:v>41951</c:v>
                </c:pt>
                <c:pt idx="222">
                  <c:v>41952</c:v>
                </c:pt>
                <c:pt idx="223">
                  <c:v>41953</c:v>
                </c:pt>
                <c:pt idx="224">
                  <c:v>41954</c:v>
                </c:pt>
                <c:pt idx="225">
                  <c:v>41955</c:v>
                </c:pt>
                <c:pt idx="226">
                  <c:v>41956</c:v>
                </c:pt>
                <c:pt idx="227">
                  <c:v>41957</c:v>
                </c:pt>
                <c:pt idx="228">
                  <c:v>41958</c:v>
                </c:pt>
                <c:pt idx="229">
                  <c:v>41959</c:v>
                </c:pt>
                <c:pt idx="230">
                  <c:v>41960</c:v>
                </c:pt>
                <c:pt idx="231">
                  <c:v>41961</c:v>
                </c:pt>
                <c:pt idx="232">
                  <c:v>41962</c:v>
                </c:pt>
                <c:pt idx="233">
                  <c:v>41963</c:v>
                </c:pt>
                <c:pt idx="234">
                  <c:v>41964</c:v>
                </c:pt>
                <c:pt idx="235">
                  <c:v>41965</c:v>
                </c:pt>
                <c:pt idx="236">
                  <c:v>41966</c:v>
                </c:pt>
                <c:pt idx="237">
                  <c:v>41967</c:v>
                </c:pt>
                <c:pt idx="238">
                  <c:v>41968</c:v>
                </c:pt>
                <c:pt idx="239">
                  <c:v>41969</c:v>
                </c:pt>
                <c:pt idx="240">
                  <c:v>41970</c:v>
                </c:pt>
                <c:pt idx="241">
                  <c:v>41971</c:v>
                </c:pt>
                <c:pt idx="242">
                  <c:v>41972</c:v>
                </c:pt>
                <c:pt idx="243">
                  <c:v>41973</c:v>
                </c:pt>
                <c:pt idx="244">
                  <c:v>41974</c:v>
                </c:pt>
                <c:pt idx="245">
                  <c:v>41975</c:v>
                </c:pt>
                <c:pt idx="246">
                  <c:v>41976</c:v>
                </c:pt>
                <c:pt idx="247">
                  <c:v>41977</c:v>
                </c:pt>
                <c:pt idx="248">
                  <c:v>41978</c:v>
                </c:pt>
                <c:pt idx="249">
                  <c:v>41979</c:v>
                </c:pt>
                <c:pt idx="250">
                  <c:v>41980</c:v>
                </c:pt>
                <c:pt idx="251">
                  <c:v>41981</c:v>
                </c:pt>
                <c:pt idx="252">
                  <c:v>41982</c:v>
                </c:pt>
                <c:pt idx="253">
                  <c:v>41983</c:v>
                </c:pt>
                <c:pt idx="254">
                  <c:v>41984</c:v>
                </c:pt>
                <c:pt idx="255">
                  <c:v>41985</c:v>
                </c:pt>
                <c:pt idx="256">
                  <c:v>41986</c:v>
                </c:pt>
                <c:pt idx="257">
                  <c:v>41987</c:v>
                </c:pt>
                <c:pt idx="258">
                  <c:v>41988</c:v>
                </c:pt>
                <c:pt idx="259">
                  <c:v>41989</c:v>
                </c:pt>
                <c:pt idx="260">
                  <c:v>41990</c:v>
                </c:pt>
                <c:pt idx="261">
                  <c:v>41991</c:v>
                </c:pt>
                <c:pt idx="262">
                  <c:v>41992</c:v>
                </c:pt>
                <c:pt idx="263">
                  <c:v>41993</c:v>
                </c:pt>
                <c:pt idx="264">
                  <c:v>41994</c:v>
                </c:pt>
                <c:pt idx="265">
                  <c:v>41995</c:v>
                </c:pt>
                <c:pt idx="266">
                  <c:v>41996</c:v>
                </c:pt>
                <c:pt idx="267">
                  <c:v>41997</c:v>
                </c:pt>
                <c:pt idx="268">
                  <c:v>41998</c:v>
                </c:pt>
                <c:pt idx="269">
                  <c:v>41999</c:v>
                </c:pt>
                <c:pt idx="270">
                  <c:v>42000</c:v>
                </c:pt>
                <c:pt idx="271">
                  <c:v>42001</c:v>
                </c:pt>
                <c:pt idx="272">
                  <c:v>42002</c:v>
                </c:pt>
                <c:pt idx="273">
                  <c:v>42003</c:v>
                </c:pt>
                <c:pt idx="274">
                  <c:v>42004</c:v>
                </c:pt>
                <c:pt idx="275">
                  <c:v>42005</c:v>
                </c:pt>
                <c:pt idx="276">
                  <c:v>42006</c:v>
                </c:pt>
                <c:pt idx="277">
                  <c:v>42007</c:v>
                </c:pt>
                <c:pt idx="278">
                  <c:v>42008</c:v>
                </c:pt>
                <c:pt idx="279">
                  <c:v>42009</c:v>
                </c:pt>
                <c:pt idx="280">
                  <c:v>42010</c:v>
                </c:pt>
                <c:pt idx="281">
                  <c:v>42011</c:v>
                </c:pt>
                <c:pt idx="282">
                  <c:v>42012</c:v>
                </c:pt>
                <c:pt idx="283">
                  <c:v>42013</c:v>
                </c:pt>
                <c:pt idx="284">
                  <c:v>42014</c:v>
                </c:pt>
                <c:pt idx="285">
                  <c:v>42015</c:v>
                </c:pt>
                <c:pt idx="286">
                  <c:v>42016</c:v>
                </c:pt>
                <c:pt idx="287">
                  <c:v>42017</c:v>
                </c:pt>
                <c:pt idx="288">
                  <c:v>42018</c:v>
                </c:pt>
                <c:pt idx="289">
                  <c:v>42019</c:v>
                </c:pt>
                <c:pt idx="290">
                  <c:v>42020</c:v>
                </c:pt>
                <c:pt idx="291">
                  <c:v>42021</c:v>
                </c:pt>
                <c:pt idx="292">
                  <c:v>42022</c:v>
                </c:pt>
                <c:pt idx="293">
                  <c:v>42023</c:v>
                </c:pt>
                <c:pt idx="294">
                  <c:v>42024</c:v>
                </c:pt>
                <c:pt idx="295">
                  <c:v>42025</c:v>
                </c:pt>
                <c:pt idx="296">
                  <c:v>42026</c:v>
                </c:pt>
                <c:pt idx="297">
                  <c:v>42027</c:v>
                </c:pt>
                <c:pt idx="298">
                  <c:v>42028</c:v>
                </c:pt>
                <c:pt idx="299">
                  <c:v>42029</c:v>
                </c:pt>
                <c:pt idx="300">
                  <c:v>42030</c:v>
                </c:pt>
                <c:pt idx="301">
                  <c:v>42031</c:v>
                </c:pt>
                <c:pt idx="302">
                  <c:v>42032</c:v>
                </c:pt>
                <c:pt idx="303">
                  <c:v>42033</c:v>
                </c:pt>
                <c:pt idx="304">
                  <c:v>42034</c:v>
                </c:pt>
                <c:pt idx="305">
                  <c:v>42035</c:v>
                </c:pt>
                <c:pt idx="306">
                  <c:v>42036</c:v>
                </c:pt>
                <c:pt idx="307">
                  <c:v>42037</c:v>
                </c:pt>
                <c:pt idx="308">
                  <c:v>42038</c:v>
                </c:pt>
                <c:pt idx="309">
                  <c:v>42039</c:v>
                </c:pt>
                <c:pt idx="310">
                  <c:v>42040</c:v>
                </c:pt>
                <c:pt idx="311">
                  <c:v>42041</c:v>
                </c:pt>
                <c:pt idx="312">
                  <c:v>42042</c:v>
                </c:pt>
                <c:pt idx="313">
                  <c:v>42043</c:v>
                </c:pt>
                <c:pt idx="314">
                  <c:v>42044</c:v>
                </c:pt>
                <c:pt idx="315">
                  <c:v>42045</c:v>
                </c:pt>
                <c:pt idx="316">
                  <c:v>42046</c:v>
                </c:pt>
                <c:pt idx="317">
                  <c:v>42047</c:v>
                </c:pt>
                <c:pt idx="318">
                  <c:v>42048</c:v>
                </c:pt>
                <c:pt idx="319">
                  <c:v>42049</c:v>
                </c:pt>
                <c:pt idx="320">
                  <c:v>42050</c:v>
                </c:pt>
                <c:pt idx="321">
                  <c:v>42051</c:v>
                </c:pt>
                <c:pt idx="322">
                  <c:v>42052</c:v>
                </c:pt>
                <c:pt idx="323">
                  <c:v>42053</c:v>
                </c:pt>
                <c:pt idx="324">
                  <c:v>42054</c:v>
                </c:pt>
                <c:pt idx="325">
                  <c:v>42055</c:v>
                </c:pt>
                <c:pt idx="326">
                  <c:v>42056</c:v>
                </c:pt>
                <c:pt idx="327">
                  <c:v>42057</c:v>
                </c:pt>
                <c:pt idx="328">
                  <c:v>42058</c:v>
                </c:pt>
                <c:pt idx="329">
                  <c:v>42059</c:v>
                </c:pt>
                <c:pt idx="330">
                  <c:v>42060</c:v>
                </c:pt>
                <c:pt idx="331">
                  <c:v>42061</c:v>
                </c:pt>
                <c:pt idx="332">
                  <c:v>42062</c:v>
                </c:pt>
                <c:pt idx="333">
                  <c:v>42063</c:v>
                </c:pt>
                <c:pt idx="334">
                  <c:v>42064</c:v>
                </c:pt>
                <c:pt idx="335">
                  <c:v>42065</c:v>
                </c:pt>
                <c:pt idx="336">
                  <c:v>42066</c:v>
                </c:pt>
                <c:pt idx="337">
                  <c:v>42067</c:v>
                </c:pt>
                <c:pt idx="338">
                  <c:v>42068</c:v>
                </c:pt>
                <c:pt idx="339">
                  <c:v>42069</c:v>
                </c:pt>
                <c:pt idx="340">
                  <c:v>42070</c:v>
                </c:pt>
                <c:pt idx="341">
                  <c:v>42071</c:v>
                </c:pt>
                <c:pt idx="342">
                  <c:v>42072</c:v>
                </c:pt>
                <c:pt idx="343">
                  <c:v>42073</c:v>
                </c:pt>
                <c:pt idx="344">
                  <c:v>42074</c:v>
                </c:pt>
                <c:pt idx="345">
                  <c:v>42075</c:v>
                </c:pt>
                <c:pt idx="346">
                  <c:v>42076</c:v>
                </c:pt>
                <c:pt idx="347">
                  <c:v>42077</c:v>
                </c:pt>
                <c:pt idx="348">
                  <c:v>42078</c:v>
                </c:pt>
                <c:pt idx="349">
                  <c:v>42079</c:v>
                </c:pt>
                <c:pt idx="350">
                  <c:v>42080</c:v>
                </c:pt>
                <c:pt idx="351">
                  <c:v>42081</c:v>
                </c:pt>
                <c:pt idx="352">
                  <c:v>42082</c:v>
                </c:pt>
                <c:pt idx="353">
                  <c:v>42083</c:v>
                </c:pt>
                <c:pt idx="354">
                  <c:v>42084</c:v>
                </c:pt>
                <c:pt idx="355">
                  <c:v>42085</c:v>
                </c:pt>
                <c:pt idx="356">
                  <c:v>42086</c:v>
                </c:pt>
                <c:pt idx="357">
                  <c:v>42087</c:v>
                </c:pt>
                <c:pt idx="358">
                  <c:v>42088</c:v>
                </c:pt>
                <c:pt idx="359">
                  <c:v>42089</c:v>
                </c:pt>
                <c:pt idx="360">
                  <c:v>42090</c:v>
                </c:pt>
                <c:pt idx="361">
                  <c:v>42091</c:v>
                </c:pt>
                <c:pt idx="362">
                  <c:v>42092</c:v>
                </c:pt>
                <c:pt idx="363">
                  <c:v>42093</c:v>
                </c:pt>
                <c:pt idx="364">
                  <c:v>42094</c:v>
                </c:pt>
              </c:numCache>
            </c:numRef>
          </c:cat>
          <c:val>
            <c:numRef>
              <c:f>'マアナゴ (本宮計算)'!$T$3:$T$367</c:f>
              <c:numCache>
                <c:formatCode>0</c:formatCode>
                <c:ptCount val="365"/>
                <c:pt idx="0">
                  <c:v>21.218369029246698</c:v>
                </c:pt>
                <c:pt idx="1">
                  <c:v>22.055030947435295</c:v>
                </c:pt>
                <c:pt idx="2">
                  <c:v>22.922458589442801</c:v>
                </c:pt>
                <c:pt idx="3">
                  <c:v>23.821700280082094</c:v>
                </c:pt>
                <c:pt idx="4">
                  <c:v>24.753786686836484</c:v>
                </c:pt>
                <c:pt idx="5">
                  <c:v>25.719879100780837</c:v>
                </c:pt>
                <c:pt idx="6">
                  <c:v>26.721072269373991</c:v>
                </c:pt>
                <c:pt idx="7">
                  <c:v>27.75854465556305</c:v>
                </c:pt>
                <c:pt idx="8">
                  <c:v>28.833628969720021</c:v>
                </c:pt>
                <c:pt idx="9">
                  <c:v>29.947468336232212</c:v>
                </c:pt>
                <c:pt idx="10">
                  <c:v>31.101353287727846</c:v>
                </c:pt>
                <c:pt idx="11">
                  <c:v>32.296679963300001</c:v>
                </c:pt>
                <c:pt idx="12">
                  <c:v>33.534757400294772</c:v>
                </c:pt>
                <c:pt idx="13">
                  <c:v>34.817069138728456</c:v>
                </c:pt>
                <c:pt idx="14">
                  <c:v>36.145078067738545</c:v>
                </c:pt>
                <c:pt idx="15">
                  <c:v>37.520214029279693</c:v>
                </c:pt>
                <c:pt idx="16">
                  <c:v>38.944101176724033</c:v>
                </c:pt>
                <c:pt idx="17">
                  <c:v>40.418255235560316</c:v>
                </c:pt>
                <c:pt idx="18">
                  <c:v>41.944400607145766</c:v>
                </c:pt>
                <c:pt idx="19">
                  <c:v>43.524143483746521</c:v>
                </c:pt>
                <c:pt idx="20">
                  <c:v>45.159314099564405</c:v>
                </c:pt>
                <c:pt idx="21">
                  <c:v>46.85171117075928</c:v>
                </c:pt>
                <c:pt idx="22">
                  <c:v>48.603085835531949</c:v>
                </c:pt>
                <c:pt idx="23">
                  <c:v>50.415333466862457</c:v>
                </c:pt>
                <c:pt idx="24">
                  <c:v>52.290513829982686</c:v>
                </c:pt>
                <c:pt idx="25">
                  <c:v>54.230647207021562</c:v>
                </c:pt>
                <c:pt idx="26">
                  <c:v>56.237695817467788</c:v>
                </c:pt>
                <c:pt idx="27">
                  <c:v>58.313908581846498</c:v>
                </c:pt>
                <c:pt idx="28">
                  <c:v>60.461361515230195</c:v>
                </c:pt>
                <c:pt idx="29">
                  <c:v>62.682438075968797</c:v>
                </c:pt>
                <c:pt idx="30">
                  <c:v>64.979333896325912</c:v>
                </c:pt>
                <c:pt idx="31">
                  <c:v>67.354574207477938</c:v>
                </c:pt>
                <c:pt idx="32">
                  <c:v>69.810626967299967</c:v>
                </c:pt>
                <c:pt idx="33">
                  <c:v>72.349878974586858</c:v>
                </c:pt>
                <c:pt idx="34">
                  <c:v>74.97492489955701</c:v>
                </c:pt>
                <c:pt idx="35">
                  <c:v>77.6885965999722</c:v>
                </c:pt>
                <c:pt idx="36">
                  <c:v>80.493655825793937</c:v>
                </c:pt>
                <c:pt idx="37">
                  <c:v>83.392766704110571</c:v>
                </c:pt>
                <c:pt idx="38">
                  <c:v>86.388830372657893</c:v>
                </c:pt>
                <c:pt idx="39">
                  <c:v>89.4852078685051</c:v>
                </c:pt>
                <c:pt idx="40">
                  <c:v>92.68441747516431</c:v>
                </c:pt>
                <c:pt idx="41">
                  <c:v>95.990200359830851</c:v>
                </c:pt>
                <c:pt idx="42">
                  <c:v>99.405206950721265</c:v>
                </c:pt>
                <c:pt idx="43">
                  <c:v>102.93340010886412</c:v>
                </c:pt>
                <c:pt idx="44">
                  <c:v>106.57779493154088</c:v>
                </c:pt>
                <c:pt idx="45">
                  <c:v>110.34190763553278</c:v>
                </c:pt>
                <c:pt idx="46">
                  <c:v>114.22959423417123</c:v>
                </c:pt>
                <c:pt idx="47">
                  <c:v>118.24459224894696</c:v>
                </c:pt>
                <c:pt idx="48">
                  <c:v>122.39048042219513</c:v>
                </c:pt>
                <c:pt idx="49">
                  <c:v>126.67117592106558</c:v>
                </c:pt>
                <c:pt idx="50">
                  <c:v>131.09098248167183</c:v>
                </c:pt>
                <c:pt idx="51">
                  <c:v>135.65406177750461</c:v>
                </c:pt>
                <c:pt idx="52">
                  <c:v>140.36438726543042</c:v>
                </c:pt>
                <c:pt idx="53">
                  <c:v>145.22662892859483</c:v>
                </c:pt>
                <c:pt idx="54">
                  <c:v>150.24497138931264</c:v>
                </c:pt>
                <c:pt idx="55">
                  <c:v>155.42400909068152</c:v>
                </c:pt>
                <c:pt idx="56">
                  <c:v>160.76915117836305</c:v>
                </c:pt>
                <c:pt idx="57">
                  <c:v>166.28459471947625</c:v>
                </c:pt>
                <c:pt idx="58">
                  <c:v>171.97531052586029</c:v>
                </c:pt>
                <c:pt idx="59">
                  <c:v>177.84678439765713</c:v>
                </c:pt>
                <c:pt idx="60">
                  <c:v>183.90389372169864</c:v>
                </c:pt>
                <c:pt idx="61">
                  <c:v>190.15242312521664</c:v>
                </c:pt>
                <c:pt idx="62">
                  <c:v>196.59750183187805</c:v>
                </c:pt>
                <c:pt idx="63">
                  <c:v>203.24522765727031</c:v>
                </c:pt>
                <c:pt idx="64">
                  <c:v>210.10144933881875</c:v>
                </c:pt>
                <c:pt idx="65">
                  <c:v>217.17169543068846</c:v>
                </c:pt>
                <c:pt idx="66">
                  <c:v>224.46207361229543</c:v>
                </c:pt>
                <c:pt idx="67">
                  <c:v>231.97935348590568</c:v>
                </c:pt>
                <c:pt idx="68">
                  <c:v>239.73001079648549</c:v>
                </c:pt>
                <c:pt idx="69">
                  <c:v>247.7201464480751</c:v>
                </c:pt>
                <c:pt idx="70">
                  <c:v>255.95651696612748</c:v>
                </c:pt>
                <c:pt idx="71">
                  <c:v>264.44662827622278</c:v>
                </c:pt>
                <c:pt idx="72">
                  <c:v>273.1976406893321</c:v>
                </c:pt>
                <c:pt idx="73">
                  <c:v>282.21627678993156</c:v>
                </c:pt>
                <c:pt idx="74">
                  <c:v>291.51064107364516</c:v>
                </c:pt>
                <c:pt idx="75">
                  <c:v>301.08778639948792</c:v>
                </c:pt>
                <c:pt idx="76">
                  <c:v>310.95623855650462</c:v>
                </c:pt>
                <c:pt idx="77">
                  <c:v>321.12339412324474</c:v>
                </c:pt>
                <c:pt idx="78">
                  <c:v>331.59748771017297</c:v>
                </c:pt>
                <c:pt idx="79">
                  <c:v>342.38846797608653</c:v>
                </c:pt>
                <c:pt idx="80">
                  <c:v>353.50278506406863</c:v>
                </c:pt>
                <c:pt idx="81">
                  <c:v>364.95164082453005</c:v>
                </c:pt>
                <c:pt idx="82">
                  <c:v>376.74176278230749</c:v>
                </c:pt>
                <c:pt idx="83">
                  <c:v>388.88494848765322</c:v>
                </c:pt>
                <c:pt idx="84">
                  <c:v>401.38910230283091</c:v>
                </c:pt>
                <c:pt idx="85">
                  <c:v>414.26397211794193</c:v>
                </c:pt>
                <c:pt idx="86">
                  <c:v>427.52048976739212</c:v>
                </c:pt>
                <c:pt idx="87">
                  <c:v>441.16798488750715</c:v>
                </c:pt>
                <c:pt idx="88">
                  <c:v>455.21793542152403</c:v>
                </c:pt>
                <c:pt idx="89">
                  <c:v>469.68010299579959</c:v>
                </c:pt>
                <c:pt idx="90">
                  <c:v>484.56653501192272</c:v>
                </c:pt>
                <c:pt idx="91">
                  <c:v>499.88744100460565</c:v>
                </c:pt>
                <c:pt idx="92">
                  <c:v>515.65546193927776</c:v>
                </c:pt>
                <c:pt idx="93">
                  <c:v>531.88246374892242</c:v>
                </c:pt>
                <c:pt idx="94">
                  <c:v>548.57812907014215</c:v>
                </c:pt>
                <c:pt idx="95">
                  <c:v>565.75845992294148</c:v>
                </c:pt>
                <c:pt idx="96">
                  <c:v>583.43366683676447</c:v>
                </c:pt>
                <c:pt idx="97">
                  <c:v>601.61663270502243</c:v>
                </c:pt>
                <c:pt idx="98">
                  <c:v>620.32193152863601</c:v>
                </c:pt>
                <c:pt idx="99">
                  <c:v>639.56172980820736</c:v>
                </c:pt>
                <c:pt idx="100">
                  <c:v>659.35129923950046</c:v>
                </c:pt>
                <c:pt idx="101">
                  <c:v>679.70487491147207</c:v>
                </c:pt>
                <c:pt idx="102">
                  <c:v>700.63542989920086</c:v>
                </c:pt>
                <c:pt idx="103">
                  <c:v>722.1577012194648</c:v>
                </c:pt>
                <c:pt idx="104">
                  <c:v>744.28844073331163</c:v>
                </c:pt>
                <c:pt idx="105">
                  <c:v>767.04146364381768</c:v>
                </c:pt>
                <c:pt idx="106">
                  <c:v>790.43430581418272</c:v>
                </c:pt>
                <c:pt idx="107">
                  <c:v>814.48322076234592</c:v>
                </c:pt>
                <c:pt idx="108">
                  <c:v>839.2029106337385</c:v>
                </c:pt>
                <c:pt idx="109">
                  <c:v>864.61017554437922</c:v>
                </c:pt>
                <c:pt idx="110">
                  <c:v>890.72421118110913</c:v>
                </c:pt>
                <c:pt idx="111">
                  <c:v>917.56064243788933</c:v>
                </c:pt>
                <c:pt idx="112">
                  <c:v>945.13954232271431</c:v>
                </c:pt>
                <c:pt idx="113">
                  <c:v>973.47940434887255</c:v>
                </c:pt>
                <c:pt idx="114">
                  <c:v>1002.5968223372065</c:v>
                </c:pt>
                <c:pt idx="115">
                  <c:v>1032.5108803206447</c:v>
                </c:pt>
                <c:pt idx="116">
                  <c:v>1063.2435046399153</c:v>
                </c:pt>
                <c:pt idx="117">
                  <c:v>1094.8122931928224</c:v>
                </c:pt>
                <c:pt idx="118">
                  <c:v>1127.2401497529686</c:v>
                </c:pt>
                <c:pt idx="119">
                  <c:v>1160.5480405852022</c:v>
                </c:pt>
                <c:pt idx="120">
                  <c:v>1194.7518580974152</c:v>
                </c:pt>
                <c:pt idx="121">
                  <c:v>1229.8814696965776</c:v>
                </c:pt>
                <c:pt idx="122">
                  <c:v>1265.9535702892856</c:v>
                </c:pt>
                <c:pt idx="123">
                  <c:v>1302.9906490235289</c:v>
                </c:pt>
                <c:pt idx="124">
                  <c:v>1341.0187536000267</c:v>
                </c:pt>
                <c:pt idx="125">
                  <c:v>1380.0583635832618</c:v>
                </c:pt>
                <c:pt idx="126">
                  <c:v>1420.1366473435005</c:v>
                </c:pt>
                <c:pt idx="127">
                  <c:v>1461.2748481599151</c:v>
                </c:pt>
                <c:pt idx="128">
                  <c:v>1503.5012924446764</c:v>
                </c:pt>
                <c:pt idx="129">
                  <c:v>1546.8380037456786</c:v>
                </c:pt>
                <c:pt idx="130">
                  <c:v>1591.3145044440689</c:v>
                </c:pt>
                <c:pt idx="131">
                  <c:v>1636.9536143828843</c:v>
                </c:pt>
                <c:pt idx="132">
                  <c:v>1683.7860903510225</c:v>
                </c:pt>
                <c:pt idx="133">
                  <c:v>1731.8355638946869</c:v>
                </c:pt>
                <c:pt idx="134">
                  <c:v>1781.1340651135915</c:v>
                </c:pt>
                <c:pt idx="135">
                  <c:v>1831.7060519499312</c:v>
                </c:pt>
                <c:pt idx="136">
                  <c:v>1883.584867129176</c:v>
                </c:pt>
                <c:pt idx="137">
                  <c:v>1936.7958088639004</c:v>
                </c:pt>
                <c:pt idx="138">
                  <c:v>1991.3735721750199</c:v>
                </c:pt>
                <c:pt idx="139">
                  <c:v>2047.3443084916578</c:v>
                </c:pt>
                <c:pt idx="140">
                  <c:v>2104.7391448517028</c:v>
                </c:pt>
                <c:pt idx="141">
                  <c:v>2163.5948741405336</c:v>
                </c:pt>
                <c:pt idx="142">
                  <c:v>2223.9441961598664</c:v>
                </c:pt>
                <c:pt idx="143">
                  <c:v>2285.8150032185922</c:v>
                </c:pt>
                <c:pt idx="144">
                  <c:v>2349.2462877291</c:v>
                </c:pt>
                <c:pt idx="145">
                  <c:v>2414.266827283685</c:v>
                </c:pt>
                <c:pt idx="146">
                  <c:v>2480.9112432201368</c:v>
                </c:pt>
                <c:pt idx="147">
                  <c:v>2549.2208064762576</c:v>
                </c:pt>
                <c:pt idx="148">
                  <c:v>2619.2256304720727</c:v>
                </c:pt>
                <c:pt idx="149">
                  <c:v>2690.9685594994417</c:v>
                </c:pt>
                <c:pt idx="150">
                  <c:v>2764.4871936968834</c:v>
                </c:pt>
                <c:pt idx="151">
                  <c:v>2839.8130078200152</c:v>
                </c:pt>
                <c:pt idx="152">
                  <c:v>2916.9843257832008</c:v>
                </c:pt>
                <c:pt idx="153">
                  <c:v>2996.047259015656</c:v>
                </c:pt>
                <c:pt idx="154">
                  <c:v>3077.0346358850989</c:v>
                </c:pt>
                <c:pt idx="155">
                  <c:v>3159.994260895468</c:v>
                </c:pt>
                <c:pt idx="156">
                  <c:v>3244.9598694107372</c:v>
                </c:pt>
                <c:pt idx="157">
                  <c:v>3331.9809981298686</c:v>
                </c:pt>
                <c:pt idx="158">
                  <c:v>3421.0922867118761</c:v>
                </c:pt>
                <c:pt idx="159">
                  <c:v>3512.3450425883884</c:v>
                </c:pt>
                <c:pt idx="160">
                  <c:v>3605.7748045043436</c:v>
                </c:pt>
                <c:pt idx="161">
                  <c:v>3701.4346884561578</c:v>
                </c:pt>
                <c:pt idx="162">
                  <c:v>3799.361124366183</c:v>
                </c:pt>
                <c:pt idx="163">
                  <c:v>3899.5996555855545</c:v>
                </c:pt>
                <c:pt idx="164">
                  <c:v>4002.2061707047601</c:v>
                </c:pt>
                <c:pt idx="165">
                  <c:v>4107.2283464129341</c:v>
                </c:pt>
                <c:pt idx="166">
                  <c:v>4214.7043593274211</c:v>
                </c:pt>
                <c:pt idx="167">
                  <c:v>4324.6824795087732</c:v>
                </c:pt>
                <c:pt idx="168">
                  <c:v>4437.222427307569</c:v>
                </c:pt>
                <c:pt idx="169">
                  <c:v>4552.3636352014646</c:v>
                </c:pt>
                <c:pt idx="170">
                  <c:v>4670.1677894696541</c:v>
                </c:pt>
                <c:pt idx="171">
                  <c:v>4790.6868080787899</c:v>
                </c:pt>
                <c:pt idx="172">
                  <c:v>4913.9493666028657</c:v>
                </c:pt>
                <c:pt idx="173">
                  <c:v>5040.0438143363672</c:v>
                </c:pt>
                <c:pt idx="174">
                  <c:v>5168.9872839944901</c:v>
                </c:pt>
                <c:pt idx="175">
                  <c:v>5300.8584816913481</c:v>
                </c:pt>
                <c:pt idx="176">
                  <c:v>5435.7128707879901</c:v>
                </c:pt>
                <c:pt idx="177">
                  <c:v>5573.5929726034828</c:v>
                </c:pt>
                <c:pt idx="178">
                  <c:v>5714.5686349245443</c:v>
                </c:pt>
                <c:pt idx="179">
                  <c:v>5858.6830636652903</c:v>
                </c:pt>
                <c:pt idx="180">
                  <c:v>6005.9934414009858</c:v>
                </c:pt>
                <c:pt idx="181">
                  <c:v>6156.5727692262681</c:v>
                </c:pt>
                <c:pt idx="182">
                  <c:v>6310.4807343763396</c:v>
                </c:pt>
                <c:pt idx="183">
                  <c:v>6467.745816608176</c:v>
                </c:pt>
                <c:pt idx="184">
                  <c:v>6628.4757431098906</c:v>
                </c:pt>
                <c:pt idx="185">
                  <c:v>6792.6999343735597</c:v>
                </c:pt>
                <c:pt idx="186">
                  <c:v>6960.4795522172062</c:v>
                </c:pt>
                <c:pt idx="187">
                  <c:v>7131.8940584636784</c:v>
                </c:pt>
                <c:pt idx="188">
                  <c:v>7306.9891008704071</c:v>
                </c:pt>
                <c:pt idx="189">
                  <c:v>7485.8277358909363</c:v>
                </c:pt>
                <c:pt idx="190">
                  <c:v>7668.4926865968937</c:v>
                </c:pt>
                <c:pt idx="191">
                  <c:v>7855.04966416959</c:v>
                </c:pt>
                <c:pt idx="192">
                  <c:v>8045.5449895771317</c:v>
                </c:pt>
                <c:pt idx="193">
                  <c:v>8240.0441481911585</c:v>
                </c:pt>
                <c:pt idx="194">
                  <c:v>8438.6342563539001</c:v>
                </c:pt>
                <c:pt idx="195">
                  <c:v>8641.3835062771086</c:v>
                </c:pt>
                <c:pt idx="196">
                  <c:v>8848.3164312917288</c:v>
                </c:pt>
                <c:pt idx="197">
                  <c:v>9059.5671824552355</c:v>
                </c:pt>
                <c:pt idx="198">
                  <c:v>9275.1376164312824</c:v>
                </c:pt>
                <c:pt idx="199">
                  <c:v>9495.1662901419204</c:v>
                </c:pt>
                <c:pt idx="200">
                  <c:v>9719.6527337886237</c:v>
                </c:pt>
                <c:pt idx="201">
                  <c:v>9948.7149788474871</c:v>
                </c:pt>
                <c:pt idx="202">
                  <c:v>10182.425083469876</c:v>
                </c:pt>
                <c:pt idx="203">
                  <c:v>10420.829357930295</c:v>
                </c:pt>
                <c:pt idx="204">
                  <c:v>10663.998952165004</c:v>
                </c:pt>
                <c:pt idx="205">
                  <c:v>10912.032979050144</c:v>
                </c:pt>
                <c:pt idx="206">
                  <c:v>11164.977150631003</c:v>
                </c:pt>
                <c:pt idx="207">
                  <c:v>11422.932718983004</c:v>
                </c:pt>
                <c:pt idx="208">
                  <c:v>11685.944847697599</c:v>
                </c:pt>
                <c:pt idx="209">
                  <c:v>11954.116904259454</c:v>
                </c:pt>
                <c:pt idx="210">
                  <c:v>12227.493364708011</c:v>
                </c:pt>
                <c:pt idx="211">
                  <c:v>12506.179684014183</c:v>
                </c:pt>
                <c:pt idx="212">
                  <c:v>12790.219503722228</c:v>
                </c:pt>
                <c:pt idx="213">
                  <c:v>13079.687015764424</c:v>
                </c:pt>
                <c:pt idx="214">
                  <c:v>13374.690721419442</c:v>
                </c:pt>
                <c:pt idx="215">
                  <c:v>13675.307603640638</c:v>
                </c:pt>
                <c:pt idx="216">
                  <c:v>13981.543432374972</c:v>
                </c:pt>
                <c:pt idx="217">
                  <c:v>14293.580339014106</c:v>
                </c:pt>
                <c:pt idx="218">
                  <c:v>14611.386171113933</c:v>
                </c:pt>
                <c:pt idx="219">
                  <c:v>14935.110050083053</c:v>
                </c:pt>
                <c:pt idx="220">
                  <c:v>15264.829775120748</c:v>
                </c:pt>
                <c:pt idx="221">
                  <c:v>15600.583174221556</c:v>
                </c:pt>
                <c:pt idx="222">
                  <c:v>15942.486471656312</c:v>
                </c:pt>
                <c:pt idx="223">
                  <c:v>16290.533767559255</c:v>
                </c:pt>
                <c:pt idx="224">
                  <c:v>16644.92601699815</c:v>
                </c:pt>
                <c:pt idx="225">
                  <c:v>17005.656275624246</c:v>
                </c:pt>
                <c:pt idx="226">
                  <c:v>17372.799446802339</c:v>
                </c:pt>
                <c:pt idx="227">
                  <c:v>17746.430241957165</c:v>
                </c:pt>
                <c:pt idx="228">
                  <c:v>18126.716982370537</c:v>
                </c:pt>
                <c:pt idx="229">
                  <c:v>18513.596288431563</c:v>
                </c:pt>
                <c:pt idx="230">
                  <c:v>18907.237066376332</c:v>
                </c:pt>
                <c:pt idx="231">
                  <c:v>19307.666095463705</c:v>
                </c:pt>
                <c:pt idx="232">
                  <c:v>19715.00794604429</c:v>
                </c:pt>
                <c:pt idx="233">
                  <c:v>20129.33892383366</c:v>
                </c:pt>
                <c:pt idx="234">
                  <c:v>20550.627935988472</c:v>
                </c:pt>
                <c:pt idx="235">
                  <c:v>20979.052960956724</c:v>
                </c:pt>
                <c:pt idx="236">
                  <c:v>21414.689073095033</c:v>
                </c:pt>
                <c:pt idx="237">
                  <c:v>21857.553779124442</c:v>
                </c:pt>
                <c:pt idx="238">
                  <c:v>22307.77586451382</c:v>
                </c:pt>
                <c:pt idx="239">
                  <c:v>22765.309639510713</c:v>
                </c:pt>
                <c:pt idx="240">
                  <c:v>23230.403100478594</c:v>
                </c:pt>
                <c:pt idx="241">
                  <c:v>23703.007989424743</c:v>
                </c:pt>
                <c:pt idx="242">
                  <c:v>24183.191983762041</c:v>
                </c:pt>
                <c:pt idx="243">
                  <c:v>24671.021933536733</c:v>
                </c:pt>
                <c:pt idx="244">
                  <c:v>25160.46779592349</c:v>
                </c:pt>
                <c:pt idx="245">
                  <c:v>25656.553951340771</c:v>
                </c:pt>
                <c:pt idx="246">
                  <c:v>26158.246342875151</c:v>
                </c:pt>
                <c:pt idx="247">
                  <c:v>26668.441167739671</c:v>
                </c:pt>
                <c:pt idx="248">
                  <c:v>27187.90044410605</c:v>
                </c:pt>
                <c:pt idx="249">
                  <c:v>27713.251980835674</c:v>
                </c:pt>
                <c:pt idx="250">
                  <c:v>28244.95955981618</c:v>
                </c:pt>
                <c:pt idx="251">
                  <c:v>28786.434048681407</c:v>
                </c:pt>
                <c:pt idx="252">
                  <c:v>29334.568312520292</c:v>
                </c:pt>
                <c:pt idx="253">
                  <c:v>29890.613451197274</c:v>
                </c:pt>
                <c:pt idx="254">
                  <c:v>30456.571122548645</c:v>
                </c:pt>
                <c:pt idx="255">
                  <c:v>31026.79986543144</c:v>
                </c:pt>
                <c:pt idx="256">
                  <c:v>31604.757801015126</c:v>
                </c:pt>
                <c:pt idx="257">
                  <c:v>32194.359053004286</c:v>
                </c:pt>
                <c:pt idx="258">
                  <c:v>32789.434075165402</c:v>
                </c:pt>
                <c:pt idx="259">
                  <c:v>33392.379067310729</c:v>
                </c:pt>
                <c:pt idx="260">
                  <c:v>34004.134063089514</c:v>
                </c:pt>
                <c:pt idx="261">
                  <c:v>34621.226017123976</c:v>
                </c:pt>
                <c:pt idx="262">
                  <c:v>35247.902467615626</c:v>
                </c:pt>
                <c:pt idx="263">
                  <c:v>35885.445198850452</c:v>
                </c:pt>
                <c:pt idx="264">
                  <c:v>36528.001986536081</c:v>
                </c:pt>
                <c:pt idx="265">
                  <c:v>37176.722243792712</c:v>
                </c:pt>
                <c:pt idx="266">
                  <c:v>37836.242506363596</c:v>
                </c:pt>
                <c:pt idx="267">
                  <c:v>38502.962515997322</c:v>
                </c:pt>
                <c:pt idx="268">
                  <c:v>39177.695960439785</c:v>
                </c:pt>
                <c:pt idx="269">
                  <c:v>39863.929687227166</c:v>
                </c:pt>
                <c:pt idx="270">
                  <c:v>40552.326321639099</c:v>
                </c:pt>
                <c:pt idx="271">
                  <c:v>41248.763747561497</c:v>
                </c:pt>
                <c:pt idx="272">
                  <c:v>41959.112861361864</c:v>
                </c:pt>
                <c:pt idx="273">
                  <c:v>42674.087317722209</c:v>
                </c:pt>
                <c:pt idx="274">
                  <c:v>43396.829434647589</c:v>
                </c:pt>
                <c:pt idx="275">
                  <c:v>44130.720394210904</c:v>
                </c:pt>
                <c:pt idx="276">
                  <c:v>44872.948569640183</c:v>
                </c:pt>
                <c:pt idx="277">
                  <c:v>45624.522573874878</c:v>
                </c:pt>
                <c:pt idx="278">
                  <c:v>46385.49489831493</c:v>
                </c:pt>
                <c:pt idx="279">
                  <c:v>47153.302728083625</c:v>
                </c:pt>
                <c:pt idx="280">
                  <c:v>47927.722575287131</c:v>
                </c:pt>
                <c:pt idx="281">
                  <c:v>48712.174263424145</c:v>
                </c:pt>
                <c:pt idx="282">
                  <c:v>49503.981796602333</c:v>
                </c:pt>
                <c:pt idx="283">
                  <c:v>50303.921856706082</c:v>
                </c:pt>
                <c:pt idx="284">
                  <c:v>51113.540786924052</c:v>
                </c:pt>
                <c:pt idx="285">
                  <c:v>51928.099576761968</c:v>
                </c:pt>
                <c:pt idx="286">
                  <c:v>52750.06328123936</c:v>
                </c:pt>
                <c:pt idx="287">
                  <c:v>53583.729468199403</c:v>
                </c:pt>
                <c:pt idx="288">
                  <c:v>54423.136955713941</c:v>
                </c:pt>
                <c:pt idx="289">
                  <c:v>55270.932207723454</c:v>
                </c:pt>
                <c:pt idx="290">
                  <c:v>56126.623791225989</c:v>
                </c:pt>
                <c:pt idx="291">
                  <c:v>56987.915171087865</c:v>
                </c:pt>
                <c:pt idx="292">
                  <c:v>57858.575245532942</c:v>
                </c:pt>
                <c:pt idx="293">
                  <c:v>58739.469396985347</c:v>
                </c:pt>
                <c:pt idx="294">
                  <c:v>59624.748522856476</c:v>
                </c:pt>
                <c:pt idx="295">
                  <c:v>60515.739745223051</c:v>
                </c:pt>
                <c:pt idx="296">
                  <c:v>61416.489760989578</c:v>
                </c:pt>
                <c:pt idx="297">
                  <c:v>62324.561407573485</c:v>
                </c:pt>
                <c:pt idx="298">
                  <c:v>63238.799908908564</c:v>
                </c:pt>
                <c:pt idx="299">
                  <c:v>64162.751392696686</c:v>
                </c:pt>
                <c:pt idx="300">
                  <c:v>65089.000004449052</c:v>
                </c:pt>
                <c:pt idx="301">
                  <c:v>66022.731691732348</c:v>
                </c:pt>
                <c:pt idx="302">
                  <c:v>66968.513589846465</c:v>
                </c:pt>
                <c:pt idx="303">
                  <c:v>67918.680180705793</c:v>
                </c:pt>
                <c:pt idx="304">
                  <c:v>68874.217483742366</c:v>
                </c:pt>
                <c:pt idx="305">
                  <c:v>69836.989175992596</c:v>
                </c:pt>
                <c:pt idx="306">
                  <c:v>70815.133778753749</c:v>
                </c:pt>
                <c:pt idx="307">
                  <c:v>71802.927350861457</c:v>
                </c:pt>
                <c:pt idx="308">
                  <c:v>72798.50761011173</c:v>
                </c:pt>
                <c:pt idx="309">
                  <c:v>73799.251030225991</c:v>
                </c:pt>
                <c:pt idx="310">
                  <c:v>74805.645305940285</c:v>
                </c:pt>
                <c:pt idx="311">
                  <c:v>75820.427454287288</c:v>
                </c:pt>
                <c:pt idx="312">
                  <c:v>76838.641336753688</c:v>
                </c:pt>
                <c:pt idx="313">
                  <c:v>77862.558918317765</c:v>
                </c:pt>
                <c:pt idx="314">
                  <c:v>78894.134252839111</c:v>
                </c:pt>
                <c:pt idx="315">
                  <c:v>79929.100253142824</c:v>
                </c:pt>
                <c:pt idx="316">
                  <c:v>80968.659892049589</c:v>
                </c:pt>
                <c:pt idx="317">
                  <c:v>82016.51424228659</c:v>
                </c:pt>
                <c:pt idx="318">
                  <c:v>83065.545019116747</c:v>
                </c:pt>
                <c:pt idx="319">
                  <c:v>84119.423200265432</c:v>
                </c:pt>
                <c:pt idx="320">
                  <c:v>85178.25612454825</c:v>
                </c:pt>
                <c:pt idx="321">
                  <c:v>86238.577454782178</c:v>
                </c:pt>
                <c:pt idx="322">
                  <c:v>87300.106221593931</c:v>
                </c:pt>
                <c:pt idx="323">
                  <c:v>88368.616048796495</c:v>
                </c:pt>
                <c:pt idx="324">
                  <c:v>89434.989952991382</c:v>
                </c:pt>
                <c:pt idx="325">
                  <c:v>90504.50105250963</c:v>
                </c:pt>
                <c:pt idx="326">
                  <c:v>91587.400531931329</c:v>
                </c:pt>
                <c:pt idx="327">
                  <c:v>92670.84811613831</c:v>
                </c:pt>
                <c:pt idx="328">
                  <c:v>93765.561507727369</c:v>
                </c:pt>
                <c:pt idx="329">
                  <c:v>94873.413902988599</c:v>
                </c:pt>
                <c:pt idx="330">
                  <c:v>95975.789129925062</c:v>
                </c:pt>
                <c:pt idx="331">
                  <c:v>97080.975155709311</c:v>
                </c:pt>
                <c:pt idx="332">
                  <c:v>98201.594739628912</c:v>
                </c:pt>
                <c:pt idx="333">
                  <c:v>99321.381567178498</c:v>
                </c:pt>
                <c:pt idx="334">
                  <c:v>100446.73666107781</c:v>
                </c:pt>
                <c:pt idx="335">
                  <c:v>101571.40298609264</c:v>
                </c:pt>
                <c:pt idx="336">
                  <c:v>102605.66577527164</c:v>
                </c:pt>
                <c:pt idx="337">
                  <c:v>103689.06374389982</c:v>
                </c:pt>
                <c:pt idx="338">
                  <c:v>104812.9972498406</c:v>
                </c:pt>
                <c:pt idx="339">
                  <c:v>105908.05941850285</c:v>
                </c:pt>
                <c:pt idx="340">
                  <c:v>106991.72021941094</c:v>
                </c:pt>
                <c:pt idx="341">
                  <c:v>108110.46085507811</c:v>
                </c:pt>
                <c:pt idx="342">
                  <c:v>109217.33547711291</c:v>
                </c:pt>
                <c:pt idx="343">
                  <c:v>110327.09867296934</c:v>
                </c:pt>
                <c:pt idx="344">
                  <c:v>111475.03358891615</c:v>
                </c:pt>
                <c:pt idx="345">
                  <c:v>112580.5253574935</c:v>
                </c:pt>
                <c:pt idx="346">
                  <c:v>113690.13779595472</c:v>
                </c:pt>
                <c:pt idx="347">
                  <c:v>114849.52119830264</c:v>
                </c:pt>
                <c:pt idx="348">
                  <c:v>115978.73792556467</c:v>
                </c:pt>
                <c:pt idx="349">
                  <c:v>117108.91680807431</c:v>
                </c:pt>
                <c:pt idx="350">
                  <c:v>118260.41224336844</c:v>
                </c:pt>
                <c:pt idx="351">
                  <c:v>119380.23854153356</c:v>
                </c:pt>
                <c:pt idx="352">
                  <c:v>120518.61428409317</c:v>
                </c:pt>
                <c:pt idx="353">
                  <c:v>121694.94438198335</c:v>
                </c:pt>
                <c:pt idx="354">
                  <c:v>122837.74225470437</c:v>
                </c:pt>
                <c:pt idx="355">
                  <c:v>123965.41864888139</c:v>
                </c:pt>
                <c:pt idx="356">
                  <c:v>125125.24046302763</c:v>
                </c:pt>
                <c:pt idx="357">
                  <c:v>126268.46086144116</c:v>
                </c:pt>
                <c:pt idx="358">
                  <c:v>127416.42618338886</c:v>
                </c:pt>
                <c:pt idx="359">
                  <c:v>128600.55418438672</c:v>
                </c:pt>
                <c:pt idx="360">
                  <c:v>129731.67720906429</c:v>
                </c:pt>
                <c:pt idx="361">
                  <c:v>130863.21425705271</c:v>
                </c:pt>
                <c:pt idx="362">
                  <c:v>132048.85959679616</c:v>
                </c:pt>
                <c:pt idx="363">
                  <c:v>133198.32817873723</c:v>
                </c:pt>
                <c:pt idx="364">
                  <c:v>134341.2827397582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B9-472B-872B-45972FD7C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12174944"/>
        <c:axId val="-1812178208"/>
      </c:areaChart>
      <c:dateAx>
        <c:axId val="-1812174944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12178208"/>
        <c:crosses val="autoZero"/>
        <c:auto val="1"/>
        <c:lblOffset val="100"/>
        <c:baseTimeUnit val="days"/>
      </c:dateAx>
      <c:valAx>
        <c:axId val="-181217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金額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12174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20</xdr:row>
      <xdr:rowOff>144448</xdr:rowOff>
    </xdr:from>
    <xdr:to>
      <xdr:col>7</xdr:col>
      <xdr:colOff>605750</xdr:colOff>
      <xdr:row>41</xdr:row>
      <xdr:rowOff>143998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13606</xdr:colOff>
      <xdr:row>0</xdr:row>
      <xdr:rowOff>0</xdr:rowOff>
    </xdr:from>
    <xdr:to>
      <xdr:col>7</xdr:col>
      <xdr:colOff>613006</xdr:colOff>
      <xdr:row>20</xdr:row>
      <xdr:rowOff>171000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609601</xdr:colOff>
      <xdr:row>0</xdr:row>
      <xdr:rowOff>0</xdr:rowOff>
    </xdr:from>
    <xdr:to>
      <xdr:col>15</xdr:col>
      <xdr:colOff>523201</xdr:colOff>
      <xdr:row>20</xdr:row>
      <xdr:rowOff>171000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609600</xdr:colOff>
      <xdr:row>20</xdr:row>
      <xdr:rowOff>165272</xdr:rowOff>
    </xdr:from>
    <xdr:to>
      <xdr:col>15</xdr:col>
      <xdr:colOff>523200</xdr:colOff>
      <xdr:row>41</xdr:row>
      <xdr:rowOff>164822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168487</xdr:rowOff>
    </xdr:from>
    <xdr:to>
      <xdr:col>7</xdr:col>
      <xdr:colOff>599400</xdr:colOff>
      <xdr:row>41</xdr:row>
      <xdr:rowOff>168037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2116</xdr:colOff>
      <xdr:row>0</xdr:row>
      <xdr:rowOff>9525</xdr:rowOff>
    </xdr:from>
    <xdr:to>
      <xdr:col>7</xdr:col>
      <xdr:colOff>601516</xdr:colOff>
      <xdr:row>21</xdr:row>
      <xdr:rowOff>9075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600076</xdr:colOff>
      <xdr:row>0</xdr:row>
      <xdr:rowOff>0</xdr:rowOff>
    </xdr:from>
    <xdr:to>
      <xdr:col>15</xdr:col>
      <xdr:colOff>513676</xdr:colOff>
      <xdr:row>20</xdr:row>
      <xdr:rowOff>171000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600075</xdr:colOff>
      <xdr:row>20</xdr:row>
      <xdr:rowOff>149664</xdr:rowOff>
    </xdr:from>
    <xdr:to>
      <xdr:col>15</xdr:col>
      <xdr:colOff>513675</xdr:colOff>
      <xdr:row>41</xdr:row>
      <xdr:rowOff>149214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26823</xdr:colOff>
      <xdr:row>14</xdr:row>
      <xdr:rowOff>124037</xdr:rowOff>
    </xdr:from>
    <xdr:to>
      <xdr:col>27</xdr:col>
      <xdr:colOff>685635</xdr:colOff>
      <xdr:row>30</xdr:row>
      <xdr:rowOff>37536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24554</xdr:colOff>
      <xdr:row>0</xdr:row>
      <xdr:rowOff>0</xdr:rowOff>
    </xdr:from>
    <xdr:to>
      <xdr:col>27</xdr:col>
      <xdr:colOff>683366</xdr:colOff>
      <xdr:row>14</xdr:row>
      <xdr:rowOff>102279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10949</xdr:colOff>
      <xdr:row>30</xdr:row>
      <xdr:rowOff>32844</xdr:rowOff>
    </xdr:from>
    <xdr:to>
      <xdr:col>27</xdr:col>
      <xdr:colOff>669761</xdr:colOff>
      <xdr:row>45</xdr:row>
      <xdr:rowOff>121516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10948</xdr:colOff>
      <xdr:row>45</xdr:row>
      <xdr:rowOff>109483</xdr:rowOff>
    </xdr:from>
    <xdr:to>
      <xdr:col>27</xdr:col>
      <xdr:colOff>647863</xdr:colOff>
      <xdr:row>61</xdr:row>
      <xdr:rowOff>22983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K366"/>
  <sheetViews>
    <sheetView workbookViewId="0">
      <selection activeCell="N136" sqref="N136"/>
    </sheetView>
  </sheetViews>
  <sheetFormatPr defaultRowHeight="14.5"/>
  <sheetData>
    <row r="1" spans="1:11">
      <c r="A1" s="25" t="s">
        <v>26</v>
      </c>
      <c r="B1" s="25" t="s">
        <v>27</v>
      </c>
      <c r="C1" s="25" t="s">
        <v>30</v>
      </c>
      <c r="D1" s="25" t="s">
        <v>33</v>
      </c>
      <c r="E1" s="25" t="s">
        <v>28</v>
      </c>
      <c r="F1" s="25" t="s">
        <v>29</v>
      </c>
      <c r="G1" s="25" t="s">
        <v>34</v>
      </c>
      <c r="H1" s="25" t="s">
        <v>37</v>
      </c>
      <c r="J1" s="29" t="s">
        <v>40</v>
      </c>
      <c r="K1" s="29"/>
    </row>
    <row r="2" spans="1:11">
      <c r="A2" s="8">
        <v>6495.55</v>
      </c>
      <c r="B2" s="8">
        <v>3830.43</v>
      </c>
      <c r="C2" s="8">
        <v>18.95</v>
      </c>
      <c r="D2" s="8">
        <v>0</v>
      </c>
      <c r="E2" s="8">
        <v>0</v>
      </c>
      <c r="F2" s="8">
        <v>50425.58</v>
      </c>
      <c r="G2" s="8">
        <v>2934.14</v>
      </c>
      <c r="H2" s="8">
        <v>0</v>
      </c>
      <c r="J2" s="26" t="s">
        <v>38</v>
      </c>
      <c r="K2" s="27">
        <v>0</v>
      </c>
    </row>
    <row r="3" spans="1:11">
      <c r="A3" s="8">
        <v>6491.1</v>
      </c>
      <c r="B3" s="8">
        <v>3803.79</v>
      </c>
      <c r="C3" s="8">
        <v>18.579999999999998</v>
      </c>
      <c r="D3" s="8">
        <v>0</v>
      </c>
      <c r="E3" s="8">
        <v>0</v>
      </c>
      <c r="F3" s="8">
        <v>50300.15</v>
      </c>
      <c r="G3" s="8">
        <v>2844.5</v>
      </c>
      <c r="H3" s="8">
        <v>0</v>
      </c>
      <c r="J3" s="26" t="s">
        <v>39</v>
      </c>
      <c r="K3" s="27">
        <v>0</v>
      </c>
    </row>
    <row r="4" spans="1:11">
      <c r="A4" s="8">
        <v>6486.66</v>
      </c>
      <c r="B4" s="8">
        <v>3785.83</v>
      </c>
      <c r="C4" s="8">
        <v>18.41</v>
      </c>
      <c r="D4" s="8">
        <v>0</v>
      </c>
      <c r="E4" s="8">
        <v>0</v>
      </c>
      <c r="F4" s="8">
        <v>50175.040000000001</v>
      </c>
      <c r="G4" s="8">
        <v>2837.42</v>
      </c>
      <c r="H4" s="8">
        <v>0</v>
      </c>
    </row>
    <row r="5" spans="1:11">
      <c r="A5" s="8">
        <v>6482.22</v>
      </c>
      <c r="B5" s="8">
        <v>3759.33</v>
      </c>
      <c r="C5" s="8">
        <v>18.059999999999999</v>
      </c>
      <c r="D5" s="8">
        <v>0</v>
      </c>
      <c r="E5" s="8">
        <v>0</v>
      </c>
      <c r="F5" s="8">
        <v>50050.239999999998</v>
      </c>
      <c r="G5" s="8">
        <v>2753.94</v>
      </c>
      <c r="H5" s="8">
        <v>0</v>
      </c>
    </row>
    <row r="6" spans="1:11">
      <c r="A6" s="8">
        <v>6477.78</v>
      </c>
      <c r="B6" s="8">
        <v>3752.25</v>
      </c>
      <c r="C6" s="8">
        <v>17.899999999999999</v>
      </c>
      <c r="D6" s="8">
        <v>0</v>
      </c>
      <c r="E6" s="8">
        <v>0</v>
      </c>
      <c r="F6" s="8">
        <v>49925.75</v>
      </c>
      <c r="G6" s="8">
        <v>2747.09</v>
      </c>
      <c r="H6" s="8">
        <v>0</v>
      </c>
    </row>
    <row r="7" spans="1:11">
      <c r="A7" s="8">
        <v>6473.34</v>
      </c>
      <c r="B7" s="8">
        <v>3710.2</v>
      </c>
      <c r="C7" s="8">
        <v>17.52</v>
      </c>
      <c r="D7" s="8">
        <v>0</v>
      </c>
      <c r="E7" s="8">
        <v>0</v>
      </c>
      <c r="F7" s="8">
        <v>49801.57</v>
      </c>
      <c r="G7" s="8">
        <v>2665.46</v>
      </c>
      <c r="H7" s="8">
        <v>0</v>
      </c>
    </row>
    <row r="8" spans="1:11">
      <c r="A8" s="8">
        <v>6468.91</v>
      </c>
      <c r="B8" s="8">
        <v>3707.66</v>
      </c>
      <c r="C8" s="8">
        <v>17.41</v>
      </c>
      <c r="D8" s="8">
        <v>0</v>
      </c>
      <c r="E8" s="8">
        <v>0</v>
      </c>
      <c r="F8" s="8">
        <v>49677.7</v>
      </c>
      <c r="G8" s="8">
        <v>2658.83</v>
      </c>
      <c r="H8" s="8">
        <v>0</v>
      </c>
    </row>
    <row r="9" spans="1:11">
      <c r="A9" s="8">
        <v>6464.48</v>
      </c>
      <c r="B9" s="8">
        <v>3680.12</v>
      </c>
      <c r="C9" s="8">
        <v>17.079999999999998</v>
      </c>
      <c r="D9" s="8">
        <v>0</v>
      </c>
      <c r="E9" s="8">
        <v>0</v>
      </c>
      <c r="F9" s="8">
        <v>49554.13</v>
      </c>
      <c r="G9" s="8">
        <v>2581.6</v>
      </c>
      <c r="H9" s="8">
        <v>0</v>
      </c>
    </row>
    <row r="10" spans="1:11">
      <c r="A10" s="8">
        <v>6460.05</v>
      </c>
      <c r="B10" s="8">
        <v>3663.29</v>
      </c>
      <c r="C10" s="8">
        <v>16.940000000000001</v>
      </c>
      <c r="D10" s="8">
        <v>0</v>
      </c>
      <c r="E10" s="8">
        <v>0</v>
      </c>
      <c r="F10" s="8">
        <v>49430.879999999997</v>
      </c>
      <c r="G10" s="8">
        <v>2575.1799999999998</v>
      </c>
      <c r="H10" s="8">
        <v>0</v>
      </c>
    </row>
    <row r="11" spans="1:11">
      <c r="A11" s="8">
        <v>6455.63</v>
      </c>
      <c r="B11" s="8">
        <v>3631.43</v>
      </c>
      <c r="C11" s="8">
        <v>16.59</v>
      </c>
      <c r="D11" s="8">
        <v>0</v>
      </c>
      <c r="E11" s="8">
        <v>0</v>
      </c>
      <c r="F11" s="8">
        <v>49307.93</v>
      </c>
      <c r="G11" s="8">
        <v>2497.9</v>
      </c>
      <c r="H11" s="8">
        <v>0</v>
      </c>
    </row>
    <row r="12" spans="1:11">
      <c r="A12" s="8">
        <v>6451.21</v>
      </c>
      <c r="B12" s="8">
        <v>3628.95</v>
      </c>
      <c r="C12" s="8">
        <v>16.489999999999998</v>
      </c>
      <c r="D12" s="8">
        <v>0</v>
      </c>
      <c r="E12" s="8">
        <v>0</v>
      </c>
      <c r="F12" s="8">
        <v>49185.279999999999</v>
      </c>
      <c r="G12" s="8">
        <v>2491.69</v>
      </c>
      <c r="H12" s="8">
        <v>0</v>
      </c>
    </row>
    <row r="13" spans="1:11">
      <c r="A13" s="8">
        <v>6446.79</v>
      </c>
      <c r="B13" s="8">
        <v>3587.52</v>
      </c>
      <c r="C13" s="8">
        <v>16.13</v>
      </c>
      <c r="D13" s="8">
        <v>0</v>
      </c>
      <c r="E13" s="8">
        <v>0</v>
      </c>
      <c r="F13" s="8">
        <v>49062.94</v>
      </c>
      <c r="G13" s="8">
        <v>2418.7800000000002</v>
      </c>
      <c r="H13" s="8">
        <v>0</v>
      </c>
    </row>
    <row r="14" spans="1:11">
      <c r="A14" s="8">
        <v>6442.38</v>
      </c>
      <c r="B14" s="8">
        <v>3585.07</v>
      </c>
      <c r="C14" s="8">
        <v>16.03</v>
      </c>
      <c r="D14" s="8">
        <v>0</v>
      </c>
      <c r="E14" s="8">
        <v>0</v>
      </c>
      <c r="F14" s="8">
        <v>48940.91</v>
      </c>
      <c r="G14" s="8">
        <v>2412.77</v>
      </c>
      <c r="H14" s="8">
        <v>0</v>
      </c>
    </row>
    <row r="15" spans="1:11">
      <c r="A15" s="8">
        <v>6437.97</v>
      </c>
      <c r="B15" s="8">
        <v>3557.2</v>
      </c>
      <c r="C15" s="8">
        <v>15.74</v>
      </c>
      <c r="D15" s="8">
        <v>0</v>
      </c>
      <c r="E15" s="8">
        <v>0</v>
      </c>
      <c r="F15" s="8">
        <v>48819.18</v>
      </c>
      <c r="G15" s="8">
        <v>2340.96</v>
      </c>
      <c r="H15" s="8">
        <v>0</v>
      </c>
    </row>
    <row r="16" spans="1:11">
      <c r="A16" s="8">
        <v>6433.56</v>
      </c>
      <c r="B16" s="8">
        <v>3537.31</v>
      </c>
      <c r="C16" s="8">
        <v>15.57</v>
      </c>
      <c r="D16" s="8">
        <v>0</v>
      </c>
      <c r="E16" s="8">
        <v>0</v>
      </c>
      <c r="F16" s="8">
        <v>48697.75</v>
      </c>
      <c r="G16" s="8">
        <v>2335.14</v>
      </c>
      <c r="H16" s="8">
        <v>0</v>
      </c>
    </row>
    <row r="17" spans="1:8">
      <c r="A17" s="8">
        <v>6429.16</v>
      </c>
      <c r="B17" s="8">
        <v>3509.65</v>
      </c>
      <c r="C17" s="8">
        <v>15.26</v>
      </c>
      <c r="D17" s="8">
        <v>0</v>
      </c>
      <c r="E17" s="8">
        <v>0</v>
      </c>
      <c r="F17" s="8">
        <v>48576.62</v>
      </c>
      <c r="G17" s="8">
        <v>2265.29</v>
      </c>
      <c r="H17" s="8">
        <v>0</v>
      </c>
    </row>
    <row r="18" spans="1:8">
      <c r="A18" s="8">
        <v>6424.75</v>
      </c>
      <c r="B18" s="8">
        <v>3507.24</v>
      </c>
      <c r="C18" s="8">
        <v>15.17</v>
      </c>
      <c r="D18" s="8">
        <v>0</v>
      </c>
      <c r="E18" s="8">
        <v>0</v>
      </c>
      <c r="F18" s="8">
        <v>48455.8</v>
      </c>
      <c r="G18" s="8">
        <v>2259.65</v>
      </c>
      <c r="H18" s="8">
        <v>0</v>
      </c>
    </row>
    <row r="19" spans="1:8">
      <c r="A19" s="8">
        <v>6420.35</v>
      </c>
      <c r="B19" s="8">
        <v>3466.37</v>
      </c>
      <c r="C19" s="8">
        <v>14.85</v>
      </c>
      <c r="D19" s="8">
        <v>0</v>
      </c>
      <c r="E19" s="8">
        <v>0</v>
      </c>
      <c r="F19" s="8">
        <v>48335.27</v>
      </c>
      <c r="G19" s="8">
        <v>2192.84</v>
      </c>
      <c r="H19" s="8">
        <v>0</v>
      </c>
    </row>
    <row r="20" spans="1:8">
      <c r="A20" s="8">
        <v>6415.96</v>
      </c>
      <c r="B20" s="8">
        <v>3464</v>
      </c>
      <c r="C20" s="8">
        <v>14.76</v>
      </c>
      <c r="D20" s="8">
        <v>0</v>
      </c>
      <c r="E20" s="8">
        <v>0</v>
      </c>
      <c r="F20" s="8">
        <v>48215.05</v>
      </c>
      <c r="G20" s="8">
        <v>2187.38</v>
      </c>
      <c r="H20" s="8">
        <v>0</v>
      </c>
    </row>
    <row r="21" spans="1:8">
      <c r="A21" s="8">
        <v>6411.57</v>
      </c>
      <c r="B21" s="8">
        <v>3431.83</v>
      </c>
      <c r="C21" s="8">
        <v>14.44</v>
      </c>
      <c r="D21" s="8">
        <v>0</v>
      </c>
      <c r="E21" s="8">
        <v>0</v>
      </c>
      <c r="F21" s="8">
        <v>48095.12</v>
      </c>
      <c r="G21" s="8">
        <v>2122.81</v>
      </c>
      <c r="H21" s="8">
        <v>0</v>
      </c>
    </row>
    <row r="22" spans="1:8">
      <c r="A22" s="8">
        <v>6407.18</v>
      </c>
      <c r="B22" s="8">
        <v>3416.98</v>
      </c>
      <c r="C22" s="8">
        <v>14.32</v>
      </c>
      <c r="D22" s="8">
        <v>0</v>
      </c>
      <c r="E22" s="8">
        <v>0</v>
      </c>
      <c r="F22" s="8">
        <v>47975.49</v>
      </c>
      <c r="G22" s="8">
        <v>2117.5300000000002</v>
      </c>
      <c r="H22" s="8">
        <v>0</v>
      </c>
    </row>
    <row r="23" spans="1:8">
      <c r="A23" s="8">
        <v>6402.79</v>
      </c>
      <c r="B23" s="8">
        <v>3389.31</v>
      </c>
      <c r="C23" s="8">
        <v>14.05</v>
      </c>
      <c r="D23" s="8">
        <v>0</v>
      </c>
      <c r="E23" s="8">
        <v>0</v>
      </c>
      <c r="F23" s="8">
        <v>47856.160000000003</v>
      </c>
      <c r="G23" s="8">
        <v>2053.96</v>
      </c>
      <c r="H23" s="8">
        <v>0</v>
      </c>
    </row>
    <row r="24" spans="1:8">
      <c r="A24" s="8">
        <v>6398.41</v>
      </c>
      <c r="B24" s="8">
        <v>3386.99</v>
      </c>
      <c r="C24" s="8">
        <v>13.97</v>
      </c>
      <c r="D24" s="8">
        <v>0</v>
      </c>
      <c r="E24" s="8">
        <v>0</v>
      </c>
      <c r="F24" s="8">
        <v>47737.13</v>
      </c>
      <c r="G24" s="8">
        <v>2048.85</v>
      </c>
      <c r="H24" s="8">
        <v>0</v>
      </c>
    </row>
    <row r="25" spans="1:8">
      <c r="A25" s="8">
        <v>6394.02</v>
      </c>
      <c r="B25" s="8">
        <v>3346.86</v>
      </c>
      <c r="C25" s="8">
        <v>13.66</v>
      </c>
      <c r="D25" s="8">
        <v>0</v>
      </c>
      <c r="E25" s="8">
        <v>0</v>
      </c>
      <c r="F25" s="8">
        <v>47618.39</v>
      </c>
      <c r="G25" s="8">
        <v>1988.16</v>
      </c>
      <c r="H25" s="8">
        <v>0</v>
      </c>
    </row>
    <row r="26" spans="1:8">
      <c r="A26" s="8">
        <v>6389.65</v>
      </c>
      <c r="B26" s="8">
        <v>3340.43</v>
      </c>
      <c r="C26" s="8">
        <v>13.54</v>
      </c>
      <c r="D26" s="8">
        <v>0</v>
      </c>
      <c r="E26" s="8">
        <v>0</v>
      </c>
      <c r="F26" s="8">
        <v>47499.95</v>
      </c>
      <c r="G26" s="8">
        <v>1983.22</v>
      </c>
      <c r="H26" s="8">
        <v>0</v>
      </c>
    </row>
    <row r="27" spans="1:8">
      <c r="A27" s="8">
        <v>6385.27</v>
      </c>
      <c r="B27" s="8">
        <v>3312.78</v>
      </c>
      <c r="C27" s="8">
        <v>13.29</v>
      </c>
      <c r="D27" s="8">
        <v>0</v>
      </c>
      <c r="E27" s="8">
        <v>0</v>
      </c>
      <c r="F27" s="8">
        <v>47381.8</v>
      </c>
      <c r="G27" s="8">
        <v>1924.09</v>
      </c>
      <c r="H27" s="8">
        <v>0</v>
      </c>
    </row>
    <row r="28" spans="1:8">
      <c r="A28" s="8">
        <v>6380.9</v>
      </c>
      <c r="B28" s="8">
        <v>3298.53</v>
      </c>
      <c r="C28" s="8">
        <v>13.18</v>
      </c>
      <c r="D28" s="8">
        <v>0</v>
      </c>
      <c r="E28" s="8">
        <v>0</v>
      </c>
      <c r="F28" s="8">
        <v>47263.95</v>
      </c>
      <c r="G28" s="8">
        <v>1919.3</v>
      </c>
      <c r="H28" s="8">
        <v>0</v>
      </c>
    </row>
    <row r="29" spans="1:8">
      <c r="A29" s="8">
        <v>6376.53</v>
      </c>
      <c r="B29" s="8">
        <v>3270.91</v>
      </c>
      <c r="C29" s="8">
        <v>12.92</v>
      </c>
      <c r="D29" s="8">
        <v>0</v>
      </c>
      <c r="E29" s="8">
        <v>0</v>
      </c>
      <c r="F29" s="8">
        <v>47146.39</v>
      </c>
      <c r="G29" s="8">
        <v>1862.57</v>
      </c>
      <c r="H29" s="8">
        <v>0</v>
      </c>
    </row>
    <row r="30" spans="1:8">
      <c r="A30" s="8">
        <v>6372.16</v>
      </c>
      <c r="B30" s="8">
        <v>3268.67</v>
      </c>
      <c r="C30" s="8">
        <v>12.84</v>
      </c>
      <c r="D30" s="8">
        <v>0</v>
      </c>
      <c r="E30" s="8">
        <v>0</v>
      </c>
      <c r="F30" s="8">
        <v>47029.120000000003</v>
      </c>
      <c r="G30" s="8">
        <v>1857.93</v>
      </c>
      <c r="H30" s="8">
        <v>0</v>
      </c>
    </row>
    <row r="31" spans="1:8">
      <c r="A31" s="8">
        <v>6367.8</v>
      </c>
      <c r="B31" s="8">
        <v>3225.24</v>
      </c>
      <c r="C31" s="8">
        <v>12.54</v>
      </c>
      <c r="D31" s="8">
        <v>0</v>
      </c>
      <c r="E31" s="8">
        <v>0</v>
      </c>
      <c r="F31" s="8">
        <v>46912.15</v>
      </c>
      <c r="G31" s="8">
        <v>1802.91</v>
      </c>
      <c r="H31" s="8">
        <v>0</v>
      </c>
    </row>
    <row r="32" spans="1:8">
      <c r="A32" s="8">
        <v>6363.44</v>
      </c>
      <c r="B32" s="8">
        <v>3223.03</v>
      </c>
      <c r="C32" s="8">
        <v>12.47</v>
      </c>
      <c r="D32" s="8">
        <v>0</v>
      </c>
      <c r="E32" s="8">
        <v>0</v>
      </c>
      <c r="F32" s="8">
        <v>46795.46</v>
      </c>
      <c r="G32" s="8">
        <v>1798.43</v>
      </c>
      <c r="H32" s="8">
        <v>0</v>
      </c>
    </row>
    <row r="33" spans="1:8">
      <c r="A33" s="8">
        <v>6359.08</v>
      </c>
      <c r="B33" s="8">
        <v>3197.27</v>
      </c>
      <c r="C33" s="8">
        <v>12.24</v>
      </c>
      <c r="D33" s="8">
        <v>0</v>
      </c>
      <c r="E33" s="8">
        <v>0</v>
      </c>
      <c r="F33" s="8">
        <v>46679.07</v>
      </c>
      <c r="G33" s="8">
        <v>1749.16</v>
      </c>
      <c r="H33" s="8">
        <v>0</v>
      </c>
    </row>
    <row r="34" spans="1:8">
      <c r="A34" s="8">
        <v>6354.73</v>
      </c>
      <c r="B34" s="8">
        <v>3175.57</v>
      </c>
      <c r="C34" s="8">
        <v>12.1</v>
      </c>
      <c r="D34" s="8">
        <v>0</v>
      </c>
      <c r="E34" s="8">
        <v>0</v>
      </c>
      <c r="F34" s="8">
        <v>46562.96</v>
      </c>
      <c r="G34" s="8">
        <v>1744.81</v>
      </c>
      <c r="H34" s="8">
        <v>0</v>
      </c>
    </row>
    <row r="35" spans="1:8">
      <c r="A35" s="8">
        <v>6350.38</v>
      </c>
      <c r="B35" s="8">
        <v>3149.82</v>
      </c>
      <c r="C35" s="8">
        <v>11.89</v>
      </c>
      <c r="D35" s="8">
        <v>0</v>
      </c>
      <c r="E35" s="8">
        <v>0</v>
      </c>
      <c r="F35" s="8">
        <v>46447.14</v>
      </c>
      <c r="G35" s="8">
        <v>1696.9</v>
      </c>
      <c r="H35" s="8">
        <v>0</v>
      </c>
    </row>
    <row r="36" spans="1:8">
      <c r="A36" s="8">
        <v>6346.03</v>
      </c>
      <c r="B36" s="8">
        <v>3140</v>
      </c>
      <c r="C36" s="8">
        <v>11.77</v>
      </c>
      <c r="D36" s="8">
        <v>0</v>
      </c>
      <c r="E36" s="8">
        <v>0</v>
      </c>
      <c r="F36" s="8">
        <v>46331.61</v>
      </c>
      <c r="G36" s="8">
        <v>1692.68</v>
      </c>
      <c r="H36" s="8">
        <v>0</v>
      </c>
    </row>
    <row r="37" spans="1:8">
      <c r="A37" s="8">
        <v>6341.69</v>
      </c>
      <c r="B37" s="8">
        <v>3095.57</v>
      </c>
      <c r="C37" s="8">
        <v>11.5</v>
      </c>
      <c r="D37" s="8">
        <v>0</v>
      </c>
      <c r="E37" s="8">
        <v>0</v>
      </c>
      <c r="F37" s="8">
        <v>46216.37</v>
      </c>
      <c r="G37" s="8">
        <v>1645.64</v>
      </c>
      <c r="H37" s="8">
        <v>0</v>
      </c>
    </row>
    <row r="38" spans="1:8">
      <c r="A38" s="8">
        <v>6337.34</v>
      </c>
      <c r="B38" s="8">
        <v>3093.45</v>
      </c>
      <c r="C38" s="8">
        <v>11.43</v>
      </c>
      <c r="D38" s="8">
        <v>0</v>
      </c>
      <c r="E38" s="8">
        <v>0</v>
      </c>
      <c r="F38" s="8">
        <v>46101.42</v>
      </c>
      <c r="G38" s="8">
        <v>1641.55</v>
      </c>
      <c r="H38" s="8">
        <v>0</v>
      </c>
    </row>
    <row r="39" spans="1:8">
      <c r="A39" s="8">
        <v>6333</v>
      </c>
      <c r="B39" s="8">
        <v>3067.98</v>
      </c>
      <c r="C39" s="8">
        <v>11.23</v>
      </c>
      <c r="D39" s="8">
        <v>0</v>
      </c>
      <c r="E39" s="8">
        <v>0</v>
      </c>
      <c r="F39" s="8">
        <v>45986.75</v>
      </c>
      <c r="G39" s="8">
        <v>1596.32</v>
      </c>
      <c r="H39" s="8">
        <v>0</v>
      </c>
    </row>
    <row r="40" spans="1:8">
      <c r="A40" s="8">
        <v>6328.67</v>
      </c>
      <c r="B40" s="8">
        <v>3047.35</v>
      </c>
      <c r="C40" s="8">
        <v>11.1</v>
      </c>
      <c r="D40" s="8">
        <v>0</v>
      </c>
      <c r="E40" s="8">
        <v>0</v>
      </c>
      <c r="F40" s="8">
        <v>45872.37</v>
      </c>
      <c r="G40" s="8">
        <v>1592.35</v>
      </c>
      <c r="H40" s="8">
        <v>0</v>
      </c>
    </row>
    <row r="41" spans="1:8">
      <c r="A41" s="8">
        <v>6324.34</v>
      </c>
      <c r="B41" s="8">
        <v>3014.78</v>
      </c>
      <c r="C41" s="8">
        <v>10.85</v>
      </c>
      <c r="D41" s="8">
        <v>0</v>
      </c>
      <c r="E41" s="8">
        <v>0</v>
      </c>
      <c r="F41" s="8">
        <v>45758.27</v>
      </c>
      <c r="G41" s="8">
        <v>1548.5</v>
      </c>
      <c r="H41" s="8">
        <v>0</v>
      </c>
    </row>
    <row r="42" spans="1:8">
      <c r="A42" s="8">
        <v>6320</v>
      </c>
      <c r="B42" s="8">
        <v>3012.72</v>
      </c>
      <c r="C42" s="8">
        <v>10.79</v>
      </c>
      <c r="D42" s="8">
        <v>0</v>
      </c>
      <c r="E42" s="8">
        <v>0</v>
      </c>
      <c r="F42" s="8">
        <v>45644.45</v>
      </c>
      <c r="G42" s="8">
        <v>1544.65</v>
      </c>
      <c r="H42" s="8">
        <v>0</v>
      </c>
    </row>
    <row r="43" spans="1:8">
      <c r="A43" s="8">
        <v>6315.68</v>
      </c>
      <c r="B43" s="8">
        <v>2969.51</v>
      </c>
      <c r="C43" s="8">
        <v>10.55</v>
      </c>
      <c r="D43" s="8">
        <v>0</v>
      </c>
      <c r="E43" s="8">
        <v>0</v>
      </c>
      <c r="F43" s="8">
        <v>45530.92</v>
      </c>
      <c r="G43" s="8">
        <v>1501.29</v>
      </c>
      <c r="H43" s="8">
        <v>0</v>
      </c>
    </row>
    <row r="44" spans="1:8">
      <c r="A44" s="8">
        <v>6311.35</v>
      </c>
      <c r="B44" s="8">
        <v>2967.48</v>
      </c>
      <c r="C44" s="8">
        <v>10.48</v>
      </c>
      <c r="D44" s="8">
        <v>0</v>
      </c>
      <c r="E44" s="8">
        <v>0</v>
      </c>
      <c r="F44" s="8">
        <v>45417.67</v>
      </c>
      <c r="G44" s="8">
        <v>1497.56</v>
      </c>
      <c r="H44" s="8">
        <v>0</v>
      </c>
    </row>
    <row r="45" spans="1:8">
      <c r="A45" s="8">
        <v>6307.03</v>
      </c>
      <c r="B45" s="8">
        <v>2942.79</v>
      </c>
      <c r="C45" s="8">
        <v>10.29</v>
      </c>
      <c r="D45" s="8">
        <v>0</v>
      </c>
      <c r="E45" s="8">
        <v>0</v>
      </c>
      <c r="F45" s="8">
        <v>45304.7</v>
      </c>
      <c r="G45" s="8">
        <v>1455.89</v>
      </c>
      <c r="H45" s="8">
        <v>0</v>
      </c>
    </row>
    <row r="46" spans="1:8">
      <c r="A46" s="8">
        <v>6302.71</v>
      </c>
      <c r="B46" s="8">
        <v>2915.81</v>
      </c>
      <c r="C46" s="8">
        <v>10.130000000000001</v>
      </c>
      <c r="D46" s="8">
        <v>0</v>
      </c>
      <c r="E46" s="8">
        <v>0</v>
      </c>
      <c r="F46" s="8">
        <v>45192.02</v>
      </c>
      <c r="G46" s="8">
        <v>1452.27</v>
      </c>
      <c r="H46" s="8">
        <v>0</v>
      </c>
    </row>
    <row r="47" spans="1:8">
      <c r="A47" s="8">
        <v>6298.4</v>
      </c>
      <c r="B47" s="8">
        <v>2890.98</v>
      </c>
      <c r="C47" s="8">
        <v>9.9600000000000009</v>
      </c>
      <c r="D47" s="8">
        <v>0</v>
      </c>
      <c r="E47" s="8">
        <v>0</v>
      </c>
      <c r="F47" s="8">
        <v>45079.61</v>
      </c>
      <c r="G47" s="8">
        <v>1412.09</v>
      </c>
      <c r="H47" s="8">
        <v>0</v>
      </c>
    </row>
    <row r="48" spans="1:8">
      <c r="A48" s="8">
        <v>6294.09</v>
      </c>
      <c r="B48" s="8">
        <v>2889</v>
      </c>
      <c r="C48" s="8">
        <v>9.9</v>
      </c>
      <c r="D48" s="8">
        <v>0</v>
      </c>
      <c r="E48" s="8">
        <v>0</v>
      </c>
      <c r="F48" s="8">
        <v>44967.48</v>
      </c>
      <c r="G48" s="8">
        <v>1408.58</v>
      </c>
      <c r="H48" s="8">
        <v>0</v>
      </c>
    </row>
    <row r="49" spans="1:8">
      <c r="A49" s="8">
        <v>6289.78</v>
      </c>
      <c r="B49" s="8">
        <v>2847.47</v>
      </c>
      <c r="C49" s="8">
        <v>9.67</v>
      </c>
      <c r="D49" s="8">
        <v>0</v>
      </c>
      <c r="E49" s="8">
        <v>0</v>
      </c>
      <c r="F49" s="8">
        <v>44855.63</v>
      </c>
      <c r="G49" s="8">
        <v>1369.24</v>
      </c>
      <c r="H49" s="8">
        <v>0</v>
      </c>
    </row>
    <row r="50" spans="1:8">
      <c r="A50" s="8">
        <v>6285.47</v>
      </c>
      <c r="B50" s="8">
        <v>2845.52</v>
      </c>
      <c r="C50" s="8">
        <v>9.61</v>
      </c>
      <c r="D50" s="8">
        <v>0</v>
      </c>
      <c r="E50" s="8">
        <v>0</v>
      </c>
      <c r="F50" s="8">
        <v>44744.06</v>
      </c>
      <c r="G50" s="8">
        <v>1365.84</v>
      </c>
      <c r="H50" s="8">
        <v>0</v>
      </c>
    </row>
    <row r="51" spans="1:8">
      <c r="A51" s="8">
        <v>6281.17</v>
      </c>
      <c r="B51" s="8">
        <v>2813.92</v>
      </c>
      <c r="C51" s="8">
        <v>9.4</v>
      </c>
      <c r="D51" s="8">
        <v>0</v>
      </c>
      <c r="E51" s="8">
        <v>0</v>
      </c>
      <c r="F51" s="8">
        <v>44632.77</v>
      </c>
      <c r="G51" s="8">
        <v>1327.76</v>
      </c>
      <c r="H51" s="8">
        <v>0</v>
      </c>
    </row>
    <row r="52" spans="1:8">
      <c r="A52" s="8">
        <v>6276.87</v>
      </c>
      <c r="B52" s="8">
        <v>2795.02</v>
      </c>
      <c r="C52" s="8">
        <v>9.2899999999999991</v>
      </c>
      <c r="D52" s="8">
        <v>0</v>
      </c>
      <c r="E52" s="8">
        <v>0</v>
      </c>
      <c r="F52" s="8">
        <v>44521.760000000002</v>
      </c>
      <c r="G52" s="8">
        <v>1324.45</v>
      </c>
      <c r="H52" s="8">
        <v>0</v>
      </c>
    </row>
    <row r="53" spans="1:8">
      <c r="A53" s="8">
        <v>6272.57</v>
      </c>
      <c r="B53" s="8">
        <v>2771.23</v>
      </c>
      <c r="C53" s="8">
        <v>9.1199999999999992</v>
      </c>
      <c r="D53" s="8">
        <v>0</v>
      </c>
      <c r="E53" s="8">
        <v>0</v>
      </c>
      <c r="F53" s="8">
        <v>44411.02</v>
      </c>
      <c r="G53" s="8">
        <v>1287.8599999999999</v>
      </c>
      <c r="H53" s="8">
        <v>0</v>
      </c>
    </row>
    <row r="54" spans="1:8">
      <c r="A54" s="8">
        <v>6268.27</v>
      </c>
      <c r="B54" s="8">
        <v>2769.34</v>
      </c>
      <c r="C54" s="8">
        <v>9.07</v>
      </c>
      <c r="D54" s="8">
        <v>0</v>
      </c>
      <c r="E54" s="8">
        <v>0</v>
      </c>
      <c r="F54" s="8">
        <v>44300.55</v>
      </c>
      <c r="G54" s="8">
        <v>1284.6600000000001</v>
      </c>
      <c r="H54" s="8">
        <v>0</v>
      </c>
    </row>
    <row r="55" spans="1:8">
      <c r="A55" s="8">
        <v>6263.98</v>
      </c>
      <c r="B55" s="8">
        <v>2728.58</v>
      </c>
      <c r="C55" s="8">
        <v>8.86</v>
      </c>
      <c r="D55" s="8">
        <v>0</v>
      </c>
      <c r="E55" s="8">
        <v>0</v>
      </c>
      <c r="F55" s="8">
        <v>44190.36</v>
      </c>
      <c r="G55" s="8">
        <v>1248.4100000000001</v>
      </c>
      <c r="H55" s="8">
        <v>0</v>
      </c>
    </row>
    <row r="56" spans="1:8">
      <c r="A56" s="8">
        <v>6259.69</v>
      </c>
      <c r="B56" s="8">
        <v>2719.89</v>
      </c>
      <c r="C56" s="8">
        <v>8.77</v>
      </c>
      <c r="D56" s="8">
        <v>0</v>
      </c>
      <c r="E56" s="8">
        <v>0</v>
      </c>
      <c r="F56" s="8">
        <v>44080.45</v>
      </c>
      <c r="G56" s="8">
        <v>1245.3</v>
      </c>
      <c r="H56" s="8">
        <v>0</v>
      </c>
    </row>
    <row r="57" spans="1:8">
      <c r="A57" s="8">
        <v>6255.41</v>
      </c>
      <c r="B57" s="8">
        <v>2696.38</v>
      </c>
      <c r="C57" s="8">
        <v>8.61</v>
      </c>
      <c r="D57" s="8">
        <v>0</v>
      </c>
      <c r="E57" s="8">
        <v>0</v>
      </c>
      <c r="F57" s="8">
        <v>43970.81</v>
      </c>
      <c r="G57" s="8">
        <v>1210.68</v>
      </c>
      <c r="H57" s="8">
        <v>0</v>
      </c>
    </row>
    <row r="58" spans="1:8">
      <c r="A58" s="8">
        <v>6251.12</v>
      </c>
      <c r="B58" s="8">
        <v>2678.29</v>
      </c>
      <c r="C58" s="8">
        <v>8.52</v>
      </c>
      <c r="D58" s="8">
        <v>0</v>
      </c>
      <c r="E58" s="8">
        <v>0</v>
      </c>
      <c r="F58" s="8">
        <v>43861.440000000002</v>
      </c>
      <c r="G58" s="8">
        <v>1207.67</v>
      </c>
      <c r="H58" s="8">
        <v>0</v>
      </c>
    </row>
    <row r="59" spans="1:8">
      <c r="A59" s="8">
        <v>6246.84</v>
      </c>
      <c r="B59" s="8">
        <v>2654.59</v>
      </c>
      <c r="C59" s="8">
        <v>8.3699999999999992</v>
      </c>
      <c r="D59" s="8">
        <v>0</v>
      </c>
      <c r="E59" s="8">
        <v>0</v>
      </c>
      <c r="F59" s="8">
        <v>43752.34</v>
      </c>
      <c r="G59" s="8">
        <v>1173.94</v>
      </c>
      <c r="H59" s="8">
        <v>0</v>
      </c>
    </row>
    <row r="60" spans="1:8">
      <c r="A60" s="8">
        <v>6242.57</v>
      </c>
      <c r="B60" s="8">
        <v>2652.77</v>
      </c>
      <c r="C60" s="8">
        <v>8.32</v>
      </c>
      <c r="D60" s="8">
        <v>0</v>
      </c>
      <c r="E60" s="8">
        <v>0</v>
      </c>
      <c r="F60" s="8">
        <v>43643.51</v>
      </c>
      <c r="G60" s="8">
        <v>1171.02</v>
      </c>
      <c r="H60" s="8">
        <v>0</v>
      </c>
    </row>
    <row r="61" spans="1:8">
      <c r="A61" s="8">
        <v>6238.29</v>
      </c>
      <c r="B61" s="8">
        <v>2607.0500000000002</v>
      </c>
      <c r="C61" s="8">
        <v>8.09</v>
      </c>
      <c r="D61" s="8">
        <v>0</v>
      </c>
      <c r="E61" s="8">
        <v>0</v>
      </c>
      <c r="F61" s="8">
        <v>43534.96</v>
      </c>
      <c r="G61" s="8">
        <v>1138.3900000000001</v>
      </c>
      <c r="H61" s="8">
        <v>0</v>
      </c>
    </row>
    <row r="62" spans="1:8">
      <c r="A62" s="8">
        <v>6234.02</v>
      </c>
      <c r="B62" s="8">
        <v>2605.2600000000002</v>
      </c>
      <c r="C62" s="8">
        <v>8.0399999999999991</v>
      </c>
      <c r="D62" s="8">
        <v>0</v>
      </c>
      <c r="E62" s="8">
        <v>0</v>
      </c>
      <c r="F62" s="8">
        <v>43426.67</v>
      </c>
      <c r="G62" s="8">
        <v>1135.55</v>
      </c>
      <c r="H62" s="8">
        <v>0</v>
      </c>
    </row>
    <row r="63" spans="1:8">
      <c r="A63" s="8">
        <v>6229.75</v>
      </c>
      <c r="B63" s="8">
        <v>2574.65</v>
      </c>
      <c r="C63" s="8">
        <v>7.89</v>
      </c>
      <c r="D63" s="8">
        <v>0</v>
      </c>
      <c r="E63" s="8">
        <v>0</v>
      </c>
      <c r="F63" s="8">
        <v>43126.42</v>
      </c>
      <c r="G63" s="8">
        <v>1098.57</v>
      </c>
      <c r="H63" s="8">
        <v>0</v>
      </c>
    </row>
    <row r="64" spans="1:8">
      <c r="A64" s="8">
        <v>6225.49</v>
      </c>
      <c r="B64" s="8">
        <v>2550.9299999999998</v>
      </c>
      <c r="C64" s="8">
        <v>7.78</v>
      </c>
      <c r="D64" s="8">
        <v>0</v>
      </c>
      <c r="E64" s="8">
        <v>0</v>
      </c>
      <c r="F64" s="8">
        <v>43019.16</v>
      </c>
      <c r="G64" s="8">
        <v>1095.83</v>
      </c>
      <c r="H64" s="8">
        <v>0</v>
      </c>
    </row>
    <row r="65" spans="1:8">
      <c r="A65" s="8">
        <v>6221.22</v>
      </c>
      <c r="B65" s="8">
        <v>2520.4899999999998</v>
      </c>
      <c r="C65" s="8">
        <v>7.62</v>
      </c>
      <c r="D65" s="8">
        <v>0</v>
      </c>
      <c r="E65" s="8">
        <v>0</v>
      </c>
      <c r="F65" s="8">
        <v>42740.11</v>
      </c>
      <c r="G65" s="8">
        <v>1058.32</v>
      </c>
      <c r="H65" s="8">
        <v>0</v>
      </c>
    </row>
    <row r="66" spans="1:8">
      <c r="A66" s="8">
        <v>6216.96</v>
      </c>
      <c r="B66" s="8">
        <v>2509.4699999999998</v>
      </c>
      <c r="C66" s="8">
        <v>7.53</v>
      </c>
      <c r="D66" s="8">
        <v>0</v>
      </c>
      <c r="E66" s="8">
        <v>0</v>
      </c>
      <c r="F66" s="8">
        <v>42633.8</v>
      </c>
      <c r="G66" s="8">
        <v>1055.68</v>
      </c>
      <c r="H66" s="8">
        <v>0</v>
      </c>
    </row>
    <row r="67" spans="1:8">
      <c r="A67" s="8">
        <v>6212.71</v>
      </c>
      <c r="B67" s="8">
        <v>2456.7199999999998</v>
      </c>
      <c r="C67" s="8">
        <v>7.3</v>
      </c>
      <c r="D67" s="8">
        <v>0</v>
      </c>
      <c r="E67" s="8">
        <v>0</v>
      </c>
      <c r="F67" s="8">
        <v>42357.97</v>
      </c>
      <c r="G67" s="8">
        <v>1019.55</v>
      </c>
      <c r="H67" s="8">
        <v>0</v>
      </c>
    </row>
    <row r="68" spans="1:8">
      <c r="A68" s="8">
        <v>6208.45</v>
      </c>
      <c r="B68" s="8">
        <v>2455.04</v>
      </c>
      <c r="C68" s="8">
        <v>7.26</v>
      </c>
      <c r="D68" s="8">
        <v>0</v>
      </c>
      <c r="E68" s="8">
        <v>0</v>
      </c>
      <c r="F68" s="8">
        <v>42252.62</v>
      </c>
      <c r="G68" s="8">
        <v>1017.01</v>
      </c>
      <c r="H68" s="8">
        <v>0</v>
      </c>
    </row>
    <row r="69" spans="1:8">
      <c r="A69" s="8">
        <v>6204.2</v>
      </c>
      <c r="B69" s="8">
        <v>2424.54</v>
      </c>
      <c r="C69" s="8">
        <v>7.1</v>
      </c>
      <c r="D69" s="8">
        <v>0</v>
      </c>
      <c r="E69" s="8">
        <v>0</v>
      </c>
      <c r="F69" s="8">
        <v>41973.46</v>
      </c>
      <c r="G69" s="8">
        <v>982.75</v>
      </c>
      <c r="H69" s="8">
        <v>0</v>
      </c>
    </row>
    <row r="70" spans="1:8">
      <c r="A70" s="8">
        <v>6199.95</v>
      </c>
      <c r="B70" s="8">
        <v>2400.37</v>
      </c>
      <c r="C70" s="8">
        <v>6.99</v>
      </c>
      <c r="D70" s="8">
        <v>0</v>
      </c>
      <c r="E70" s="8">
        <v>0</v>
      </c>
      <c r="F70" s="8">
        <v>41869.06</v>
      </c>
      <c r="G70" s="8">
        <v>980.31</v>
      </c>
      <c r="H70" s="8">
        <v>0</v>
      </c>
    </row>
    <row r="71" spans="1:8">
      <c r="A71" s="8">
        <v>6195.71</v>
      </c>
      <c r="B71" s="8">
        <v>2359.98</v>
      </c>
      <c r="C71" s="8">
        <v>6.78</v>
      </c>
      <c r="D71" s="8">
        <v>0</v>
      </c>
      <c r="E71" s="8">
        <v>0</v>
      </c>
      <c r="F71" s="8">
        <v>41592.71</v>
      </c>
      <c r="G71" s="8">
        <v>946.39</v>
      </c>
      <c r="H71" s="8">
        <v>0</v>
      </c>
    </row>
    <row r="72" spans="1:8">
      <c r="A72" s="8">
        <v>6191.47</v>
      </c>
      <c r="B72" s="8">
        <v>2358.37</v>
      </c>
      <c r="C72" s="8">
        <v>6.74</v>
      </c>
      <c r="D72" s="8">
        <v>0</v>
      </c>
      <c r="E72" s="8">
        <v>0</v>
      </c>
      <c r="F72" s="8">
        <v>41489.26</v>
      </c>
      <c r="G72" s="8">
        <v>944.04</v>
      </c>
      <c r="H72" s="8">
        <v>0</v>
      </c>
    </row>
    <row r="73" spans="1:8">
      <c r="A73" s="8">
        <v>6187.23</v>
      </c>
      <c r="B73" s="8">
        <v>2304.52</v>
      </c>
      <c r="C73" s="8">
        <v>6.52</v>
      </c>
      <c r="D73" s="8">
        <v>0</v>
      </c>
      <c r="E73" s="8">
        <v>0</v>
      </c>
      <c r="F73" s="8">
        <v>41203.269999999997</v>
      </c>
      <c r="G73" s="8">
        <v>912.39</v>
      </c>
      <c r="H73" s="8">
        <v>0</v>
      </c>
    </row>
    <row r="74" spans="1:8">
      <c r="A74" s="8">
        <v>6182.99</v>
      </c>
      <c r="B74" s="8">
        <v>2302.9499999999998</v>
      </c>
      <c r="C74" s="8">
        <v>6.48</v>
      </c>
      <c r="D74" s="8">
        <v>0</v>
      </c>
      <c r="E74" s="8">
        <v>0</v>
      </c>
      <c r="F74" s="8">
        <v>41100.78</v>
      </c>
      <c r="G74" s="8">
        <v>910.12</v>
      </c>
      <c r="H74" s="8">
        <v>0</v>
      </c>
    </row>
    <row r="75" spans="1:8">
      <c r="A75" s="8">
        <v>6178.76</v>
      </c>
      <c r="B75" s="8">
        <v>2271.35</v>
      </c>
      <c r="C75" s="8">
        <v>6.32</v>
      </c>
      <c r="D75" s="8">
        <v>0</v>
      </c>
      <c r="E75" s="8">
        <v>0</v>
      </c>
      <c r="F75" s="8">
        <v>40811.800000000003</v>
      </c>
      <c r="G75" s="8">
        <v>878.06</v>
      </c>
      <c r="H75" s="8">
        <v>0</v>
      </c>
    </row>
    <row r="76" spans="1:8">
      <c r="A76" s="8">
        <v>6174.53</v>
      </c>
      <c r="B76" s="8">
        <v>2235.71</v>
      </c>
      <c r="C76" s="8">
        <v>6.16</v>
      </c>
      <c r="D76" s="8">
        <v>0</v>
      </c>
      <c r="E76" s="8">
        <v>0</v>
      </c>
      <c r="F76" s="8">
        <v>40707.42</v>
      </c>
      <c r="G76" s="8">
        <v>875.82</v>
      </c>
      <c r="H76" s="8">
        <v>0</v>
      </c>
    </row>
    <row r="77" spans="1:8">
      <c r="A77" s="8">
        <v>6170.3</v>
      </c>
      <c r="B77" s="8">
        <v>2203.4899999999998</v>
      </c>
      <c r="C77" s="8">
        <v>5.99</v>
      </c>
      <c r="D77" s="8">
        <v>0</v>
      </c>
      <c r="E77" s="8">
        <v>0</v>
      </c>
      <c r="F77" s="8">
        <v>40411.379999999997</v>
      </c>
      <c r="G77" s="8">
        <v>843.97</v>
      </c>
      <c r="H77" s="8">
        <v>0</v>
      </c>
    </row>
    <row r="78" spans="1:8">
      <c r="A78" s="8">
        <v>6166.07</v>
      </c>
      <c r="B78" s="8">
        <v>2201.98</v>
      </c>
      <c r="C78" s="8">
        <v>5.95</v>
      </c>
      <c r="D78" s="8">
        <v>0</v>
      </c>
      <c r="E78" s="8">
        <v>0</v>
      </c>
      <c r="F78" s="8">
        <v>40285.599999999999</v>
      </c>
      <c r="G78" s="8">
        <v>841.43</v>
      </c>
      <c r="H78" s="8">
        <v>0</v>
      </c>
    </row>
    <row r="79" spans="1:8">
      <c r="A79" s="8">
        <v>6161.85</v>
      </c>
      <c r="B79" s="8">
        <v>2143.29</v>
      </c>
      <c r="C79" s="8">
        <v>5.72</v>
      </c>
      <c r="D79" s="8">
        <v>0</v>
      </c>
      <c r="E79" s="8">
        <v>0</v>
      </c>
      <c r="F79" s="8">
        <v>39958.51</v>
      </c>
      <c r="G79" s="8">
        <v>810.92</v>
      </c>
      <c r="H79" s="8">
        <v>0</v>
      </c>
    </row>
    <row r="80" spans="1:8">
      <c r="A80" s="8">
        <v>6157.63</v>
      </c>
      <c r="B80" s="8">
        <v>2141.8200000000002</v>
      </c>
      <c r="C80" s="8">
        <v>5.68</v>
      </c>
      <c r="D80" s="8">
        <v>0</v>
      </c>
      <c r="E80" s="8">
        <v>0</v>
      </c>
      <c r="F80" s="8">
        <v>39784.25</v>
      </c>
      <c r="G80" s="8">
        <v>807.42</v>
      </c>
      <c r="H80" s="8">
        <v>0</v>
      </c>
    </row>
    <row r="81" spans="1:8">
      <c r="A81" s="8">
        <v>6153.42</v>
      </c>
      <c r="B81" s="8">
        <v>2096.19</v>
      </c>
      <c r="C81" s="8">
        <v>5.45</v>
      </c>
      <c r="D81" s="8">
        <v>0</v>
      </c>
      <c r="E81" s="8">
        <v>0</v>
      </c>
      <c r="F81" s="8">
        <v>39322.32</v>
      </c>
      <c r="G81" s="8">
        <v>773.46</v>
      </c>
      <c r="H81" s="8">
        <v>0</v>
      </c>
    </row>
    <row r="82" spans="1:8">
      <c r="A82" s="8">
        <v>6149.2</v>
      </c>
      <c r="B82" s="8">
        <v>2068.59</v>
      </c>
      <c r="C82" s="8">
        <v>5.33</v>
      </c>
      <c r="D82" s="8">
        <v>0</v>
      </c>
      <c r="E82" s="8">
        <v>0</v>
      </c>
      <c r="F82" s="8">
        <v>39126.269999999997</v>
      </c>
      <c r="G82" s="8">
        <v>769.62</v>
      </c>
      <c r="H82" s="8">
        <v>0</v>
      </c>
    </row>
    <row r="83" spans="1:8">
      <c r="A83" s="8">
        <v>6144.99</v>
      </c>
      <c r="B83" s="8">
        <v>2035.04</v>
      </c>
      <c r="C83" s="8">
        <v>5.16</v>
      </c>
      <c r="D83" s="8">
        <v>0</v>
      </c>
      <c r="E83" s="8">
        <v>0</v>
      </c>
      <c r="F83" s="8">
        <v>38742.32</v>
      </c>
      <c r="G83" s="8">
        <v>737.35</v>
      </c>
      <c r="H83" s="8">
        <v>0</v>
      </c>
    </row>
    <row r="84" spans="1:8">
      <c r="A84" s="8">
        <v>6140.79</v>
      </c>
      <c r="B84" s="8">
        <v>2033.65</v>
      </c>
      <c r="C84" s="8">
        <v>5.12</v>
      </c>
      <c r="D84" s="8">
        <v>0</v>
      </c>
      <c r="E84" s="8">
        <v>0</v>
      </c>
      <c r="F84" s="8">
        <v>38606.69</v>
      </c>
      <c r="G84" s="8">
        <v>734.69</v>
      </c>
      <c r="H84" s="8">
        <v>0</v>
      </c>
    </row>
    <row r="85" spans="1:8">
      <c r="A85" s="8">
        <v>6136.58</v>
      </c>
      <c r="B85" s="8">
        <v>1972.68</v>
      </c>
      <c r="C85" s="8">
        <v>4.8899999999999997</v>
      </c>
      <c r="D85" s="8">
        <v>0</v>
      </c>
      <c r="E85" s="8">
        <v>0</v>
      </c>
      <c r="F85" s="8">
        <v>38243.26</v>
      </c>
      <c r="G85" s="8">
        <v>704.39</v>
      </c>
      <c r="H85" s="8">
        <v>0</v>
      </c>
    </row>
    <row r="86" spans="1:8">
      <c r="A86" s="8">
        <v>6132.38</v>
      </c>
      <c r="B86" s="8">
        <v>1959.73</v>
      </c>
      <c r="C86" s="8">
        <v>4.8</v>
      </c>
      <c r="D86" s="8">
        <v>0</v>
      </c>
      <c r="E86" s="8">
        <v>0</v>
      </c>
      <c r="F86" s="8">
        <v>38133.64</v>
      </c>
      <c r="G86" s="8">
        <v>702.45</v>
      </c>
      <c r="H86" s="8">
        <v>0</v>
      </c>
    </row>
    <row r="87" spans="1:8">
      <c r="A87" s="8">
        <v>6128.18</v>
      </c>
      <c r="B87" s="8">
        <v>1925.62</v>
      </c>
      <c r="C87" s="8">
        <v>4.6399999999999997</v>
      </c>
      <c r="D87" s="8">
        <v>0</v>
      </c>
      <c r="E87" s="8">
        <v>0</v>
      </c>
      <c r="F87" s="8">
        <v>37768.400000000001</v>
      </c>
      <c r="G87" s="8">
        <v>673.55</v>
      </c>
      <c r="H87" s="8">
        <v>0</v>
      </c>
    </row>
    <row r="88" spans="1:8">
      <c r="A88" s="8">
        <v>6123.98</v>
      </c>
      <c r="B88" s="8">
        <v>1898.51</v>
      </c>
      <c r="C88" s="8">
        <v>4.55</v>
      </c>
      <c r="D88" s="8">
        <v>0</v>
      </c>
      <c r="E88" s="8">
        <v>0</v>
      </c>
      <c r="F88" s="8">
        <v>37673.68</v>
      </c>
      <c r="G88" s="8">
        <v>671.86</v>
      </c>
      <c r="H88" s="8">
        <v>0</v>
      </c>
    </row>
    <row r="89" spans="1:8">
      <c r="A89" s="8">
        <v>6119.79</v>
      </c>
      <c r="B89" s="8">
        <v>1864.66</v>
      </c>
      <c r="C89" s="8">
        <v>4.4000000000000004</v>
      </c>
      <c r="D89" s="8">
        <v>0</v>
      </c>
      <c r="E89" s="8">
        <v>0</v>
      </c>
      <c r="F89" s="8">
        <v>37311.89</v>
      </c>
      <c r="G89" s="8">
        <v>644.96</v>
      </c>
      <c r="H89" s="8">
        <v>0</v>
      </c>
    </row>
    <row r="90" spans="1:8">
      <c r="A90" s="8">
        <v>6115.6</v>
      </c>
      <c r="B90" s="8">
        <v>1863.39</v>
      </c>
      <c r="C90" s="8">
        <v>4.3600000000000003</v>
      </c>
      <c r="D90" s="8">
        <v>0</v>
      </c>
      <c r="E90" s="8">
        <v>0</v>
      </c>
      <c r="F90" s="8">
        <v>37217.5</v>
      </c>
      <c r="G90" s="8">
        <v>643.32000000000005</v>
      </c>
      <c r="H90" s="8">
        <v>0</v>
      </c>
    </row>
    <row r="91" spans="1:8">
      <c r="A91" s="8">
        <v>6111.41</v>
      </c>
      <c r="B91" s="8">
        <v>1792.32</v>
      </c>
      <c r="C91" s="8">
        <v>4.12</v>
      </c>
      <c r="D91" s="8">
        <v>0</v>
      </c>
      <c r="E91" s="8">
        <v>0</v>
      </c>
      <c r="F91" s="8">
        <v>36854.04</v>
      </c>
      <c r="G91" s="8">
        <v>618.79</v>
      </c>
      <c r="H91" s="8">
        <v>0</v>
      </c>
    </row>
    <row r="92" spans="1:8">
      <c r="A92" s="8">
        <v>6107.2</v>
      </c>
      <c r="B92" s="8">
        <v>1791.08</v>
      </c>
      <c r="C92" s="8">
        <v>4.09</v>
      </c>
      <c r="D92" s="8">
        <v>0</v>
      </c>
      <c r="E92" s="8">
        <v>0</v>
      </c>
      <c r="F92" s="8">
        <v>36759.96</v>
      </c>
      <c r="G92" s="8">
        <v>617.23</v>
      </c>
      <c r="H92" s="8">
        <v>0</v>
      </c>
    </row>
    <row r="93" spans="1:8">
      <c r="A93" s="8">
        <v>6103.01</v>
      </c>
      <c r="B93" s="8">
        <v>1762.01</v>
      </c>
      <c r="C93" s="8">
        <v>3.97</v>
      </c>
      <c r="D93" s="8">
        <v>0</v>
      </c>
      <c r="E93" s="8">
        <v>0</v>
      </c>
      <c r="F93" s="8">
        <v>36319.35</v>
      </c>
      <c r="G93" s="8">
        <v>598.67999999999995</v>
      </c>
      <c r="H93" s="8">
        <v>0</v>
      </c>
    </row>
    <row r="94" spans="1:8">
      <c r="A94" s="8">
        <v>6098.8</v>
      </c>
      <c r="B94" s="8">
        <v>1734.7</v>
      </c>
      <c r="C94" s="8">
        <v>3.9</v>
      </c>
      <c r="D94" s="8">
        <v>0</v>
      </c>
      <c r="E94" s="8">
        <v>0</v>
      </c>
      <c r="F94" s="8">
        <v>36224.230000000003</v>
      </c>
      <c r="G94" s="8">
        <v>597.13</v>
      </c>
      <c r="H94" s="8">
        <v>0</v>
      </c>
    </row>
    <row r="95" spans="1:8">
      <c r="A95" s="8">
        <v>6094.59</v>
      </c>
      <c r="B95" s="8">
        <v>1705.92</v>
      </c>
      <c r="C95" s="8">
        <v>3.78</v>
      </c>
      <c r="D95" s="8">
        <v>0</v>
      </c>
      <c r="E95" s="8">
        <v>0</v>
      </c>
      <c r="F95" s="8">
        <v>35813.07</v>
      </c>
      <c r="G95" s="8">
        <v>577.92999999999995</v>
      </c>
      <c r="H95" s="8">
        <v>0</v>
      </c>
    </row>
    <row r="96" spans="1:8">
      <c r="A96" s="8">
        <v>6090.37</v>
      </c>
      <c r="B96" s="8">
        <v>1691.36</v>
      </c>
      <c r="C96" s="8">
        <v>3.7</v>
      </c>
      <c r="D96" s="8">
        <v>0</v>
      </c>
      <c r="E96" s="8">
        <v>0</v>
      </c>
      <c r="F96" s="8">
        <v>35721.910000000003</v>
      </c>
      <c r="G96" s="8">
        <v>576.47</v>
      </c>
      <c r="H96" s="8">
        <v>0</v>
      </c>
    </row>
    <row r="97" spans="1:8">
      <c r="A97" s="8">
        <v>6086.2</v>
      </c>
      <c r="B97" s="8">
        <v>1640.24</v>
      </c>
      <c r="C97" s="8">
        <v>3.55</v>
      </c>
      <c r="D97" s="8">
        <v>0</v>
      </c>
      <c r="E97" s="8">
        <v>0</v>
      </c>
      <c r="F97" s="8">
        <v>35327.19</v>
      </c>
      <c r="G97" s="8">
        <v>557.52</v>
      </c>
      <c r="H97" s="8">
        <v>0</v>
      </c>
    </row>
    <row r="98" spans="1:8">
      <c r="A98" s="8">
        <v>6082.03</v>
      </c>
      <c r="B98" s="8">
        <v>1639.11</v>
      </c>
      <c r="C98" s="8">
        <v>3.53</v>
      </c>
      <c r="D98" s="8">
        <v>0</v>
      </c>
      <c r="E98" s="8">
        <v>0</v>
      </c>
      <c r="F98" s="8">
        <v>35226.79</v>
      </c>
      <c r="G98" s="8">
        <v>556.04999999999995</v>
      </c>
      <c r="H98" s="8">
        <v>0</v>
      </c>
    </row>
    <row r="99" spans="1:8">
      <c r="A99" s="8">
        <v>6077.87</v>
      </c>
      <c r="B99" s="8">
        <v>1611.61</v>
      </c>
      <c r="C99" s="8">
        <v>3.43</v>
      </c>
      <c r="D99" s="8">
        <v>0</v>
      </c>
      <c r="E99" s="8">
        <v>0</v>
      </c>
      <c r="F99" s="8">
        <v>34825.769999999997</v>
      </c>
      <c r="G99" s="8">
        <v>539.47</v>
      </c>
      <c r="H99" s="8">
        <v>0</v>
      </c>
    </row>
    <row r="100" spans="1:8">
      <c r="A100" s="8">
        <v>6073.69</v>
      </c>
      <c r="B100" s="8">
        <v>1586.51</v>
      </c>
      <c r="C100" s="8">
        <v>3.37</v>
      </c>
      <c r="D100" s="8">
        <v>0</v>
      </c>
      <c r="E100" s="8">
        <v>0</v>
      </c>
      <c r="F100" s="8">
        <v>34734.559999999998</v>
      </c>
      <c r="G100" s="8">
        <v>538.08000000000004</v>
      </c>
      <c r="H100" s="8">
        <v>0</v>
      </c>
    </row>
    <row r="101" spans="1:8">
      <c r="A101" s="8">
        <v>6069.53</v>
      </c>
      <c r="B101" s="8">
        <v>1546.95</v>
      </c>
      <c r="C101" s="8">
        <v>3.22</v>
      </c>
      <c r="D101" s="8">
        <v>0</v>
      </c>
      <c r="E101" s="8">
        <v>0</v>
      </c>
      <c r="F101" s="8">
        <v>34343.160000000003</v>
      </c>
      <c r="G101" s="8">
        <v>521.54</v>
      </c>
      <c r="H101" s="8">
        <v>0</v>
      </c>
    </row>
    <row r="102" spans="1:8">
      <c r="A102" s="8">
        <v>6065.37</v>
      </c>
      <c r="B102" s="8">
        <v>1545.89</v>
      </c>
      <c r="C102" s="8">
        <v>3.2</v>
      </c>
      <c r="D102" s="8">
        <v>0</v>
      </c>
      <c r="E102" s="8">
        <v>0</v>
      </c>
      <c r="F102" s="8">
        <v>34254.75</v>
      </c>
      <c r="G102" s="8">
        <v>520.21</v>
      </c>
      <c r="H102" s="8">
        <v>0</v>
      </c>
    </row>
    <row r="103" spans="1:8">
      <c r="A103" s="8">
        <v>6061.22</v>
      </c>
      <c r="B103" s="8">
        <v>1496.62</v>
      </c>
      <c r="C103" s="8">
        <v>3.09</v>
      </c>
      <c r="D103" s="8">
        <v>0</v>
      </c>
      <c r="E103" s="8">
        <v>0</v>
      </c>
      <c r="F103" s="8">
        <v>33861.21</v>
      </c>
      <c r="G103" s="8">
        <v>504.77</v>
      </c>
      <c r="H103" s="8">
        <v>0</v>
      </c>
    </row>
    <row r="104" spans="1:8">
      <c r="A104" s="8">
        <v>6057.07</v>
      </c>
      <c r="B104" s="8">
        <v>1495.6</v>
      </c>
      <c r="C104" s="8">
        <v>3.07</v>
      </c>
      <c r="D104" s="8">
        <v>0</v>
      </c>
      <c r="E104" s="8">
        <v>0</v>
      </c>
      <c r="F104" s="8">
        <v>33771.629999999997</v>
      </c>
      <c r="G104" s="8">
        <v>503.49</v>
      </c>
      <c r="H104" s="8">
        <v>0</v>
      </c>
    </row>
    <row r="105" spans="1:8">
      <c r="A105" s="8">
        <v>6052.92</v>
      </c>
      <c r="B105" s="8">
        <v>1469.74</v>
      </c>
      <c r="C105" s="8">
        <v>2.99</v>
      </c>
      <c r="D105" s="8">
        <v>0</v>
      </c>
      <c r="E105" s="8">
        <v>0</v>
      </c>
      <c r="F105" s="8">
        <v>33394.910000000003</v>
      </c>
      <c r="G105" s="8">
        <v>489.39</v>
      </c>
      <c r="H105" s="8">
        <v>0</v>
      </c>
    </row>
    <row r="106" spans="1:8">
      <c r="A106" s="8">
        <v>6048.77</v>
      </c>
      <c r="B106" s="8">
        <v>1433.42</v>
      </c>
      <c r="C106" s="8">
        <v>2.9</v>
      </c>
      <c r="D106" s="8">
        <v>0</v>
      </c>
      <c r="E106" s="8">
        <v>0</v>
      </c>
      <c r="F106" s="8">
        <v>33310.339999999997</v>
      </c>
      <c r="G106" s="8">
        <v>488.15</v>
      </c>
      <c r="H106" s="8">
        <v>0</v>
      </c>
    </row>
    <row r="107" spans="1:8">
      <c r="A107" s="8">
        <v>6044.63</v>
      </c>
      <c r="B107" s="8">
        <v>1408.62</v>
      </c>
      <c r="C107" s="8">
        <v>2.82</v>
      </c>
      <c r="D107" s="8">
        <v>0</v>
      </c>
      <c r="E107" s="8">
        <v>0</v>
      </c>
      <c r="F107" s="8">
        <v>32924.699999999997</v>
      </c>
      <c r="G107" s="8">
        <v>474.1</v>
      </c>
      <c r="H107" s="8">
        <v>0</v>
      </c>
    </row>
    <row r="108" spans="1:8">
      <c r="A108" s="8">
        <v>6040.49</v>
      </c>
      <c r="B108" s="8">
        <v>1407.66</v>
      </c>
      <c r="C108" s="8">
        <v>2.81</v>
      </c>
      <c r="D108" s="8">
        <v>0</v>
      </c>
      <c r="E108" s="8">
        <v>0</v>
      </c>
      <c r="F108" s="8">
        <v>32829.550000000003</v>
      </c>
      <c r="G108" s="8">
        <v>472.82</v>
      </c>
      <c r="H108" s="8">
        <v>0</v>
      </c>
    </row>
    <row r="109" spans="1:8">
      <c r="A109" s="8">
        <v>6036.24</v>
      </c>
      <c r="B109" s="8">
        <v>1358.86</v>
      </c>
      <c r="C109" s="8">
        <v>2.72</v>
      </c>
      <c r="D109" s="8">
        <v>0</v>
      </c>
      <c r="E109" s="8">
        <v>0</v>
      </c>
      <c r="F109" s="8">
        <v>32381.64</v>
      </c>
      <c r="G109" s="8">
        <v>460.34</v>
      </c>
      <c r="H109" s="8">
        <v>0</v>
      </c>
    </row>
    <row r="110" spans="1:8">
      <c r="A110" s="8">
        <v>6032.05</v>
      </c>
      <c r="B110" s="8">
        <v>1357.92</v>
      </c>
      <c r="C110" s="8">
        <v>2.7</v>
      </c>
      <c r="D110" s="8">
        <v>0</v>
      </c>
      <c r="E110" s="8">
        <v>0</v>
      </c>
      <c r="F110" s="8">
        <v>32284.02</v>
      </c>
      <c r="G110" s="8">
        <v>459.01</v>
      </c>
      <c r="H110" s="8">
        <v>0</v>
      </c>
    </row>
    <row r="111" spans="1:8">
      <c r="A111" s="8">
        <v>6027.92</v>
      </c>
      <c r="B111" s="8">
        <v>1322.85</v>
      </c>
      <c r="C111" s="8">
        <v>2.59</v>
      </c>
      <c r="D111" s="8">
        <v>0</v>
      </c>
      <c r="E111" s="8">
        <v>0</v>
      </c>
      <c r="F111" s="8">
        <v>31896.799999999999</v>
      </c>
      <c r="G111" s="8">
        <v>445.25</v>
      </c>
      <c r="H111" s="8">
        <v>0</v>
      </c>
    </row>
    <row r="112" spans="1:8">
      <c r="A112" s="8">
        <v>6023.79</v>
      </c>
      <c r="B112" s="8">
        <v>1300.26</v>
      </c>
      <c r="C112" s="8">
        <v>2.5499999999999998</v>
      </c>
      <c r="D112" s="8">
        <v>0</v>
      </c>
      <c r="E112" s="8">
        <v>0</v>
      </c>
      <c r="F112" s="8">
        <v>31814.12</v>
      </c>
      <c r="G112" s="8">
        <v>444.11</v>
      </c>
      <c r="H112" s="8">
        <v>0</v>
      </c>
    </row>
    <row r="113" spans="1:8">
      <c r="A113" s="8">
        <v>6019.66</v>
      </c>
      <c r="B113" s="8">
        <v>1276.3</v>
      </c>
      <c r="C113" s="8">
        <v>2.48</v>
      </c>
      <c r="D113" s="8">
        <v>0</v>
      </c>
      <c r="E113" s="8">
        <v>0</v>
      </c>
      <c r="F113" s="8">
        <v>31415.51</v>
      </c>
      <c r="G113" s="8">
        <v>431.52</v>
      </c>
      <c r="H113" s="8">
        <v>0</v>
      </c>
    </row>
    <row r="114" spans="1:8">
      <c r="A114" s="8">
        <v>6015.54</v>
      </c>
      <c r="B114" s="8">
        <v>1275.42</v>
      </c>
      <c r="C114" s="8">
        <v>2.4700000000000002</v>
      </c>
      <c r="D114" s="8">
        <v>0</v>
      </c>
      <c r="E114" s="8">
        <v>0</v>
      </c>
      <c r="F114" s="8">
        <v>31336.26</v>
      </c>
      <c r="G114" s="8">
        <v>430.44</v>
      </c>
      <c r="H114" s="8">
        <v>0</v>
      </c>
    </row>
    <row r="115" spans="1:8">
      <c r="A115" s="8">
        <v>6011.38</v>
      </c>
      <c r="B115" s="8">
        <v>1229.5999999999999</v>
      </c>
      <c r="C115" s="8">
        <v>2.4</v>
      </c>
      <c r="D115" s="8">
        <v>0</v>
      </c>
      <c r="E115" s="8">
        <v>0</v>
      </c>
      <c r="F115" s="8">
        <v>30918.91</v>
      </c>
      <c r="G115" s="8">
        <v>418.95</v>
      </c>
      <c r="H115" s="8">
        <v>0</v>
      </c>
    </row>
    <row r="116" spans="1:8">
      <c r="A116" s="8">
        <v>6007.25</v>
      </c>
      <c r="B116" s="8">
        <v>1217.8399999999999</v>
      </c>
      <c r="C116" s="8">
        <v>2.34</v>
      </c>
      <c r="D116" s="8">
        <v>0</v>
      </c>
      <c r="E116" s="8">
        <v>0</v>
      </c>
      <c r="F116" s="8">
        <v>30834.3</v>
      </c>
      <c r="G116" s="8">
        <v>417.86</v>
      </c>
      <c r="H116" s="8">
        <v>0</v>
      </c>
    </row>
    <row r="117" spans="1:8">
      <c r="A117" s="8">
        <v>6003.09</v>
      </c>
      <c r="B117" s="8">
        <v>1193.1300000000001</v>
      </c>
      <c r="C117" s="8">
        <v>2.2799999999999998</v>
      </c>
      <c r="D117" s="8">
        <v>0</v>
      </c>
      <c r="E117" s="8">
        <v>0</v>
      </c>
      <c r="F117" s="8">
        <v>30413.89</v>
      </c>
      <c r="G117" s="8">
        <v>406.03</v>
      </c>
      <c r="H117" s="8">
        <v>0</v>
      </c>
    </row>
    <row r="118" spans="1:8">
      <c r="A118" s="8">
        <v>5998.86</v>
      </c>
      <c r="B118" s="8">
        <v>1169.55</v>
      </c>
      <c r="C118" s="8">
        <v>2.2400000000000002</v>
      </c>
      <c r="D118" s="8">
        <v>0</v>
      </c>
      <c r="E118" s="8">
        <v>0</v>
      </c>
      <c r="F118" s="8">
        <v>30300.18</v>
      </c>
      <c r="G118" s="8">
        <v>404.53</v>
      </c>
      <c r="H118" s="8">
        <v>0</v>
      </c>
    </row>
    <row r="119" spans="1:8">
      <c r="A119" s="8">
        <v>5994.76</v>
      </c>
      <c r="B119" s="8">
        <v>1147.25</v>
      </c>
      <c r="C119" s="8">
        <v>2.1800000000000002</v>
      </c>
      <c r="D119" s="8">
        <v>0</v>
      </c>
      <c r="E119" s="8">
        <v>0</v>
      </c>
      <c r="F119" s="8">
        <v>29861.54</v>
      </c>
      <c r="G119" s="8">
        <v>392.57</v>
      </c>
      <c r="H119" s="8">
        <v>0</v>
      </c>
    </row>
    <row r="120" spans="1:8">
      <c r="A120" s="8">
        <v>5990.63</v>
      </c>
      <c r="B120" s="8">
        <v>1146.46</v>
      </c>
      <c r="C120" s="8">
        <v>2.17</v>
      </c>
      <c r="D120" s="8">
        <v>0</v>
      </c>
      <c r="E120" s="8">
        <v>0</v>
      </c>
      <c r="F120" s="8">
        <v>29776.36</v>
      </c>
      <c r="G120" s="8">
        <v>391.53</v>
      </c>
      <c r="H120" s="8">
        <v>0</v>
      </c>
    </row>
    <row r="121" spans="1:8">
      <c r="A121" s="8">
        <v>5986.52</v>
      </c>
      <c r="B121" s="8">
        <v>1091.98</v>
      </c>
      <c r="C121" s="8">
        <v>2.0499999999999998</v>
      </c>
      <c r="D121" s="8">
        <v>0</v>
      </c>
      <c r="E121" s="8">
        <v>0</v>
      </c>
      <c r="F121" s="8">
        <v>29322.23</v>
      </c>
      <c r="G121" s="8">
        <v>381.32</v>
      </c>
      <c r="H121" s="8">
        <v>0</v>
      </c>
    </row>
    <row r="122" spans="1:8">
      <c r="A122" s="8">
        <v>5982.42</v>
      </c>
      <c r="B122" s="8">
        <v>1091.24</v>
      </c>
      <c r="C122" s="8">
        <v>2.04</v>
      </c>
      <c r="D122" s="8">
        <v>0</v>
      </c>
      <c r="E122" s="8">
        <v>0</v>
      </c>
      <c r="F122" s="8">
        <v>29228.35</v>
      </c>
      <c r="G122" s="8">
        <v>380.27</v>
      </c>
      <c r="H122" s="8">
        <v>0</v>
      </c>
    </row>
    <row r="123" spans="1:8">
      <c r="A123" s="8">
        <v>5978.32</v>
      </c>
      <c r="B123" s="8">
        <v>1069.3</v>
      </c>
      <c r="C123" s="8">
        <v>1.99</v>
      </c>
      <c r="D123" s="8">
        <v>0</v>
      </c>
      <c r="E123" s="8">
        <v>0</v>
      </c>
      <c r="F123" s="8">
        <v>28764.15</v>
      </c>
      <c r="G123" s="8">
        <v>369.96</v>
      </c>
      <c r="H123" s="8">
        <v>0</v>
      </c>
    </row>
    <row r="124" spans="1:8">
      <c r="A124" s="8">
        <v>5974.23</v>
      </c>
      <c r="B124" s="8">
        <v>1054.82</v>
      </c>
      <c r="C124" s="8">
        <v>1.95</v>
      </c>
      <c r="D124" s="8">
        <v>0</v>
      </c>
      <c r="E124" s="8">
        <v>0</v>
      </c>
      <c r="F124" s="8">
        <v>28668.400000000001</v>
      </c>
      <c r="G124" s="8">
        <v>368.85</v>
      </c>
      <c r="H124" s="8">
        <v>0</v>
      </c>
    </row>
    <row r="125" spans="1:8">
      <c r="A125" s="8">
        <v>5970.1</v>
      </c>
      <c r="B125" s="8">
        <v>1032.49</v>
      </c>
      <c r="C125" s="8">
        <v>1.9</v>
      </c>
      <c r="D125" s="8">
        <v>0</v>
      </c>
      <c r="E125" s="8">
        <v>0</v>
      </c>
      <c r="F125" s="8">
        <v>28175.68</v>
      </c>
      <c r="G125" s="8">
        <v>358.57</v>
      </c>
      <c r="H125" s="8">
        <v>0</v>
      </c>
    </row>
    <row r="126" spans="1:8">
      <c r="A126" s="8">
        <v>5966.01</v>
      </c>
      <c r="B126" s="8">
        <v>1023.83</v>
      </c>
      <c r="C126" s="8">
        <v>1.86</v>
      </c>
      <c r="D126" s="8">
        <v>0</v>
      </c>
      <c r="E126" s="8">
        <v>0</v>
      </c>
      <c r="F126" s="8">
        <v>28077.03</v>
      </c>
      <c r="G126" s="8">
        <v>357.38</v>
      </c>
      <c r="H126" s="8">
        <v>0</v>
      </c>
    </row>
    <row r="127" spans="1:8">
      <c r="A127" s="8">
        <v>5961.92</v>
      </c>
      <c r="B127" s="8">
        <v>992.29</v>
      </c>
      <c r="C127" s="8">
        <v>1.81</v>
      </c>
      <c r="D127" s="8">
        <v>0</v>
      </c>
      <c r="E127" s="8">
        <v>0</v>
      </c>
      <c r="F127" s="8">
        <v>27467.39</v>
      </c>
      <c r="G127" s="8">
        <v>348.75</v>
      </c>
      <c r="H127" s="8">
        <v>0</v>
      </c>
    </row>
    <row r="128" spans="1:8">
      <c r="A128" s="8">
        <v>5957.1</v>
      </c>
      <c r="B128" s="8">
        <v>991.48</v>
      </c>
      <c r="C128" s="8">
        <v>1.79</v>
      </c>
      <c r="D128" s="8">
        <v>0</v>
      </c>
      <c r="E128" s="8">
        <v>0</v>
      </c>
      <c r="F128" s="8">
        <v>27295.66</v>
      </c>
      <c r="G128" s="8">
        <v>347.35</v>
      </c>
      <c r="H128" s="8">
        <v>0</v>
      </c>
    </row>
    <row r="129" spans="1:8">
      <c r="A129" s="8">
        <v>5952.57</v>
      </c>
      <c r="B129" s="8">
        <v>972.32</v>
      </c>
      <c r="C129" s="8">
        <v>1.76</v>
      </c>
      <c r="D129" s="8">
        <v>0</v>
      </c>
      <c r="E129" s="8">
        <v>0</v>
      </c>
      <c r="F129" s="8">
        <v>26792.34</v>
      </c>
      <c r="G129" s="8">
        <v>337.69</v>
      </c>
      <c r="H129" s="8">
        <v>0</v>
      </c>
    </row>
    <row r="130" spans="1:8">
      <c r="A130" s="8">
        <v>5948.4</v>
      </c>
      <c r="B130" s="8">
        <v>957.35</v>
      </c>
      <c r="C130" s="8">
        <v>1.72</v>
      </c>
      <c r="D130" s="8">
        <v>0</v>
      </c>
      <c r="E130" s="8">
        <v>0</v>
      </c>
      <c r="F130" s="8">
        <v>26700.37</v>
      </c>
      <c r="G130" s="8">
        <v>336.32</v>
      </c>
      <c r="H130" s="8">
        <v>0</v>
      </c>
    </row>
    <row r="131" spans="1:8">
      <c r="A131" s="8">
        <v>5944.31</v>
      </c>
      <c r="B131" s="8">
        <v>929.07</v>
      </c>
      <c r="C131" s="8">
        <v>1.65</v>
      </c>
      <c r="D131" s="8">
        <v>0</v>
      </c>
      <c r="E131" s="8">
        <v>0</v>
      </c>
      <c r="F131" s="8">
        <v>26220.13</v>
      </c>
      <c r="G131" s="8">
        <v>326.48</v>
      </c>
      <c r="H131" s="8">
        <v>0</v>
      </c>
    </row>
    <row r="132" spans="1:8">
      <c r="A132" s="8">
        <v>5940.24</v>
      </c>
      <c r="B132" s="8">
        <v>928.43</v>
      </c>
      <c r="C132" s="8">
        <v>1.64</v>
      </c>
      <c r="D132" s="8">
        <v>0</v>
      </c>
      <c r="E132" s="8">
        <v>0</v>
      </c>
      <c r="F132" s="8">
        <v>26124.97</v>
      </c>
      <c r="G132" s="8">
        <v>325.19</v>
      </c>
      <c r="H132" s="8">
        <v>0</v>
      </c>
    </row>
    <row r="133" spans="1:8">
      <c r="A133" s="8">
        <v>5936.16</v>
      </c>
      <c r="B133" s="8">
        <v>896.33</v>
      </c>
      <c r="C133" s="8">
        <v>1.57</v>
      </c>
      <c r="D133" s="8">
        <v>0</v>
      </c>
      <c r="E133" s="8">
        <v>0</v>
      </c>
      <c r="F133" s="8">
        <v>25665.52</v>
      </c>
      <c r="G133" s="8">
        <v>317.72000000000003</v>
      </c>
      <c r="H133" s="8">
        <v>0</v>
      </c>
    </row>
    <row r="134" spans="1:8">
      <c r="A134" s="8">
        <v>5932.09</v>
      </c>
      <c r="B134" s="8">
        <v>895.72</v>
      </c>
      <c r="C134" s="8">
        <v>1.55</v>
      </c>
      <c r="D134" s="8">
        <v>0</v>
      </c>
      <c r="E134" s="8">
        <v>0</v>
      </c>
      <c r="F134" s="8">
        <v>25596.47</v>
      </c>
      <c r="G134" s="8">
        <v>316.88</v>
      </c>
      <c r="H134" s="8">
        <v>0</v>
      </c>
    </row>
    <row r="135" spans="1:8">
      <c r="A135" s="8">
        <v>5928</v>
      </c>
      <c r="B135" s="8">
        <v>876.83</v>
      </c>
      <c r="C135" s="8">
        <v>1.51</v>
      </c>
      <c r="D135" s="8">
        <v>0</v>
      </c>
      <c r="E135" s="8">
        <v>0</v>
      </c>
      <c r="F135" s="8">
        <v>25158.720000000001</v>
      </c>
      <c r="G135" s="8">
        <v>310.35000000000002</v>
      </c>
      <c r="H135" s="8">
        <v>0</v>
      </c>
    </row>
    <row r="136" spans="1:8">
      <c r="A136" s="8">
        <v>5923.94</v>
      </c>
      <c r="B136" s="8">
        <v>852.44</v>
      </c>
      <c r="C136" s="8">
        <v>1.44</v>
      </c>
      <c r="D136" s="8">
        <v>0</v>
      </c>
      <c r="E136" s="8">
        <v>0</v>
      </c>
      <c r="F136" s="8">
        <v>25032.78</v>
      </c>
      <c r="G136" s="8">
        <v>308.98</v>
      </c>
      <c r="H136" s="8">
        <v>0</v>
      </c>
    </row>
    <row r="137" spans="1:8">
      <c r="A137" s="8">
        <v>5919.81</v>
      </c>
      <c r="B137" s="8">
        <v>838.3</v>
      </c>
      <c r="C137" s="8">
        <v>1.41</v>
      </c>
      <c r="D137" s="8">
        <v>0</v>
      </c>
      <c r="E137" s="8">
        <v>0</v>
      </c>
      <c r="F137" s="8">
        <v>24569.9</v>
      </c>
      <c r="G137" s="8">
        <v>303.29000000000002</v>
      </c>
      <c r="H137" s="8">
        <v>0</v>
      </c>
    </row>
    <row r="138" spans="1:8">
      <c r="A138" s="28">
        <v>5915.66</v>
      </c>
      <c r="B138" s="28">
        <v>837.72</v>
      </c>
      <c r="C138" s="28">
        <v>1.4</v>
      </c>
      <c r="D138" s="28">
        <v>0</v>
      </c>
      <c r="E138" s="28">
        <v>0</v>
      </c>
      <c r="F138" s="28">
        <v>24467.84</v>
      </c>
      <c r="G138" s="28">
        <v>302.39999999999998</v>
      </c>
      <c r="H138" s="28">
        <v>0</v>
      </c>
    </row>
    <row r="139" spans="1:8">
      <c r="A139" s="8">
        <v>5911.61</v>
      </c>
      <c r="B139" s="8">
        <v>807.18</v>
      </c>
      <c r="C139" s="8">
        <v>1.35</v>
      </c>
      <c r="D139" s="8">
        <v>0</v>
      </c>
      <c r="E139" s="8">
        <v>0</v>
      </c>
      <c r="F139" s="8">
        <v>23967.11</v>
      </c>
      <c r="G139" s="8">
        <v>296.60000000000002</v>
      </c>
      <c r="H139" s="8">
        <v>0</v>
      </c>
    </row>
    <row r="140" spans="1:8">
      <c r="A140" s="8">
        <v>5907.56</v>
      </c>
      <c r="B140" s="8">
        <v>806.63</v>
      </c>
      <c r="C140" s="8">
        <v>1.34</v>
      </c>
      <c r="D140" s="8">
        <v>0</v>
      </c>
      <c r="E140" s="8">
        <v>0</v>
      </c>
      <c r="F140" s="8">
        <v>23904.41</v>
      </c>
      <c r="G140" s="8">
        <v>295.83</v>
      </c>
      <c r="H140" s="8">
        <v>0</v>
      </c>
    </row>
    <row r="141" spans="1:8">
      <c r="A141" s="8">
        <v>5903.52</v>
      </c>
      <c r="B141" s="8">
        <v>780.59</v>
      </c>
      <c r="C141" s="8">
        <v>1.27</v>
      </c>
      <c r="D141" s="8">
        <v>0</v>
      </c>
      <c r="E141" s="8">
        <v>0</v>
      </c>
      <c r="F141" s="8">
        <v>23518.400000000001</v>
      </c>
      <c r="G141" s="8">
        <v>289.86</v>
      </c>
      <c r="H141" s="8">
        <v>0</v>
      </c>
    </row>
    <row r="142" spans="1:8">
      <c r="A142" s="8">
        <v>5894.32</v>
      </c>
      <c r="B142" s="8">
        <v>760.37</v>
      </c>
      <c r="C142" s="8">
        <v>1.23</v>
      </c>
      <c r="D142" s="8">
        <v>0</v>
      </c>
      <c r="E142" s="8">
        <v>0</v>
      </c>
      <c r="F142" s="8">
        <v>23418.959999999999</v>
      </c>
      <c r="G142" s="8">
        <v>288.04000000000002</v>
      </c>
      <c r="H142" s="8">
        <v>0</v>
      </c>
    </row>
    <row r="143" spans="1:8">
      <c r="A143" s="8">
        <v>5889.25</v>
      </c>
      <c r="B143" s="8">
        <v>747.06</v>
      </c>
      <c r="C143" s="8">
        <v>1.2</v>
      </c>
      <c r="D143" s="8">
        <v>0</v>
      </c>
      <c r="E143" s="8">
        <v>0</v>
      </c>
      <c r="F143" s="8">
        <v>22792.21</v>
      </c>
      <c r="G143" s="8">
        <v>276.89</v>
      </c>
      <c r="H143" s="8">
        <v>0</v>
      </c>
    </row>
    <row r="144" spans="1:8">
      <c r="A144" s="8">
        <v>5885.2</v>
      </c>
      <c r="B144" s="8">
        <v>746.55</v>
      </c>
      <c r="C144" s="8">
        <v>1.19</v>
      </c>
      <c r="D144" s="8">
        <v>0</v>
      </c>
      <c r="E144" s="8">
        <v>0</v>
      </c>
      <c r="F144" s="8">
        <v>22722.51</v>
      </c>
      <c r="G144" s="8">
        <v>276.06</v>
      </c>
      <c r="H144" s="8">
        <v>0</v>
      </c>
    </row>
    <row r="145" spans="1:8">
      <c r="A145" s="8">
        <v>5881.17</v>
      </c>
      <c r="B145" s="8">
        <v>717.19</v>
      </c>
      <c r="C145" s="8">
        <v>1.1499999999999999</v>
      </c>
      <c r="D145" s="8">
        <v>0</v>
      </c>
      <c r="E145" s="8">
        <v>0</v>
      </c>
      <c r="F145" s="8">
        <v>22361.63</v>
      </c>
      <c r="G145" s="8">
        <v>271.68</v>
      </c>
      <c r="H145" s="8">
        <v>0</v>
      </c>
    </row>
    <row r="146" spans="1:8">
      <c r="A146" s="8">
        <v>5877.14</v>
      </c>
      <c r="B146" s="8">
        <v>707.91</v>
      </c>
      <c r="C146" s="8">
        <v>1.1100000000000001</v>
      </c>
      <c r="D146" s="8">
        <v>0</v>
      </c>
      <c r="E146" s="8">
        <v>0</v>
      </c>
      <c r="F146" s="8">
        <v>22301.75</v>
      </c>
      <c r="G146" s="8">
        <v>270.92</v>
      </c>
      <c r="H146" s="8">
        <v>0</v>
      </c>
    </row>
    <row r="147" spans="1:8">
      <c r="A147" s="8">
        <v>5873.11</v>
      </c>
      <c r="B147" s="8">
        <v>694.95</v>
      </c>
      <c r="C147" s="8">
        <v>1.0900000000000001</v>
      </c>
      <c r="D147" s="8">
        <v>0</v>
      </c>
      <c r="E147" s="8">
        <v>0</v>
      </c>
      <c r="F147" s="8">
        <v>21958.07</v>
      </c>
      <c r="G147" s="8">
        <v>266.49</v>
      </c>
      <c r="H147" s="8">
        <v>0</v>
      </c>
    </row>
    <row r="148" spans="1:8">
      <c r="A148" s="8">
        <v>5869.07</v>
      </c>
      <c r="B148" s="8">
        <v>677.74</v>
      </c>
      <c r="C148" s="8">
        <v>1.07</v>
      </c>
      <c r="D148" s="8">
        <v>0</v>
      </c>
      <c r="E148" s="8">
        <v>0</v>
      </c>
      <c r="F148" s="8">
        <v>21895.22</v>
      </c>
      <c r="G148" s="8">
        <v>265.58999999999997</v>
      </c>
      <c r="H148" s="8">
        <v>0</v>
      </c>
    </row>
    <row r="149" spans="1:8">
      <c r="A149" s="8">
        <v>5865.05</v>
      </c>
      <c r="B149" s="8">
        <v>665.69</v>
      </c>
      <c r="C149" s="8">
        <v>1.05</v>
      </c>
      <c r="D149" s="8">
        <v>0</v>
      </c>
      <c r="E149" s="8">
        <v>0</v>
      </c>
      <c r="F149" s="8">
        <v>21558.45</v>
      </c>
      <c r="G149" s="8">
        <v>261.52</v>
      </c>
      <c r="H149" s="8">
        <v>0</v>
      </c>
    </row>
    <row r="150" spans="1:8">
      <c r="A150" s="8">
        <v>5860.71</v>
      </c>
      <c r="B150" s="8">
        <v>665.21</v>
      </c>
      <c r="C150" s="8">
        <v>1.04</v>
      </c>
      <c r="D150" s="8">
        <v>0</v>
      </c>
      <c r="E150" s="8">
        <v>0</v>
      </c>
      <c r="F150" s="8">
        <v>21503.06</v>
      </c>
      <c r="G150" s="8">
        <v>260.86</v>
      </c>
      <c r="H150" s="8">
        <v>0</v>
      </c>
    </row>
    <row r="151" spans="1:8">
      <c r="A151" s="8">
        <v>5856.69</v>
      </c>
      <c r="B151" s="8">
        <v>632.45000000000005</v>
      </c>
      <c r="C151" s="8">
        <v>0.99</v>
      </c>
      <c r="D151" s="8">
        <v>0</v>
      </c>
      <c r="E151" s="8">
        <v>0</v>
      </c>
      <c r="F151" s="8">
        <v>21163.21</v>
      </c>
      <c r="G151" s="8">
        <v>257.29000000000002</v>
      </c>
      <c r="H151" s="8">
        <v>0</v>
      </c>
    </row>
    <row r="152" spans="1:8">
      <c r="A152" s="8">
        <v>5852.65</v>
      </c>
      <c r="B152" s="8">
        <v>632.02</v>
      </c>
      <c r="C152" s="8">
        <v>0.98</v>
      </c>
      <c r="D152" s="8">
        <v>0</v>
      </c>
      <c r="E152" s="8">
        <v>0</v>
      </c>
      <c r="F152" s="8">
        <v>21107.64</v>
      </c>
      <c r="G152" s="8">
        <v>256.63</v>
      </c>
      <c r="H152" s="8">
        <v>0</v>
      </c>
    </row>
    <row r="153" spans="1:8">
      <c r="A153" s="8">
        <v>5848.59</v>
      </c>
      <c r="B153" s="8">
        <v>620.12</v>
      </c>
      <c r="C153" s="8">
        <v>0.96</v>
      </c>
      <c r="D153" s="8">
        <v>0</v>
      </c>
      <c r="E153" s="8">
        <v>0</v>
      </c>
      <c r="F153" s="8">
        <v>20784.28</v>
      </c>
      <c r="G153" s="8">
        <v>252.5</v>
      </c>
      <c r="H153" s="8">
        <v>0</v>
      </c>
    </row>
    <row r="154" spans="1:8">
      <c r="A154" s="8">
        <v>5844.52</v>
      </c>
      <c r="B154" s="8">
        <v>605.21</v>
      </c>
      <c r="C154" s="8">
        <v>0.94</v>
      </c>
      <c r="D154" s="8">
        <v>0</v>
      </c>
      <c r="E154" s="8">
        <v>0</v>
      </c>
      <c r="F154" s="8">
        <v>20724.89</v>
      </c>
      <c r="G154" s="8">
        <v>251.75</v>
      </c>
      <c r="H154" s="8">
        <v>0</v>
      </c>
    </row>
    <row r="155" spans="1:8">
      <c r="A155" s="8">
        <v>5840.52</v>
      </c>
      <c r="B155" s="8">
        <v>532.14</v>
      </c>
      <c r="C155" s="8">
        <v>0.93</v>
      </c>
      <c r="D155" s="8">
        <v>0</v>
      </c>
      <c r="E155" s="8">
        <v>0</v>
      </c>
      <c r="F155" s="8">
        <v>20453.57</v>
      </c>
      <c r="G155" s="8">
        <v>248.34</v>
      </c>
      <c r="H155" s="8">
        <v>0</v>
      </c>
    </row>
    <row r="156" spans="1:8">
      <c r="A156" s="8">
        <v>5836.51</v>
      </c>
      <c r="B156" s="8">
        <v>502.6</v>
      </c>
      <c r="C156" s="8">
        <v>0.9</v>
      </c>
      <c r="D156" s="8">
        <v>0</v>
      </c>
      <c r="E156" s="8">
        <v>0</v>
      </c>
      <c r="F156" s="8">
        <v>20393.54</v>
      </c>
      <c r="G156" s="8">
        <v>247.65</v>
      </c>
      <c r="H156" s="8">
        <v>0</v>
      </c>
    </row>
    <row r="157" spans="1:8">
      <c r="A157" s="8">
        <v>5832.51</v>
      </c>
      <c r="B157" s="8">
        <v>472.6</v>
      </c>
      <c r="C157" s="8">
        <v>0.88</v>
      </c>
      <c r="D157" s="8">
        <v>0</v>
      </c>
      <c r="E157" s="8">
        <v>0</v>
      </c>
      <c r="F157" s="8">
        <v>20092.25</v>
      </c>
      <c r="G157" s="8">
        <v>245.06</v>
      </c>
      <c r="H157" s="8">
        <v>0</v>
      </c>
    </row>
    <row r="158" spans="1:8">
      <c r="A158" s="8">
        <v>5828.52</v>
      </c>
      <c r="B158" s="8">
        <v>456.22</v>
      </c>
      <c r="C158" s="8">
        <v>0.87</v>
      </c>
      <c r="D158" s="8">
        <v>0</v>
      </c>
      <c r="E158" s="8">
        <v>0</v>
      </c>
      <c r="F158" s="8">
        <v>20040.400000000001</v>
      </c>
      <c r="G158" s="8">
        <v>244.43</v>
      </c>
      <c r="H158" s="8">
        <v>0</v>
      </c>
    </row>
    <row r="159" spans="1:8">
      <c r="A159" s="8">
        <v>5824.51</v>
      </c>
      <c r="B159" s="8">
        <v>435.36</v>
      </c>
      <c r="C159" s="8">
        <v>0.86</v>
      </c>
      <c r="D159" s="8">
        <v>0</v>
      </c>
      <c r="E159" s="8">
        <v>0</v>
      </c>
      <c r="F159" s="8">
        <v>19751.189999999999</v>
      </c>
      <c r="G159" s="8">
        <v>241.77</v>
      </c>
      <c r="H159" s="8">
        <v>0</v>
      </c>
    </row>
    <row r="160" spans="1:8">
      <c r="A160" s="8">
        <v>5820.48</v>
      </c>
      <c r="B160" s="8">
        <v>415.63</v>
      </c>
      <c r="C160" s="8">
        <v>0.83</v>
      </c>
      <c r="D160" s="8">
        <v>0</v>
      </c>
      <c r="E160" s="8">
        <v>0</v>
      </c>
      <c r="F160" s="8">
        <v>19700.37</v>
      </c>
      <c r="G160" s="8">
        <v>241.16</v>
      </c>
      <c r="H160" s="8">
        <v>0</v>
      </c>
    </row>
    <row r="161" spans="1:8">
      <c r="A161" s="8">
        <v>5816.36</v>
      </c>
      <c r="B161" s="8">
        <v>392.91</v>
      </c>
      <c r="C161" s="8">
        <v>0.8</v>
      </c>
      <c r="D161" s="8">
        <v>0</v>
      </c>
      <c r="E161" s="8">
        <v>0</v>
      </c>
      <c r="F161" s="8">
        <v>19380.5</v>
      </c>
      <c r="G161" s="8">
        <v>237.93</v>
      </c>
      <c r="H161" s="8">
        <v>0</v>
      </c>
    </row>
    <row r="162" spans="1:8">
      <c r="A162" s="8">
        <v>5808.83</v>
      </c>
      <c r="B162" s="8">
        <v>379.71</v>
      </c>
      <c r="C162" s="8">
        <v>0.79</v>
      </c>
      <c r="D162" s="8">
        <v>0</v>
      </c>
      <c r="E162" s="8">
        <v>0</v>
      </c>
      <c r="F162" s="8">
        <v>19131.419999999998</v>
      </c>
      <c r="G162" s="8">
        <v>236.41</v>
      </c>
      <c r="H162" s="8">
        <v>0</v>
      </c>
    </row>
    <row r="163" spans="1:8">
      <c r="A163" s="8">
        <v>5802.85</v>
      </c>
      <c r="B163" s="8">
        <v>356.87</v>
      </c>
      <c r="C163" s="8">
        <v>0.75</v>
      </c>
      <c r="D163" s="8">
        <v>0</v>
      </c>
      <c r="E163" s="8">
        <v>0</v>
      </c>
      <c r="F163" s="8">
        <v>18636.93</v>
      </c>
      <c r="G163" s="8">
        <v>228.17</v>
      </c>
      <c r="H163" s="8">
        <v>0</v>
      </c>
    </row>
    <row r="164" spans="1:8">
      <c r="A164" s="8">
        <v>5798.83</v>
      </c>
      <c r="B164" s="8">
        <v>347.29</v>
      </c>
      <c r="C164" s="8">
        <v>0.75</v>
      </c>
      <c r="D164" s="8">
        <v>0</v>
      </c>
      <c r="E164" s="8">
        <v>0</v>
      </c>
      <c r="F164" s="8">
        <v>18474.62</v>
      </c>
      <c r="G164" s="8">
        <v>226.1</v>
      </c>
      <c r="H164" s="8">
        <v>0</v>
      </c>
    </row>
    <row r="165" spans="1:8">
      <c r="A165" s="8">
        <v>5794.83</v>
      </c>
      <c r="B165" s="8">
        <v>334.92</v>
      </c>
      <c r="C165" s="8">
        <v>0.74</v>
      </c>
      <c r="D165" s="8">
        <v>0</v>
      </c>
      <c r="E165" s="8">
        <v>0</v>
      </c>
      <c r="F165" s="8">
        <v>18196.64</v>
      </c>
      <c r="G165" s="8">
        <v>224.02</v>
      </c>
      <c r="H165" s="8">
        <v>0</v>
      </c>
    </row>
    <row r="166" spans="1:8">
      <c r="A166" s="8">
        <v>5790.46</v>
      </c>
      <c r="B166" s="8">
        <v>318.97000000000003</v>
      </c>
      <c r="C166" s="8">
        <v>0.7</v>
      </c>
      <c r="D166" s="8">
        <v>0</v>
      </c>
      <c r="E166" s="8">
        <v>0</v>
      </c>
      <c r="F166" s="8">
        <v>18145.63</v>
      </c>
      <c r="G166" s="8">
        <v>223.43</v>
      </c>
      <c r="H166" s="8">
        <v>0</v>
      </c>
    </row>
    <row r="167" spans="1:8">
      <c r="A167" s="8">
        <v>5786.5</v>
      </c>
      <c r="B167" s="8">
        <v>306.68</v>
      </c>
      <c r="C167" s="8">
        <v>0.69</v>
      </c>
      <c r="D167" s="8">
        <v>0</v>
      </c>
      <c r="E167" s="8">
        <v>0</v>
      </c>
      <c r="F167" s="8">
        <v>17883.2</v>
      </c>
      <c r="G167" s="8">
        <v>220.9</v>
      </c>
      <c r="H167" s="8">
        <v>0</v>
      </c>
    </row>
    <row r="168" spans="1:8">
      <c r="A168" s="8">
        <v>5782.32</v>
      </c>
      <c r="B168" s="8">
        <v>299.72000000000003</v>
      </c>
      <c r="C168" s="8">
        <v>0.69</v>
      </c>
      <c r="D168" s="8">
        <v>0</v>
      </c>
      <c r="E168" s="8">
        <v>0</v>
      </c>
      <c r="F168" s="8">
        <v>17816.82</v>
      </c>
      <c r="G168" s="8">
        <v>219.88</v>
      </c>
      <c r="H168" s="8">
        <v>0</v>
      </c>
    </row>
    <row r="169" spans="1:8">
      <c r="A169" s="8">
        <v>5778.36</v>
      </c>
      <c r="B169" s="8">
        <v>285.56</v>
      </c>
      <c r="C169" s="8">
        <v>0.66</v>
      </c>
      <c r="D169" s="8">
        <v>0</v>
      </c>
      <c r="E169" s="8">
        <v>0</v>
      </c>
      <c r="F169" s="8">
        <v>17550.18</v>
      </c>
      <c r="G169" s="8">
        <v>217.37</v>
      </c>
      <c r="H169" s="8">
        <v>0</v>
      </c>
    </row>
    <row r="170" spans="1:8">
      <c r="A170" s="8">
        <v>5774.4</v>
      </c>
      <c r="B170" s="8">
        <v>279.97000000000003</v>
      </c>
      <c r="C170" s="8">
        <v>0.66</v>
      </c>
      <c r="D170" s="8">
        <v>0</v>
      </c>
      <c r="E170" s="8">
        <v>0</v>
      </c>
      <c r="F170" s="8">
        <v>17495.55</v>
      </c>
      <c r="G170" s="8">
        <v>216.67</v>
      </c>
      <c r="H170" s="8">
        <v>0</v>
      </c>
    </row>
    <row r="171" spans="1:8">
      <c r="A171" s="8">
        <v>5770.41</v>
      </c>
      <c r="B171" s="8">
        <v>268.74</v>
      </c>
      <c r="C171" s="8">
        <v>0.64</v>
      </c>
      <c r="D171" s="8">
        <v>0</v>
      </c>
      <c r="E171" s="8">
        <v>0</v>
      </c>
      <c r="F171" s="8">
        <v>17242.72</v>
      </c>
      <c r="G171" s="8">
        <v>214.43</v>
      </c>
      <c r="H171" s="8">
        <v>0</v>
      </c>
    </row>
    <row r="172" spans="1:8">
      <c r="A172" s="8">
        <v>5766.46</v>
      </c>
      <c r="B172" s="8">
        <v>260.36</v>
      </c>
      <c r="C172" s="8">
        <v>0.62</v>
      </c>
      <c r="D172" s="8">
        <v>0</v>
      </c>
      <c r="E172" s="8">
        <v>0</v>
      </c>
      <c r="F172" s="8">
        <v>17193.03</v>
      </c>
      <c r="G172" s="8">
        <v>213.88</v>
      </c>
      <c r="H172" s="8">
        <v>0</v>
      </c>
    </row>
    <row r="173" spans="1:8">
      <c r="A173" s="8">
        <v>5761.8</v>
      </c>
      <c r="B173" s="8">
        <v>251.3</v>
      </c>
      <c r="C173" s="8">
        <v>0.61</v>
      </c>
      <c r="D173" s="8">
        <v>0</v>
      </c>
      <c r="E173" s="8">
        <v>0</v>
      </c>
      <c r="F173" s="8">
        <v>16931.45</v>
      </c>
      <c r="G173" s="8">
        <v>211.53</v>
      </c>
      <c r="H173" s="8">
        <v>0</v>
      </c>
    </row>
    <row r="174" spans="1:8">
      <c r="A174" s="8">
        <v>5757.68</v>
      </c>
      <c r="B174" s="8">
        <v>247.3</v>
      </c>
      <c r="C174" s="8">
        <v>0.61</v>
      </c>
      <c r="D174" s="8">
        <v>0</v>
      </c>
      <c r="E174" s="8">
        <v>0</v>
      </c>
      <c r="F174" s="8">
        <v>16879.37</v>
      </c>
      <c r="G174" s="8">
        <v>210.92</v>
      </c>
      <c r="H174" s="8">
        <v>0</v>
      </c>
    </row>
    <row r="175" spans="1:8">
      <c r="A175" s="8">
        <v>5753.74</v>
      </c>
      <c r="B175" s="8">
        <v>235.5</v>
      </c>
      <c r="C175" s="8">
        <v>0.57999999999999996</v>
      </c>
      <c r="D175" s="8">
        <v>0</v>
      </c>
      <c r="E175" s="8">
        <v>0</v>
      </c>
      <c r="F175" s="8">
        <v>16633.259999999998</v>
      </c>
      <c r="G175" s="8">
        <v>207.23</v>
      </c>
      <c r="H175" s="8">
        <v>0</v>
      </c>
    </row>
    <row r="176" spans="1:8">
      <c r="A176" s="8">
        <v>5749.8</v>
      </c>
      <c r="B176" s="8">
        <v>229.74</v>
      </c>
      <c r="C176" s="8">
        <v>0.56999999999999995</v>
      </c>
      <c r="D176" s="8">
        <v>0</v>
      </c>
      <c r="E176" s="8">
        <v>0</v>
      </c>
      <c r="F176" s="8">
        <v>16591.560000000001</v>
      </c>
      <c r="G176" s="8">
        <v>206.72</v>
      </c>
      <c r="H176" s="8">
        <v>0</v>
      </c>
    </row>
    <row r="177" spans="1:8">
      <c r="A177" s="8">
        <v>5745.86</v>
      </c>
      <c r="B177" s="8">
        <v>222.15</v>
      </c>
      <c r="C177" s="8">
        <v>0.55000000000000004</v>
      </c>
      <c r="D177" s="8">
        <v>0</v>
      </c>
      <c r="E177" s="8">
        <v>0</v>
      </c>
      <c r="F177" s="8">
        <v>16351.08</v>
      </c>
      <c r="G177" s="8">
        <v>203.47</v>
      </c>
      <c r="H177" s="8">
        <v>0</v>
      </c>
    </row>
    <row r="178" spans="1:8">
      <c r="A178" s="8">
        <v>5741.93</v>
      </c>
      <c r="B178" s="8">
        <v>216.22</v>
      </c>
      <c r="C178" s="8">
        <v>0.54</v>
      </c>
      <c r="D178" s="8">
        <v>0</v>
      </c>
      <c r="E178" s="8">
        <v>0</v>
      </c>
      <c r="F178" s="8">
        <v>16309.72</v>
      </c>
      <c r="G178" s="8">
        <v>202.95</v>
      </c>
      <c r="H178" s="8">
        <v>0</v>
      </c>
    </row>
    <row r="179" spans="1:8">
      <c r="A179" s="8">
        <v>5738</v>
      </c>
      <c r="B179" s="8">
        <v>209.24</v>
      </c>
      <c r="C179" s="8">
        <v>0.53</v>
      </c>
      <c r="D179" s="8">
        <v>0</v>
      </c>
      <c r="E179" s="8">
        <v>0</v>
      </c>
      <c r="F179" s="8">
        <v>16063.25</v>
      </c>
      <c r="G179" s="8">
        <v>199.46</v>
      </c>
      <c r="H179" s="8">
        <v>0</v>
      </c>
    </row>
    <row r="180" spans="1:8">
      <c r="A180" s="8">
        <v>5734.07</v>
      </c>
      <c r="B180" s="8">
        <v>206.85</v>
      </c>
      <c r="C180" s="8">
        <v>0.52</v>
      </c>
      <c r="D180" s="8">
        <v>0</v>
      </c>
      <c r="E180" s="8">
        <v>0</v>
      </c>
      <c r="F180" s="8">
        <v>16020.54</v>
      </c>
      <c r="G180" s="8">
        <v>198.93</v>
      </c>
      <c r="H180" s="8">
        <v>0</v>
      </c>
    </row>
    <row r="181" spans="1:8">
      <c r="A181" s="8">
        <v>5730.14</v>
      </c>
      <c r="B181" s="8">
        <v>195.64</v>
      </c>
      <c r="C181" s="8">
        <v>0.49</v>
      </c>
      <c r="D181" s="8">
        <v>0</v>
      </c>
      <c r="E181" s="8">
        <v>0</v>
      </c>
      <c r="F181" s="8">
        <v>15758.15</v>
      </c>
      <c r="G181" s="8">
        <v>194.61</v>
      </c>
      <c r="H181" s="8">
        <v>0</v>
      </c>
    </row>
    <row r="182" spans="1:8">
      <c r="A182" s="8">
        <v>5726.21</v>
      </c>
      <c r="B182" s="8">
        <v>193.65</v>
      </c>
      <c r="C182" s="8">
        <v>0.49</v>
      </c>
      <c r="D182" s="8">
        <v>0</v>
      </c>
      <c r="E182" s="8">
        <v>0</v>
      </c>
      <c r="F182" s="8">
        <v>15672.65</v>
      </c>
      <c r="G182" s="8">
        <v>193.25</v>
      </c>
      <c r="H182" s="8">
        <v>0</v>
      </c>
    </row>
    <row r="183" spans="1:8">
      <c r="A183" s="8">
        <v>5722.29</v>
      </c>
      <c r="B183" s="8">
        <v>188.47</v>
      </c>
      <c r="C183" s="8">
        <v>0.48</v>
      </c>
      <c r="D183" s="8">
        <v>0</v>
      </c>
      <c r="E183" s="8">
        <v>0</v>
      </c>
      <c r="F183" s="8">
        <v>15409.97</v>
      </c>
      <c r="G183" s="8">
        <v>189.47</v>
      </c>
      <c r="H183" s="8">
        <v>0</v>
      </c>
    </row>
    <row r="184" spans="1:8">
      <c r="A184" s="8">
        <v>5718.38</v>
      </c>
      <c r="B184" s="8">
        <v>184.33</v>
      </c>
      <c r="C184" s="8">
        <v>0.47</v>
      </c>
      <c r="D184" s="8">
        <v>0</v>
      </c>
      <c r="E184" s="8">
        <v>0</v>
      </c>
      <c r="F184" s="8">
        <v>15369.78</v>
      </c>
      <c r="G184" s="8">
        <v>188.98</v>
      </c>
      <c r="H184" s="8">
        <v>0</v>
      </c>
    </row>
    <row r="185" spans="1:8">
      <c r="A185" s="8">
        <v>5707.46</v>
      </c>
      <c r="B185" s="8">
        <v>179.31</v>
      </c>
      <c r="C185" s="8">
        <v>0.46</v>
      </c>
      <c r="D185" s="8">
        <v>0</v>
      </c>
      <c r="E185" s="8">
        <v>79801.02</v>
      </c>
      <c r="F185" s="8">
        <v>15117.02</v>
      </c>
      <c r="G185" s="8">
        <v>185.23</v>
      </c>
      <c r="H185" s="8">
        <v>0</v>
      </c>
    </row>
    <row r="186" spans="1:8">
      <c r="A186" s="8">
        <v>5695.34</v>
      </c>
      <c r="B186" s="8">
        <v>176.04</v>
      </c>
      <c r="C186" s="8">
        <v>0.45</v>
      </c>
      <c r="D186" s="8">
        <v>0</v>
      </c>
      <c r="E186" s="8">
        <v>79595.64</v>
      </c>
      <c r="F186" s="8">
        <v>15077.73</v>
      </c>
      <c r="G186" s="8">
        <v>184.73</v>
      </c>
      <c r="H186" s="8">
        <v>0</v>
      </c>
    </row>
    <row r="187" spans="1:8">
      <c r="A187" s="8">
        <v>5677.86</v>
      </c>
      <c r="B187" s="8">
        <v>169.89</v>
      </c>
      <c r="C187" s="8">
        <v>0.44</v>
      </c>
      <c r="D187" s="8">
        <v>0</v>
      </c>
      <c r="E187" s="8">
        <v>79390.11</v>
      </c>
      <c r="F187" s="8">
        <v>14827.61</v>
      </c>
      <c r="G187" s="8">
        <v>181.6</v>
      </c>
      <c r="H187" s="8">
        <v>0</v>
      </c>
    </row>
    <row r="188" spans="1:8">
      <c r="A188" s="8">
        <v>5673.97</v>
      </c>
      <c r="B188" s="8">
        <v>168.47</v>
      </c>
      <c r="C188" s="8">
        <v>0.44</v>
      </c>
      <c r="D188" s="8">
        <v>0</v>
      </c>
      <c r="E188" s="8">
        <v>79185.36</v>
      </c>
      <c r="F188" s="8">
        <v>14789</v>
      </c>
      <c r="G188" s="8">
        <v>181.12</v>
      </c>
      <c r="H188" s="8">
        <v>0</v>
      </c>
    </row>
    <row r="189" spans="1:8">
      <c r="A189" s="8">
        <v>5664.07</v>
      </c>
      <c r="B189" s="8">
        <v>164.71</v>
      </c>
      <c r="C189" s="8">
        <v>0.43</v>
      </c>
      <c r="D189" s="8">
        <v>0</v>
      </c>
      <c r="E189" s="8">
        <v>78987.27</v>
      </c>
      <c r="F189" s="8">
        <v>14555.66</v>
      </c>
      <c r="G189" s="8">
        <v>178.36</v>
      </c>
      <c r="H189" s="8">
        <v>0</v>
      </c>
    </row>
    <row r="190" spans="1:8">
      <c r="A190" s="8">
        <v>5652.32</v>
      </c>
      <c r="B190" s="8">
        <v>161.12</v>
      </c>
      <c r="C190" s="8">
        <v>0.42</v>
      </c>
      <c r="D190" s="8">
        <v>0</v>
      </c>
      <c r="E190" s="8">
        <v>78789.179999999993</v>
      </c>
      <c r="F190" s="8">
        <v>14519.1</v>
      </c>
      <c r="G190" s="8">
        <v>177.91</v>
      </c>
      <c r="H190" s="8">
        <v>0</v>
      </c>
    </row>
    <row r="191" spans="1:8">
      <c r="A191" s="8">
        <v>5634.26</v>
      </c>
      <c r="B191" s="8">
        <v>156.29</v>
      </c>
      <c r="C191" s="8">
        <v>0.41</v>
      </c>
      <c r="D191" s="8">
        <v>0</v>
      </c>
      <c r="E191" s="8">
        <v>78581.440000000002</v>
      </c>
      <c r="F191" s="8">
        <v>14286.12</v>
      </c>
      <c r="G191" s="8">
        <v>175.12</v>
      </c>
      <c r="H191" s="8">
        <v>0</v>
      </c>
    </row>
    <row r="192" spans="1:8">
      <c r="A192" s="8">
        <v>5630.4</v>
      </c>
      <c r="B192" s="8">
        <v>155.13</v>
      </c>
      <c r="C192" s="8">
        <v>0.41</v>
      </c>
      <c r="D192" s="8">
        <v>0</v>
      </c>
      <c r="E192" s="8">
        <v>78262.490000000005</v>
      </c>
      <c r="F192" s="8">
        <v>14213.43</v>
      </c>
      <c r="G192" s="8">
        <v>173.85</v>
      </c>
      <c r="H192" s="8">
        <v>0</v>
      </c>
    </row>
    <row r="193" spans="1:8">
      <c r="A193" s="8">
        <v>5613.08</v>
      </c>
      <c r="B193" s="8">
        <v>150.63999999999999</v>
      </c>
      <c r="C193" s="8">
        <v>0.39</v>
      </c>
      <c r="D193" s="8">
        <v>0</v>
      </c>
      <c r="E193" s="8">
        <v>78053.600000000006</v>
      </c>
      <c r="F193" s="8">
        <v>13984.2</v>
      </c>
      <c r="G193" s="8">
        <v>171.3</v>
      </c>
      <c r="H193" s="8">
        <v>0</v>
      </c>
    </row>
    <row r="194" spans="1:8">
      <c r="A194" s="8">
        <v>5609.23</v>
      </c>
      <c r="B194" s="8">
        <v>149.57</v>
      </c>
      <c r="C194" s="8">
        <v>0.39</v>
      </c>
      <c r="D194" s="8">
        <v>0</v>
      </c>
      <c r="E194" s="8">
        <v>77845.679999999993</v>
      </c>
      <c r="F194" s="8">
        <v>13947.13</v>
      </c>
      <c r="G194" s="8">
        <v>170.85</v>
      </c>
      <c r="H194" s="8">
        <v>0</v>
      </c>
    </row>
    <row r="195" spans="1:8">
      <c r="A195" s="8">
        <v>5599.2</v>
      </c>
      <c r="B195" s="8">
        <v>146.58000000000001</v>
      </c>
      <c r="C195" s="8">
        <v>0.39</v>
      </c>
      <c r="D195" s="8">
        <v>0</v>
      </c>
      <c r="E195" s="8">
        <v>77604.23</v>
      </c>
      <c r="F195" s="8">
        <v>13715.36</v>
      </c>
      <c r="G195" s="8">
        <v>167.68</v>
      </c>
      <c r="H195" s="8">
        <v>0</v>
      </c>
    </row>
    <row r="196" spans="1:8">
      <c r="A196" s="8">
        <v>5581.46</v>
      </c>
      <c r="B196" s="8">
        <v>143.26</v>
      </c>
      <c r="C196" s="8">
        <v>0.38</v>
      </c>
      <c r="D196" s="8">
        <v>0</v>
      </c>
      <c r="E196" s="8">
        <v>77310.69</v>
      </c>
      <c r="F196" s="8">
        <v>13648.53</v>
      </c>
      <c r="G196" s="8">
        <v>166.63</v>
      </c>
      <c r="H196" s="8">
        <v>0</v>
      </c>
    </row>
    <row r="197" spans="1:8">
      <c r="A197" s="8">
        <v>5571.35</v>
      </c>
      <c r="B197" s="8">
        <v>140.69</v>
      </c>
      <c r="C197" s="8">
        <v>0.37</v>
      </c>
      <c r="D197" s="8">
        <v>0</v>
      </c>
      <c r="E197" s="8">
        <v>77110.929999999993</v>
      </c>
      <c r="F197" s="8">
        <v>13421.46</v>
      </c>
      <c r="G197" s="8">
        <v>163.88</v>
      </c>
      <c r="H197" s="8">
        <v>0</v>
      </c>
    </row>
    <row r="198" spans="1:8">
      <c r="A198" s="8">
        <v>5567.54</v>
      </c>
      <c r="B198" s="8">
        <v>139.80000000000001</v>
      </c>
      <c r="C198" s="8">
        <v>0.37</v>
      </c>
      <c r="D198" s="8">
        <v>0</v>
      </c>
      <c r="E198" s="8">
        <v>76910.78</v>
      </c>
      <c r="F198" s="8">
        <v>13385.48</v>
      </c>
      <c r="G198" s="8">
        <v>163.41999999999999</v>
      </c>
      <c r="H198" s="8">
        <v>0</v>
      </c>
    </row>
    <row r="199" spans="1:8">
      <c r="A199" s="8">
        <v>5549.55</v>
      </c>
      <c r="B199" s="8">
        <v>136.33000000000001</v>
      </c>
      <c r="C199" s="8">
        <v>0.36</v>
      </c>
      <c r="D199" s="8">
        <v>0</v>
      </c>
      <c r="E199" s="8">
        <v>76716.740000000005</v>
      </c>
      <c r="F199" s="8">
        <v>13167.05</v>
      </c>
      <c r="G199" s="8">
        <v>160.88</v>
      </c>
      <c r="H199" s="8">
        <v>0</v>
      </c>
    </row>
    <row r="200" spans="1:8">
      <c r="A200" s="8">
        <v>5545.75</v>
      </c>
      <c r="B200" s="8">
        <v>135.53</v>
      </c>
      <c r="C200" s="8">
        <v>0.36</v>
      </c>
      <c r="D200" s="8">
        <v>0</v>
      </c>
      <c r="E200" s="8">
        <v>76518.61</v>
      </c>
      <c r="F200" s="8">
        <v>13131.69</v>
      </c>
      <c r="G200" s="8">
        <v>160.44999999999999</v>
      </c>
      <c r="H200" s="8">
        <v>0</v>
      </c>
    </row>
    <row r="201" spans="1:8">
      <c r="A201" s="8">
        <v>5528.84</v>
      </c>
      <c r="B201" s="8">
        <v>132.65</v>
      </c>
      <c r="C201" s="8">
        <v>0.35</v>
      </c>
      <c r="D201" s="8">
        <v>0</v>
      </c>
      <c r="E201" s="8">
        <v>76328.289999999994</v>
      </c>
      <c r="F201" s="8">
        <v>12922.85</v>
      </c>
      <c r="G201" s="8">
        <v>158.12</v>
      </c>
      <c r="H201" s="8">
        <v>0</v>
      </c>
    </row>
    <row r="202" spans="1:8">
      <c r="A202" s="8">
        <v>5518.03</v>
      </c>
      <c r="B202" s="8">
        <v>130.69</v>
      </c>
      <c r="C202" s="8">
        <v>0.35</v>
      </c>
      <c r="D202" s="8">
        <v>0</v>
      </c>
      <c r="E202" s="8">
        <v>76138.429999999993</v>
      </c>
      <c r="F202" s="8">
        <v>12890.71</v>
      </c>
      <c r="G202" s="8">
        <v>157.72999999999999</v>
      </c>
      <c r="H202" s="8">
        <v>0</v>
      </c>
    </row>
    <row r="203" spans="1:8">
      <c r="A203" s="8">
        <v>5507.5</v>
      </c>
      <c r="B203" s="8">
        <v>128.41999999999999</v>
      </c>
      <c r="C203" s="8">
        <v>0.34</v>
      </c>
      <c r="D203" s="8">
        <v>0</v>
      </c>
      <c r="E203" s="8">
        <v>75949.05</v>
      </c>
      <c r="F203" s="8">
        <v>12674.75</v>
      </c>
      <c r="G203" s="8">
        <v>155.15</v>
      </c>
      <c r="H203" s="8">
        <v>0</v>
      </c>
    </row>
    <row r="204" spans="1:8">
      <c r="A204" s="8">
        <v>5503.73</v>
      </c>
      <c r="B204" s="8">
        <v>127.73</v>
      </c>
      <c r="C204" s="8">
        <v>0.34</v>
      </c>
      <c r="D204" s="8">
        <v>0</v>
      </c>
      <c r="E204" s="8">
        <v>75760.149999999994</v>
      </c>
      <c r="F204" s="8">
        <v>12643.23</v>
      </c>
      <c r="G204" s="8">
        <v>154.76</v>
      </c>
      <c r="H204" s="8">
        <v>0</v>
      </c>
    </row>
    <row r="205" spans="1:8">
      <c r="A205" s="8">
        <v>5485.83</v>
      </c>
      <c r="B205" s="8">
        <v>124.43</v>
      </c>
      <c r="C205" s="8">
        <v>0.33</v>
      </c>
      <c r="D205" s="8">
        <v>0</v>
      </c>
      <c r="E205" s="8">
        <v>75568.89</v>
      </c>
      <c r="F205" s="8">
        <v>12417.92</v>
      </c>
      <c r="G205" s="8">
        <v>151.94</v>
      </c>
      <c r="H205" s="8">
        <v>0</v>
      </c>
    </row>
    <row r="206" spans="1:8">
      <c r="A206" s="8">
        <v>5475.43</v>
      </c>
      <c r="B206" s="8">
        <v>122.88</v>
      </c>
      <c r="C206" s="8">
        <v>0.33</v>
      </c>
      <c r="D206" s="8">
        <v>0</v>
      </c>
      <c r="E206" s="8">
        <v>75362.67</v>
      </c>
      <c r="F206" s="8">
        <v>12383.96</v>
      </c>
      <c r="G206" s="8">
        <v>151.54</v>
      </c>
      <c r="H206" s="8">
        <v>0</v>
      </c>
    </row>
    <row r="207" spans="1:8">
      <c r="A207" s="8">
        <v>5464.42</v>
      </c>
      <c r="B207" s="8">
        <v>120.39</v>
      </c>
      <c r="C207" s="8">
        <v>0.32</v>
      </c>
      <c r="D207" s="8">
        <v>0</v>
      </c>
      <c r="E207" s="8">
        <v>75113.37</v>
      </c>
      <c r="F207" s="8">
        <v>12113.03</v>
      </c>
      <c r="G207" s="8">
        <v>147.22</v>
      </c>
      <c r="H207" s="8">
        <v>0</v>
      </c>
    </row>
    <row r="208" spans="1:8">
      <c r="A208" s="8">
        <v>5453.84</v>
      </c>
      <c r="B208" s="8">
        <v>118.51</v>
      </c>
      <c r="C208" s="8">
        <v>0.32</v>
      </c>
      <c r="D208" s="8">
        <v>0</v>
      </c>
      <c r="E208" s="8">
        <v>74924.97</v>
      </c>
      <c r="F208" s="8">
        <v>12082.42</v>
      </c>
      <c r="G208" s="8">
        <v>146.84</v>
      </c>
      <c r="H208" s="8">
        <v>0</v>
      </c>
    </row>
    <row r="209" spans="1:8">
      <c r="A209" s="8">
        <v>5442.81</v>
      </c>
      <c r="B209" s="8">
        <v>116.31</v>
      </c>
      <c r="C209" s="8">
        <v>0.31</v>
      </c>
      <c r="D209" s="8">
        <v>0</v>
      </c>
      <c r="E209" s="8">
        <v>74738.55</v>
      </c>
      <c r="F209" s="8">
        <v>11818.46</v>
      </c>
      <c r="G209" s="8">
        <v>142.87</v>
      </c>
      <c r="H209" s="8">
        <v>0</v>
      </c>
    </row>
    <row r="210" spans="1:8">
      <c r="A210" s="8">
        <v>5439.08</v>
      </c>
      <c r="B210" s="8">
        <v>115.69</v>
      </c>
      <c r="C210" s="8">
        <v>0.31</v>
      </c>
      <c r="D210" s="8">
        <v>0</v>
      </c>
      <c r="E210" s="8">
        <v>74552.649999999994</v>
      </c>
      <c r="F210" s="8">
        <v>11789.06</v>
      </c>
      <c r="G210" s="8">
        <v>142.52000000000001</v>
      </c>
      <c r="H210" s="8">
        <v>0</v>
      </c>
    </row>
    <row r="211" spans="1:8">
      <c r="A211" s="8">
        <v>5415.43</v>
      </c>
      <c r="B211" s="8">
        <v>112.29</v>
      </c>
      <c r="C211" s="8">
        <v>0.3</v>
      </c>
      <c r="D211" s="8">
        <v>0</v>
      </c>
      <c r="E211" s="8">
        <v>74367.22</v>
      </c>
      <c r="F211" s="8">
        <v>11531.56</v>
      </c>
      <c r="G211" s="8">
        <v>138.69999999999999</v>
      </c>
      <c r="H211" s="8">
        <v>0</v>
      </c>
    </row>
    <row r="212" spans="1:8">
      <c r="A212" s="8">
        <v>5411.72</v>
      </c>
      <c r="B212" s="8">
        <v>111.71</v>
      </c>
      <c r="C212" s="8">
        <v>0.3</v>
      </c>
      <c r="D212" s="8">
        <v>0</v>
      </c>
      <c r="E212" s="8">
        <v>74181.98</v>
      </c>
      <c r="F212" s="8">
        <v>11502.82</v>
      </c>
      <c r="G212" s="8">
        <v>138.36000000000001</v>
      </c>
      <c r="H212" s="8">
        <v>0</v>
      </c>
    </row>
    <row r="213" spans="1:8">
      <c r="A213" s="8">
        <v>5400.95</v>
      </c>
      <c r="B213" s="8">
        <v>109.63</v>
      </c>
      <c r="C213" s="8">
        <v>0.28999999999999998</v>
      </c>
      <c r="D213" s="8">
        <v>0</v>
      </c>
      <c r="E213" s="8">
        <v>73997.03</v>
      </c>
      <c r="F213" s="8">
        <v>11256.07</v>
      </c>
      <c r="G213" s="8">
        <v>134.47</v>
      </c>
      <c r="H213" s="8">
        <v>0</v>
      </c>
    </row>
    <row r="214" spans="1:8">
      <c r="A214" s="8">
        <v>5390.36</v>
      </c>
      <c r="B214" s="8">
        <v>108.43</v>
      </c>
      <c r="C214" s="8">
        <v>0.28999999999999998</v>
      </c>
      <c r="D214" s="8">
        <v>0</v>
      </c>
      <c r="E214" s="8">
        <v>73812.92</v>
      </c>
      <c r="F214" s="8">
        <v>11228.06</v>
      </c>
      <c r="G214" s="8">
        <v>134.13</v>
      </c>
      <c r="H214" s="8">
        <v>0</v>
      </c>
    </row>
    <row r="215" spans="1:8">
      <c r="A215" s="8">
        <v>5379.54</v>
      </c>
      <c r="B215" s="8">
        <v>106.45</v>
      </c>
      <c r="C215" s="8">
        <v>0.28000000000000003</v>
      </c>
      <c r="D215" s="8">
        <v>0</v>
      </c>
      <c r="E215" s="8">
        <v>73629.33</v>
      </c>
      <c r="F215" s="8">
        <v>10991.98</v>
      </c>
      <c r="G215" s="8">
        <v>130.38</v>
      </c>
      <c r="H215" s="8">
        <v>0</v>
      </c>
    </row>
    <row r="216" spans="1:8">
      <c r="A216" s="8">
        <v>5372.85</v>
      </c>
      <c r="B216" s="8">
        <v>105.51</v>
      </c>
      <c r="C216" s="8">
        <v>0.28000000000000003</v>
      </c>
      <c r="D216" s="8">
        <v>0</v>
      </c>
      <c r="E216" s="8">
        <v>73446.19</v>
      </c>
      <c r="F216" s="8">
        <v>10964.64</v>
      </c>
      <c r="G216" s="8">
        <v>130.06</v>
      </c>
      <c r="H216" s="8">
        <v>0</v>
      </c>
    </row>
    <row r="217" spans="1:8">
      <c r="A217" s="8">
        <v>5357.05</v>
      </c>
      <c r="B217" s="8">
        <v>103.41</v>
      </c>
      <c r="C217" s="8">
        <v>0.27</v>
      </c>
      <c r="D217" s="8">
        <v>0</v>
      </c>
      <c r="E217" s="8">
        <v>73263.509999999995</v>
      </c>
      <c r="F217" s="8">
        <v>10739.96</v>
      </c>
      <c r="G217" s="8">
        <v>126.5</v>
      </c>
      <c r="H217" s="8">
        <v>0</v>
      </c>
    </row>
    <row r="218" spans="1:8">
      <c r="A218" s="8">
        <v>5353.38</v>
      </c>
      <c r="B218" s="8">
        <v>102.89</v>
      </c>
      <c r="C218" s="8">
        <v>0.27</v>
      </c>
      <c r="D218" s="8">
        <v>0</v>
      </c>
      <c r="E218" s="8">
        <v>73081.279999999999</v>
      </c>
      <c r="F218" s="8">
        <v>10713.25</v>
      </c>
      <c r="G218" s="8">
        <v>126.18</v>
      </c>
      <c r="H218" s="8">
        <v>0</v>
      </c>
    </row>
    <row r="219" spans="1:8">
      <c r="A219" s="8">
        <v>5342.74</v>
      </c>
      <c r="B219" s="8">
        <v>101.1</v>
      </c>
      <c r="C219" s="8">
        <v>0.27</v>
      </c>
      <c r="D219" s="8">
        <v>0</v>
      </c>
      <c r="E219" s="8">
        <v>72899.429999999993</v>
      </c>
      <c r="F219" s="8">
        <v>10498.29</v>
      </c>
      <c r="G219" s="8">
        <v>122.89</v>
      </c>
      <c r="H219" s="8">
        <v>0</v>
      </c>
    </row>
    <row r="220" spans="1:8">
      <c r="A220" s="8">
        <v>5333.84</v>
      </c>
      <c r="B220" s="8">
        <v>100.47</v>
      </c>
      <c r="C220" s="8">
        <v>0.26</v>
      </c>
      <c r="D220" s="8">
        <v>0</v>
      </c>
      <c r="E220" s="8">
        <v>72718.070000000007</v>
      </c>
      <c r="F220" s="8">
        <v>10472.17</v>
      </c>
      <c r="G220" s="8">
        <v>122.59</v>
      </c>
      <c r="H220" s="8">
        <v>0</v>
      </c>
    </row>
    <row r="221" spans="1:8">
      <c r="A221" s="8">
        <v>5320.27</v>
      </c>
      <c r="B221" s="8">
        <v>98.43</v>
      </c>
      <c r="C221" s="8">
        <v>0.26</v>
      </c>
      <c r="D221" s="8">
        <v>0</v>
      </c>
      <c r="E221" s="8">
        <v>72537.2</v>
      </c>
      <c r="F221" s="8">
        <v>10263.49</v>
      </c>
      <c r="G221" s="8">
        <v>119.45</v>
      </c>
      <c r="H221" s="8">
        <v>0</v>
      </c>
    </row>
    <row r="222" spans="1:8">
      <c r="A222" s="8">
        <v>5316.63</v>
      </c>
      <c r="B222" s="8">
        <v>97.95</v>
      </c>
      <c r="C222" s="8">
        <v>0.26</v>
      </c>
      <c r="D222" s="8">
        <v>0</v>
      </c>
      <c r="E222" s="8">
        <v>72356.77</v>
      </c>
      <c r="F222" s="8">
        <v>10237.969999999999</v>
      </c>
      <c r="G222" s="8">
        <v>119.16</v>
      </c>
      <c r="H222" s="8">
        <v>0</v>
      </c>
    </row>
    <row r="223" spans="1:8">
      <c r="A223" s="8">
        <v>5300.46</v>
      </c>
      <c r="B223" s="8">
        <v>96.21</v>
      </c>
      <c r="C223" s="8">
        <v>0.25</v>
      </c>
      <c r="D223" s="8">
        <v>0</v>
      </c>
      <c r="E223" s="8">
        <v>72176.800000000003</v>
      </c>
      <c r="F223" s="8">
        <v>10036.75</v>
      </c>
      <c r="G223" s="8">
        <v>116.25</v>
      </c>
      <c r="H223" s="8">
        <v>0</v>
      </c>
    </row>
    <row r="224" spans="1:8">
      <c r="A224" s="8">
        <v>5296.83</v>
      </c>
      <c r="B224" s="8">
        <v>95.74</v>
      </c>
      <c r="C224" s="8">
        <v>0.25</v>
      </c>
      <c r="D224" s="8">
        <v>0</v>
      </c>
      <c r="E224" s="8">
        <v>71997.2</v>
      </c>
      <c r="F224" s="8">
        <v>10011.77</v>
      </c>
      <c r="G224" s="8">
        <v>115.96</v>
      </c>
      <c r="H224" s="8">
        <v>0</v>
      </c>
    </row>
    <row r="225" spans="1:8">
      <c r="A225" s="8">
        <v>5285.64</v>
      </c>
      <c r="B225" s="8">
        <v>94.18</v>
      </c>
      <c r="C225" s="8">
        <v>0.25</v>
      </c>
      <c r="D225" s="8">
        <v>0</v>
      </c>
      <c r="E225" s="8">
        <v>71818.13</v>
      </c>
      <c r="F225" s="8">
        <v>9816.61</v>
      </c>
      <c r="G225" s="8">
        <v>113.22</v>
      </c>
      <c r="H225" s="8">
        <v>0</v>
      </c>
    </row>
    <row r="226" spans="1:8">
      <c r="A226" s="8">
        <v>5274.02</v>
      </c>
      <c r="B226" s="8">
        <v>93.25</v>
      </c>
      <c r="C226" s="8">
        <v>0.25</v>
      </c>
      <c r="D226" s="8">
        <v>0</v>
      </c>
      <c r="E226" s="8">
        <v>71639.490000000005</v>
      </c>
      <c r="F226" s="8">
        <v>9792.2000000000007</v>
      </c>
      <c r="G226" s="8">
        <v>112.94</v>
      </c>
      <c r="H226" s="8">
        <v>0</v>
      </c>
    </row>
    <row r="227" spans="1:8">
      <c r="A227" s="8">
        <v>5262.64</v>
      </c>
      <c r="B227" s="8">
        <v>91.82</v>
      </c>
      <c r="C227" s="8">
        <v>0.24</v>
      </c>
      <c r="D227" s="8">
        <v>0</v>
      </c>
      <c r="E227" s="8">
        <v>71461.3</v>
      </c>
      <c r="F227" s="8">
        <v>9603.67</v>
      </c>
      <c r="G227" s="8">
        <v>110.49</v>
      </c>
      <c r="H227" s="8">
        <v>0</v>
      </c>
    </row>
    <row r="228" spans="1:8">
      <c r="A228" s="8">
        <v>5259.04</v>
      </c>
      <c r="B228" s="8">
        <v>91.36</v>
      </c>
      <c r="C228" s="8">
        <v>0.24</v>
      </c>
      <c r="D228" s="8">
        <v>0</v>
      </c>
      <c r="E228" s="8">
        <v>71283.55</v>
      </c>
      <c r="F228" s="8">
        <v>9579.7800000000007</v>
      </c>
      <c r="G228" s="8">
        <v>110.22</v>
      </c>
      <c r="H228" s="8">
        <v>0</v>
      </c>
    </row>
    <row r="229" spans="1:8">
      <c r="A229" s="8">
        <v>5242.1099999999997</v>
      </c>
      <c r="B229" s="8">
        <v>89.92</v>
      </c>
      <c r="C229" s="8">
        <v>0.24</v>
      </c>
      <c r="D229" s="8">
        <v>0</v>
      </c>
      <c r="E229" s="8">
        <v>71106.25</v>
      </c>
      <c r="F229" s="8">
        <v>9398.23</v>
      </c>
      <c r="G229" s="8">
        <v>108.05</v>
      </c>
      <c r="H229" s="8">
        <v>0</v>
      </c>
    </row>
    <row r="230" spans="1:8">
      <c r="A230" s="8">
        <v>5238.5200000000004</v>
      </c>
      <c r="B230" s="8">
        <v>89.47</v>
      </c>
      <c r="C230" s="8">
        <v>0.24</v>
      </c>
      <c r="D230" s="8">
        <v>0</v>
      </c>
      <c r="E230" s="8">
        <v>70929.39</v>
      </c>
      <c r="F230" s="8">
        <v>9374.85</v>
      </c>
      <c r="G230" s="8">
        <v>107.78</v>
      </c>
      <c r="H230" s="8">
        <v>0</v>
      </c>
    </row>
    <row r="231" spans="1:8">
      <c r="A231" s="8">
        <v>5224.13</v>
      </c>
      <c r="B231" s="8">
        <v>87.87</v>
      </c>
      <c r="C231" s="8">
        <v>0.23</v>
      </c>
      <c r="D231" s="8">
        <v>0</v>
      </c>
      <c r="E231" s="8">
        <v>70752.960000000006</v>
      </c>
      <c r="F231" s="8">
        <v>9198.0300000000007</v>
      </c>
      <c r="G231" s="8">
        <v>105.64</v>
      </c>
      <c r="H231" s="8">
        <v>0</v>
      </c>
    </row>
    <row r="232" spans="1:8">
      <c r="A232" s="8">
        <v>5215.21</v>
      </c>
      <c r="B232" s="8">
        <v>87.3</v>
      </c>
      <c r="C232" s="8">
        <v>0.23</v>
      </c>
      <c r="D232" s="8">
        <v>0</v>
      </c>
      <c r="E232" s="8">
        <v>70576.98</v>
      </c>
      <c r="F232" s="8">
        <v>9175.15</v>
      </c>
      <c r="G232" s="8">
        <v>105.38</v>
      </c>
      <c r="H232" s="8">
        <v>0</v>
      </c>
    </row>
    <row r="233" spans="1:8">
      <c r="A233" s="8">
        <v>5202.97</v>
      </c>
      <c r="B233" s="8">
        <v>86.07</v>
      </c>
      <c r="C233" s="8">
        <v>0.23</v>
      </c>
      <c r="D233" s="8">
        <v>0</v>
      </c>
      <c r="E233" s="8">
        <v>70401.429999999993</v>
      </c>
      <c r="F233" s="8">
        <v>9004.49</v>
      </c>
      <c r="G233" s="8">
        <v>103.41</v>
      </c>
      <c r="H233" s="8">
        <v>0</v>
      </c>
    </row>
    <row r="234" spans="1:8">
      <c r="A234" s="8">
        <v>5199.41</v>
      </c>
      <c r="B234" s="8">
        <v>85.63</v>
      </c>
      <c r="C234" s="8">
        <v>0.23</v>
      </c>
      <c r="D234" s="8">
        <v>0</v>
      </c>
      <c r="E234" s="8">
        <v>70226.320000000007</v>
      </c>
      <c r="F234" s="8">
        <v>8982.09</v>
      </c>
      <c r="G234" s="8">
        <v>103.16</v>
      </c>
      <c r="H234" s="8">
        <v>0</v>
      </c>
    </row>
    <row r="235" spans="1:8">
      <c r="A235" s="8">
        <v>5181.54</v>
      </c>
      <c r="B235" s="8">
        <v>84.27</v>
      </c>
      <c r="C235" s="8">
        <v>0.22</v>
      </c>
      <c r="D235" s="8">
        <v>0</v>
      </c>
      <c r="E235" s="8">
        <v>70051.649999999994</v>
      </c>
      <c r="F235" s="8">
        <v>8816.3799999999992</v>
      </c>
      <c r="G235" s="8">
        <v>101.09</v>
      </c>
      <c r="H235" s="8">
        <v>0</v>
      </c>
    </row>
    <row r="236" spans="1:8">
      <c r="A236" s="8">
        <v>5175.53</v>
      </c>
      <c r="B236" s="8">
        <v>83.54</v>
      </c>
      <c r="C236" s="8">
        <v>0.22</v>
      </c>
      <c r="D236" s="8">
        <v>0</v>
      </c>
      <c r="E236" s="8">
        <v>69877.41</v>
      </c>
      <c r="F236" s="8">
        <v>8794.4500000000007</v>
      </c>
      <c r="G236" s="8">
        <v>100.84</v>
      </c>
      <c r="H236" s="8">
        <v>0</v>
      </c>
    </row>
    <row r="237" spans="1:8">
      <c r="A237" s="8">
        <v>5162.75</v>
      </c>
      <c r="B237" s="8">
        <v>82.29</v>
      </c>
      <c r="C237" s="8">
        <v>0.22</v>
      </c>
      <c r="D237" s="8">
        <v>0</v>
      </c>
      <c r="E237" s="8">
        <v>69703.600000000006</v>
      </c>
      <c r="F237" s="8">
        <v>8631.89</v>
      </c>
      <c r="G237" s="8">
        <v>98.75</v>
      </c>
      <c r="H237" s="8">
        <v>0</v>
      </c>
    </row>
    <row r="238" spans="1:8">
      <c r="A238" s="8">
        <v>5153.67</v>
      </c>
      <c r="B238" s="8">
        <v>81.739999999999995</v>
      </c>
      <c r="C238" s="8">
        <v>0.22</v>
      </c>
      <c r="D238" s="8">
        <v>0</v>
      </c>
      <c r="E238" s="8">
        <v>69530.22</v>
      </c>
      <c r="F238" s="8">
        <v>8610.41</v>
      </c>
      <c r="G238" s="8">
        <v>98.51</v>
      </c>
      <c r="H238" s="8">
        <v>0</v>
      </c>
    </row>
    <row r="239" spans="1:8">
      <c r="A239" s="8">
        <v>5140.71</v>
      </c>
      <c r="B239" s="8">
        <v>80.489999999999995</v>
      </c>
      <c r="C239" s="8">
        <v>0.21</v>
      </c>
      <c r="D239" s="8">
        <v>0</v>
      </c>
      <c r="E239" s="8">
        <v>69357.279999999999</v>
      </c>
      <c r="F239" s="8">
        <v>8452.9</v>
      </c>
      <c r="G239" s="8">
        <v>96.24</v>
      </c>
      <c r="H239" s="8">
        <v>0</v>
      </c>
    </row>
    <row r="240" spans="1:8">
      <c r="A240" s="8">
        <v>5137.1899999999996</v>
      </c>
      <c r="B240" s="8">
        <v>80.069999999999993</v>
      </c>
      <c r="C240" s="8">
        <v>0.21</v>
      </c>
      <c r="D240" s="8">
        <v>0</v>
      </c>
      <c r="E240" s="8">
        <v>69184.77</v>
      </c>
      <c r="F240" s="8">
        <v>8431.8799999999992</v>
      </c>
      <c r="G240" s="8">
        <v>96</v>
      </c>
      <c r="H240" s="8">
        <v>0</v>
      </c>
    </row>
    <row r="241" spans="1:8">
      <c r="A241" s="8">
        <v>5115.5200000000004</v>
      </c>
      <c r="B241" s="8">
        <v>78.47</v>
      </c>
      <c r="C241" s="8">
        <v>0.21</v>
      </c>
      <c r="D241" s="8">
        <v>0</v>
      </c>
      <c r="E241" s="8">
        <v>69012.679999999993</v>
      </c>
      <c r="F241" s="8">
        <v>8275.09</v>
      </c>
      <c r="G241" s="8">
        <v>93.9</v>
      </c>
      <c r="H241" s="8">
        <v>0</v>
      </c>
    </row>
    <row r="242" spans="1:8">
      <c r="A242" s="8">
        <v>5112.01</v>
      </c>
      <c r="B242" s="8">
        <v>78.06</v>
      </c>
      <c r="C242" s="8">
        <v>0.21</v>
      </c>
      <c r="D242" s="8">
        <v>0</v>
      </c>
      <c r="E242" s="8">
        <v>68841.03</v>
      </c>
      <c r="F242" s="8">
        <v>8254.51</v>
      </c>
      <c r="G242" s="8">
        <v>93.66</v>
      </c>
      <c r="H242" s="8">
        <v>0</v>
      </c>
    </row>
    <row r="243" spans="1:8">
      <c r="A243" s="8">
        <v>5098.49</v>
      </c>
      <c r="B243" s="8">
        <v>76.83</v>
      </c>
      <c r="C243" s="8">
        <v>0.2</v>
      </c>
      <c r="D243" s="8">
        <v>0</v>
      </c>
      <c r="E243" s="8">
        <v>68669.8</v>
      </c>
      <c r="F243" s="8">
        <v>8102.89</v>
      </c>
      <c r="G243" s="8">
        <v>91.4</v>
      </c>
      <c r="H243" s="8">
        <v>0</v>
      </c>
    </row>
    <row r="244" spans="1:8">
      <c r="A244" s="8">
        <v>5089.1899999999996</v>
      </c>
      <c r="B244" s="8">
        <v>76.290000000000006</v>
      </c>
      <c r="C244" s="8">
        <v>0.2</v>
      </c>
      <c r="D244" s="8">
        <v>0</v>
      </c>
      <c r="E244" s="8">
        <v>68498.990000000005</v>
      </c>
      <c r="F244" s="8">
        <v>8082.74</v>
      </c>
      <c r="G244" s="8">
        <v>91.18</v>
      </c>
      <c r="H244" s="8">
        <v>0</v>
      </c>
    </row>
    <row r="245" spans="1:8">
      <c r="A245" s="8">
        <v>5075.3500000000004</v>
      </c>
      <c r="B245" s="8">
        <v>75.069999999999993</v>
      </c>
      <c r="C245" s="8">
        <v>0.2</v>
      </c>
      <c r="D245" s="8">
        <v>0</v>
      </c>
      <c r="E245" s="8">
        <v>68328.62</v>
      </c>
      <c r="F245" s="8">
        <v>7931.19</v>
      </c>
      <c r="G245" s="8">
        <v>89.01</v>
      </c>
      <c r="H245" s="8">
        <v>0</v>
      </c>
    </row>
    <row r="246" spans="1:8">
      <c r="A246" s="8">
        <v>5069.72</v>
      </c>
      <c r="B246" s="8">
        <v>74.52</v>
      </c>
      <c r="C246" s="8">
        <v>0.2</v>
      </c>
      <c r="D246" s="8">
        <v>0</v>
      </c>
      <c r="E246" s="8">
        <v>68158.66</v>
      </c>
      <c r="F246" s="8">
        <v>7911.47</v>
      </c>
      <c r="G246" s="8">
        <v>88.79</v>
      </c>
      <c r="H246" s="8">
        <v>0</v>
      </c>
    </row>
    <row r="247" spans="1:8">
      <c r="A247" s="8">
        <v>5054.7</v>
      </c>
      <c r="B247" s="8">
        <v>73.41</v>
      </c>
      <c r="C247" s="8">
        <v>0.2</v>
      </c>
      <c r="D247" s="8">
        <v>0</v>
      </c>
      <c r="E247" s="8">
        <v>67989.13</v>
      </c>
      <c r="F247" s="8">
        <v>7805.45</v>
      </c>
      <c r="G247" s="8">
        <v>86.91</v>
      </c>
      <c r="H247" s="8">
        <v>0</v>
      </c>
    </row>
    <row r="248" spans="1:8">
      <c r="A248" s="8">
        <v>5051.24</v>
      </c>
      <c r="B248" s="8">
        <v>73.010000000000005</v>
      </c>
      <c r="C248" s="8">
        <v>0.19</v>
      </c>
      <c r="D248" s="8">
        <v>0</v>
      </c>
      <c r="E248" s="8">
        <v>67820.02</v>
      </c>
      <c r="F248" s="8">
        <v>7786.03</v>
      </c>
      <c r="G248" s="8">
        <v>86.7</v>
      </c>
      <c r="H248" s="8">
        <v>0</v>
      </c>
    </row>
    <row r="249" spans="1:8">
      <c r="A249" s="8">
        <v>5039.17</v>
      </c>
      <c r="B249" s="8">
        <v>71.98</v>
      </c>
      <c r="C249" s="8">
        <v>0.19</v>
      </c>
      <c r="D249" s="8">
        <v>0</v>
      </c>
      <c r="E249" s="8">
        <v>67651.33</v>
      </c>
      <c r="F249" s="8">
        <v>7678.48</v>
      </c>
      <c r="G249" s="8">
        <v>84.79</v>
      </c>
      <c r="H249" s="8">
        <v>0</v>
      </c>
    </row>
    <row r="250" spans="1:8">
      <c r="A250" s="8">
        <v>5032.5600000000004</v>
      </c>
      <c r="B250" s="8">
        <v>71.52</v>
      </c>
      <c r="C250" s="8">
        <v>0.19</v>
      </c>
      <c r="D250" s="8">
        <v>0</v>
      </c>
      <c r="E250" s="8">
        <v>67483.06</v>
      </c>
      <c r="F250" s="8">
        <v>7659.38</v>
      </c>
      <c r="G250" s="8">
        <v>84.58</v>
      </c>
      <c r="H250" s="8">
        <v>0</v>
      </c>
    </row>
    <row r="251" spans="1:8">
      <c r="A251" s="8">
        <v>5017.87</v>
      </c>
      <c r="B251" s="8">
        <v>70.37</v>
      </c>
      <c r="C251" s="8">
        <v>0.19</v>
      </c>
      <c r="D251" s="8">
        <v>0</v>
      </c>
      <c r="E251" s="8">
        <v>67315.210000000006</v>
      </c>
      <c r="F251" s="8">
        <v>7552.51</v>
      </c>
      <c r="G251" s="8">
        <v>82.79</v>
      </c>
      <c r="H251" s="8">
        <v>0</v>
      </c>
    </row>
    <row r="252" spans="1:8">
      <c r="A252" s="8">
        <v>5014.43</v>
      </c>
      <c r="B252" s="8">
        <v>69.98</v>
      </c>
      <c r="C252" s="8">
        <v>0.19</v>
      </c>
      <c r="D252" s="8">
        <v>0</v>
      </c>
      <c r="E252" s="8">
        <v>67147.77</v>
      </c>
      <c r="F252" s="8">
        <v>7533.73</v>
      </c>
      <c r="G252" s="8">
        <v>82.58</v>
      </c>
      <c r="H252" s="8">
        <v>0</v>
      </c>
    </row>
    <row r="253" spans="1:8">
      <c r="A253" s="8">
        <v>4998.6000000000004</v>
      </c>
      <c r="B253" s="8">
        <v>68.900000000000006</v>
      </c>
      <c r="C253" s="8">
        <v>0.18</v>
      </c>
      <c r="D253" s="8">
        <v>0</v>
      </c>
      <c r="E253" s="8">
        <v>66980.759999999995</v>
      </c>
      <c r="F253" s="8">
        <v>7427.27</v>
      </c>
      <c r="G253" s="8">
        <v>80.77</v>
      </c>
      <c r="H253" s="8">
        <v>0</v>
      </c>
    </row>
    <row r="254" spans="1:8">
      <c r="A254" s="8">
        <v>4995.18</v>
      </c>
      <c r="B254" s="8">
        <v>68.52</v>
      </c>
      <c r="C254" s="8">
        <v>0.18</v>
      </c>
      <c r="D254" s="8">
        <v>0</v>
      </c>
      <c r="E254" s="8">
        <v>66814.16</v>
      </c>
      <c r="F254" s="8">
        <v>7408.8</v>
      </c>
      <c r="G254" s="8">
        <v>80.569999999999993</v>
      </c>
      <c r="H254" s="8">
        <v>0</v>
      </c>
    </row>
    <row r="255" spans="1:8">
      <c r="A255" s="8">
        <v>4982.3</v>
      </c>
      <c r="B255" s="8">
        <v>67.540000000000006</v>
      </c>
      <c r="C255" s="8">
        <v>0.18</v>
      </c>
      <c r="D255" s="8">
        <v>0</v>
      </c>
      <c r="E255" s="8">
        <v>66647.97</v>
      </c>
      <c r="F255" s="8">
        <v>7303.12</v>
      </c>
      <c r="G255" s="8">
        <v>78.92</v>
      </c>
      <c r="H255" s="8">
        <v>0</v>
      </c>
    </row>
    <row r="256" spans="1:8">
      <c r="A256" s="8">
        <v>4973.08</v>
      </c>
      <c r="B256" s="8">
        <v>66.97</v>
      </c>
      <c r="C256" s="8">
        <v>0.18</v>
      </c>
      <c r="D256" s="8">
        <v>0</v>
      </c>
      <c r="E256" s="8">
        <v>66482.19</v>
      </c>
      <c r="F256" s="8">
        <v>7284.96</v>
      </c>
      <c r="G256" s="8">
        <v>78.72</v>
      </c>
      <c r="H256" s="8">
        <v>0</v>
      </c>
    </row>
    <row r="257" spans="1:8">
      <c r="A257" s="8">
        <v>4960.07</v>
      </c>
      <c r="B257" s="8">
        <v>66</v>
      </c>
      <c r="C257" s="8">
        <v>0.18</v>
      </c>
      <c r="D257" s="8">
        <v>0</v>
      </c>
      <c r="E257" s="8">
        <v>66316.83</v>
      </c>
      <c r="F257" s="8">
        <v>7179.87</v>
      </c>
      <c r="G257" s="8">
        <v>77.010000000000005</v>
      </c>
      <c r="H257" s="8">
        <v>0</v>
      </c>
    </row>
    <row r="258" spans="1:8">
      <c r="A258" s="8">
        <v>4956.67</v>
      </c>
      <c r="B258" s="8">
        <v>65.63</v>
      </c>
      <c r="C258" s="8">
        <v>0.18</v>
      </c>
      <c r="D258" s="8">
        <v>0</v>
      </c>
      <c r="E258" s="8">
        <v>66151.88</v>
      </c>
      <c r="F258" s="8">
        <v>7162.01</v>
      </c>
      <c r="G258" s="8">
        <v>76.819999999999993</v>
      </c>
      <c r="H258" s="8">
        <v>0</v>
      </c>
    </row>
    <row r="259" spans="1:8">
      <c r="A259" s="8">
        <v>4939.8999999999996</v>
      </c>
      <c r="B259" s="8">
        <v>64.61</v>
      </c>
      <c r="C259" s="8">
        <v>0.17</v>
      </c>
      <c r="D259" s="8">
        <v>0</v>
      </c>
      <c r="E259" s="8">
        <v>65987.34</v>
      </c>
      <c r="F259" s="8">
        <v>7057.9</v>
      </c>
      <c r="G259" s="8">
        <v>75.25</v>
      </c>
      <c r="H259" s="8">
        <v>0</v>
      </c>
    </row>
    <row r="260" spans="1:8">
      <c r="A260" s="8">
        <v>4936.5200000000004</v>
      </c>
      <c r="B260" s="8">
        <v>64.239999999999995</v>
      </c>
      <c r="C260" s="8">
        <v>0.17</v>
      </c>
      <c r="D260" s="8">
        <v>0</v>
      </c>
      <c r="E260" s="8">
        <v>65823.210000000006</v>
      </c>
      <c r="F260" s="8">
        <v>7040.35</v>
      </c>
      <c r="G260" s="8">
        <v>75.06</v>
      </c>
      <c r="H260" s="8">
        <v>0</v>
      </c>
    </row>
    <row r="261" spans="1:8">
      <c r="A261" s="8">
        <v>4920.5</v>
      </c>
      <c r="B261" s="8">
        <v>63.18</v>
      </c>
      <c r="C261" s="8">
        <v>0.17</v>
      </c>
      <c r="D261" s="8">
        <v>0</v>
      </c>
      <c r="E261" s="8">
        <v>65659.490000000005</v>
      </c>
      <c r="F261" s="8">
        <v>6937.49</v>
      </c>
      <c r="G261" s="8">
        <v>73.39</v>
      </c>
      <c r="H261" s="8">
        <v>0</v>
      </c>
    </row>
    <row r="262" spans="1:8">
      <c r="A262" s="8">
        <v>4913.6000000000004</v>
      </c>
      <c r="B262" s="8">
        <v>62.74</v>
      </c>
      <c r="C262" s="8">
        <v>0.17</v>
      </c>
      <c r="D262" s="8">
        <v>0</v>
      </c>
      <c r="E262" s="8">
        <v>65496.17</v>
      </c>
      <c r="F262" s="8">
        <v>6920.24</v>
      </c>
      <c r="G262" s="8">
        <v>73.2</v>
      </c>
      <c r="H262" s="8">
        <v>0</v>
      </c>
    </row>
    <row r="263" spans="1:8">
      <c r="A263" s="8">
        <v>4899.79</v>
      </c>
      <c r="B263" s="8">
        <v>61.84</v>
      </c>
      <c r="C263" s="8">
        <v>0.17</v>
      </c>
      <c r="D263" s="8">
        <v>0</v>
      </c>
      <c r="E263" s="8">
        <v>65333.26</v>
      </c>
      <c r="F263" s="8">
        <v>6818.17</v>
      </c>
      <c r="G263" s="8">
        <v>71.72</v>
      </c>
      <c r="H263" s="8">
        <v>0</v>
      </c>
    </row>
    <row r="264" spans="1:8">
      <c r="A264" s="8">
        <v>4896.43</v>
      </c>
      <c r="B264" s="8">
        <v>61.48</v>
      </c>
      <c r="C264" s="8">
        <v>0.17</v>
      </c>
      <c r="D264" s="8">
        <v>0</v>
      </c>
      <c r="E264" s="8">
        <v>65170.76</v>
      </c>
      <c r="F264" s="8">
        <v>6801.21</v>
      </c>
      <c r="G264" s="8">
        <v>71.540000000000006</v>
      </c>
      <c r="H264" s="8">
        <v>0</v>
      </c>
    </row>
    <row r="265" spans="1:8">
      <c r="A265" s="8">
        <v>4878.8999999999996</v>
      </c>
      <c r="B265" s="8">
        <v>60.48</v>
      </c>
      <c r="C265" s="8">
        <v>0.16</v>
      </c>
      <c r="D265" s="8">
        <v>0</v>
      </c>
      <c r="E265" s="8">
        <v>65008.66</v>
      </c>
      <c r="F265" s="8">
        <v>6699.75</v>
      </c>
      <c r="G265" s="8">
        <v>69.900000000000006</v>
      </c>
      <c r="H265" s="8">
        <v>0</v>
      </c>
    </row>
    <row r="266" spans="1:8">
      <c r="A266" s="8">
        <v>4872.83</v>
      </c>
      <c r="B266" s="8">
        <v>60.02</v>
      </c>
      <c r="C266" s="8">
        <v>0.16</v>
      </c>
      <c r="D266" s="8">
        <v>0</v>
      </c>
      <c r="E266" s="8">
        <v>64846.96</v>
      </c>
      <c r="F266" s="8">
        <v>6683.08</v>
      </c>
      <c r="G266" s="8">
        <v>69.73</v>
      </c>
      <c r="H266" s="8">
        <v>0</v>
      </c>
    </row>
    <row r="267" spans="1:8">
      <c r="A267" s="8">
        <v>4858.53</v>
      </c>
      <c r="B267" s="8">
        <v>59.15</v>
      </c>
      <c r="C267" s="8">
        <v>0.16</v>
      </c>
      <c r="D267" s="8">
        <v>0</v>
      </c>
      <c r="E267" s="8">
        <v>64685.67</v>
      </c>
      <c r="F267" s="8">
        <v>6583.02</v>
      </c>
      <c r="G267" s="8">
        <v>68.33</v>
      </c>
      <c r="H267" s="8">
        <v>0</v>
      </c>
    </row>
    <row r="268" spans="1:8">
      <c r="A268" s="8">
        <v>4851.49</v>
      </c>
      <c r="B268" s="8">
        <v>58.73</v>
      </c>
      <c r="C268" s="8">
        <v>0.16</v>
      </c>
      <c r="D268" s="8">
        <v>0</v>
      </c>
      <c r="E268" s="8">
        <v>64524.77</v>
      </c>
      <c r="F268" s="8">
        <v>6566.65</v>
      </c>
      <c r="G268" s="8">
        <v>68.16</v>
      </c>
      <c r="H268" s="8">
        <v>0</v>
      </c>
    </row>
    <row r="269" spans="1:8">
      <c r="A269" s="8">
        <v>4837.09</v>
      </c>
      <c r="B269" s="8">
        <v>57.84</v>
      </c>
      <c r="C269" s="8">
        <v>0.16</v>
      </c>
      <c r="D269" s="8">
        <v>0</v>
      </c>
      <c r="E269" s="8">
        <v>64364.28</v>
      </c>
      <c r="F269" s="8">
        <v>6468.12</v>
      </c>
      <c r="G269" s="8">
        <v>66.62</v>
      </c>
      <c r="H269" s="8">
        <v>0</v>
      </c>
    </row>
    <row r="270" spans="1:8">
      <c r="A270" s="8">
        <v>4833.78</v>
      </c>
      <c r="B270" s="8">
        <v>57.5</v>
      </c>
      <c r="C270" s="8">
        <v>0.15</v>
      </c>
      <c r="D270" s="8">
        <v>0</v>
      </c>
      <c r="E270" s="8">
        <v>64204.18</v>
      </c>
      <c r="F270" s="8">
        <v>6452.03</v>
      </c>
      <c r="G270" s="8">
        <v>66.45</v>
      </c>
      <c r="H270" s="8">
        <v>0</v>
      </c>
    </row>
    <row r="271" spans="1:8">
      <c r="A271" s="8">
        <v>4812.28</v>
      </c>
      <c r="B271" s="8">
        <v>56.48</v>
      </c>
      <c r="C271" s="8">
        <v>0.15</v>
      </c>
      <c r="D271" s="8">
        <v>0</v>
      </c>
      <c r="E271" s="8">
        <v>64044.49</v>
      </c>
      <c r="F271" s="8">
        <v>6354.59</v>
      </c>
      <c r="G271" s="8">
        <v>65.12</v>
      </c>
      <c r="H271" s="8">
        <v>0</v>
      </c>
    </row>
    <row r="272" spans="1:8">
      <c r="A272" s="8">
        <v>4808.99</v>
      </c>
      <c r="B272" s="8">
        <v>56.14</v>
      </c>
      <c r="C272" s="8">
        <v>0.15</v>
      </c>
      <c r="D272" s="8">
        <v>0</v>
      </c>
      <c r="E272" s="8">
        <v>63885.19</v>
      </c>
      <c r="F272" s="8">
        <v>6338.78</v>
      </c>
      <c r="G272" s="8">
        <v>64.959999999999994</v>
      </c>
      <c r="H272" s="8">
        <v>0</v>
      </c>
    </row>
    <row r="273" spans="1:8">
      <c r="A273" s="8">
        <v>4794.26</v>
      </c>
      <c r="B273" s="8">
        <v>55.27</v>
      </c>
      <c r="C273" s="8">
        <v>0.15</v>
      </c>
      <c r="D273" s="8">
        <v>0</v>
      </c>
      <c r="E273" s="8">
        <v>63726.29</v>
      </c>
      <c r="F273" s="8">
        <v>6241.23</v>
      </c>
      <c r="G273" s="8">
        <v>63.42</v>
      </c>
      <c r="H273" s="8">
        <v>0</v>
      </c>
    </row>
    <row r="274" spans="1:8">
      <c r="A274" s="8">
        <v>4787.01</v>
      </c>
      <c r="B274" s="8">
        <v>54.86</v>
      </c>
      <c r="C274" s="8">
        <v>0.15</v>
      </c>
      <c r="D274" s="8">
        <v>0</v>
      </c>
      <c r="E274" s="8">
        <v>63567.78</v>
      </c>
      <c r="F274" s="8">
        <v>6225.7</v>
      </c>
      <c r="G274" s="8">
        <v>63.26</v>
      </c>
      <c r="H274" s="8">
        <v>0</v>
      </c>
    </row>
    <row r="275" spans="1:8">
      <c r="A275" s="8">
        <v>4771.58</v>
      </c>
      <c r="B275" s="8">
        <v>54.05</v>
      </c>
      <c r="C275" s="8">
        <v>0.15</v>
      </c>
      <c r="D275" s="8">
        <v>0</v>
      </c>
      <c r="E275" s="8">
        <v>63409.67</v>
      </c>
      <c r="F275" s="8">
        <v>6130.89</v>
      </c>
      <c r="G275" s="8">
        <v>62.01</v>
      </c>
      <c r="H275" s="8">
        <v>0</v>
      </c>
    </row>
    <row r="276" spans="1:8">
      <c r="A276" s="8">
        <v>4765.21</v>
      </c>
      <c r="B276" s="8">
        <v>53.61</v>
      </c>
      <c r="C276" s="8">
        <v>0.14000000000000001</v>
      </c>
      <c r="D276" s="8">
        <v>0</v>
      </c>
      <c r="E276" s="8">
        <v>63251.95</v>
      </c>
      <c r="F276" s="8">
        <v>6115.64</v>
      </c>
      <c r="G276" s="8">
        <v>61.85</v>
      </c>
      <c r="H276" s="8">
        <v>0</v>
      </c>
    </row>
    <row r="277" spans="1:8">
      <c r="A277" s="8">
        <v>4751.83</v>
      </c>
      <c r="B277" s="8">
        <v>52.94</v>
      </c>
      <c r="C277" s="8">
        <v>0.14000000000000001</v>
      </c>
      <c r="D277" s="8">
        <v>0</v>
      </c>
      <c r="E277" s="8">
        <v>63094.62</v>
      </c>
      <c r="F277" s="8">
        <v>6050.15</v>
      </c>
      <c r="G277" s="8">
        <v>60.94</v>
      </c>
      <c r="H277" s="8">
        <v>0</v>
      </c>
    </row>
    <row r="278" spans="1:8">
      <c r="A278" s="8">
        <v>4748.58</v>
      </c>
      <c r="B278" s="8">
        <v>52.6</v>
      </c>
      <c r="C278" s="8">
        <v>0.14000000000000001</v>
      </c>
      <c r="D278" s="8">
        <v>0</v>
      </c>
      <c r="E278" s="8">
        <v>62937.68</v>
      </c>
      <c r="F278" s="8">
        <v>6035.1</v>
      </c>
      <c r="G278" s="8">
        <v>60.79</v>
      </c>
      <c r="H278" s="8">
        <v>0</v>
      </c>
    </row>
    <row r="279" spans="1:8">
      <c r="A279" s="8">
        <v>4736.47</v>
      </c>
      <c r="B279" s="8">
        <v>51.94</v>
      </c>
      <c r="C279" s="8">
        <v>0.14000000000000001</v>
      </c>
      <c r="D279" s="8">
        <v>0</v>
      </c>
      <c r="E279" s="8">
        <v>62781.14</v>
      </c>
      <c r="F279" s="8">
        <v>5969.02</v>
      </c>
      <c r="G279" s="8">
        <v>59.84</v>
      </c>
      <c r="H279" s="8">
        <v>0</v>
      </c>
    </row>
    <row r="280" spans="1:8">
      <c r="A280" s="8">
        <v>4731.6400000000003</v>
      </c>
      <c r="B280" s="8">
        <v>51.58</v>
      </c>
      <c r="C280" s="8">
        <v>0.14000000000000001</v>
      </c>
      <c r="D280" s="8">
        <v>0</v>
      </c>
      <c r="E280" s="8">
        <v>62624.98</v>
      </c>
      <c r="F280" s="8">
        <v>5954.17</v>
      </c>
      <c r="G280" s="8">
        <v>59.69</v>
      </c>
      <c r="H280" s="8">
        <v>0</v>
      </c>
    </row>
    <row r="281" spans="1:8">
      <c r="A281" s="8">
        <v>4718.71</v>
      </c>
      <c r="B281" s="8">
        <v>50.85</v>
      </c>
      <c r="C281" s="8">
        <v>0.14000000000000001</v>
      </c>
      <c r="D281" s="8">
        <v>0</v>
      </c>
      <c r="E281" s="8">
        <v>62469.21</v>
      </c>
      <c r="F281" s="8">
        <v>5887.74</v>
      </c>
      <c r="G281" s="8">
        <v>58.58</v>
      </c>
      <c r="H281" s="8">
        <v>0</v>
      </c>
    </row>
    <row r="282" spans="1:8">
      <c r="A282" s="8">
        <v>4715.4799999999996</v>
      </c>
      <c r="B282" s="8">
        <v>50.52</v>
      </c>
      <c r="C282" s="8">
        <v>0.14000000000000001</v>
      </c>
      <c r="D282" s="8">
        <v>0</v>
      </c>
      <c r="E282" s="8">
        <v>62313.83</v>
      </c>
      <c r="F282" s="8">
        <v>5873.09</v>
      </c>
      <c r="G282" s="8">
        <v>58.43</v>
      </c>
      <c r="H282" s="8">
        <v>0</v>
      </c>
    </row>
    <row r="283" spans="1:8">
      <c r="A283" s="8">
        <v>4701.8900000000003</v>
      </c>
      <c r="B283" s="8">
        <v>49.83</v>
      </c>
      <c r="C283" s="8">
        <v>0.13</v>
      </c>
      <c r="D283" s="8">
        <v>0</v>
      </c>
      <c r="E283" s="8">
        <v>62158.84</v>
      </c>
      <c r="F283" s="8">
        <v>5807.35</v>
      </c>
      <c r="G283" s="8">
        <v>57.43</v>
      </c>
      <c r="H283" s="8">
        <v>0</v>
      </c>
    </row>
    <row r="284" spans="1:8">
      <c r="A284" s="8">
        <v>4698.67</v>
      </c>
      <c r="B284" s="8">
        <v>49.5</v>
      </c>
      <c r="C284" s="8">
        <v>0.13</v>
      </c>
      <c r="D284" s="8">
        <v>0</v>
      </c>
      <c r="E284" s="8">
        <v>62004.23</v>
      </c>
      <c r="F284" s="8">
        <v>5792.9</v>
      </c>
      <c r="G284" s="8">
        <v>57.28</v>
      </c>
      <c r="H284" s="8">
        <v>0</v>
      </c>
    </row>
    <row r="285" spans="1:8">
      <c r="A285" s="8">
        <v>4686.2700000000004</v>
      </c>
      <c r="B285" s="8">
        <v>48.82</v>
      </c>
      <c r="C285" s="8">
        <v>0.13</v>
      </c>
      <c r="D285" s="8">
        <v>0</v>
      </c>
      <c r="E285" s="8">
        <v>61850.01</v>
      </c>
      <c r="F285" s="8">
        <v>5727.35</v>
      </c>
      <c r="G285" s="8">
        <v>56.19</v>
      </c>
      <c r="H285" s="8">
        <v>0</v>
      </c>
    </row>
    <row r="286" spans="1:8">
      <c r="A286" s="8">
        <v>4679.99</v>
      </c>
      <c r="B286" s="8">
        <v>48.43</v>
      </c>
      <c r="C286" s="8">
        <v>0.13</v>
      </c>
      <c r="D286" s="8">
        <v>0</v>
      </c>
      <c r="E286" s="8">
        <v>61696.17</v>
      </c>
      <c r="F286" s="8">
        <v>5713.11</v>
      </c>
      <c r="G286" s="8">
        <v>56.05</v>
      </c>
      <c r="H286" s="8">
        <v>0</v>
      </c>
    </row>
    <row r="287" spans="1:8">
      <c r="A287" s="8">
        <v>4667.5</v>
      </c>
      <c r="B287" s="8">
        <v>47.76</v>
      </c>
      <c r="C287" s="8">
        <v>0.13</v>
      </c>
      <c r="D287" s="8">
        <v>0</v>
      </c>
      <c r="E287" s="8">
        <v>61542.71</v>
      </c>
      <c r="F287" s="8">
        <v>5648.32</v>
      </c>
      <c r="G287" s="8">
        <v>55.08</v>
      </c>
      <c r="H287" s="8">
        <v>0</v>
      </c>
    </row>
    <row r="288" spans="1:8">
      <c r="A288" s="8">
        <v>4664.3</v>
      </c>
      <c r="B288" s="8">
        <v>47.44</v>
      </c>
      <c r="C288" s="8">
        <v>0.13</v>
      </c>
      <c r="D288" s="8">
        <v>0</v>
      </c>
      <c r="E288" s="8">
        <v>61389.63</v>
      </c>
      <c r="F288" s="8">
        <v>5634.27</v>
      </c>
      <c r="G288" s="8">
        <v>54.94</v>
      </c>
      <c r="H288" s="8">
        <v>0</v>
      </c>
    </row>
    <row r="289" spans="1:8">
      <c r="A289" s="8">
        <v>4649.66</v>
      </c>
      <c r="B289" s="8">
        <v>46.77</v>
      </c>
      <c r="C289" s="8">
        <v>0.13</v>
      </c>
      <c r="D289" s="8">
        <v>0</v>
      </c>
      <c r="E289" s="8">
        <v>61236.94</v>
      </c>
      <c r="F289" s="8">
        <v>5569.61</v>
      </c>
      <c r="G289" s="8">
        <v>54</v>
      </c>
      <c r="H289" s="8">
        <v>0</v>
      </c>
    </row>
    <row r="290" spans="1:8">
      <c r="A290" s="8">
        <v>4646.4799999999996</v>
      </c>
      <c r="B290" s="8">
        <v>46.45</v>
      </c>
      <c r="C290" s="8">
        <v>0.13</v>
      </c>
      <c r="D290" s="8">
        <v>0</v>
      </c>
      <c r="E290" s="8">
        <v>61084.62</v>
      </c>
      <c r="F290" s="8">
        <v>5555.76</v>
      </c>
      <c r="G290" s="8">
        <v>53.86</v>
      </c>
      <c r="H290" s="8">
        <v>0</v>
      </c>
    </row>
    <row r="291" spans="1:8">
      <c r="A291" s="8">
        <v>4630.8999999999996</v>
      </c>
      <c r="B291" s="8">
        <v>45.72</v>
      </c>
      <c r="C291" s="8">
        <v>0.12</v>
      </c>
      <c r="D291" s="8">
        <v>0</v>
      </c>
      <c r="E291" s="8">
        <v>60932.69</v>
      </c>
      <c r="F291" s="8">
        <v>5492.53</v>
      </c>
      <c r="G291" s="8">
        <v>52.91</v>
      </c>
      <c r="H291" s="8">
        <v>0</v>
      </c>
    </row>
    <row r="292" spans="1:8">
      <c r="A292" s="8">
        <v>4625.95</v>
      </c>
      <c r="B292" s="8">
        <v>45.39</v>
      </c>
      <c r="C292" s="8">
        <v>0.12</v>
      </c>
      <c r="D292" s="8">
        <v>0</v>
      </c>
      <c r="E292" s="8">
        <v>60781.13</v>
      </c>
      <c r="F292" s="8">
        <v>5478.87</v>
      </c>
      <c r="G292" s="8">
        <v>52.78</v>
      </c>
      <c r="H292" s="8">
        <v>0</v>
      </c>
    </row>
    <row r="293" spans="1:8">
      <c r="A293" s="8">
        <v>4612.6000000000004</v>
      </c>
      <c r="B293" s="8">
        <v>44.76</v>
      </c>
      <c r="C293" s="8">
        <v>0.12</v>
      </c>
      <c r="D293" s="8">
        <v>0</v>
      </c>
      <c r="E293" s="8">
        <v>60629.95</v>
      </c>
      <c r="F293" s="8">
        <v>5415.19</v>
      </c>
      <c r="G293" s="8">
        <v>51.96</v>
      </c>
      <c r="H293" s="8">
        <v>0</v>
      </c>
    </row>
    <row r="294" spans="1:8">
      <c r="A294" s="8">
        <v>4609.4399999999996</v>
      </c>
      <c r="B294" s="8">
        <v>44.45</v>
      </c>
      <c r="C294" s="8">
        <v>0.12</v>
      </c>
      <c r="D294" s="8">
        <v>0</v>
      </c>
      <c r="E294" s="8">
        <v>60479.14</v>
      </c>
      <c r="F294" s="8">
        <v>5401.73</v>
      </c>
      <c r="G294" s="8">
        <v>51.83</v>
      </c>
      <c r="H294" s="8">
        <v>0</v>
      </c>
    </row>
    <row r="295" spans="1:8">
      <c r="A295" s="8">
        <v>4593.59</v>
      </c>
      <c r="B295" s="8">
        <v>43.79</v>
      </c>
      <c r="C295" s="8">
        <v>0.12</v>
      </c>
      <c r="D295" s="8">
        <v>0</v>
      </c>
      <c r="E295" s="8">
        <v>60328.71</v>
      </c>
      <c r="F295" s="8">
        <v>5338.91</v>
      </c>
      <c r="G295" s="8">
        <v>50.93</v>
      </c>
      <c r="H295" s="8">
        <v>0</v>
      </c>
    </row>
    <row r="296" spans="1:8">
      <c r="A296" s="8">
        <v>4588.8599999999997</v>
      </c>
      <c r="B296" s="8">
        <v>43.45</v>
      </c>
      <c r="C296" s="8">
        <v>0.12</v>
      </c>
      <c r="D296" s="8">
        <v>0</v>
      </c>
      <c r="E296" s="8">
        <v>60178.65</v>
      </c>
      <c r="F296" s="8">
        <v>5325.63</v>
      </c>
      <c r="G296" s="8">
        <v>50.8</v>
      </c>
      <c r="H296" s="8">
        <v>0</v>
      </c>
    </row>
    <row r="297" spans="1:8">
      <c r="A297" s="8">
        <v>4575.1899999999996</v>
      </c>
      <c r="B297" s="8">
        <v>42.84</v>
      </c>
      <c r="C297" s="8">
        <v>0.12</v>
      </c>
      <c r="D297" s="8">
        <v>0</v>
      </c>
      <c r="E297" s="8">
        <v>60028.97</v>
      </c>
      <c r="F297" s="8">
        <v>5263.09</v>
      </c>
      <c r="G297" s="8">
        <v>50</v>
      </c>
      <c r="H297" s="8">
        <v>0</v>
      </c>
    </row>
    <row r="298" spans="1:8">
      <c r="A298" s="8">
        <v>4570.1000000000004</v>
      </c>
      <c r="B298" s="8">
        <v>42.53</v>
      </c>
      <c r="C298" s="8">
        <v>0.11</v>
      </c>
      <c r="D298" s="8">
        <v>0</v>
      </c>
      <c r="E298" s="8">
        <v>59879.66</v>
      </c>
      <c r="F298" s="8">
        <v>5250</v>
      </c>
      <c r="G298" s="8">
        <v>49.88</v>
      </c>
      <c r="H298" s="8">
        <v>0</v>
      </c>
    </row>
    <row r="299" spans="1:8">
      <c r="A299" s="8">
        <v>4555.8500000000004</v>
      </c>
      <c r="B299" s="8">
        <v>41.91</v>
      </c>
      <c r="C299" s="8">
        <v>0.11</v>
      </c>
      <c r="D299" s="8">
        <v>0</v>
      </c>
      <c r="E299" s="8">
        <v>59730.720000000001</v>
      </c>
      <c r="F299" s="8">
        <v>5187.13</v>
      </c>
      <c r="G299" s="8">
        <v>49</v>
      </c>
      <c r="H299" s="8">
        <v>0</v>
      </c>
    </row>
    <row r="300" spans="1:8">
      <c r="A300" s="8">
        <v>4552.7299999999996</v>
      </c>
      <c r="B300" s="8">
        <v>41.62</v>
      </c>
      <c r="C300" s="8">
        <v>0.11</v>
      </c>
      <c r="D300" s="8">
        <v>0</v>
      </c>
      <c r="E300" s="8">
        <v>59582.15</v>
      </c>
      <c r="F300" s="8">
        <v>5174.2299999999996</v>
      </c>
      <c r="G300" s="8">
        <v>48.88</v>
      </c>
      <c r="H300" s="8">
        <v>0</v>
      </c>
    </row>
    <row r="301" spans="1:8">
      <c r="A301" s="8">
        <v>4534.7</v>
      </c>
      <c r="B301" s="8">
        <v>40.98</v>
      </c>
      <c r="C301" s="8">
        <v>0.11</v>
      </c>
      <c r="D301" s="8">
        <v>0</v>
      </c>
      <c r="E301" s="8">
        <v>59433.95</v>
      </c>
      <c r="F301" s="8">
        <v>5113.68</v>
      </c>
      <c r="G301" s="8">
        <v>48.13</v>
      </c>
      <c r="H301" s="8">
        <v>0</v>
      </c>
    </row>
    <row r="302" spans="1:8">
      <c r="A302" s="8">
        <v>4531.6000000000004</v>
      </c>
      <c r="B302" s="8">
        <v>40.69</v>
      </c>
      <c r="C302" s="8">
        <v>0.11</v>
      </c>
      <c r="D302" s="8">
        <v>0</v>
      </c>
      <c r="E302" s="8">
        <v>59286.12</v>
      </c>
      <c r="F302" s="8">
        <v>5100.96</v>
      </c>
      <c r="G302" s="8">
        <v>48.01</v>
      </c>
      <c r="H302" s="8">
        <v>0</v>
      </c>
    </row>
    <row r="303" spans="1:8">
      <c r="A303" s="8">
        <v>4516.6499999999996</v>
      </c>
      <c r="B303" s="8">
        <v>40.049999999999997</v>
      </c>
      <c r="C303" s="8">
        <v>0.11</v>
      </c>
      <c r="D303" s="8">
        <v>0</v>
      </c>
      <c r="E303" s="8">
        <v>59138.66</v>
      </c>
      <c r="F303" s="8">
        <v>5039.37</v>
      </c>
      <c r="G303" s="8">
        <v>47.1</v>
      </c>
      <c r="H303" s="8">
        <v>0</v>
      </c>
    </row>
    <row r="304" spans="1:8">
      <c r="A304" s="8">
        <v>4511.49</v>
      </c>
      <c r="B304" s="8">
        <v>39.74</v>
      </c>
      <c r="C304" s="8">
        <v>0.11</v>
      </c>
      <c r="D304" s="8">
        <v>0</v>
      </c>
      <c r="E304" s="8">
        <v>58991.56</v>
      </c>
      <c r="F304" s="8">
        <v>5026.84</v>
      </c>
      <c r="G304" s="8">
        <v>46.98</v>
      </c>
      <c r="H304" s="8">
        <v>0</v>
      </c>
    </row>
    <row r="305" spans="1:8">
      <c r="A305" s="8">
        <v>4496.8500000000004</v>
      </c>
      <c r="B305" s="8">
        <v>39.17</v>
      </c>
      <c r="C305" s="8">
        <v>0.11</v>
      </c>
      <c r="D305" s="8">
        <v>0</v>
      </c>
      <c r="E305" s="8">
        <v>58844.83</v>
      </c>
      <c r="F305" s="8">
        <v>4966.25</v>
      </c>
      <c r="G305" s="8">
        <v>46.27</v>
      </c>
      <c r="H305" s="8">
        <v>0</v>
      </c>
    </row>
    <row r="306" spans="1:8">
      <c r="A306" s="8">
        <v>4492.09</v>
      </c>
      <c r="B306" s="8">
        <v>38.85</v>
      </c>
      <c r="C306" s="8">
        <v>0.11</v>
      </c>
      <c r="D306" s="8">
        <v>0</v>
      </c>
      <c r="E306" s="8">
        <v>58698.47</v>
      </c>
      <c r="F306" s="8">
        <v>4953.8999999999996</v>
      </c>
      <c r="G306" s="8">
        <v>46.15</v>
      </c>
      <c r="H306" s="8">
        <v>0</v>
      </c>
    </row>
    <row r="307" spans="1:8">
      <c r="A307" s="8">
        <v>4475.12</v>
      </c>
      <c r="B307" s="8">
        <v>38.29</v>
      </c>
      <c r="C307" s="8">
        <v>0.1</v>
      </c>
      <c r="D307" s="8">
        <v>0</v>
      </c>
      <c r="E307" s="8">
        <v>58552.46</v>
      </c>
      <c r="F307" s="8">
        <v>4893.47</v>
      </c>
      <c r="G307" s="8">
        <v>45.44</v>
      </c>
      <c r="H307" s="8">
        <v>0</v>
      </c>
    </row>
    <row r="308" spans="1:8">
      <c r="A308" s="8">
        <v>4472.05</v>
      </c>
      <c r="B308" s="8">
        <v>38.01</v>
      </c>
      <c r="C308" s="8">
        <v>0.1</v>
      </c>
      <c r="D308" s="8">
        <v>0</v>
      </c>
      <c r="E308" s="8">
        <v>58406.83</v>
      </c>
      <c r="F308" s="8">
        <v>4881.3</v>
      </c>
      <c r="G308" s="8">
        <v>45.33</v>
      </c>
      <c r="H308" s="8">
        <v>0</v>
      </c>
    </row>
    <row r="309" spans="1:8">
      <c r="A309" s="8">
        <v>4459.32</v>
      </c>
      <c r="B309" s="8">
        <v>37.46</v>
      </c>
      <c r="C309" s="8">
        <v>0.1</v>
      </c>
      <c r="D309" s="8">
        <v>0</v>
      </c>
      <c r="E309" s="8">
        <v>58261.55</v>
      </c>
      <c r="F309" s="8">
        <v>4826.62</v>
      </c>
      <c r="G309" s="8">
        <v>44.51</v>
      </c>
      <c r="H309" s="8">
        <v>0</v>
      </c>
    </row>
    <row r="310" spans="1:8">
      <c r="A310" s="8">
        <v>4455.45</v>
      </c>
      <c r="B310" s="8">
        <v>37.18</v>
      </c>
      <c r="C310" s="8">
        <v>0.1</v>
      </c>
      <c r="D310" s="8">
        <v>0</v>
      </c>
      <c r="E310" s="8">
        <v>58116.639999999999</v>
      </c>
      <c r="F310" s="8">
        <v>4814.62</v>
      </c>
      <c r="G310" s="8">
        <v>44.4</v>
      </c>
      <c r="H310" s="8">
        <v>0</v>
      </c>
    </row>
    <row r="311" spans="1:8">
      <c r="A311" s="8">
        <v>4442.45</v>
      </c>
      <c r="B311" s="8">
        <v>36.69</v>
      </c>
      <c r="C311" s="8">
        <v>0.1</v>
      </c>
      <c r="D311" s="8">
        <v>0</v>
      </c>
      <c r="E311" s="8">
        <v>57972.08</v>
      </c>
      <c r="F311" s="8">
        <v>4764.07</v>
      </c>
      <c r="G311" s="8">
        <v>43.82</v>
      </c>
      <c r="H311" s="8">
        <v>0</v>
      </c>
    </row>
    <row r="312" spans="1:8">
      <c r="A312" s="8">
        <v>4439.41</v>
      </c>
      <c r="B312" s="8">
        <v>36.42</v>
      </c>
      <c r="C312" s="8">
        <v>0.1</v>
      </c>
      <c r="D312" s="8">
        <v>0</v>
      </c>
      <c r="E312" s="8">
        <v>57827.89</v>
      </c>
      <c r="F312" s="8">
        <v>4752.22</v>
      </c>
      <c r="G312" s="8">
        <v>43.71</v>
      </c>
      <c r="H312" s="8">
        <v>0</v>
      </c>
    </row>
    <row r="313" spans="1:8">
      <c r="A313" s="8">
        <v>4425.38</v>
      </c>
      <c r="B313" s="8">
        <v>35.92</v>
      </c>
      <c r="C313" s="8">
        <v>0.1</v>
      </c>
      <c r="D313" s="8">
        <v>0</v>
      </c>
      <c r="E313" s="8">
        <v>57684.05</v>
      </c>
      <c r="F313" s="8">
        <v>4700.2700000000004</v>
      </c>
      <c r="G313" s="8">
        <v>43.05</v>
      </c>
      <c r="H313" s="8">
        <v>0</v>
      </c>
    </row>
    <row r="314" spans="1:8">
      <c r="A314" s="8">
        <v>4422.3500000000004</v>
      </c>
      <c r="B314" s="8">
        <v>35.65</v>
      </c>
      <c r="C314" s="8">
        <v>0.1</v>
      </c>
      <c r="D314" s="8">
        <v>0</v>
      </c>
      <c r="E314" s="8">
        <v>57540.57</v>
      </c>
      <c r="F314" s="8">
        <v>4688.58</v>
      </c>
      <c r="G314" s="8">
        <v>42.94</v>
      </c>
      <c r="H314" s="8">
        <v>0</v>
      </c>
    </row>
    <row r="315" spans="1:8">
      <c r="A315" s="8">
        <v>4408.6099999999997</v>
      </c>
      <c r="B315" s="8">
        <v>35.15</v>
      </c>
      <c r="C315" s="8">
        <v>0.1</v>
      </c>
      <c r="D315" s="8">
        <v>0</v>
      </c>
      <c r="E315" s="8">
        <v>57397.45</v>
      </c>
      <c r="F315" s="8">
        <v>4638.3599999999997</v>
      </c>
      <c r="G315" s="8">
        <v>42.29</v>
      </c>
      <c r="H315" s="8">
        <v>0</v>
      </c>
    </row>
    <row r="316" spans="1:8">
      <c r="A316" s="8">
        <v>4404.68</v>
      </c>
      <c r="B316" s="8">
        <v>34.869999999999997</v>
      </c>
      <c r="C316" s="8">
        <v>0.09</v>
      </c>
      <c r="D316" s="8">
        <v>0</v>
      </c>
      <c r="E316" s="8">
        <v>57254.69</v>
      </c>
      <c r="F316" s="8">
        <v>4626.82</v>
      </c>
      <c r="G316" s="8">
        <v>42.18</v>
      </c>
      <c r="H316" s="8">
        <v>0</v>
      </c>
    </row>
    <row r="317" spans="1:8">
      <c r="A317" s="8">
        <v>4391.03</v>
      </c>
      <c r="B317" s="8">
        <v>34.380000000000003</v>
      </c>
      <c r="C317" s="8">
        <v>0.09</v>
      </c>
      <c r="D317" s="8">
        <v>0</v>
      </c>
      <c r="E317" s="8">
        <v>57112.28</v>
      </c>
      <c r="F317" s="8">
        <v>4576.71</v>
      </c>
      <c r="G317" s="8">
        <v>41.58</v>
      </c>
      <c r="H317" s="8">
        <v>0</v>
      </c>
    </row>
    <row r="318" spans="1:8">
      <c r="A318" s="8">
        <v>4388.0200000000004</v>
      </c>
      <c r="B318" s="8">
        <v>34.11</v>
      </c>
      <c r="C318" s="8">
        <v>0.09</v>
      </c>
      <c r="D318" s="8">
        <v>0</v>
      </c>
      <c r="E318" s="8">
        <v>56970.22</v>
      </c>
      <c r="F318" s="8">
        <v>4565.33</v>
      </c>
      <c r="G318" s="8">
        <v>41.48</v>
      </c>
      <c r="H318" s="8">
        <v>0</v>
      </c>
    </row>
    <row r="319" spans="1:8">
      <c r="A319" s="8">
        <v>4373.17</v>
      </c>
      <c r="B319" s="8">
        <v>33.6</v>
      </c>
      <c r="C319" s="8">
        <v>0.09</v>
      </c>
      <c r="D319" s="8">
        <v>0</v>
      </c>
      <c r="E319" s="8">
        <v>56828.52</v>
      </c>
      <c r="F319" s="8">
        <v>4515.33</v>
      </c>
      <c r="G319" s="8">
        <v>40.82</v>
      </c>
      <c r="H319" s="8">
        <v>0</v>
      </c>
    </row>
    <row r="320" spans="1:8">
      <c r="A320" s="8">
        <v>4370.18</v>
      </c>
      <c r="B320" s="8">
        <v>33.340000000000003</v>
      </c>
      <c r="C320" s="8">
        <v>0.09</v>
      </c>
      <c r="D320" s="8">
        <v>0</v>
      </c>
      <c r="E320" s="8">
        <v>56687.17</v>
      </c>
      <c r="F320" s="8">
        <v>4504.1000000000004</v>
      </c>
      <c r="G320" s="8">
        <v>40.72</v>
      </c>
      <c r="H320" s="8">
        <v>0</v>
      </c>
    </row>
    <row r="321" spans="1:8">
      <c r="A321" s="8">
        <v>4355.8500000000004</v>
      </c>
      <c r="B321" s="8">
        <v>32.85</v>
      </c>
      <c r="C321" s="8">
        <v>0.09</v>
      </c>
      <c r="D321" s="8">
        <v>0</v>
      </c>
      <c r="E321" s="8">
        <v>56546.17</v>
      </c>
      <c r="F321" s="8">
        <v>4455.58</v>
      </c>
      <c r="G321" s="8">
        <v>40.14</v>
      </c>
      <c r="H321" s="8">
        <v>0</v>
      </c>
    </row>
    <row r="322" spans="1:8">
      <c r="A322" s="8">
        <v>4351.83</v>
      </c>
      <c r="B322" s="8">
        <v>32.57</v>
      </c>
      <c r="C322" s="8">
        <v>0.09</v>
      </c>
      <c r="D322" s="8">
        <v>0</v>
      </c>
      <c r="E322" s="8">
        <v>56405.52</v>
      </c>
      <c r="F322" s="8">
        <v>4444.5</v>
      </c>
      <c r="G322" s="8">
        <v>40.04</v>
      </c>
      <c r="H322" s="8">
        <v>0</v>
      </c>
    </row>
    <row r="323" spans="1:8">
      <c r="A323" s="8">
        <v>4337.24</v>
      </c>
      <c r="B323" s="8">
        <v>32.07</v>
      </c>
      <c r="C323" s="8">
        <v>0.09</v>
      </c>
      <c r="D323" s="8">
        <v>0</v>
      </c>
      <c r="E323" s="8">
        <v>56265.22</v>
      </c>
      <c r="F323" s="8">
        <v>4395.92</v>
      </c>
      <c r="G323" s="8">
        <v>39.43</v>
      </c>
      <c r="H323" s="8">
        <v>0</v>
      </c>
    </row>
    <row r="324" spans="1:8">
      <c r="A324" s="8">
        <v>4334.2700000000004</v>
      </c>
      <c r="B324" s="8">
        <v>31.79</v>
      </c>
      <c r="C324" s="8">
        <v>0.09</v>
      </c>
      <c r="D324" s="8">
        <v>0</v>
      </c>
      <c r="E324" s="8">
        <v>56125.27</v>
      </c>
      <c r="F324" s="8">
        <v>4384.99</v>
      </c>
      <c r="G324" s="8">
        <v>39.340000000000003</v>
      </c>
      <c r="H324" s="8">
        <v>0</v>
      </c>
    </row>
    <row r="325" spans="1:8">
      <c r="A325" s="8">
        <v>4318.4799999999996</v>
      </c>
      <c r="B325" s="8">
        <v>31.3</v>
      </c>
      <c r="C325" s="8">
        <v>0.09</v>
      </c>
      <c r="D325" s="8">
        <v>0</v>
      </c>
      <c r="E325" s="8">
        <v>55985.67</v>
      </c>
      <c r="F325" s="8">
        <v>4336.09</v>
      </c>
      <c r="G325" s="8">
        <v>38.799999999999997</v>
      </c>
      <c r="H325" s="8">
        <v>0</v>
      </c>
    </row>
    <row r="326" spans="1:8">
      <c r="A326" s="8">
        <v>4315.5200000000004</v>
      </c>
      <c r="B326" s="8">
        <v>31.03</v>
      </c>
      <c r="C326" s="8">
        <v>0.08</v>
      </c>
      <c r="D326" s="8">
        <v>0</v>
      </c>
      <c r="E326" s="8">
        <v>55846.42</v>
      </c>
      <c r="F326" s="8">
        <v>4325.3100000000004</v>
      </c>
      <c r="G326" s="8">
        <v>38.71</v>
      </c>
      <c r="H326" s="8">
        <v>0</v>
      </c>
    </row>
    <row r="327" spans="1:8">
      <c r="A327" s="8">
        <v>4300.42</v>
      </c>
      <c r="B327" s="8">
        <v>30.53</v>
      </c>
      <c r="C327" s="8">
        <v>0.08</v>
      </c>
      <c r="D327" s="8">
        <v>0</v>
      </c>
      <c r="E327" s="8">
        <v>55707.51</v>
      </c>
      <c r="F327" s="8">
        <v>4277.7700000000004</v>
      </c>
      <c r="G327" s="8">
        <v>38.11</v>
      </c>
      <c r="H327" s="8">
        <v>0</v>
      </c>
    </row>
    <row r="328" spans="1:8">
      <c r="A328" s="8">
        <v>4296.29</v>
      </c>
      <c r="B328" s="8">
        <v>30.26</v>
      </c>
      <c r="C328" s="8">
        <v>0.08</v>
      </c>
      <c r="D328" s="8">
        <v>0</v>
      </c>
      <c r="E328" s="8">
        <v>55568.95</v>
      </c>
      <c r="F328" s="8">
        <v>4267.13</v>
      </c>
      <c r="G328" s="8">
        <v>38.020000000000003</v>
      </c>
      <c r="H328" s="8">
        <v>0</v>
      </c>
    </row>
    <row r="329" spans="1:8">
      <c r="A329" s="8">
        <v>4281.46</v>
      </c>
      <c r="B329" s="8">
        <v>29.81</v>
      </c>
      <c r="C329" s="8">
        <v>0.08</v>
      </c>
      <c r="D329" s="8">
        <v>0</v>
      </c>
      <c r="E329" s="8">
        <v>55430.73</v>
      </c>
      <c r="F329" s="8">
        <v>4221.72</v>
      </c>
      <c r="G329" s="8">
        <v>37.56</v>
      </c>
      <c r="H329" s="8">
        <v>0</v>
      </c>
    </row>
    <row r="330" spans="1:8">
      <c r="A330" s="8">
        <v>4278.53</v>
      </c>
      <c r="B330" s="8">
        <v>29.54</v>
      </c>
      <c r="C330" s="8">
        <v>0.08</v>
      </c>
      <c r="D330" s="8">
        <v>0</v>
      </c>
      <c r="E330" s="8">
        <v>55292.86</v>
      </c>
      <c r="F330" s="8">
        <v>4211.21</v>
      </c>
      <c r="G330" s="8">
        <v>37.47</v>
      </c>
      <c r="H330" s="8">
        <v>0</v>
      </c>
    </row>
    <row r="331" spans="1:8">
      <c r="A331" s="8">
        <v>4262.7</v>
      </c>
      <c r="B331" s="8">
        <v>29.1</v>
      </c>
      <c r="C331" s="8">
        <v>0.08</v>
      </c>
      <c r="D331" s="8">
        <v>0</v>
      </c>
      <c r="E331" s="8">
        <v>55155.33</v>
      </c>
      <c r="F331" s="8">
        <v>4166.22</v>
      </c>
      <c r="G331" s="8">
        <v>37.020000000000003</v>
      </c>
      <c r="H331" s="8">
        <v>0</v>
      </c>
    </row>
    <row r="332" spans="1:8">
      <c r="A332" s="8">
        <v>4259.78</v>
      </c>
      <c r="B332" s="8">
        <v>28.84</v>
      </c>
      <c r="C332" s="8">
        <v>0.08</v>
      </c>
      <c r="D332" s="8">
        <v>0</v>
      </c>
      <c r="E332" s="8">
        <v>55018.14</v>
      </c>
      <c r="F332" s="8">
        <v>4155.8500000000004</v>
      </c>
      <c r="G332" s="8">
        <v>36.93</v>
      </c>
      <c r="H332" s="8">
        <v>0</v>
      </c>
    </row>
    <row r="333" spans="1:8">
      <c r="A333" s="8">
        <v>4245.93</v>
      </c>
      <c r="B333" s="8">
        <v>28.39</v>
      </c>
      <c r="C333" s="8">
        <v>0.08</v>
      </c>
      <c r="D333" s="8">
        <v>0</v>
      </c>
      <c r="E333" s="8">
        <v>54881.29</v>
      </c>
      <c r="F333" s="8">
        <v>4109.7299999999996</v>
      </c>
      <c r="G333" s="8">
        <v>36.409999999999997</v>
      </c>
      <c r="H333" s="8">
        <v>0</v>
      </c>
    </row>
    <row r="334" spans="1:8">
      <c r="A334" s="8">
        <v>4241.7700000000004</v>
      </c>
      <c r="B334" s="8">
        <v>28.13</v>
      </c>
      <c r="C334" s="8">
        <v>0.08</v>
      </c>
      <c r="D334" s="8">
        <v>0</v>
      </c>
      <c r="E334" s="8">
        <v>54744.78</v>
      </c>
      <c r="F334" s="8">
        <v>4099.51</v>
      </c>
      <c r="G334" s="8">
        <v>36.32</v>
      </c>
      <c r="H334" s="8">
        <v>0</v>
      </c>
    </row>
    <row r="335" spans="1:8">
      <c r="A335" s="8">
        <v>4227.8</v>
      </c>
      <c r="B335" s="8">
        <v>27.72</v>
      </c>
      <c r="C335" s="8">
        <v>0.08</v>
      </c>
      <c r="D335" s="8">
        <v>0</v>
      </c>
      <c r="E335" s="8">
        <v>54608.62</v>
      </c>
      <c r="F335" s="8">
        <v>4054.39</v>
      </c>
      <c r="G335" s="8">
        <v>35.86</v>
      </c>
      <c r="H335" s="8">
        <v>0</v>
      </c>
    </row>
    <row r="336" spans="1:8">
      <c r="A336" s="8">
        <v>4224.91</v>
      </c>
      <c r="B336" s="8">
        <v>27.47</v>
      </c>
      <c r="C336" s="8">
        <v>7.0000000000000007E-2</v>
      </c>
      <c r="D336" s="8">
        <v>0</v>
      </c>
      <c r="E336" s="8">
        <v>54472.79</v>
      </c>
      <c r="F336" s="8">
        <v>4044.3</v>
      </c>
      <c r="G336" s="8">
        <v>35.770000000000003</v>
      </c>
      <c r="H336" s="8">
        <v>0</v>
      </c>
    </row>
    <row r="337" spans="1:8">
      <c r="A337" s="8">
        <v>4198.9399999999996</v>
      </c>
      <c r="B337" s="8">
        <v>27.02</v>
      </c>
      <c r="C337" s="8">
        <v>7.0000000000000007E-2</v>
      </c>
      <c r="D337" s="8">
        <v>0</v>
      </c>
      <c r="E337" s="8">
        <v>54337.3</v>
      </c>
      <c r="F337" s="8">
        <v>3961.75</v>
      </c>
      <c r="G337" s="8">
        <v>35.18</v>
      </c>
      <c r="H337" s="8">
        <v>0</v>
      </c>
    </row>
    <row r="338" spans="1:8">
      <c r="A338" s="8">
        <v>4196.0600000000004</v>
      </c>
      <c r="B338" s="8">
        <v>26.78</v>
      </c>
      <c r="C338" s="8">
        <v>7.0000000000000007E-2</v>
      </c>
      <c r="D338" s="8">
        <v>0</v>
      </c>
      <c r="E338" s="8">
        <v>54202.14</v>
      </c>
      <c r="F338" s="8">
        <v>3951.89</v>
      </c>
      <c r="G338" s="8">
        <v>35.090000000000003</v>
      </c>
      <c r="H338" s="8">
        <v>0</v>
      </c>
    </row>
    <row r="339" spans="1:8">
      <c r="A339" s="8">
        <v>4180.41</v>
      </c>
      <c r="B339" s="8">
        <v>26.33</v>
      </c>
      <c r="C339" s="8">
        <v>7.0000000000000007E-2</v>
      </c>
      <c r="D339" s="8">
        <v>0</v>
      </c>
      <c r="E339" s="8">
        <v>54067.33</v>
      </c>
      <c r="F339" s="8">
        <v>3876.97</v>
      </c>
      <c r="G339" s="8">
        <v>34.270000000000003</v>
      </c>
      <c r="H339" s="8">
        <v>0</v>
      </c>
    </row>
    <row r="340" spans="1:8">
      <c r="A340" s="8">
        <v>4165.2</v>
      </c>
      <c r="B340" s="8">
        <v>26.05</v>
      </c>
      <c r="C340" s="8">
        <v>7.0000000000000007E-2</v>
      </c>
      <c r="D340" s="8">
        <v>0</v>
      </c>
      <c r="E340" s="8">
        <v>53932.84</v>
      </c>
      <c r="F340" s="8">
        <v>3867.33</v>
      </c>
      <c r="G340" s="8">
        <v>34.18</v>
      </c>
      <c r="H340" s="8">
        <v>0</v>
      </c>
    </row>
    <row r="341" spans="1:8">
      <c r="A341" s="8">
        <v>4150</v>
      </c>
      <c r="B341" s="8">
        <v>25.66</v>
      </c>
      <c r="C341" s="8">
        <v>7.0000000000000007E-2</v>
      </c>
      <c r="D341" s="8">
        <v>0</v>
      </c>
      <c r="E341" s="8">
        <v>53798.7</v>
      </c>
      <c r="F341" s="8">
        <v>3795.5</v>
      </c>
      <c r="G341" s="8">
        <v>33.61</v>
      </c>
      <c r="H341" s="8">
        <v>0</v>
      </c>
    </row>
    <row r="342" spans="1:8">
      <c r="A342" s="8">
        <v>4147.16</v>
      </c>
      <c r="B342" s="8">
        <v>25.43</v>
      </c>
      <c r="C342" s="8">
        <v>7.0000000000000007E-2</v>
      </c>
      <c r="D342" s="8">
        <v>0</v>
      </c>
      <c r="E342" s="8">
        <v>53664.88</v>
      </c>
      <c r="F342" s="8">
        <v>3786.06</v>
      </c>
      <c r="G342" s="8">
        <v>33.53</v>
      </c>
      <c r="H342" s="8">
        <v>0</v>
      </c>
    </row>
    <row r="343" spans="1:8">
      <c r="A343" s="8">
        <v>4118.46</v>
      </c>
      <c r="B343" s="8">
        <v>24.98</v>
      </c>
      <c r="C343" s="8">
        <v>7.0000000000000007E-2</v>
      </c>
      <c r="D343" s="8">
        <v>0</v>
      </c>
      <c r="E343" s="8">
        <v>53531.4</v>
      </c>
      <c r="F343" s="8">
        <v>3719.12</v>
      </c>
      <c r="G343" s="8">
        <v>32.92</v>
      </c>
      <c r="H343" s="8">
        <v>0</v>
      </c>
    </row>
    <row r="344" spans="1:8">
      <c r="A344" s="8">
        <v>4115.6400000000003</v>
      </c>
      <c r="B344" s="8">
        <v>24.76</v>
      </c>
      <c r="C344" s="8">
        <v>7.0000000000000007E-2</v>
      </c>
      <c r="D344" s="8">
        <v>0</v>
      </c>
      <c r="E344" s="8">
        <v>53398.25</v>
      </c>
      <c r="F344" s="8">
        <v>3709.87</v>
      </c>
      <c r="G344" s="8">
        <v>32.840000000000003</v>
      </c>
      <c r="H344" s="8">
        <v>0</v>
      </c>
    </row>
    <row r="345" spans="1:8">
      <c r="A345" s="8">
        <v>4100.01</v>
      </c>
      <c r="B345" s="8">
        <v>24.38</v>
      </c>
      <c r="C345" s="8">
        <v>7.0000000000000007E-2</v>
      </c>
      <c r="D345" s="8">
        <v>0</v>
      </c>
      <c r="E345" s="8">
        <v>53265.43</v>
      </c>
      <c r="F345" s="8">
        <v>3641.64</v>
      </c>
      <c r="G345" s="8">
        <v>32.159999999999997</v>
      </c>
      <c r="H345" s="8">
        <v>0</v>
      </c>
    </row>
    <row r="346" spans="1:8">
      <c r="A346" s="8">
        <v>4084.88</v>
      </c>
      <c r="B346" s="8">
        <v>24.13</v>
      </c>
      <c r="C346" s="8">
        <v>7.0000000000000007E-2</v>
      </c>
      <c r="D346" s="8">
        <v>0</v>
      </c>
      <c r="E346" s="8">
        <v>53132.94</v>
      </c>
      <c r="F346" s="8">
        <v>3632.58</v>
      </c>
      <c r="G346" s="8">
        <v>32.08</v>
      </c>
      <c r="H346" s="8">
        <v>0</v>
      </c>
    </row>
    <row r="347" spans="1:8">
      <c r="A347" s="8">
        <v>4068.45</v>
      </c>
      <c r="B347" s="8">
        <v>23.76</v>
      </c>
      <c r="C347" s="8">
        <v>7.0000000000000007E-2</v>
      </c>
      <c r="D347" s="8">
        <v>0</v>
      </c>
      <c r="E347" s="8">
        <v>53000.79</v>
      </c>
      <c r="F347" s="8">
        <v>3568.45</v>
      </c>
      <c r="G347" s="8">
        <v>31.48</v>
      </c>
      <c r="H347" s="8">
        <v>0</v>
      </c>
    </row>
    <row r="348" spans="1:8">
      <c r="A348" s="8">
        <v>4065.67</v>
      </c>
      <c r="B348" s="8">
        <v>23.56</v>
      </c>
      <c r="C348" s="8">
        <v>0.06</v>
      </c>
      <c r="D348" s="8">
        <v>0</v>
      </c>
      <c r="E348" s="8">
        <v>52868.959999999999</v>
      </c>
      <c r="F348" s="8">
        <v>3559.57</v>
      </c>
      <c r="G348" s="8">
        <v>31.41</v>
      </c>
      <c r="H348" s="8">
        <v>0</v>
      </c>
    </row>
    <row r="349" spans="1:8">
      <c r="A349" s="8">
        <v>4038.22</v>
      </c>
      <c r="B349" s="8">
        <v>23.17</v>
      </c>
      <c r="C349" s="8">
        <v>0.06</v>
      </c>
      <c r="D349" s="8">
        <v>0</v>
      </c>
      <c r="E349" s="8">
        <v>52737.45</v>
      </c>
      <c r="F349" s="8">
        <v>3493.5</v>
      </c>
      <c r="G349" s="8">
        <v>30.83</v>
      </c>
      <c r="H349" s="8">
        <v>0</v>
      </c>
    </row>
    <row r="350" spans="1:8">
      <c r="A350" s="8">
        <v>4035.46</v>
      </c>
      <c r="B350" s="8">
        <v>22.98</v>
      </c>
      <c r="C350" s="8">
        <v>0.06</v>
      </c>
      <c r="D350" s="8">
        <v>0</v>
      </c>
      <c r="E350" s="8">
        <v>52606.28</v>
      </c>
      <c r="F350" s="8">
        <v>3484.81</v>
      </c>
      <c r="G350" s="8">
        <v>30.75</v>
      </c>
      <c r="H350" s="8">
        <v>0</v>
      </c>
    </row>
    <row r="351" spans="1:8">
      <c r="A351" s="8">
        <v>4019.64</v>
      </c>
      <c r="B351" s="8">
        <v>22.64</v>
      </c>
      <c r="C351" s="8">
        <v>0.06</v>
      </c>
      <c r="D351" s="8">
        <v>0</v>
      </c>
      <c r="E351" s="8">
        <v>52475.43</v>
      </c>
      <c r="F351" s="8">
        <v>3421.04</v>
      </c>
      <c r="G351" s="8">
        <v>30.08</v>
      </c>
      <c r="H351" s="8">
        <v>0</v>
      </c>
    </row>
    <row r="352" spans="1:8">
      <c r="A352" s="8">
        <v>4005.8</v>
      </c>
      <c r="B352" s="8">
        <v>22.4</v>
      </c>
      <c r="C352" s="8">
        <v>0.06</v>
      </c>
      <c r="D352" s="8">
        <v>0</v>
      </c>
      <c r="E352" s="8">
        <v>52344.91</v>
      </c>
      <c r="F352" s="8">
        <v>3412.53</v>
      </c>
      <c r="G352" s="8">
        <v>30</v>
      </c>
      <c r="H352" s="8">
        <v>0</v>
      </c>
    </row>
    <row r="353" spans="1:8">
      <c r="A353" s="8">
        <v>3990.04</v>
      </c>
      <c r="B353" s="8">
        <v>22.08</v>
      </c>
      <c r="C353" s="8">
        <v>0.06</v>
      </c>
      <c r="D353" s="8">
        <v>0</v>
      </c>
      <c r="E353" s="8">
        <v>52214.71</v>
      </c>
      <c r="F353" s="8">
        <v>3350.32</v>
      </c>
      <c r="G353" s="8">
        <v>29.49</v>
      </c>
      <c r="H353" s="8">
        <v>0</v>
      </c>
    </row>
    <row r="354" spans="1:8">
      <c r="A354" s="8">
        <v>3987.31</v>
      </c>
      <c r="B354" s="8">
        <v>21.9</v>
      </c>
      <c r="C354" s="8">
        <v>0.06</v>
      </c>
      <c r="D354" s="8">
        <v>0</v>
      </c>
      <c r="E354" s="8">
        <v>52084.84</v>
      </c>
      <c r="F354" s="8">
        <v>3341.99</v>
      </c>
      <c r="G354" s="8">
        <v>29.42</v>
      </c>
      <c r="H354" s="8">
        <v>0</v>
      </c>
    </row>
    <row r="355" spans="1:8">
      <c r="A355" s="8">
        <v>3960.09</v>
      </c>
      <c r="B355" s="8">
        <v>21.53</v>
      </c>
      <c r="C355" s="8">
        <v>0.06</v>
      </c>
      <c r="D355" s="8">
        <v>0</v>
      </c>
      <c r="E355" s="8">
        <v>51955.29</v>
      </c>
      <c r="F355" s="8">
        <v>3281.12</v>
      </c>
      <c r="G355" s="8">
        <v>28.88</v>
      </c>
      <c r="H355" s="8">
        <v>0</v>
      </c>
    </row>
    <row r="356" spans="1:8">
      <c r="A356" s="8">
        <v>3957.38</v>
      </c>
      <c r="B356" s="8">
        <v>21.36</v>
      </c>
      <c r="C356" s="8">
        <v>0.06</v>
      </c>
      <c r="D356" s="8">
        <v>0</v>
      </c>
      <c r="E356" s="8">
        <v>51826.06</v>
      </c>
      <c r="F356" s="8">
        <v>3272.95</v>
      </c>
      <c r="G356" s="8">
        <v>28.81</v>
      </c>
      <c r="H356" s="8">
        <v>0</v>
      </c>
    </row>
    <row r="357" spans="1:8">
      <c r="A357" s="8">
        <v>3941.97</v>
      </c>
      <c r="B357" s="8">
        <v>21.06</v>
      </c>
      <c r="C357" s="8">
        <v>0.06</v>
      </c>
      <c r="D357" s="8">
        <v>0</v>
      </c>
      <c r="E357" s="8">
        <v>51697.15</v>
      </c>
      <c r="F357" s="8">
        <v>3211.23</v>
      </c>
      <c r="G357" s="8">
        <v>28.22</v>
      </c>
      <c r="H357" s="8">
        <v>0</v>
      </c>
    </row>
    <row r="358" spans="1:8">
      <c r="A358" s="8">
        <v>3928.81</v>
      </c>
      <c r="B358" s="8">
        <v>20.85</v>
      </c>
      <c r="C358" s="8">
        <v>0.06</v>
      </c>
      <c r="D358" s="8">
        <v>0</v>
      </c>
      <c r="E358" s="8">
        <v>51568.56</v>
      </c>
      <c r="F358" s="8">
        <v>3203.25</v>
      </c>
      <c r="G358" s="8">
        <v>28.15</v>
      </c>
      <c r="H358" s="8">
        <v>0</v>
      </c>
    </row>
    <row r="359" spans="1:8">
      <c r="A359" s="8">
        <v>3913.13</v>
      </c>
      <c r="B359" s="8">
        <v>20.56</v>
      </c>
      <c r="C359" s="8">
        <v>0.06</v>
      </c>
      <c r="D359" s="8">
        <v>0</v>
      </c>
      <c r="E359" s="8">
        <v>51440.29</v>
      </c>
      <c r="F359" s="8">
        <v>3144.57</v>
      </c>
      <c r="G359" s="8">
        <v>27.66</v>
      </c>
      <c r="H359" s="8">
        <v>0</v>
      </c>
    </row>
    <row r="360" spans="1:8">
      <c r="A360" s="8">
        <v>3910.45</v>
      </c>
      <c r="B360" s="8">
        <v>20.399999999999999</v>
      </c>
      <c r="C360" s="8">
        <v>0.06</v>
      </c>
      <c r="D360" s="8">
        <v>0</v>
      </c>
      <c r="E360" s="8">
        <v>51312.35</v>
      </c>
      <c r="F360" s="8">
        <v>3136.75</v>
      </c>
      <c r="G360" s="8">
        <v>27.6</v>
      </c>
      <c r="H360" s="8">
        <v>0</v>
      </c>
    </row>
    <row r="361" spans="1:8">
      <c r="A361" s="8">
        <v>3883.69</v>
      </c>
      <c r="B361" s="8">
        <v>20.07</v>
      </c>
      <c r="C361" s="8">
        <v>0.06</v>
      </c>
      <c r="D361" s="8">
        <v>0</v>
      </c>
      <c r="E361" s="8">
        <v>51184.72</v>
      </c>
      <c r="F361" s="8">
        <v>3078.38</v>
      </c>
      <c r="G361" s="8">
        <v>27.02</v>
      </c>
      <c r="H361" s="8">
        <v>0</v>
      </c>
    </row>
    <row r="362" spans="1:8">
      <c r="A362" s="8">
        <v>3881.03</v>
      </c>
      <c r="B362" s="8">
        <v>19.920000000000002</v>
      </c>
      <c r="C362" s="8">
        <v>0.05</v>
      </c>
      <c r="D362" s="8">
        <v>0</v>
      </c>
      <c r="E362" s="8">
        <v>51057.4</v>
      </c>
      <c r="F362" s="8">
        <v>3070.72</v>
      </c>
      <c r="G362" s="8">
        <v>26.95</v>
      </c>
      <c r="H362" s="8">
        <v>0</v>
      </c>
    </row>
    <row r="363" spans="1:8">
      <c r="A363" s="8">
        <v>3865.81</v>
      </c>
      <c r="B363" s="8">
        <v>19.66</v>
      </c>
      <c r="C363" s="8">
        <v>0.05</v>
      </c>
      <c r="D363" s="8">
        <v>0</v>
      </c>
      <c r="E363" s="8">
        <v>50930.41</v>
      </c>
      <c r="F363" s="8">
        <v>3012.25</v>
      </c>
      <c r="G363" s="8">
        <v>26.46</v>
      </c>
      <c r="H363" s="8">
        <v>0</v>
      </c>
    </row>
    <row r="364" spans="1:8">
      <c r="A364" s="8">
        <v>3851.46</v>
      </c>
      <c r="B364" s="8">
        <v>19.47</v>
      </c>
      <c r="C364" s="8">
        <v>0.05</v>
      </c>
      <c r="D364" s="8">
        <v>0</v>
      </c>
      <c r="E364" s="8">
        <v>50803.73</v>
      </c>
      <c r="F364" s="8">
        <v>3004.75</v>
      </c>
      <c r="G364" s="8">
        <v>26.39</v>
      </c>
      <c r="H364" s="8">
        <v>0</v>
      </c>
    </row>
    <row r="365" spans="1:8">
      <c r="A365" s="8">
        <v>3835.47</v>
      </c>
      <c r="B365" s="8">
        <v>19.22</v>
      </c>
      <c r="C365" s="8">
        <v>0.05</v>
      </c>
      <c r="D365" s="8">
        <v>0</v>
      </c>
      <c r="E365" s="8">
        <v>50677.36</v>
      </c>
      <c r="F365" s="8">
        <v>2949.1</v>
      </c>
      <c r="G365" s="8">
        <v>25.93</v>
      </c>
      <c r="H365" s="8">
        <v>0</v>
      </c>
    </row>
    <row r="366" spans="1:8">
      <c r="A366" s="8">
        <v>3832.85</v>
      </c>
      <c r="B366" s="8">
        <v>19.079999999999998</v>
      </c>
      <c r="C366" s="8">
        <v>0.05</v>
      </c>
      <c r="D366" s="8">
        <v>0</v>
      </c>
      <c r="E366" s="8">
        <v>50551.31</v>
      </c>
      <c r="F366" s="8">
        <v>2941.77</v>
      </c>
      <c r="G366" s="8">
        <v>25.86</v>
      </c>
      <c r="H366" s="8">
        <v>0</v>
      </c>
    </row>
  </sheetData>
  <mergeCells count="1">
    <mergeCell ref="J1:K1"/>
  </mergeCells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Q732"/>
  <sheetViews>
    <sheetView topLeftCell="A110" zoomScale="90" zoomScaleNormal="90" zoomScaleSheetLayoutView="106" workbookViewId="0">
      <selection activeCell="B139" sqref="B139"/>
    </sheetView>
  </sheetViews>
  <sheetFormatPr defaultRowHeight="14.5"/>
  <cols>
    <col min="1" max="1" width="9" style="7"/>
    <col min="2" max="2" width="5.26953125" style="7" bestFit="1" customWidth="1"/>
    <col min="3" max="3" width="6" style="7" bestFit="1" customWidth="1"/>
    <col min="4" max="4" width="9" style="7"/>
    <col min="6" max="7" width="9" style="9"/>
    <col min="8" max="8" width="9"/>
    <col min="30" max="30" width="9"/>
    <col min="31" max="33" width="9" customWidth="1"/>
    <col min="34" max="35" width="9"/>
    <col min="36" max="37" width="9" customWidth="1"/>
    <col min="38" max="41" width="9"/>
  </cols>
  <sheetData>
    <row r="1" spans="1:41" ht="13.5" customHeight="1">
      <c r="A1" s="30" t="s">
        <v>0</v>
      </c>
      <c r="B1" s="33" t="s">
        <v>6</v>
      </c>
      <c r="C1" s="34"/>
      <c r="D1" s="34"/>
      <c r="E1" s="34"/>
      <c r="F1" s="34"/>
      <c r="G1" s="34"/>
      <c r="H1" s="35"/>
      <c r="I1" s="33" t="s">
        <v>7</v>
      </c>
      <c r="J1" s="34"/>
      <c r="K1" s="34"/>
      <c r="L1" s="34"/>
      <c r="M1" s="34"/>
      <c r="N1" s="34"/>
      <c r="O1" s="35"/>
      <c r="P1" s="33" t="s">
        <v>16</v>
      </c>
      <c r="Q1" s="34"/>
      <c r="R1" s="34"/>
      <c r="S1" s="34"/>
      <c r="T1" s="34"/>
      <c r="U1" s="34"/>
      <c r="V1" s="35"/>
      <c r="W1" s="33" t="s">
        <v>19</v>
      </c>
      <c r="X1" s="34"/>
      <c r="Y1" s="34"/>
      <c r="Z1" s="34"/>
      <c r="AA1" s="34"/>
      <c r="AB1" s="34"/>
      <c r="AC1" s="35"/>
      <c r="AD1" s="31" t="s">
        <v>9</v>
      </c>
      <c r="AE1" s="31" t="s">
        <v>10</v>
      </c>
      <c r="AF1" s="31" t="s">
        <v>17</v>
      </c>
      <c r="AG1" s="31" t="s">
        <v>20</v>
      </c>
      <c r="AH1" s="31" t="s">
        <v>14</v>
      </c>
      <c r="AI1" s="31" t="s">
        <v>15</v>
      </c>
      <c r="AJ1" s="31" t="s">
        <v>18</v>
      </c>
      <c r="AK1" s="31" t="s">
        <v>21</v>
      </c>
      <c r="AL1" s="31" t="s">
        <v>12</v>
      </c>
      <c r="AM1" s="31" t="s">
        <v>13</v>
      </c>
      <c r="AN1" s="31" t="s">
        <v>31</v>
      </c>
      <c r="AO1" s="31" t="s">
        <v>35</v>
      </c>
    </row>
    <row r="2" spans="1:41" ht="43.5">
      <c r="A2" s="30"/>
      <c r="B2" s="14" t="s">
        <v>1</v>
      </c>
      <c r="C2" s="14" t="s">
        <v>2</v>
      </c>
      <c r="D2" s="15" t="s">
        <v>4</v>
      </c>
      <c r="E2" s="15" t="s">
        <v>3</v>
      </c>
      <c r="F2" s="17" t="s">
        <v>5</v>
      </c>
      <c r="G2" s="16" t="s">
        <v>8</v>
      </c>
      <c r="H2" s="15" t="s">
        <v>11</v>
      </c>
      <c r="I2" s="14" t="s">
        <v>1</v>
      </c>
      <c r="J2" s="14" t="s">
        <v>2</v>
      </c>
      <c r="K2" s="15" t="s">
        <v>4</v>
      </c>
      <c r="L2" s="15" t="s">
        <v>3</v>
      </c>
      <c r="M2" s="18" t="s">
        <v>5</v>
      </c>
      <c r="N2" s="16" t="s">
        <v>8</v>
      </c>
      <c r="O2" s="15" t="s">
        <v>11</v>
      </c>
      <c r="P2" s="14" t="s">
        <v>1</v>
      </c>
      <c r="Q2" s="14" t="s">
        <v>2</v>
      </c>
      <c r="R2" s="15" t="s">
        <v>4</v>
      </c>
      <c r="S2" s="15" t="s">
        <v>3</v>
      </c>
      <c r="T2" s="18" t="s">
        <v>5</v>
      </c>
      <c r="U2" s="16" t="s">
        <v>8</v>
      </c>
      <c r="V2" s="15" t="s">
        <v>11</v>
      </c>
      <c r="W2" s="14" t="s">
        <v>1</v>
      </c>
      <c r="X2" s="14" t="s">
        <v>2</v>
      </c>
      <c r="Y2" s="24" t="s">
        <v>32</v>
      </c>
      <c r="Z2" s="15" t="s">
        <v>3</v>
      </c>
      <c r="AA2" s="18" t="s">
        <v>5</v>
      </c>
      <c r="AB2" s="16" t="s">
        <v>8</v>
      </c>
      <c r="AC2" s="15" t="s">
        <v>11</v>
      </c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</row>
    <row r="3" spans="1:41">
      <c r="A3" s="11">
        <v>41730</v>
      </c>
      <c r="B3" s="2">
        <v>1</v>
      </c>
      <c r="C3" s="3">
        <f>B3/365+input!$K$2</f>
        <v>2.7397260273972603E-3</v>
      </c>
      <c r="D3" s="4">
        <f t="shared" ref="D3:D66" si="0">44.2*(1-EXP(-0.58*(C3+0.85)))</f>
        <v>17.245891142256205</v>
      </c>
      <c r="E3" s="12">
        <f>0.0007*D3^3.24</f>
        <v>7.111472175014562</v>
      </c>
      <c r="F3" s="20">
        <f>input!A2</f>
        <v>6495.55</v>
      </c>
      <c r="G3" s="19">
        <f>1/(1+EXP(-0.606*D3+17.3))</f>
        <v>1.0594027933278907E-3</v>
      </c>
      <c r="H3" s="21">
        <f>0.3586*D3^2.341*_xlfn.NORM.DIST(D3,25,3,TRUE)</f>
        <v>1.3724635393151048</v>
      </c>
      <c r="I3" s="5">
        <v>366</v>
      </c>
      <c r="J3" s="3">
        <f>I3/365+input!$K$2</f>
        <v>1.0027397260273974</v>
      </c>
      <c r="K3" s="4">
        <f t="shared" ref="K3:K21" si="1">44.2*(1-EXP(-0.58*(J3+0.85)))</f>
        <v>29.108438478323222</v>
      </c>
      <c r="L3" s="10">
        <f t="shared" ref="L3:L22" si="2">0.0007*K3^3.24</f>
        <v>38.77209811271937</v>
      </c>
      <c r="M3" s="20">
        <f>input!B2</f>
        <v>3830.43</v>
      </c>
      <c r="N3" s="19">
        <f>1/(1+EXP(-0.606*K3+17.3))</f>
        <v>0.58412097990612843</v>
      </c>
      <c r="O3" s="21">
        <f>0.3586*K3^2.341*_xlfn.NORM.DIST(K3,25,3,TRUE)</f>
        <v>877.19875810407518</v>
      </c>
      <c r="P3" s="5">
        <v>731</v>
      </c>
      <c r="Q3" s="3">
        <f>P3/365+input!$K$2</f>
        <v>2.0027397260273974</v>
      </c>
      <c r="R3" s="4">
        <f t="shared" ref="R3:R66" si="3">44.2*(1-EXP(-0.58*(Q3+0.85)))</f>
        <v>35.750259355091899</v>
      </c>
      <c r="S3" s="10">
        <f t="shared" ref="S3:S66" si="4">0.0007*R3^3.24</f>
        <v>75.461014163566702</v>
      </c>
      <c r="T3" s="20">
        <f>input!C2</f>
        <v>18.95</v>
      </c>
      <c r="U3" s="19">
        <f>1/(1+EXP(-0.606*R3+17.3))</f>
        <v>0.98744072668626892</v>
      </c>
      <c r="V3" s="21">
        <f>0.3586*R3^2.341*_xlfn.NORM.DIST(R3,25,3,TRUE)</f>
        <v>1551.5409363595759</v>
      </c>
      <c r="W3" s="21">
        <v>1096</v>
      </c>
      <c r="X3" s="3">
        <f>W3/365+input!$K$2</f>
        <v>3.0027397260273974</v>
      </c>
      <c r="Y3" s="4">
        <f>44.2*(1-EXP(-0.58*(X$3+0.85)))</f>
        <v>39.469004015014669</v>
      </c>
      <c r="Z3" s="10">
        <f t="shared" ref="Z3:Z66" si="5">0.0007*Y3^3.24</f>
        <v>103.98435971907008</v>
      </c>
      <c r="AA3" s="20">
        <f>input!D2</f>
        <v>0</v>
      </c>
      <c r="AB3" s="19">
        <f>1/(1+EXP(-0.606*Y3+17.3))</f>
        <v>0.99866597068041085</v>
      </c>
      <c r="AC3" s="21">
        <f>0.3586*Y3^2.341*_xlfn.NORM.DIST(Y3,25,3,TRUE)</f>
        <v>1956.3459956959921</v>
      </c>
      <c r="AD3" s="8">
        <f>E3*F3</f>
        <v>46192.923086415838</v>
      </c>
      <c r="AE3" s="8">
        <f>L3*M3</f>
        <v>148513.80777390365</v>
      </c>
      <c r="AF3" s="8">
        <f>S3*T3</f>
        <v>1429.986218399589</v>
      </c>
      <c r="AG3" s="8">
        <f>Z3*AA3</f>
        <v>0</v>
      </c>
      <c r="AH3" s="8">
        <f>E3*F3*G3</f>
        <v>48.936911749729347</v>
      </c>
      <c r="AI3" s="8">
        <f>L3*M3*N3</f>
        <v>86750.030926482999</v>
      </c>
      <c r="AJ3" s="8">
        <f>S3*T3*U3</f>
        <v>1412.0266306478397</v>
      </c>
      <c r="AK3" s="8">
        <f>Z3*AA3*AB3</f>
        <v>0</v>
      </c>
      <c r="AL3" s="8">
        <f>AH3*H3/1000</f>
        <v>6.7164127103184479E-2</v>
      </c>
      <c r="AM3" s="8">
        <f>AI3*O3/1000</f>
        <v>76097.019394200994</v>
      </c>
      <c r="AN3" s="8">
        <f>AJ3*V3/1000</f>
        <v>2190.8171206800062</v>
      </c>
      <c r="AO3" s="8">
        <f>AK3*AC3/1000</f>
        <v>0</v>
      </c>
    </row>
    <row r="4" spans="1:41">
      <c r="A4" s="1">
        <v>41731</v>
      </c>
      <c r="B4" s="5">
        <v>2</v>
      </c>
      <c r="C4" s="3">
        <f>B4/365+input!$K$2</f>
        <v>5.4794520547945206E-3</v>
      </c>
      <c r="D4" s="4">
        <f t="shared" si="0"/>
        <v>17.288688316694355</v>
      </c>
      <c r="E4" s="10">
        <f t="shared" ref="E4:E67" si="6">0.0007*D4^3.24</f>
        <v>7.1688099202228983</v>
      </c>
      <c r="F4" s="20">
        <f>input!A3</f>
        <v>6491.1</v>
      </c>
      <c r="G4" s="19">
        <f t="shared" ref="G4:G67" si="7">1/(1+EXP(-0.606*D4+17.3))</f>
        <v>1.0872076277973783E-3</v>
      </c>
      <c r="H4" s="21">
        <f t="shared" ref="H4:H67" si="8">0.3586*D4^2.341*_xlfn.NORM.DIST(D4,25,3,TRUE)</f>
        <v>1.4386252624290583</v>
      </c>
      <c r="I4" s="5">
        <v>367</v>
      </c>
      <c r="J4" s="3">
        <f>I4/365+input!$K$2</f>
        <v>1.0054794520547945</v>
      </c>
      <c r="K4" s="4">
        <f t="shared" si="1"/>
        <v>29.132400546384751</v>
      </c>
      <c r="L4" s="10">
        <f t="shared" si="2"/>
        <v>38.875605194985766</v>
      </c>
      <c r="M4" s="20">
        <f>input!B3</f>
        <v>3803.79</v>
      </c>
      <c r="N4" s="19">
        <f t="shared" ref="N4:N67" si="9">1/(1+EXP(-0.606*K4+17.3))</f>
        <v>0.58764411211126977</v>
      </c>
      <c r="O4" s="21">
        <f t="shared" ref="O4:O67" si="10">0.3586*K4^2.341*_xlfn.NORM.DIST(K4,25,3,TRUE)</f>
        <v>880.08248103030655</v>
      </c>
      <c r="P4" s="5">
        <v>732</v>
      </c>
      <c r="Q4" s="3">
        <f>P4/365+input!$K$2</f>
        <v>2.0054794520547947</v>
      </c>
      <c r="R4" s="4">
        <f t="shared" si="3"/>
        <v>35.763675677859084</v>
      </c>
      <c r="S4" s="10">
        <f t="shared" si="4"/>
        <v>75.552806088694766</v>
      </c>
      <c r="T4" s="20">
        <f>input!C3</f>
        <v>18.579999999999998</v>
      </c>
      <c r="U4" s="19">
        <f t="shared" ref="U4:U67" si="11">1/(1+EXP(-0.606*R4+17.3))</f>
        <v>0.98754115624709349</v>
      </c>
      <c r="V4" s="21">
        <f t="shared" ref="V4:V67" si="12">0.3586*R4^2.341*_xlfn.NORM.DIST(R4,25,3,TRUE)</f>
        <v>1552.908826905571</v>
      </c>
      <c r="W4" s="21">
        <v>1097</v>
      </c>
      <c r="X4" s="3">
        <f>W4/365+input!$K$2</f>
        <v>3.0054794520547947</v>
      </c>
      <c r="Y4" s="4">
        <f t="shared" ref="Y4:Y67" si="13">44.2*(1-EXP(-0.58*(X$3+0.85)))</f>
        <v>39.469004015014669</v>
      </c>
      <c r="Z4" s="10">
        <f t="shared" si="5"/>
        <v>103.98435971907008</v>
      </c>
      <c r="AA4" s="20">
        <f>input!D3</f>
        <v>0</v>
      </c>
      <c r="AB4" s="19">
        <f t="shared" ref="AB4:AB67" si="14">1/(1+EXP(-0.606*Y4+17.3))</f>
        <v>0.99866597068041085</v>
      </c>
      <c r="AC4" s="21">
        <f t="shared" ref="AC4:AC67" si="15">0.3586*Y4^2.341*_xlfn.NORM.DIST(Y4,25,3,TRUE)</f>
        <v>1956.3459956959921</v>
      </c>
      <c r="AD4" s="8">
        <f t="shared" ref="AD4:AD67" si="16">E4*F4</f>
        <v>46533.462073158858</v>
      </c>
      <c r="AE4" s="8">
        <f t="shared" ref="AE4:AE67" si="17">L4*M4</f>
        <v>147874.63828463492</v>
      </c>
      <c r="AF4" s="8">
        <f t="shared" ref="AF4:AF67" si="18">S4*T4</f>
        <v>1403.7711371279486</v>
      </c>
      <c r="AG4" s="8">
        <f t="shared" ref="AG4:AG67" si="19">Z4*AA4</f>
        <v>0</v>
      </c>
      <c r="AH4" s="8">
        <f t="shared" ref="AH4:AH67" si="20">E4*F4*G4</f>
        <v>50.591534913758316</v>
      </c>
      <c r="AI4" s="8">
        <f t="shared" ref="AI4:AI67" si="21">L4*M4*N4</f>
        <v>86897.66051854947</v>
      </c>
      <c r="AJ4" s="8">
        <f t="shared" ref="AJ4:AJ67" si="22">S4*T4*U4</f>
        <v>1386.2817718656315</v>
      </c>
      <c r="AK4" s="8">
        <f t="shared" ref="AK4:AK67" si="23">Z4*AA4*AB4</f>
        <v>0</v>
      </c>
      <c r="AL4" s="8">
        <f t="shared" ref="AL4:AL67" si="24">AH4*H4/1000</f>
        <v>7.2782260191994422E-2</v>
      </c>
      <c r="AM4" s="8">
        <f t="shared" ref="AM4:AM67" si="25">AI4*O4/1000</f>
        <v>76477.108664894331</v>
      </c>
      <c r="AN4" s="8">
        <f t="shared" ref="AN4:AN67" si="26">AJ4*V4/1000</f>
        <v>2152.7692001084342</v>
      </c>
      <c r="AO4" s="8">
        <f t="shared" ref="AO4:AO67" si="27">AK4*AC4/1000</f>
        <v>0</v>
      </c>
    </row>
    <row r="5" spans="1:41">
      <c r="A5" s="1">
        <v>41732</v>
      </c>
      <c r="B5" s="5">
        <v>3</v>
      </c>
      <c r="C5" s="3">
        <f>B5/365+input!$K$2</f>
        <v>8.21917808219178E-3</v>
      </c>
      <c r="D5" s="4">
        <f t="shared" si="0"/>
        <v>17.331417538667463</v>
      </c>
      <c r="E5" s="10">
        <f t="shared" si="6"/>
        <v>7.2263746868286391</v>
      </c>
      <c r="F5" s="20">
        <f>input!A4</f>
        <v>6486.66</v>
      </c>
      <c r="G5" s="19">
        <f t="shared" si="7"/>
        <v>1.115695513146629E-3</v>
      </c>
      <c r="H5" s="21">
        <f t="shared" si="8"/>
        <v>1.5075623394135658</v>
      </c>
      <c r="I5" s="5">
        <v>368</v>
      </c>
      <c r="J5" s="3">
        <f>I5/365+input!$K$2</f>
        <v>1.0082191780821919</v>
      </c>
      <c r="K5" s="4">
        <f t="shared" si="1"/>
        <v>29.156324567972103</v>
      </c>
      <c r="L5" s="10">
        <f t="shared" si="2"/>
        <v>38.979138358933675</v>
      </c>
      <c r="M5" s="20">
        <f>input!B4</f>
        <v>3785.83</v>
      </c>
      <c r="N5" s="19">
        <f t="shared" si="9"/>
        <v>0.59115271576332584</v>
      </c>
      <c r="O5" s="21">
        <f t="shared" si="10"/>
        <v>882.95503031730641</v>
      </c>
      <c r="P5" s="5">
        <v>733</v>
      </c>
      <c r="Q5" s="3">
        <f>P5/365+input!$K$2</f>
        <v>2.0082191780821916</v>
      </c>
      <c r="R5" s="4">
        <f t="shared" si="3"/>
        <v>35.777070698467519</v>
      </c>
      <c r="S5" s="10">
        <f t="shared" si="4"/>
        <v>75.644529250864494</v>
      </c>
      <c r="T5" s="20">
        <f>input!C4</f>
        <v>18.41</v>
      </c>
      <c r="U5" s="19">
        <f t="shared" si="11"/>
        <v>0.98764063520447909</v>
      </c>
      <c r="V5" s="21">
        <f t="shared" si="12"/>
        <v>1554.2751666818904</v>
      </c>
      <c r="W5" s="21">
        <v>1098</v>
      </c>
      <c r="X5" s="3">
        <f>W5/365+input!$K$2</f>
        <v>3.0082191780821916</v>
      </c>
      <c r="Y5" s="4">
        <f t="shared" si="13"/>
        <v>39.469004015014669</v>
      </c>
      <c r="Z5" s="10">
        <f t="shared" si="5"/>
        <v>103.98435971907008</v>
      </c>
      <c r="AA5" s="20">
        <f>input!D4</f>
        <v>0</v>
      </c>
      <c r="AB5" s="19">
        <f t="shared" si="14"/>
        <v>0.99866597068041085</v>
      </c>
      <c r="AC5" s="21">
        <f t="shared" si="15"/>
        <v>1956.3459956959921</v>
      </c>
      <c r="AD5" s="8">
        <f t="shared" si="16"/>
        <v>46875.035626063858</v>
      </c>
      <c r="AE5" s="8">
        <f t="shared" si="17"/>
        <v>147568.39137340186</v>
      </c>
      <c r="AF5" s="8">
        <f t="shared" si="18"/>
        <v>1392.6157835084152</v>
      </c>
      <c r="AG5" s="8">
        <f t="shared" si="19"/>
        <v>0</v>
      </c>
      <c r="AH5" s="8">
        <f t="shared" si="20"/>
        <v>52.298266926587836</v>
      </c>
      <c r="AI5" s="8">
        <f t="shared" si="21"/>
        <v>87235.455321211848</v>
      </c>
      <c r="AJ5" s="8">
        <f t="shared" si="22"/>
        <v>1375.4039370200346</v>
      </c>
      <c r="AK5" s="8">
        <f t="shared" si="23"/>
        <v>0</v>
      </c>
      <c r="AL5" s="8">
        <f t="shared" si="24"/>
        <v>7.8842897635121867E-2</v>
      </c>
      <c r="AM5" s="8">
        <f t="shared" si="25"/>
        <v>77024.984097884633</v>
      </c>
      <c r="AN5" s="8">
        <f t="shared" si="26"/>
        <v>2137.7561834667426</v>
      </c>
      <c r="AO5" s="8">
        <f t="shared" si="27"/>
        <v>0</v>
      </c>
    </row>
    <row r="6" spans="1:41">
      <c r="A6" s="1">
        <v>41733</v>
      </c>
      <c r="B6" s="5">
        <v>4</v>
      </c>
      <c r="C6" s="3">
        <f>B6/365+input!$K$2</f>
        <v>1.0958904109589041E-2</v>
      </c>
      <c r="D6" s="4">
        <f t="shared" si="0"/>
        <v>17.374078916069049</v>
      </c>
      <c r="E6" s="10">
        <f t="shared" si="6"/>
        <v>7.2841660771032846</v>
      </c>
      <c r="F6" s="20">
        <f>input!A5</f>
        <v>6482.22</v>
      </c>
      <c r="G6" s="19">
        <f t="shared" si="7"/>
        <v>1.1448819877809433E-3</v>
      </c>
      <c r="H6" s="21">
        <f t="shared" si="8"/>
        <v>1.5793709846574013</v>
      </c>
      <c r="I6" s="5">
        <v>369</v>
      </c>
      <c r="J6" s="3">
        <f>I6/365+input!$K$2</f>
        <v>1.010958904109589</v>
      </c>
      <c r="K6" s="4">
        <f t="shared" si="1"/>
        <v>29.180210603494686</v>
      </c>
      <c r="L6" s="10">
        <f t="shared" si="2"/>
        <v>39.082697152234381</v>
      </c>
      <c r="M6" s="20">
        <f>input!B5</f>
        <v>3759.33</v>
      </c>
      <c r="N6" s="19">
        <f t="shared" si="9"/>
        <v>0.59464650971082489</v>
      </c>
      <c r="O6" s="21">
        <f t="shared" si="10"/>
        <v>885.81644586272364</v>
      </c>
      <c r="P6" s="5">
        <v>734</v>
      </c>
      <c r="Q6" s="3">
        <f>P6/365+input!$K$2</f>
        <v>2.010958904109589</v>
      </c>
      <c r="R6" s="4">
        <f t="shared" si="3"/>
        <v>35.790444450740331</v>
      </c>
      <c r="S6" s="10">
        <f t="shared" si="4"/>
        <v>75.736183550630031</v>
      </c>
      <c r="T6" s="20">
        <f>input!C5</f>
        <v>18.059999999999999</v>
      </c>
      <c r="U6" s="19">
        <f t="shared" si="11"/>
        <v>0.98773917363658315</v>
      </c>
      <c r="V6" s="21">
        <f t="shared" si="12"/>
        <v>1555.6399571279974</v>
      </c>
      <c r="W6" s="21">
        <v>1099</v>
      </c>
      <c r="X6" s="3">
        <f>W6/365+input!$K$2</f>
        <v>3.010958904109589</v>
      </c>
      <c r="Y6" s="4">
        <f t="shared" si="13"/>
        <v>39.469004015014669</v>
      </c>
      <c r="Z6" s="10">
        <f t="shared" si="5"/>
        <v>103.98435971907008</v>
      </c>
      <c r="AA6" s="20">
        <f>input!D5</f>
        <v>0</v>
      </c>
      <c r="AB6" s="19">
        <f t="shared" si="14"/>
        <v>0.99866597068041085</v>
      </c>
      <c r="AC6" s="21">
        <f t="shared" si="15"/>
        <v>1956.3459956959921</v>
      </c>
      <c r="AD6" s="8">
        <f t="shared" si="16"/>
        <v>47217.567028320453</v>
      </c>
      <c r="AE6" s="8">
        <f t="shared" si="17"/>
        <v>146924.75588530928</v>
      </c>
      <c r="AF6" s="8">
        <f t="shared" si="18"/>
        <v>1367.7954749243784</v>
      </c>
      <c r="AG6" s="8">
        <f t="shared" si="19"/>
        <v>0</v>
      </c>
      <c r="AH6" s="8">
        <f t="shared" si="20"/>
        <v>54.058541997563452</v>
      </c>
      <c r="AI6" s="8">
        <f t="shared" si="21"/>
        <v>87368.293277314137</v>
      </c>
      <c r="AJ6" s="8">
        <f t="shared" si="22"/>
        <v>1351.0251721056632</v>
      </c>
      <c r="AK6" s="8">
        <f t="shared" si="23"/>
        <v>0</v>
      </c>
      <c r="AL6" s="8">
        <f t="shared" si="24"/>
        <v>8.5378492703835282E-2</v>
      </c>
      <c r="AM6" s="8">
        <f t="shared" si="25"/>
        <v>77392.271032002493</v>
      </c>
      <c r="AN6" s="8">
        <f t="shared" si="26"/>
        <v>2101.7087408132993</v>
      </c>
      <c r="AO6" s="8">
        <f t="shared" si="27"/>
        <v>0</v>
      </c>
    </row>
    <row r="7" spans="1:41">
      <c r="A7" s="1">
        <v>41734</v>
      </c>
      <c r="B7" s="5">
        <v>5</v>
      </c>
      <c r="C7" s="3">
        <f>B7/365+input!$K$2</f>
        <v>1.3698630136986301E-2</v>
      </c>
      <c r="D7" s="4">
        <f t="shared" si="0"/>
        <v>17.4166725566213</v>
      </c>
      <c r="E7" s="10">
        <f t="shared" si="6"/>
        <v>7.3421836900177659</v>
      </c>
      <c r="F7" s="20">
        <f>input!A6</f>
        <v>6477.78</v>
      </c>
      <c r="G7" s="19">
        <f t="shared" si="7"/>
        <v>1.1747829120026753E-3</v>
      </c>
      <c r="H7" s="21">
        <f t="shared" si="8"/>
        <v>1.6541498624528086</v>
      </c>
      <c r="I7" s="5">
        <v>370</v>
      </c>
      <c r="J7" s="3">
        <f>I7/365+input!$K$2</f>
        <v>1.0136986301369864</v>
      </c>
      <c r="K7" s="4">
        <f t="shared" si="1"/>
        <v>29.204058713265965</v>
      </c>
      <c r="L7" s="10">
        <f t="shared" si="2"/>
        <v>39.186281123699516</v>
      </c>
      <c r="M7" s="20">
        <f>input!B6</f>
        <v>3752.25</v>
      </c>
      <c r="N7" s="19">
        <f t="shared" si="9"/>
        <v>0.59812521946487596</v>
      </c>
      <c r="O7" s="21">
        <f t="shared" si="10"/>
        <v>888.66676867067292</v>
      </c>
      <c r="P7" s="5">
        <v>735</v>
      </c>
      <c r="Q7" s="3">
        <f>P7/365+input!$K$2</f>
        <v>2.0136986301369864</v>
      </c>
      <c r="R7" s="4">
        <f t="shared" si="3"/>
        <v>35.803796968446939</v>
      </c>
      <c r="S7" s="10">
        <f t="shared" si="4"/>
        <v>75.827768889198609</v>
      </c>
      <c r="T7" s="20">
        <f>input!C6</f>
        <v>17.899999999999999</v>
      </c>
      <c r="U7" s="19">
        <f t="shared" si="11"/>
        <v>0.98783678150579179</v>
      </c>
      <c r="V7" s="21">
        <f t="shared" si="12"/>
        <v>1557.0031996694736</v>
      </c>
      <c r="W7" s="21">
        <v>1100</v>
      </c>
      <c r="X7" s="3">
        <f>W7/365+input!$K$2</f>
        <v>3.0136986301369864</v>
      </c>
      <c r="Y7" s="4">
        <f t="shared" si="13"/>
        <v>39.469004015014669</v>
      </c>
      <c r="Z7" s="10">
        <f t="shared" si="5"/>
        <v>103.98435971907008</v>
      </c>
      <c r="AA7" s="20">
        <f>input!D6</f>
        <v>0</v>
      </c>
      <c r="AB7" s="19">
        <f t="shared" si="14"/>
        <v>0.99866597068041085</v>
      </c>
      <c r="AC7" s="21">
        <f t="shared" si="15"/>
        <v>1956.3459956959921</v>
      </c>
      <c r="AD7" s="8">
        <f t="shared" si="16"/>
        <v>47561.050663523281</v>
      </c>
      <c r="AE7" s="8">
        <f t="shared" si="17"/>
        <v>147036.7233464015</v>
      </c>
      <c r="AF7" s="8">
        <f t="shared" si="18"/>
        <v>1357.3170631166549</v>
      </c>
      <c r="AG7" s="8">
        <f t="shared" si="19"/>
        <v>0</v>
      </c>
      <c r="AH7" s="8">
        <f t="shared" si="20"/>
        <v>55.873909596400651</v>
      </c>
      <c r="AI7" s="8">
        <f t="shared" si="21"/>
        <v>87946.372420962653</v>
      </c>
      <c r="AJ7" s="8">
        <f t="shared" si="22"/>
        <v>1340.8077191120501</v>
      </c>
      <c r="AK7" s="8">
        <f t="shared" si="23"/>
        <v>0</v>
      </c>
      <c r="AL7" s="8">
        <f t="shared" si="24"/>
        <v>9.2423819873586791E-2</v>
      </c>
      <c r="AM7" s="8">
        <f t="shared" si="25"/>
        <v>78155.018595644462</v>
      </c>
      <c r="AN7" s="8">
        <f t="shared" si="26"/>
        <v>2087.6419087989907</v>
      </c>
      <c r="AO7" s="8">
        <f t="shared" si="27"/>
        <v>0</v>
      </c>
    </row>
    <row r="8" spans="1:41">
      <c r="A8" s="1">
        <v>41735</v>
      </c>
      <c r="B8" s="5">
        <v>6</v>
      </c>
      <c r="C8" s="3">
        <f>B8/365+input!$K$2</f>
        <v>1.643835616438356E-2</v>
      </c>
      <c r="D8" s="4">
        <f t="shared" si="0"/>
        <v>17.45919856787539</v>
      </c>
      <c r="E8" s="10">
        <f t="shared" si="6"/>
        <v>7.4004271212747872</v>
      </c>
      <c r="F8" s="20">
        <f>input!A7</f>
        <v>6473.34</v>
      </c>
      <c r="G8" s="19">
        <f t="shared" si="7"/>
        <v>1.2054144739003098E-3</v>
      </c>
      <c r="H8" s="21">
        <f t="shared" si="8"/>
        <v>1.7320001146132211</v>
      </c>
      <c r="I8" s="5">
        <v>371</v>
      </c>
      <c r="J8" s="3">
        <f>I8/365+input!$K$2</f>
        <v>1.0164383561643835</v>
      </c>
      <c r="K8" s="4">
        <f t="shared" si="1"/>
        <v>29.22786895750367</v>
      </c>
      <c r="L8" s="10">
        <f t="shared" si="2"/>
        <v>39.289889823282188</v>
      </c>
      <c r="M8" s="20">
        <f>input!B7</f>
        <v>3710.2</v>
      </c>
      <c r="N8" s="19">
        <f t="shared" si="9"/>
        <v>0.60158857723476344</v>
      </c>
      <c r="O8" s="21">
        <f t="shared" si="10"/>
        <v>891.50604081958659</v>
      </c>
      <c r="P8" s="5">
        <v>736</v>
      </c>
      <c r="Q8" s="3">
        <f>P8/365+input!$K$2</f>
        <v>2.0164383561643837</v>
      </c>
      <c r="R8" s="4">
        <f t="shared" si="3"/>
        <v>35.817128285303156</v>
      </c>
      <c r="S8" s="10">
        <f t="shared" si="4"/>
        <v>75.919285168429283</v>
      </c>
      <c r="T8" s="20">
        <f>input!C7</f>
        <v>17.52</v>
      </c>
      <c r="U8" s="19">
        <f t="shared" si="11"/>
        <v>0.98793346866011689</v>
      </c>
      <c r="V8" s="21">
        <f t="shared" si="12"/>
        <v>1558.3648957183361</v>
      </c>
      <c r="W8" s="21">
        <v>1101</v>
      </c>
      <c r="X8" s="3">
        <f>W8/365+input!$K$2</f>
        <v>3.0164383561643837</v>
      </c>
      <c r="Y8" s="4">
        <f t="shared" si="13"/>
        <v>39.469004015014669</v>
      </c>
      <c r="Z8" s="10">
        <f t="shared" si="5"/>
        <v>103.98435971907008</v>
      </c>
      <c r="AA8" s="20">
        <f>input!D7</f>
        <v>0</v>
      </c>
      <c r="AB8" s="19">
        <f t="shared" si="14"/>
        <v>0.99866597068041085</v>
      </c>
      <c r="AC8" s="21">
        <f t="shared" si="15"/>
        <v>1956.3459956959921</v>
      </c>
      <c r="AD8" s="8">
        <f t="shared" si="16"/>
        <v>47905.480901232935</v>
      </c>
      <c r="AE8" s="8">
        <f t="shared" si="17"/>
        <v>145773.34922234155</v>
      </c>
      <c r="AF8" s="8">
        <f t="shared" si="18"/>
        <v>1330.1058761508809</v>
      </c>
      <c r="AG8" s="8">
        <f t="shared" si="19"/>
        <v>0</v>
      </c>
      <c r="AH8" s="8">
        <f t="shared" si="20"/>
        <v>57.745960057501037</v>
      </c>
      <c r="AI8" s="8">
        <f t="shared" si="21"/>
        <v>87695.581757414766</v>
      </c>
      <c r="AJ8" s="8">
        <f t="shared" si="22"/>
        <v>1314.0561119109436</v>
      </c>
      <c r="AK8" s="8">
        <f t="shared" si="23"/>
        <v>0</v>
      </c>
      <c r="AL8" s="8">
        <f t="shared" si="24"/>
        <v>0.10001600943804229</v>
      </c>
      <c r="AM8" s="8">
        <f t="shared" si="25"/>
        <v>78181.140889923205</v>
      </c>
      <c r="AN8" s="8">
        <f t="shared" si="26"/>
        <v>2047.7789158061398</v>
      </c>
      <c r="AO8" s="8">
        <f t="shared" si="27"/>
        <v>0</v>
      </c>
    </row>
    <row r="9" spans="1:41">
      <c r="A9" s="1">
        <v>41736</v>
      </c>
      <c r="B9" s="5">
        <v>7</v>
      </c>
      <c r="C9" s="3">
        <f>B9/365+input!$K$2</f>
        <v>1.9178082191780823E-2</v>
      </c>
      <c r="D9" s="4">
        <f t="shared" si="0"/>
        <v>17.501657057211716</v>
      </c>
      <c r="E9" s="10">
        <f t="shared" si="6"/>
        <v>7.4588959633409324</v>
      </c>
      <c r="F9" s="20">
        <f>input!A8</f>
        <v>6468.91</v>
      </c>
      <c r="G9" s="19">
        <f t="shared" si="7"/>
        <v>1.2367931953259112E-3</v>
      </c>
      <c r="H9" s="21">
        <f t="shared" si="8"/>
        <v>1.8130253870939361</v>
      </c>
      <c r="I9" s="5">
        <v>372</v>
      </c>
      <c r="J9" s="3">
        <f>I9/365+input!$K$2</f>
        <v>1.0191780821917809</v>
      </c>
      <c r="K9" s="4">
        <f t="shared" si="1"/>
        <v>29.251641396329909</v>
      </c>
      <c r="L9" s="10">
        <f t="shared" si="2"/>
        <v>39.393522802077619</v>
      </c>
      <c r="M9" s="20">
        <f>input!B8</f>
        <v>3707.66</v>
      </c>
      <c r="N9" s="19">
        <f t="shared" si="9"/>
        <v>0.60503632195847501</v>
      </c>
      <c r="O9" s="21">
        <f t="shared" si="10"/>
        <v>894.33430543036263</v>
      </c>
      <c r="P9" s="5">
        <v>737</v>
      </c>
      <c r="Q9" s="3">
        <f>P9/365+input!$K$2</f>
        <v>2.0191780821917806</v>
      </c>
      <c r="R9" s="4">
        <f t="shared" si="3"/>
        <v>35.830438434971242</v>
      </c>
      <c r="S9" s="10">
        <f t="shared" si="4"/>
        <v>76.0107322908312</v>
      </c>
      <c r="T9" s="20">
        <f>input!C8</f>
        <v>17.41</v>
      </c>
      <c r="U9" s="19">
        <f t="shared" si="11"/>
        <v>0.98802924483457732</v>
      </c>
      <c r="V9" s="21">
        <f t="shared" si="12"/>
        <v>1559.7250466733201</v>
      </c>
      <c r="W9" s="21">
        <v>1102</v>
      </c>
      <c r="X9" s="3">
        <f>W9/365+input!$K$2</f>
        <v>3.0191780821917806</v>
      </c>
      <c r="Y9" s="4">
        <f t="shared" si="13"/>
        <v>39.469004015014669</v>
      </c>
      <c r="Z9" s="10">
        <f t="shared" si="5"/>
        <v>103.98435971907008</v>
      </c>
      <c r="AA9" s="20">
        <f>input!D8</f>
        <v>0</v>
      </c>
      <c r="AB9" s="19">
        <f t="shared" si="14"/>
        <v>0.99866597068041085</v>
      </c>
      <c r="AC9" s="21">
        <f t="shared" si="15"/>
        <v>1956.3459956959921</v>
      </c>
      <c r="AD9" s="8">
        <f t="shared" si="16"/>
        <v>48250.926686215789</v>
      </c>
      <c r="AE9" s="8">
        <f t="shared" si="17"/>
        <v>146057.7887523511</v>
      </c>
      <c r="AF9" s="8">
        <f t="shared" si="18"/>
        <v>1323.3468491833712</v>
      </c>
      <c r="AG9" s="8">
        <f t="shared" si="19"/>
        <v>0</v>
      </c>
      <c r="AH9" s="8">
        <f t="shared" si="20"/>
        <v>59.676417793681104</v>
      </c>
      <c r="AI9" s="8">
        <f t="shared" si="21"/>
        <v>88370.267300110427</v>
      </c>
      <c r="AJ9" s="8">
        <f t="shared" si="22"/>
        <v>1307.5053880528635</v>
      </c>
      <c r="AK9" s="8">
        <f t="shared" si="23"/>
        <v>0</v>
      </c>
      <c r="AL9" s="8">
        <f t="shared" si="24"/>
        <v>0.10819486047076814</v>
      </c>
      <c r="AM9" s="8">
        <f t="shared" si="25"/>
        <v>79032.561626539755</v>
      </c>
      <c r="AN9" s="8">
        <f t="shared" si="26"/>
        <v>2039.3489024063701</v>
      </c>
      <c r="AO9" s="8">
        <f t="shared" si="27"/>
        <v>0</v>
      </c>
    </row>
    <row r="10" spans="1:41">
      <c r="A10" s="1">
        <v>41737</v>
      </c>
      <c r="B10" s="5">
        <v>8</v>
      </c>
      <c r="C10" s="3">
        <f>B10/365+input!$K$2</f>
        <v>2.1917808219178082E-2</v>
      </c>
      <c r="D10" s="4">
        <f t="shared" si="0"/>
        <v>17.544048131840167</v>
      </c>
      <c r="E10" s="10">
        <f t="shared" si="6"/>
        <v>7.5175898054786501</v>
      </c>
      <c r="F10" s="20">
        <f>input!A9</f>
        <v>6464.48</v>
      </c>
      <c r="G10" s="19">
        <f t="shared" si="7"/>
        <v>1.2689359379618127E-3</v>
      </c>
      <c r="H10" s="21">
        <f t="shared" si="8"/>
        <v>1.897331855563299</v>
      </c>
      <c r="I10" s="5">
        <v>373</v>
      </c>
      <c r="J10" s="3">
        <f>I10/365+input!$K$2</f>
        <v>1.021917808219178</v>
      </c>
      <c r="K10" s="4">
        <f t="shared" si="1"/>
        <v>29.275376089771338</v>
      </c>
      <c r="L10" s="10">
        <f t="shared" si="2"/>
        <v>39.497179612323805</v>
      </c>
      <c r="M10" s="20">
        <f>input!B9</f>
        <v>3680.12</v>
      </c>
      <c r="N10" s="19">
        <f t="shared" si="9"/>
        <v>0.60846819932821639</v>
      </c>
      <c r="O10" s="21">
        <f t="shared" si="10"/>
        <v>897.15160663483539</v>
      </c>
      <c r="P10" s="5">
        <v>738</v>
      </c>
      <c r="Q10" s="3">
        <f>P10/365+input!$K$2</f>
        <v>2.021917808219178</v>
      </c>
      <c r="R10" s="4">
        <f t="shared" si="3"/>
        <v>35.843727451060026</v>
      </c>
      <c r="S10" s="10">
        <f t="shared" si="4"/>
        <v>76.102110159561221</v>
      </c>
      <c r="T10" s="20">
        <f>input!C9</f>
        <v>17.079999999999998</v>
      </c>
      <c r="U10" s="19">
        <f t="shared" si="11"/>
        <v>0.98812411965256441</v>
      </c>
      <c r="V10" s="21">
        <f t="shared" si="12"/>
        <v>1561.0836539201707</v>
      </c>
      <c r="W10" s="21">
        <v>1103</v>
      </c>
      <c r="X10" s="3">
        <f>W10/365+input!$K$2</f>
        <v>3.021917808219178</v>
      </c>
      <c r="Y10" s="4">
        <f t="shared" si="13"/>
        <v>39.469004015014669</v>
      </c>
      <c r="Z10" s="10">
        <f t="shared" si="5"/>
        <v>103.98435971907008</v>
      </c>
      <c r="AA10" s="20">
        <f>input!D9</f>
        <v>0</v>
      </c>
      <c r="AB10" s="19">
        <f t="shared" si="14"/>
        <v>0.99866597068041085</v>
      </c>
      <c r="AC10" s="21">
        <f t="shared" si="15"/>
        <v>1956.3459956959921</v>
      </c>
      <c r="AD10" s="8">
        <f t="shared" si="16"/>
        <v>48597.308945720622</v>
      </c>
      <c r="AE10" s="8">
        <f t="shared" si="17"/>
        <v>145354.36063490508</v>
      </c>
      <c r="AF10" s="8">
        <f t="shared" si="18"/>
        <v>1299.8240415253056</v>
      </c>
      <c r="AG10" s="8">
        <f t="shared" si="19"/>
        <v>0</v>
      </c>
      <c r="AH10" s="8">
        <f t="shared" si="20"/>
        <v>61.666871809457987</v>
      </c>
      <c r="AI10" s="8">
        <f t="shared" si="21"/>
        <v>88443.506080024876</v>
      </c>
      <c r="AJ10" s="8">
        <f t="shared" si="22"/>
        <v>1284.3874867354309</v>
      </c>
      <c r="AK10" s="8">
        <f t="shared" si="23"/>
        <v>0</v>
      </c>
      <c r="AL10" s="8">
        <f t="shared" si="24"/>
        <v>0.11700252031702302</v>
      </c>
      <c r="AM10" s="8">
        <f t="shared" si="25"/>
        <v>79347.23357611215</v>
      </c>
      <c r="AN10" s="8">
        <f t="shared" si="26"/>
        <v>2005.0363108422912</v>
      </c>
      <c r="AO10" s="8">
        <f t="shared" si="27"/>
        <v>0</v>
      </c>
    </row>
    <row r="11" spans="1:41">
      <c r="A11" s="1">
        <v>41738</v>
      </c>
      <c r="B11" s="5">
        <v>9</v>
      </c>
      <c r="C11" s="3">
        <f>B11/365+input!$K$2</f>
        <v>2.4657534246575342E-2</v>
      </c>
      <c r="D11" s="4">
        <f t="shared" si="0"/>
        <v>17.586371898800429</v>
      </c>
      <c r="E11" s="10">
        <f t="shared" si="6"/>
        <v>7.5765082337780472</v>
      </c>
      <c r="F11" s="20">
        <f>input!A10</f>
        <v>6460.05</v>
      </c>
      <c r="G11" s="19">
        <f t="shared" si="7"/>
        <v>1.3018599094773533E-3</v>
      </c>
      <c r="H11" s="21">
        <f t="shared" si="8"/>
        <v>1.9850282498716683</v>
      </c>
      <c r="I11" s="5">
        <v>374</v>
      </c>
      <c r="J11" s="3">
        <f>I11/365+input!$K$2</f>
        <v>1.0246575342465754</v>
      </c>
      <c r="K11" s="4">
        <f t="shared" si="1"/>
        <v>29.29907309775928</v>
      </c>
      <c r="L11" s="10">
        <f t="shared" si="2"/>
        <v>39.600859807402024</v>
      </c>
      <c r="M11" s="20">
        <f>input!B10</f>
        <v>3663.29</v>
      </c>
      <c r="N11" s="19">
        <f t="shared" si="9"/>
        <v>0.61188396181099713</v>
      </c>
      <c r="O11" s="21">
        <f t="shared" si="10"/>
        <v>899.95798954457257</v>
      </c>
      <c r="P11" s="5">
        <v>739</v>
      </c>
      <c r="Q11" s="3">
        <f>P11/365+input!$K$2</f>
        <v>2.0246575342465754</v>
      </c>
      <c r="R11" s="4">
        <f t="shared" si="3"/>
        <v>35.856995367124966</v>
      </c>
      <c r="S11" s="10">
        <f t="shared" si="4"/>
        <v>76.193418678422788</v>
      </c>
      <c r="T11" s="20">
        <f>input!C10</f>
        <v>16.940000000000001</v>
      </c>
      <c r="U11" s="19">
        <f t="shared" si="11"/>
        <v>0.9882181026271879</v>
      </c>
      <c r="V11" s="21">
        <f t="shared" si="12"/>
        <v>1562.440718831919</v>
      </c>
      <c r="W11" s="21">
        <v>1104</v>
      </c>
      <c r="X11" s="3">
        <f>W11/365+input!$K$2</f>
        <v>3.0246575342465754</v>
      </c>
      <c r="Y11" s="4">
        <f t="shared" si="13"/>
        <v>39.469004015014669</v>
      </c>
      <c r="Z11" s="10">
        <f t="shared" si="5"/>
        <v>103.98435971907008</v>
      </c>
      <c r="AA11" s="20">
        <f>input!D10</f>
        <v>0</v>
      </c>
      <c r="AB11" s="19">
        <f t="shared" si="14"/>
        <v>0.99866597068041085</v>
      </c>
      <c r="AC11" s="21">
        <f t="shared" si="15"/>
        <v>1956.3459956959921</v>
      </c>
      <c r="AD11" s="8">
        <f t="shared" si="16"/>
        <v>48944.622015617875</v>
      </c>
      <c r="AE11" s="8">
        <f t="shared" si="17"/>
        <v>145069.43372385777</v>
      </c>
      <c r="AF11" s="8">
        <f t="shared" si="18"/>
        <v>1290.7165124124822</v>
      </c>
      <c r="AG11" s="8">
        <f t="shared" si="19"/>
        <v>0</v>
      </c>
      <c r="AH11" s="8">
        <f t="shared" si="20"/>
        <v>63.719041186655559</v>
      </c>
      <c r="AI11" s="8">
        <f t="shared" si="21"/>
        <v>88765.659844631969</v>
      </c>
      <c r="AJ11" s="8">
        <f t="shared" si="22"/>
        <v>1275.5094229258443</v>
      </c>
      <c r="AK11" s="8">
        <f t="shared" si="23"/>
        <v>0</v>
      </c>
      <c r="AL11" s="8">
        <f t="shared" si="24"/>
        <v>0.12648409681024764</v>
      </c>
      <c r="AM11" s="8">
        <f t="shared" si="25"/>
        <v>79885.364774372385</v>
      </c>
      <c r="AN11" s="8">
        <f t="shared" si="26"/>
        <v>1992.9078596331424</v>
      </c>
      <c r="AO11" s="8">
        <f t="shared" si="27"/>
        <v>0</v>
      </c>
    </row>
    <row r="12" spans="1:41">
      <c r="A12" s="1">
        <v>41739</v>
      </c>
      <c r="B12" s="5">
        <v>10</v>
      </c>
      <c r="C12" s="3">
        <f>B12/365+input!$K$2</f>
        <v>2.7397260273972601E-2</v>
      </c>
      <c r="D12" s="4">
        <f t="shared" si="0"/>
        <v>17.628628464962212</v>
      </c>
      <c r="E12" s="10">
        <f t="shared" si="6"/>
        <v>7.6356508311884941</v>
      </c>
      <c r="F12" s="20">
        <f>input!A11</f>
        <v>6455.63</v>
      </c>
      <c r="G12" s="19">
        <f t="shared" si="7"/>
        <v>1.3355826697763833E-3</v>
      </c>
      <c r="H12" s="21">
        <f t="shared" si="8"/>
        <v>2.0762258773650917</v>
      </c>
      <c r="I12" s="5">
        <v>375</v>
      </c>
      <c r="J12" s="3">
        <f>I12/365+input!$K$2</f>
        <v>1.0273972602739727</v>
      </c>
      <c r="K12" s="4">
        <f t="shared" si="1"/>
        <v>29.322732480129925</v>
      </c>
      <c r="L12" s="10">
        <f t="shared" si="2"/>
        <v>39.704562941837978</v>
      </c>
      <c r="M12" s="20">
        <f>input!B11</f>
        <v>3631.43</v>
      </c>
      <c r="N12" s="19">
        <f t="shared" si="9"/>
        <v>0.61528336866435829</v>
      </c>
      <c r="O12" s="21">
        <f t="shared" si="10"/>
        <v>902.75350021999816</v>
      </c>
      <c r="P12" s="5">
        <v>740</v>
      </c>
      <c r="Q12" s="3">
        <f>P12/365+input!$K$2</f>
        <v>2.0273972602739727</v>
      </c>
      <c r="R12" s="4">
        <f t="shared" si="3"/>
        <v>35.870242216668231</v>
      </c>
      <c r="S12" s="10">
        <f t="shared" si="4"/>
        <v>76.284657751863435</v>
      </c>
      <c r="T12" s="20">
        <f>input!C11</f>
        <v>16.59</v>
      </c>
      <c r="U12" s="19">
        <f t="shared" si="11"/>
        <v>0.98831120316260812</v>
      </c>
      <c r="V12" s="21">
        <f t="shared" si="12"/>
        <v>1563.7962427691607</v>
      </c>
      <c r="W12" s="21">
        <v>1105</v>
      </c>
      <c r="X12" s="3">
        <f>W12/365+input!$K$2</f>
        <v>3.0273972602739727</v>
      </c>
      <c r="Y12" s="4">
        <f t="shared" si="13"/>
        <v>39.469004015014669</v>
      </c>
      <c r="Z12" s="10">
        <f t="shared" si="5"/>
        <v>103.98435971907008</v>
      </c>
      <c r="AA12" s="20">
        <f>input!D11</f>
        <v>0</v>
      </c>
      <c r="AB12" s="19">
        <f t="shared" si="14"/>
        <v>0.99866597068041085</v>
      </c>
      <c r="AC12" s="21">
        <f t="shared" si="15"/>
        <v>1956.3459956959921</v>
      </c>
      <c r="AD12" s="8">
        <f t="shared" si="16"/>
        <v>49292.936575345382</v>
      </c>
      <c r="AE12" s="8">
        <f t="shared" si="17"/>
        <v>144184.34100387868</v>
      </c>
      <c r="AF12" s="8">
        <f t="shared" si="18"/>
        <v>1265.5624721034144</v>
      </c>
      <c r="AG12" s="8">
        <f t="shared" si="19"/>
        <v>0</v>
      </c>
      <c r="AH12" s="8">
        <f t="shared" si="20"/>
        <v>65.834791832417721</v>
      </c>
      <c r="AI12" s="8">
        <f t="shared" si="21"/>
        <v>88714.227041517035</v>
      </c>
      <c r="AJ12" s="8">
        <f t="shared" si="22"/>
        <v>1250.7695694819702</v>
      </c>
      <c r="AK12" s="8">
        <f t="shared" si="23"/>
        <v>0</v>
      </c>
      <c r="AL12" s="8">
        <f t="shared" si="24"/>
        <v>0.13668789843340964</v>
      </c>
      <c r="AM12" s="8">
        <f t="shared" si="25"/>
        <v>80087.078981041122</v>
      </c>
      <c r="AN12" s="8">
        <f t="shared" si="26"/>
        <v>1955.9487533259057</v>
      </c>
      <c r="AO12" s="8">
        <f t="shared" si="27"/>
        <v>0</v>
      </c>
    </row>
    <row r="13" spans="1:41">
      <c r="A13" s="1">
        <v>41740</v>
      </c>
      <c r="B13" s="5">
        <v>11</v>
      </c>
      <c r="C13" s="3">
        <f>B13/365+input!$K$2</f>
        <v>3.0136986301369864E-2</v>
      </c>
      <c r="D13" s="4">
        <f t="shared" si="0"/>
        <v>17.670817937025546</v>
      </c>
      <c r="E13" s="10">
        <f t="shared" si="6"/>
        <v>7.6950171775501586</v>
      </c>
      <c r="F13" s="20">
        <f>input!A12</f>
        <v>6451.21</v>
      </c>
      <c r="G13" s="19">
        <f t="shared" si="7"/>
        <v>1.3701221373363865E-3</v>
      </c>
      <c r="H13" s="21">
        <f t="shared" si="8"/>
        <v>2.1710386449913179</v>
      </c>
      <c r="I13" s="5">
        <v>376</v>
      </c>
      <c r="J13" s="3">
        <f>I13/365+input!$K$2</f>
        <v>1.0301369863013699</v>
      </c>
      <c r="K13" s="4">
        <f t="shared" si="1"/>
        <v>29.34635429662444</v>
      </c>
      <c r="L13" s="10">
        <f t="shared" si="2"/>
        <v>39.80828857130205</v>
      </c>
      <c r="M13" s="20">
        <f>input!B12</f>
        <v>3628.95</v>
      </c>
      <c r="N13" s="19">
        <f t="shared" si="9"/>
        <v>0.61866618594731437</v>
      </c>
      <c r="O13" s="21">
        <f t="shared" si="10"/>
        <v>905.53818563985351</v>
      </c>
      <c r="P13" s="5">
        <v>741</v>
      </c>
      <c r="Q13" s="3">
        <f>P13/365+input!$K$2</f>
        <v>2.0301369863013701</v>
      </c>
      <c r="R13" s="4">
        <f t="shared" si="3"/>
        <v>35.883468033138826</v>
      </c>
      <c r="S13" s="10">
        <f t="shared" si="4"/>
        <v>76.375827284973255</v>
      </c>
      <c r="T13" s="20">
        <f>input!C12</f>
        <v>16.489999999999998</v>
      </c>
      <c r="U13" s="19">
        <f t="shared" si="11"/>
        <v>0.98840343055535052</v>
      </c>
      <c r="V13" s="21">
        <f t="shared" si="12"/>
        <v>1565.1502270803344</v>
      </c>
      <c r="W13" s="21">
        <v>1106</v>
      </c>
      <c r="X13" s="3">
        <f>W13/365+input!$K$2</f>
        <v>3.0301369863013701</v>
      </c>
      <c r="Y13" s="4">
        <f t="shared" si="13"/>
        <v>39.469004015014669</v>
      </c>
      <c r="Z13" s="10">
        <f t="shared" si="5"/>
        <v>103.98435971907008</v>
      </c>
      <c r="AA13" s="20">
        <f>input!D12</f>
        <v>0</v>
      </c>
      <c r="AB13" s="19">
        <f t="shared" si="14"/>
        <v>0.99866597068041085</v>
      </c>
      <c r="AC13" s="21">
        <f t="shared" si="15"/>
        <v>1956.3459956959921</v>
      </c>
      <c r="AD13" s="8">
        <f t="shared" si="16"/>
        <v>49642.171765983359</v>
      </c>
      <c r="AE13" s="8">
        <f t="shared" si="17"/>
        <v>144462.28881082658</v>
      </c>
      <c r="AF13" s="8">
        <f t="shared" si="18"/>
        <v>1259.4373919292088</v>
      </c>
      <c r="AG13" s="8">
        <f t="shared" si="19"/>
        <v>0</v>
      </c>
      <c r="AH13" s="8">
        <f t="shared" si="20"/>
        <v>68.015838482029139</v>
      </c>
      <c r="AI13" s="8">
        <f t="shared" si="21"/>
        <v>89373.933231813469</v>
      </c>
      <c r="AJ13" s="8">
        <f t="shared" si="22"/>
        <v>1244.8322387525136</v>
      </c>
      <c r="AK13" s="8">
        <f t="shared" si="23"/>
        <v>0</v>
      </c>
      <c r="AL13" s="8">
        <f t="shared" si="24"/>
        <v>0.14766501381597288</v>
      </c>
      <c r="AM13" s="8">
        <f t="shared" si="25"/>
        <v>80931.509342233781</v>
      </c>
      <c r="AN13" s="8">
        <f t="shared" si="26"/>
        <v>1948.3494611604176</v>
      </c>
      <c r="AO13" s="8">
        <f t="shared" si="27"/>
        <v>0</v>
      </c>
    </row>
    <row r="14" spans="1:41">
      <c r="A14" s="1">
        <v>41741</v>
      </c>
      <c r="B14" s="5">
        <v>12</v>
      </c>
      <c r="C14" s="3">
        <f>B14/365+input!$K$2</f>
        <v>3.287671232876712E-2</v>
      </c>
      <c r="D14" s="4">
        <f t="shared" si="0"/>
        <v>17.712940421521054</v>
      </c>
      <c r="E14" s="10">
        <f t="shared" si="6"/>
        <v>7.7546068496253024</v>
      </c>
      <c r="F14" s="20">
        <f>input!A13</f>
        <v>6446.79</v>
      </c>
      <c r="G14" s="19">
        <f t="shared" si="7"/>
        <v>1.4054965956399811E-3</v>
      </c>
      <c r="H14" s="21">
        <f t="shared" si="8"/>
        <v>2.2695830801452455</v>
      </c>
      <c r="I14" s="5">
        <v>377</v>
      </c>
      <c r="J14" s="3">
        <f>I14/365+input!$K$2</f>
        <v>1.0328767123287672</v>
      </c>
      <c r="K14" s="4">
        <f t="shared" si="1"/>
        <v>29.369938606889153</v>
      </c>
      <c r="L14" s="10">
        <f t="shared" si="2"/>
        <v>39.912036252610093</v>
      </c>
      <c r="M14" s="20">
        <f>input!B13</f>
        <v>3587.52</v>
      </c>
      <c r="N14" s="19">
        <f t="shared" si="9"/>
        <v>0.62203218652660641</v>
      </c>
      <c r="O14" s="21">
        <f t="shared" si="10"/>
        <v>908.31209367099723</v>
      </c>
      <c r="P14" s="5">
        <v>742</v>
      </c>
      <c r="Q14" s="3">
        <f>P14/365+input!$K$2</f>
        <v>2.032876712328767</v>
      </c>
      <c r="R14" s="4">
        <f t="shared" si="3"/>
        <v>35.896672849932614</v>
      </c>
      <c r="S14" s="10">
        <f t="shared" si="4"/>
        <v>76.466927183483364</v>
      </c>
      <c r="T14" s="20">
        <f>input!C13</f>
        <v>16.13</v>
      </c>
      <c r="U14" s="19">
        <f t="shared" si="11"/>
        <v>0.98849479399560414</v>
      </c>
      <c r="V14" s="21">
        <f t="shared" si="12"/>
        <v>1566.5026731019773</v>
      </c>
      <c r="W14" s="21">
        <v>1107</v>
      </c>
      <c r="X14" s="3">
        <f>W14/365+input!$K$2</f>
        <v>3.032876712328767</v>
      </c>
      <c r="Y14" s="4">
        <f t="shared" si="13"/>
        <v>39.469004015014669</v>
      </c>
      <c r="Z14" s="10">
        <f t="shared" si="5"/>
        <v>103.98435971907008</v>
      </c>
      <c r="AA14" s="20">
        <f>input!D13</f>
        <v>0</v>
      </c>
      <c r="AB14" s="19">
        <f t="shared" si="14"/>
        <v>0.99866597068041085</v>
      </c>
      <c r="AC14" s="21">
        <f t="shared" si="15"/>
        <v>1956.3459956959921</v>
      </c>
      <c r="AD14" s="8">
        <f t="shared" si="16"/>
        <v>49992.321892095904</v>
      </c>
      <c r="AE14" s="8">
        <f t="shared" si="17"/>
        <v>143185.22829696376</v>
      </c>
      <c r="AF14" s="8">
        <f t="shared" si="18"/>
        <v>1233.4115354695866</v>
      </c>
      <c r="AG14" s="8">
        <f t="shared" si="19"/>
        <v>0</v>
      </c>
      <c r="AH14" s="8">
        <f t="shared" si="20"/>
        <v>70.264038227478892</v>
      </c>
      <c r="AI14" s="8">
        <f t="shared" si="21"/>
        <v>89065.820635871685</v>
      </c>
      <c r="AJ14" s="8">
        <f t="shared" si="22"/>
        <v>1219.2208816658108</v>
      </c>
      <c r="AK14" s="8">
        <f t="shared" si="23"/>
        <v>0</v>
      </c>
      <c r="AL14" s="8">
        <f t="shared" si="24"/>
        <v>0.15947007230376481</v>
      </c>
      <c r="AM14" s="8">
        <f t="shared" si="25"/>
        <v>80899.56201629412</v>
      </c>
      <c r="AN14" s="8">
        <f t="shared" si="26"/>
        <v>1909.9127702312421</v>
      </c>
      <c r="AO14" s="8">
        <f t="shared" si="27"/>
        <v>0</v>
      </c>
    </row>
    <row r="15" spans="1:41">
      <c r="A15" s="1">
        <v>41742</v>
      </c>
      <c r="B15" s="5">
        <v>13</v>
      </c>
      <c r="C15" s="3">
        <f>B15/365+input!$K$2</f>
        <v>3.5616438356164383E-2</v>
      </c>
      <c r="D15" s="4">
        <f t="shared" si="0"/>
        <v>17.754996024810204</v>
      </c>
      <c r="E15" s="10">
        <f t="shared" si="6"/>
        <v>7.8144194211294158</v>
      </c>
      <c r="F15" s="20">
        <f>input!A14</f>
        <v>6442.38</v>
      </c>
      <c r="G15" s="19">
        <f t="shared" si="7"/>
        <v>1.4417246996994955E-3</v>
      </c>
      <c r="H15" s="21">
        <f t="shared" si="8"/>
        <v>2.3719783502014931</v>
      </c>
      <c r="I15" s="5">
        <v>378</v>
      </c>
      <c r="J15" s="3">
        <f>I15/365+input!$K$2</f>
        <v>1.0356164383561643</v>
      </c>
      <c r="K15" s="4">
        <f t="shared" si="1"/>
        <v>29.393485470475675</v>
      </c>
      <c r="L15" s="10">
        <f t="shared" si="2"/>
        <v>40.015805543724063</v>
      </c>
      <c r="M15" s="20">
        <f>input!B14</f>
        <v>3585.07</v>
      </c>
      <c r="N15" s="19">
        <f t="shared" si="9"/>
        <v>0.62538115007833406</v>
      </c>
      <c r="O15" s="21">
        <f t="shared" si="10"/>
        <v>911.07527303855136</v>
      </c>
      <c r="P15" s="5">
        <v>743</v>
      </c>
      <c r="Q15" s="3">
        <f>P15/365+input!$K$2</f>
        <v>2.0356164383561643</v>
      </c>
      <c r="R15" s="4">
        <f t="shared" si="3"/>
        <v>35.909856700392439</v>
      </c>
      <c r="S15" s="10">
        <f t="shared" si="4"/>
        <v>76.557957353763285</v>
      </c>
      <c r="T15" s="20">
        <f>input!C14</f>
        <v>16.03</v>
      </c>
      <c r="U15" s="19">
        <f t="shared" si="11"/>
        <v>0.9885853025685043</v>
      </c>
      <c r="V15" s="21">
        <f t="shared" si="12"/>
        <v>1567.8535821589987</v>
      </c>
      <c r="W15" s="21">
        <v>1108</v>
      </c>
      <c r="X15" s="3">
        <f>W15/365+input!$K$2</f>
        <v>3.0356164383561643</v>
      </c>
      <c r="Y15" s="4">
        <f t="shared" si="13"/>
        <v>39.469004015014669</v>
      </c>
      <c r="Z15" s="10">
        <f t="shared" si="5"/>
        <v>103.98435971907008</v>
      </c>
      <c r="AA15" s="20">
        <f>input!D14</f>
        <v>0</v>
      </c>
      <c r="AB15" s="19">
        <f t="shared" si="14"/>
        <v>0.99866597068041085</v>
      </c>
      <c r="AC15" s="21">
        <f t="shared" si="15"/>
        <v>1956.3459956959921</v>
      </c>
      <c r="AD15" s="8">
        <f t="shared" si="16"/>
        <v>50343.459390295728</v>
      </c>
      <c r="AE15" s="8">
        <f t="shared" si="17"/>
        <v>143459.46398063883</v>
      </c>
      <c r="AF15" s="8">
        <f t="shared" si="18"/>
        <v>1227.2240563808255</v>
      </c>
      <c r="AG15" s="8">
        <f t="shared" si="19"/>
        <v>0</v>
      </c>
      <c r="AH15" s="8">
        <f t="shared" si="20"/>
        <v>72.581408871307858</v>
      </c>
      <c r="AI15" s="8">
        <f t="shared" si="21"/>
        <v>89716.844573833252</v>
      </c>
      <c r="AJ15" s="8">
        <f t="shared" si="22"/>
        <v>1213.2156650965856</v>
      </c>
      <c r="AK15" s="8">
        <f t="shared" si="23"/>
        <v>0</v>
      </c>
      <c r="AL15" s="8">
        <f t="shared" si="24"/>
        <v>0.17216153046986482</v>
      </c>
      <c r="AM15" s="8">
        <f t="shared" si="25"/>
        <v>81738.798666262403</v>
      </c>
      <c r="AN15" s="8">
        <f t="shared" si="26"/>
        <v>1902.1445264530939</v>
      </c>
      <c r="AO15" s="8">
        <f t="shared" si="27"/>
        <v>0</v>
      </c>
    </row>
    <row r="16" spans="1:41">
      <c r="A16" s="1">
        <v>41743</v>
      </c>
      <c r="B16" s="5">
        <v>14</v>
      </c>
      <c r="C16" s="3">
        <f>B16/365+input!$K$2</f>
        <v>3.8356164383561646E-2</v>
      </c>
      <c r="D16" s="4">
        <f t="shared" si="0"/>
        <v>17.796984853085586</v>
      </c>
      <c r="E16" s="10">
        <f t="shared" si="6"/>
        <v>7.8744544627622393</v>
      </c>
      <c r="F16" s="20">
        <f>input!A15</f>
        <v>6437.97</v>
      </c>
      <c r="G16" s="19">
        <f t="shared" si="7"/>
        <v>1.4788254826754285E-3</v>
      </c>
      <c r="H16" s="21">
        <f t="shared" si="8"/>
        <v>2.4783462806819347</v>
      </c>
      <c r="I16" s="5">
        <v>379</v>
      </c>
      <c r="J16" s="3">
        <f>I16/365+input!$K$2</f>
        <v>1.0383561643835617</v>
      </c>
      <c r="K16" s="4">
        <f t="shared" si="1"/>
        <v>29.416994946841058</v>
      </c>
      <c r="L16" s="10">
        <f t="shared" si="2"/>
        <v>40.119596003752299</v>
      </c>
      <c r="M16" s="20">
        <f>input!B15</f>
        <v>3557.2</v>
      </c>
      <c r="N16" s="19">
        <f t="shared" si="9"/>
        <v>0.62871286308508623</v>
      </c>
      <c r="O16" s="21">
        <f t="shared" si="10"/>
        <v>913.82777329639271</v>
      </c>
      <c r="P16" s="5">
        <v>744</v>
      </c>
      <c r="Q16" s="3">
        <f>P16/365+input!$K$2</f>
        <v>2.0383561643835617</v>
      </c>
      <c r="R16" s="4">
        <f t="shared" si="3"/>
        <v>35.923019617808222</v>
      </c>
      <c r="S16" s="10">
        <f t="shared" si="4"/>
        <v>76.648917702819944</v>
      </c>
      <c r="T16" s="20">
        <f>input!C15</f>
        <v>15.74</v>
      </c>
      <c r="U16" s="19">
        <f t="shared" si="11"/>
        <v>0.98867496525539955</v>
      </c>
      <c r="V16" s="21">
        <f t="shared" si="12"/>
        <v>1569.2029555649301</v>
      </c>
      <c r="W16" s="21">
        <v>1109</v>
      </c>
      <c r="X16" s="3">
        <f>W16/365+input!$K$2</f>
        <v>3.0383561643835617</v>
      </c>
      <c r="Y16" s="4">
        <f t="shared" si="13"/>
        <v>39.469004015014669</v>
      </c>
      <c r="Z16" s="10">
        <f t="shared" si="5"/>
        <v>103.98435971907008</v>
      </c>
      <c r="AA16" s="20">
        <f>input!D15</f>
        <v>0</v>
      </c>
      <c r="AB16" s="19">
        <f t="shared" si="14"/>
        <v>0.99866597068041085</v>
      </c>
      <c r="AC16" s="21">
        <f t="shared" si="15"/>
        <v>1956.3459956959921</v>
      </c>
      <c r="AD16" s="8">
        <f t="shared" si="16"/>
        <v>50695.501597629416</v>
      </c>
      <c r="AE16" s="8">
        <f t="shared" si="17"/>
        <v>142713.42690454767</v>
      </c>
      <c r="AF16" s="8">
        <f t="shared" si="18"/>
        <v>1206.4539646423859</v>
      </c>
      <c r="AG16" s="8">
        <f t="shared" si="19"/>
        <v>0</v>
      </c>
      <c r="AH16" s="8">
        <f t="shared" si="20"/>
        <v>74.969799619587278</v>
      </c>
      <c r="AI16" s="8">
        <f t="shared" si="21"/>
        <v>89725.767229842342</v>
      </c>
      <c r="AJ16" s="8">
        <f t="shared" si="22"/>
        <v>1192.7908315750499</v>
      </c>
      <c r="AK16" s="8">
        <f t="shared" si="23"/>
        <v>0</v>
      </c>
      <c r="AL16" s="8">
        <f t="shared" si="24"/>
        <v>0.18580112405067406</v>
      </c>
      <c r="AM16" s="8">
        <f t="shared" si="25"/>
        <v>81993.898074957266</v>
      </c>
      <c r="AN16" s="8">
        <f t="shared" si="26"/>
        <v>1871.730898278319</v>
      </c>
      <c r="AO16" s="8">
        <f t="shared" si="27"/>
        <v>0</v>
      </c>
    </row>
    <row r="17" spans="1:41">
      <c r="A17" s="1">
        <v>41744</v>
      </c>
      <c r="B17" s="5">
        <v>15</v>
      </c>
      <c r="C17" s="3">
        <f>B17/365+input!$K$2</f>
        <v>4.1095890410958902E-2</v>
      </c>
      <c r="D17" s="4">
        <f t="shared" si="0"/>
        <v>17.838907012371187</v>
      </c>
      <c r="E17" s="10">
        <f t="shared" si="6"/>
        <v>7.934711542238567</v>
      </c>
      <c r="F17" s="20">
        <f>input!A16</f>
        <v>6433.56</v>
      </c>
      <c r="G17" s="19">
        <f t="shared" si="7"/>
        <v>1.5168183625894804E-3</v>
      </c>
      <c r="H17" s="21">
        <f t="shared" si="8"/>
        <v>2.5888113720064059</v>
      </c>
      <c r="I17" s="5">
        <v>380</v>
      </c>
      <c r="J17" s="3">
        <f>I17/365+input!$K$2</f>
        <v>1.0410958904109588</v>
      </c>
      <c r="K17" s="4">
        <f t="shared" si="1"/>
        <v>29.440467095347952</v>
      </c>
      <c r="L17" s="10">
        <f t="shared" si="2"/>
        <v>40.223407192950482</v>
      </c>
      <c r="M17" s="20">
        <f>input!B16</f>
        <v>3537.31</v>
      </c>
      <c r="N17" s="19">
        <f t="shared" si="9"/>
        <v>0.63202711882863516</v>
      </c>
      <c r="O17" s="21">
        <f t="shared" si="10"/>
        <v>916.56964479800865</v>
      </c>
      <c r="P17" s="5">
        <v>745</v>
      </c>
      <c r="Q17" s="3">
        <f>P17/365+input!$K$2</f>
        <v>2.0410958904109591</v>
      </c>
      <c r="R17" s="4">
        <f t="shared" si="3"/>
        <v>35.936161635417022</v>
      </c>
      <c r="S17" s="10">
        <f t="shared" si="4"/>
        <v>76.739808138295643</v>
      </c>
      <c r="T17" s="20">
        <f>input!C16</f>
        <v>15.57</v>
      </c>
      <c r="U17" s="19">
        <f t="shared" si="11"/>
        <v>0.98876379093510325</v>
      </c>
      <c r="V17" s="21">
        <f t="shared" si="12"/>
        <v>1570.550794622186</v>
      </c>
      <c r="W17" s="21">
        <v>1110</v>
      </c>
      <c r="X17" s="3">
        <f>W17/365+input!$K$2</f>
        <v>3.0410958904109591</v>
      </c>
      <c r="Y17" s="4">
        <f t="shared" si="13"/>
        <v>39.469004015014669</v>
      </c>
      <c r="Z17" s="10">
        <f t="shared" si="5"/>
        <v>103.98435971907008</v>
      </c>
      <c r="AA17" s="20">
        <f>input!D16</f>
        <v>0</v>
      </c>
      <c r="AB17" s="19">
        <f t="shared" si="14"/>
        <v>0.99866597068041085</v>
      </c>
      <c r="AC17" s="21">
        <f t="shared" si="15"/>
        <v>1956.3459956959921</v>
      </c>
      <c r="AD17" s="8">
        <f t="shared" si="16"/>
        <v>51048.442789684355</v>
      </c>
      <c r="AE17" s="8">
        <f t="shared" si="17"/>
        <v>142282.66049769567</v>
      </c>
      <c r="AF17" s="8">
        <f t="shared" si="18"/>
        <v>1194.8388127132632</v>
      </c>
      <c r="AG17" s="8">
        <f t="shared" si="19"/>
        <v>0</v>
      </c>
      <c r="AH17" s="8">
        <f t="shared" si="20"/>
        <v>77.431215404991789</v>
      </c>
      <c r="AI17" s="8">
        <f t="shared" si="21"/>
        <v>89926.499973631464</v>
      </c>
      <c r="AJ17" s="8">
        <f t="shared" si="22"/>
        <v>1181.4133540147641</v>
      </c>
      <c r="AK17" s="8">
        <f t="shared" si="23"/>
        <v>0</v>
      </c>
      <c r="AL17" s="8">
        <f t="shared" si="24"/>
        <v>0.20045481098872034</v>
      </c>
      <c r="AM17" s="8">
        <f t="shared" si="25"/>
        <v>82423.90013875952</v>
      </c>
      <c r="AN17" s="8">
        <f t="shared" si="26"/>
        <v>1855.4696819251496</v>
      </c>
      <c r="AO17" s="8">
        <f t="shared" si="27"/>
        <v>0</v>
      </c>
    </row>
    <row r="18" spans="1:41">
      <c r="A18" s="1">
        <v>41745</v>
      </c>
      <c r="B18" s="5">
        <v>16</v>
      </c>
      <c r="C18" s="3">
        <f>B18/365+input!$K$2</f>
        <v>4.3835616438356165E-2</v>
      </c>
      <c r="D18" s="4">
        <f t="shared" si="0"/>
        <v>17.880762608522637</v>
      </c>
      <c r="E18" s="10">
        <f t="shared" si="6"/>
        <v>7.9951902243189013</v>
      </c>
      <c r="F18" s="20">
        <f>input!A17</f>
        <v>6429.16</v>
      </c>
      <c r="G18" s="19">
        <f t="shared" si="7"/>
        <v>1.5557231491328581E-3</v>
      </c>
      <c r="H18" s="21">
        <f t="shared" si="8"/>
        <v>2.7035008147750954</v>
      </c>
      <c r="I18" s="5">
        <v>381</v>
      </c>
      <c r="J18" s="3">
        <f>I18/365+input!$K$2</f>
        <v>1.0438356164383562</v>
      </c>
      <c r="K18" s="4">
        <f t="shared" si="1"/>
        <v>29.463901975264768</v>
      </c>
      <c r="L18" s="10">
        <f t="shared" si="2"/>
        <v>40.327238672721975</v>
      </c>
      <c r="M18" s="20">
        <f>input!B17</f>
        <v>3509.65</v>
      </c>
      <c r="N18" s="19">
        <f t="shared" si="9"/>
        <v>0.63532371737831284</v>
      </c>
      <c r="O18" s="21">
        <f t="shared" si="10"/>
        <v>919.30093866769994</v>
      </c>
      <c r="P18" s="5">
        <v>746</v>
      </c>
      <c r="Q18" s="3">
        <f>P18/365+input!$K$2</f>
        <v>2.043835616438356</v>
      </c>
      <c r="R18" s="4">
        <f t="shared" si="3"/>
        <v>35.949282786403096</v>
      </c>
      <c r="S18" s="10">
        <f t="shared" si="4"/>
        <v>76.830628568465613</v>
      </c>
      <c r="T18" s="20">
        <f>input!C17</f>
        <v>15.26</v>
      </c>
      <c r="U18" s="19">
        <f t="shared" si="11"/>
        <v>0.98885178838512944</v>
      </c>
      <c r="V18" s="21">
        <f t="shared" si="12"/>
        <v>1571.8971006223042</v>
      </c>
      <c r="W18" s="21">
        <v>1111</v>
      </c>
      <c r="X18" s="3">
        <f>W18/365+input!$K$2</f>
        <v>3.043835616438356</v>
      </c>
      <c r="Y18" s="4">
        <f t="shared" si="13"/>
        <v>39.469004015014669</v>
      </c>
      <c r="Z18" s="10">
        <f t="shared" si="5"/>
        <v>103.98435971907008</v>
      </c>
      <c r="AA18" s="20">
        <f>input!D17</f>
        <v>0</v>
      </c>
      <c r="AB18" s="19">
        <f t="shared" si="14"/>
        <v>0.99866597068041085</v>
      </c>
      <c r="AC18" s="21">
        <f t="shared" si="15"/>
        <v>1956.3459956959921</v>
      </c>
      <c r="AD18" s="8">
        <f t="shared" si="16"/>
        <v>51402.357182582105</v>
      </c>
      <c r="AE18" s="8">
        <f t="shared" si="17"/>
        <v>141534.49320771868</v>
      </c>
      <c r="AF18" s="8">
        <f t="shared" si="18"/>
        <v>1172.4353919547852</v>
      </c>
      <c r="AG18" s="8">
        <f t="shared" si="19"/>
        <v>0</v>
      </c>
      <c r="AH18" s="8">
        <f t="shared" si="20"/>
        <v>79.967836988938629</v>
      </c>
      <c r="AI18" s="8">
        <f t="shared" si="21"/>
        <v>89920.220361983404</v>
      </c>
      <c r="AJ18" s="8">
        <f t="shared" si="22"/>
        <v>1159.3648341005096</v>
      </c>
      <c r="AK18" s="8">
        <f t="shared" si="23"/>
        <v>0</v>
      </c>
      <c r="AL18" s="8">
        <f t="shared" si="24"/>
        <v>0.2161931124553976</v>
      </c>
      <c r="AM18" s="8">
        <f t="shared" si="25"/>
        <v>82663.742983977761</v>
      </c>
      <c r="AN18" s="8">
        <f t="shared" si="26"/>
        <v>1822.4022212860496</v>
      </c>
      <c r="AO18" s="8">
        <f t="shared" si="27"/>
        <v>0</v>
      </c>
    </row>
    <row r="19" spans="1:41">
      <c r="A19" s="1">
        <v>41746</v>
      </c>
      <c r="B19" s="5">
        <v>17</v>
      </c>
      <c r="C19" s="3">
        <f>B19/365+input!$K$2</f>
        <v>4.6575342465753428E-2</v>
      </c>
      <c r="D19" s="4">
        <f t="shared" si="0"/>
        <v>17.922551747227494</v>
      </c>
      <c r="E19" s="10">
        <f t="shared" si="6"/>
        <v>8.0558900708400074</v>
      </c>
      <c r="F19" s="20">
        <f>input!A18</f>
        <v>6424.75</v>
      </c>
      <c r="G19" s="19">
        <f t="shared" si="7"/>
        <v>1.5955600505705885E-3</v>
      </c>
      <c r="H19" s="21">
        <f t="shared" si="8"/>
        <v>2.8225445035319523</v>
      </c>
      <c r="I19" s="5">
        <v>382</v>
      </c>
      <c r="J19" s="3">
        <f>I19/365+input!$K$2</f>
        <v>1.0465753424657533</v>
      </c>
      <c r="K19" s="4">
        <f t="shared" si="1"/>
        <v>29.487299645765798</v>
      </c>
      <c r="L19" s="10">
        <f t="shared" si="2"/>
        <v>40.431090005618302</v>
      </c>
      <c r="M19" s="20">
        <f>input!B18</f>
        <v>3507.24</v>
      </c>
      <c r="N19" s="19">
        <f t="shared" si="9"/>
        <v>0.63860246557516298</v>
      </c>
      <c r="O19" s="21">
        <f t="shared" si="10"/>
        <v>922.02170677215076</v>
      </c>
      <c r="P19" s="5">
        <v>747</v>
      </c>
      <c r="Q19" s="3">
        <f>P19/365+input!$K$2</f>
        <v>2.0465753424657533</v>
      </c>
      <c r="R19" s="4">
        <f t="shared" si="3"/>
        <v>35.962383103898055</v>
      </c>
      <c r="S19" s="10">
        <f t="shared" si="4"/>
        <v>76.921378902237066</v>
      </c>
      <c r="T19" s="20">
        <f>input!C18</f>
        <v>15.17</v>
      </c>
      <c r="U19" s="19">
        <f t="shared" si="11"/>
        <v>0.98893896628291378</v>
      </c>
      <c r="V19" s="21">
        <f t="shared" si="12"/>
        <v>1573.2418748462069</v>
      </c>
      <c r="W19" s="21">
        <v>1112</v>
      </c>
      <c r="X19" s="3">
        <f>W19/365+input!$K$2</f>
        <v>3.0465753424657533</v>
      </c>
      <c r="Y19" s="4">
        <f t="shared" si="13"/>
        <v>39.469004015014669</v>
      </c>
      <c r="Z19" s="10">
        <f t="shared" si="5"/>
        <v>103.98435971907008</v>
      </c>
      <c r="AA19" s="20">
        <f>input!D18</f>
        <v>0</v>
      </c>
      <c r="AB19" s="19">
        <f t="shared" si="14"/>
        <v>0.99866597068041085</v>
      </c>
      <c r="AC19" s="21">
        <f t="shared" si="15"/>
        <v>1956.3459956959921</v>
      </c>
      <c r="AD19" s="8">
        <f t="shared" si="16"/>
        <v>51757.07973262934</v>
      </c>
      <c r="AE19" s="8">
        <f t="shared" si="17"/>
        <v>141801.53611130471</v>
      </c>
      <c r="AF19" s="8">
        <f t="shared" si="18"/>
        <v>1166.8973179469363</v>
      </c>
      <c r="AG19" s="8">
        <f t="shared" si="19"/>
        <v>0</v>
      </c>
      <c r="AH19" s="8">
        <f t="shared" si="20"/>
        <v>82.581528755580052</v>
      </c>
      <c r="AI19" s="8">
        <f t="shared" si="21"/>
        <v>90554.810583024693</v>
      </c>
      <c r="AJ19" s="8">
        <f t="shared" si="22"/>
        <v>1153.9902273687478</v>
      </c>
      <c r="AK19" s="8">
        <f t="shared" si="23"/>
        <v>0</v>
      </c>
      <c r="AL19" s="8">
        <f t="shared" si="24"/>
        <v>0.23309004008232834</v>
      </c>
      <c r="AM19" s="8">
        <f t="shared" si="25"/>
        <v>83493.501010189255</v>
      </c>
      <c r="AN19" s="8">
        <f t="shared" si="26"/>
        <v>1815.5057488598095</v>
      </c>
      <c r="AO19" s="8">
        <f t="shared" si="27"/>
        <v>0</v>
      </c>
    </row>
    <row r="20" spans="1:41">
      <c r="A20" s="1">
        <v>41747</v>
      </c>
      <c r="B20" s="5">
        <v>18</v>
      </c>
      <c r="C20" s="3">
        <f>B20/365+input!$K$2</f>
        <v>4.9315068493150684E-2</v>
      </c>
      <c r="D20" s="4">
        <f t="shared" si="0"/>
        <v>17.964274534005522</v>
      </c>
      <c r="E20" s="10">
        <f t="shared" si="6"/>
        <v>8.1168106407452427</v>
      </c>
      <c r="F20" s="20">
        <f>input!A19</f>
        <v>6420.35</v>
      </c>
      <c r="G20" s="19">
        <f t="shared" si="7"/>
        <v>1.6363496807424991E-3</v>
      </c>
      <c r="H20" s="21">
        <f t="shared" si="8"/>
        <v>2.9460750489586585</v>
      </c>
      <c r="I20" s="5">
        <v>383</v>
      </c>
      <c r="J20" s="3">
        <f>I20/365+input!$K$2</f>
        <v>1.0493150684931507</v>
      </c>
      <c r="K20" s="4">
        <f t="shared" si="1"/>
        <v>29.510660165931373</v>
      </c>
      <c r="L20" s="10">
        <f t="shared" si="2"/>
        <v>40.534960755339632</v>
      </c>
      <c r="M20" s="20">
        <f>input!B19</f>
        <v>3466.37</v>
      </c>
      <c r="N20" s="19">
        <f t="shared" si="9"/>
        <v>0.64186317701196693</v>
      </c>
      <c r="O20" s="21">
        <f t="shared" si="10"/>
        <v>924.73200169236316</v>
      </c>
      <c r="P20" s="5">
        <v>748</v>
      </c>
      <c r="Q20" s="3">
        <f>P20/365+input!$K$2</f>
        <v>2.0493150684931507</v>
      </c>
      <c r="R20" s="4">
        <f t="shared" si="3"/>
        <v>35.975462620980885</v>
      </c>
      <c r="S20" s="10">
        <f t="shared" si="4"/>
        <v>77.012059049147069</v>
      </c>
      <c r="T20" s="20">
        <f>input!C19</f>
        <v>14.85</v>
      </c>
      <c r="U20" s="19">
        <f t="shared" si="11"/>
        <v>0.98902533320701869</v>
      </c>
      <c r="V20" s="21">
        <f t="shared" si="12"/>
        <v>1574.5851185644233</v>
      </c>
      <c r="W20" s="21">
        <v>1113</v>
      </c>
      <c r="X20" s="3">
        <f>W20/365+input!$K$2</f>
        <v>3.0493150684931507</v>
      </c>
      <c r="Y20" s="4">
        <f t="shared" si="13"/>
        <v>39.469004015014669</v>
      </c>
      <c r="Z20" s="10">
        <f t="shared" si="5"/>
        <v>103.98435971907008</v>
      </c>
      <c r="AA20" s="20">
        <f>input!D19</f>
        <v>0</v>
      </c>
      <c r="AB20" s="19">
        <f t="shared" si="14"/>
        <v>0.99866597068041085</v>
      </c>
      <c r="AC20" s="21">
        <f t="shared" si="15"/>
        <v>1956.3459956959921</v>
      </c>
      <c r="AD20" s="8">
        <f t="shared" si="16"/>
        <v>52112.76519730872</v>
      </c>
      <c r="AE20" s="8">
        <f t="shared" si="17"/>
        <v>140509.17191348664</v>
      </c>
      <c r="AF20" s="8">
        <f t="shared" si="18"/>
        <v>1143.629076879834</v>
      </c>
      <c r="AG20" s="8">
        <f t="shared" si="19"/>
        <v>0</v>
      </c>
      <c r="AH20" s="8">
        <f t="shared" si="20"/>
        <v>85.274706693224942</v>
      </c>
      <c r="AI20" s="8">
        <f t="shared" si="21"/>
        <v>90187.663483711163</v>
      </c>
      <c r="AJ20" s="8">
        <f t="shared" si="22"/>
        <v>1131.0781288263129</v>
      </c>
      <c r="AK20" s="8">
        <f t="shared" si="23"/>
        <v>0</v>
      </c>
      <c r="AL20" s="8">
        <f t="shared" si="24"/>
        <v>0.25122568569617792</v>
      </c>
      <c r="AM20" s="8">
        <f t="shared" si="25"/>
        <v>83399.418581249469</v>
      </c>
      <c r="AN20" s="8">
        <f t="shared" si="26"/>
        <v>1780.9787895836059</v>
      </c>
      <c r="AO20" s="8">
        <f t="shared" si="27"/>
        <v>0</v>
      </c>
    </row>
    <row r="21" spans="1:41">
      <c r="A21" s="1">
        <v>41748</v>
      </c>
      <c r="B21" s="5">
        <v>19</v>
      </c>
      <c r="C21" s="3">
        <f>B21/365+input!$K$2</f>
        <v>5.2054794520547946E-2</v>
      </c>
      <c r="D21" s="4">
        <f t="shared" si="0"/>
        <v>18.005931074208931</v>
      </c>
      <c r="E21" s="10">
        <f t="shared" si="6"/>
        <v>8.1779514901147703</v>
      </c>
      <c r="F21" s="20">
        <f>input!A20</f>
        <v>6415.96</v>
      </c>
      <c r="G21" s="19">
        <f t="shared" si="7"/>
        <v>1.6781130661614691E-3</v>
      </c>
      <c r="H21" s="21">
        <f t="shared" si="8"/>
        <v>3.0742277884495084</v>
      </c>
      <c r="I21" s="5">
        <v>384</v>
      </c>
      <c r="J21" s="3">
        <f>I21/365+input!$K$2</f>
        <v>1.0520547945205478</v>
      </c>
      <c r="K21" s="4">
        <f t="shared" si="1"/>
        <v>29.533983594748022</v>
      </c>
      <c r="L21" s="10">
        <f t="shared" si="2"/>
        <v>40.638850486735159</v>
      </c>
      <c r="M21" s="20">
        <f>input!B20</f>
        <v>3464</v>
      </c>
      <c r="N21" s="19">
        <f t="shared" si="9"/>
        <v>0.64510567200926372</v>
      </c>
      <c r="O21" s="21">
        <f t="shared" si="10"/>
        <v>927.43187669595773</v>
      </c>
      <c r="P21" s="5">
        <v>749</v>
      </c>
      <c r="Q21" s="3">
        <f>P21/365+input!$K$2</f>
        <v>2.0520547945205481</v>
      </c>
      <c r="R21" s="4">
        <f t="shared" si="3"/>
        <v>35.988521370678036</v>
      </c>
      <c r="S21" s="10">
        <f t="shared" si="4"/>
        <v>77.102668919360468</v>
      </c>
      <c r="T21" s="20">
        <f>input!C20</f>
        <v>14.76</v>
      </c>
      <c r="U21" s="19">
        <f t="shared" si="11"/>
        <v>0.98911089763832494</v>
      </c>
      <c r="V21" s="21">
        <f t="shared" si="12"/>
        <v>1575.9268330373327</v>
      </c>
      <c r="W21" s="21">
        <v>1114</v>
      </c>
      <c r="X21" s="3">
        <f>W21/365+input!$K$2</f>
        <v>3.0520547945205481</v>
      </c>
      <c r="Y21" s="4">
        <f t="shared" si="13"/>
        <v>39.469004015014669</v>
      </c>
      <c r="Z21" s="10">
        <f t="shared" si="5"/>
        <v>103.98435971907008</v>
      </c>
      <c r="AA21" s="20">
        <f>input!D20</f>
        <v>0</v>
      </c>
      <c r="AB21" s="19">
        <f t="shared" si="14"/>
        <v>0.99866597068041085</v>
      </c>
      <c r="AC21" s="21">
        <f t="shared" si="15"/>
        <v>1956.3459956959921</v>
      </c>
      <c r="AD21" s="8">
        <f t="shared" si="16"/>
        <v>52469.409642516759</v>
      </c>
      <c r="AE21" s="8">
        <f t="shared" si="17"/>
        <v>140772.9780860506</v>
      </c>
      <c r="AF21" s="8">
        <f t="shared" si="18"/>
        <v>1138.0353932497605</v>
      </c>
      <c r="AG21" s="8">
        <f t="shared" si="19"/>
        <v>0</v>
      </c>
      <c r="AH21" s="8">
        <f t="shared" si="20"/>
        <v>88.049601894885953</v>
      </c>
      <c r="AI21" s="8">
        <f t="shared" si="21"/>
        <v>90813.446628947029</v>
      </c>
      <c r="AJ21" s="8">
        <f t="shared" si="22"/>
        <v>1125.6432093614549</v>
      </c>
      <c r="AK21" s="8">
        <f t="shared" si="23"/>
        <v>0</v>
      </c>
      <c r="AL21" s="8">
        <f t="shared" si="24"/>
        <v>0.27068453290717492</v>
      </c>
      <c r="AM21" s="8">
        <f t="shared" si="25"/>
        <v>84223.285236312542</v>
      </c>
      <c r="AN21" s="8">
        <f t="shared" si="26"/>
        <v>1773.931338058977</v>
      </c>
      <c r="AO21" s="8">
        <f t="shared" si="27"/>
        <v>0</v>
      </c>
    </row>
    <row r="22" spans="1:41">
      <c r="A22" s="1">
        <v>41749</v>
      </c>
      <c r="B22" s="5">
        <v>20</v>
      </c>
      <c r="C22" s="3">
        <f>B22/365+input!$K$2</f>
        <v>5.4794520547945202E-2</v>
      </c>
      <c r="D22" s="4">
        <f t="shared" si="0"/>
        <v>18.047521473022648</v>
      </c>
      <c r="E22" s="10">
        <f t="shared" si="6"/>
        <v>8.2393121721955076</v>
      </c>
      <c r="F22" s="20">
        <f>input!A21</f>
        <v>6411.57</v>
      </c>
      <c r="G22" s="19">
        <f t="shared" si="7"/>
        <v>1.7208716532096445E-3</v>
      </c>
      <c r="H22" s="21">
        <f t="shared" si="8"/>
        <v>3.207140795018451</v>
      </c>
      <c r="I22" s="5">
        <v>385</v>
      </c>
      <c r="J22" s="3">
        <f>I22/365+input!$K$2</f>
        <v>1.0547945205479452</v>
      </c>
      <c r="K22" s="4">
        <f t="shared" ref="K22:K85" si="28">44.2*(1-EXP(-0.58*(J22+0.85)))</f>
        <v>29.55726999110863</v>
      </c>
      <c r="L22" s="10">
        <f t="shared" si="2"/>
        <v>40.742758765803757</v>
      </c>
      <c r="M22" s="20">
        <f>input!B21</f>
        <v>3431.83</v>
      </c>
      <c r="N22" s="19">
        <f t="shared" si="9"/>
        <v>0.64832977758746302</v>
      </c>
      <c r="O22" s="21">
        <f t="shared" si="10"/>
        <v>930.12138570985178</v>
      </c>
      <c r="P22" s="5">
        <v>750</v>
      </c>
      <c r="Q22" s="3">
        <f>P22/365+input!$K$2</f>
        <v>2.0547945205479454</v>
      </c>
      <c r="R22" s="4">
        <f t="shared" si="3"/>
        <v>36.001559385963532</v>
      </c>
      <c r="S22" s="10">
        <f t="shared" si="4"/>
        <v>77.19320842366821</v>
      </c>
      <c r="T22" s="20">
        <f>input!C21</f>
        <v>14.44</v>
      </c>
      <c r="U22" s="19">
        <f t="shared" si="11"/>
        <v>0.98919566796120795</v>
      </c>
      <c r="V22" s="21">
        <f t="shared" si="12"/>
        <v>1577.2670195154055</v>
      </c>
      <c r="W22" s="21">
        <v>1115</v>
      </c>
      <c r="X22" s="3">
        <f>W22/365+input!$K$2</f>
        <v>3.0547945205479454</v>
      </c>
      <c r="Y22" s="4">
        <f t="shared" si="13"/>
        <v>39.469004015014669</v>
      </c>
      <c r="Z22" s="10">
        <f t="shared" si="5"/>
        <v>103.98435971907008</v>
      </c>
      <c r="AA22" s="20">
        <f>input!D21</f>
        <v>0</v>
      </c>
      <c r="AB22" s="19">
        <f t="shared" si="14"/>
        <v>0.99866597068041085</v>
      </c>
      <c r="AC22" s="21">
        <f t="shared" si="15"/>
        <v>1956.3459956959921</v>
      </c>
      <c r="AD22" s="8">
        <f t="shared" si="16"/>
        <v>52826.926743883545</v>
      </c>
      <c r="AE22" s="8">
        <f t="shared" si="17"/>
        <v>139822.22181524831</v>
      </c>
      <c r="AF22" s="8">
        <f t="shared" si="18"/>
        <v>1114.669929637769</v>
      </c>
      <c r="AG22" s="8">
        <f t="shared" si="19"/>
        <v>0</v>
      </c>
      <c r="AH22" s="8">
        <f t="shared" si="20"/>
        <v>90.908360759731664</v>
      </c>
      <c r="AI22" s="8">
        <f t="shared" si="21"/>
        <v>90650.90997126486</v>
      </c>
      <c r="AJ22" s="8">
        <f t="shared" si="22"/>
        <v>1102.6266656043056</v>
      </c>
      <c r="AK22" s="8">
        <f t="shared" si="23"/>
        <v>0</v>
      </c>
      <c r="AL22" s="8">
        <f t="shared" si="24"/>
        <v>0.29155591240078998</v>
      </c>
      <c r="AM22" s="8">
        <f t="shared" si="25"/>
        <v>84316.349998331891</v>
      </c>
      <c r="AN22" s="8">
        <f t="shared" si="26"/>
        <v>1739.1366744959128</v>
      </c>
      <c r="AO22" s="8">
        <f t="shared" si="27"/>
        <v>0</v>
      </c>
    </row>
    <row r="23" spans="1:41">
      <c r="A23" s="1">
        <v>41750</v>
      </c>
      <c r="B23" s="5">
        <v>21</v>
      </c>
      <c r="C23" s="3">
        <f>B23/365+input!$K$2</f>
        <v>5.7534246575342465E-2</v>
      </c>
      <c r="D23" s="4">
        <f t="shared" si="0"/>
        <v>18.089045835464614</v>
      </c>
      <c r="E23" s="10">
        <f t="shared" si="6"/>
        <v>8.300892237431114</v>
      </c>
      <c r="F23" s="20">
        <f>input!A22</f>
        <v>6407.18</v>
      </c>
      <c r="G23" s="19">
        <f t="shared" si="7"/>
        <v>1.7646473154332774E-3</v>
      </c>
      <c r="H23" s="21">
        <f t="shared" si="8"/>
        <v>3.3449548844902375</v>
      </c>
      <c r="I23" s="5">
        <v>386</v>
      </c>
      <c r="J23" s="3">
        <f>I23/365+input!$K$2</f>
        <v>1.0575342465753426</v>
      </c>
      <c r="K23" s="4">
        <f t="shared" si="28"/>
        <v>29.580519413812553</v>
      </c>
      <c r="L23" s="10">
        <f t="shared" ref="L23:L86" si="29">0.0007*K23^3.24</f>
        <v>40.846685159694175</v>
      </c>
      <c r="M23" s="20">
        <f>input!B22</f>
        <v>3416.98</v>
      </c>
      <c r="N23" s="19">
        <f t="shared" si="9"/>
        <v>0.6515353274351543</v>
      </c>
      <c r="O23" s="21">
        <f t="shared" si="10"/>
        <v>932.800583293302</v>
      </c>
      <c r="P23" s="5">
        <v>751</v>
      </c>
      <c r="Q23" s="3">
        <f>P23/365+input!$K$2</f>
        <v>2.0575342465753423</v>
      </c>
      <c r="R23" s="4">
        <f t="shared" si="3"/>
        <v>36.014576699759047</v>
      </c>
      <c r="S23" s="10">
        <f t="shared" si="4"/>
        <v>77.283677473485611</v>
      </c>
      <c r="T23" s="20">
        <f>input!C22</f>
        <v>14.32</v>
      </c>
      <c r="U23" s="19">
        <f t="shared" si="11"/>
        <v>0.98927965246469873</v>
      </c>
      <c r="V23" s="21">
        <f t="shared" si="12"/>
        <v>1578.6056792394181</v>
      </c>
      <c r="W23" s="21">
        <v>1116</v>
      </c>
      <c r="X23" s="3">
        <f>W23/365+input!$K$2</f>
        <v>3.0575342465753423</v>
      </c>
      <c r="Y23" s="4">
        <f t="shared" si="13"/>
        <v>39.469004015014669</v>
      </c>
      <c r="Z23" s="10">
        <f t="shared" si="5"/>
        <v>103.98435971907008</v>
      </c>
      <c r="AA23" s="20">
        <f>input!D22</f>
        <v>0</v>
      </c>
      <c r="AB23" s="19">
        <f t="shared" si="14"/>
        <v>0.99866597068041085</v>
      </c>
      <c r="AC23" s="21">
        <f t="shared" si="15"/>
        <v>1956.3459956959921</v>
      </c>
      <c r="AD23" s="8">
        <f t="shared" si="16"/>
        <v>53185.310725823889</v>
      </c>
      <c r="AE23" s="8">
        <f t="shared" si="17"/>
        <v>139572.30625697182</v>
      </c>
      <c r="AF23" s="8">
        <f t="shared" si="18"/>
        <v>1106.702261420314</v>
      </c>
      <c r="AG23" s="8">
        <f t="shared" si="19"/>
        <v>0</v>
      </c>
      <c r="AH23" s="8">
        <f t="shared" si="20"/>
        <v>93.853315792809823</v>
      </c>
      <c r="AI23" s="8">
        <f t="shared" si="21"/>
        <v>90936.288258015775</v>
      </c>
      <c r="AJ23" s="8">
        <f t="shared" si="22"/>
        <v>1094.8380285597843</v>
      </c>
      <c r="AK23" s="8">
        <f t="shared" si="23"/>
        <v>0</v>
      </c>
      <c r="AL23" s="8">
        <f t="shared" si="24"/>
        <v>0.31393510708676398</v>
      </c>
      <c r="AM23" s="8">
        <f t="shared" si="25"/>
        <v>84825.422729604965</v>
      </c>
      <c r="AN23" s="8">
        <f t="shared" si="26"/>
        <v>1728.3175297317637</v>
      </c>
      <c r="AO23" s="8">
        <f t="shared" si="27"/>
        <v>0</v>
      </c>
    </row>
    <row r="24" spans="1:41">
      <c r="A24" s="1">
        <v>41751</v>
      </c>
      <c r="B24" s="5">
        <v>22</v>
      </c>
      <c r="C24" s="3">
        <f>B24/365+input!$K$2</f>
        <v>6.0273972602739728E-2</v>
      </c>
      <c r="D24" s="4">
        <f t="shared" si="0"/>
        <v>18.130504266385994</v>
      </c>
      <c r="E24" s="10">
        <f t="shared" si="6"/>
        <v>8.3626912334915602</v>
      </c>
      <c r="F24" s="20">
        <f>input!A23</f>
        <v>6402.79</v>
      </c>
      <c r="G24" s="19">
        <f t="shared" si="7"/>
        <v>1.8094623609366054E-3</v>
      </c>
      <c r="H24" s="21">
        <f t="shared" si="8"/>
        <v>3.4878136209282298</v>
      </c>
      <c r="I24" s="5">
        <v>387</v>
      </c>
      <c r="J24" s="3">
        <f>I24/365+input!$K$2</f>
        <v>1.0602739726027397</v>
      </c>
      <c r="K24" s="4">
        <f t="shared" si="28"/>
        <v>29.603731921565799</v>
      </c>
      <c r="L24" s="10">
        <f t="shared" si="29"/>
        <v>40.950629236705325</v>
      </c>
      <c r="M24" s="20">
        <f>input!B23</f>
        <v>3389.31</v>
      </c>
      <c r="N24" s="19">
        <f t="shared" si="9"/>
        <v>0.65472216187374643</v>
      </c>
      <c r="O24" s="21">
        <f t="shared" si="10"/>
        <v>935.46952461133174</v>
      </c>
      <c r="P24" s="5">
        <v>752</v>
      </c>
      <c r="Q24" s="3">
        <f>P24/365+input!$K$2</f>
        <v>2.0602739726027397</v>
      </c>
      <c r="R24" s="4">
        <f t="shared" si="3"/>
        <v>36.02757334493397</v>
      </c>
      <c r="S24" s="10">
        <f t="shared" si="4"/>
        <v>77.374075980851046</v>
      </c>
      <c r="T24" s="20">
        <f>input!C23</f>
        <v>14.05</v>
      </c>
      <c r="U24" s="19">
        <f t="shared" si="11"/>
        <v>0.98936285934363266</v>
      </c>
      <c r="V24" s="21">
        <f t="shared" si="12"/>
        <v>1579.9428134406878</v>
      </c>
      <c r="W24" s="21">
        <v>1117</v>
      </c>
      <c r="X24" s="3">
        <f>W24/365+input!$K$2</f>
        <v>3.0602739726027397</v>
      </c>
      <c r="Y24" s="4">
        <f t="shared" si="13"/>
        <v>39.469004015014669</v>
      </c>
      <c r="Z24" s="10">
        <f t="shared" si="5"/>
        <v>103.98435971907008</v>
      </c>
      <c r="AA24" s="20">
        <f>input!D23</f>
        <v>0</v>
      </c>
      <c r="AB24" s="19">
        <f t="shared" si="14"/>
        <v>0.99866597068041085</v>
      </c>
      <c r="AC24" s="21">
        <f t="shared" si="15"/>
        <v>1956.3459956959921</v>
      </c>
      <c r="AD24" s="8">
        <f t="shared" si="16"/>
        <v>53544.555802887429</v>
      </c>
      <c r="AE24" s="8">
        <f t="shared" si="17"/>
        <v>138794.37717825771</v>
      </c>
      <c r="AF24" s="8">
        <f t="shared" si="18"/>
        <v>1087.1057675309573</v>
      </c>
      <c r="AG24" s="8">
        <f t="shared" si="19"/>
        <v>0</v>
      </c>
      <c r="AH24" s="8">
        <f t="shared" si="20"/>
        <v>96.886858358394505</v>
      </c>
      <c r="AI24" s="8">
        <f t="shared" si="21"/>
        <v>90871.754682069062</v>
      </c>
      <c r="AJ24" s="8">
        <f t="shared" si="22"/>
        <v>1075.5420705733823</v>
      </c>
      <c r="AK24" s="8">
        <f t="shared" si="23"/>
        <v>0</v>
      </c>
      <c r="AL24" s="8">
        <f t="shared" si="24"/>
        <v>0.33792330427135242</v>
      </c>
      <c r="AM24" s="8">
        <f t="shared" si="25"/>
        <v>85007.757153032711</v>
      </c>
      <c r="AN24" s="8">
        <f t="shared" si="26"/>
        <v>1699.2949649555324</v>
      </c>
      <c r="AO24" s="8">
        <f t="shared" si="27"/>
        <v>0</v>
      </c>
    </row>
    <row r="25" spans="1:41">
      <c r="A25" s="1">
        <v>41752</v>
      </c>
      <c r="B25" s="5">
        <v>23</v>
      </c>
      <c r="C25" s="3">
        <f>B25/365+input!$K$2</f>
        <v>6.3013698630136991E-2</v>
      </c>
      <c r="D25" s="4">
        <f t="shared" si="0"/>
        <v>18.171896870471496</v>
      </c>
      <c r="E25" s="10">
        <f t="shared" si="6"/>
        <v>8.4247087053028089</v>
      </c>
      <c r="F25" s="20">
        <f>input!A24</f>
        <v>6398.41</v>
      </c>
      <c r="G25" s="19">
        <f t="shared" si="7"/>
        <v>1.8553395398755764E-3</v>
      </c>
      <c r="H25" s="21">
        <f t="shared" si="8"/>
        <v>3.635863320253196</v>
      </c>
      <c r="I25" s="5">
        <v>388</v>
      </c>
      <c r="J25" s="3">
        <f>I25/365+input!$K$2</f>
        <v>1.0630136986301371</v>
      </c>
      <c r="K25" s="4">
        <f t="shared" si="28"/>
        <v>29.626907572981168</v>
      </c>
      <c r="L25" s="10">
        <f t="shared" si="29"/>
        <v>41.054590566286997</v>
      </c>
      <c r="M25" s="20">
        <f>input!B24</f>
        <v>3386.99</v>
      </c>
      <c r="N25" s="19">
        <f t="shared" si="9"/>
        <v>0.65789012781852874</v>
      </c>
      <c r="O25" s="21">
        <f t="shared" si="10"/>
        <v>938.12826540853041</v>
      </c>
      <c r="P25" s="5">
        <v>753</v>
      </c>
      <c r="Q25" s="3">
        <f>P25/365+input!$K$2</f>
        <v>2.0630136986301371</v>
      </c>
      <c r="R25" s="4">
        <f t="shared" si="3"/>
        <v>36.040549354305526</v>
      </c>
      <c r="S25" s="10">
        <f t="shared" si="4"/>
        <v>77.464403858422813</v>
      </c>
      <c r="T25" s="20">
        <f>input!C24</f>
        <v>13.97</v>
      </c>
      <c r="U25" s="19">
        <f t="shared" si="11"/>
        <v>0.98944529669978165</v>
      </c>
      <c r="V25" s="21">
        <f t="shared" si="12"/>
        <v>1581.2784233412895</v>
      </c>
      <c r="W25" s="21">
        <v>1118</v>
      </c>
      <c r="X25" s="3">
        <f>W25/365+input!$K$2</f>
        <v>3.0630136986301371</v>
      </c>
      <c r="Y25" s="4">
        <f t="shared" si="13"/>
        <v>39.469004015014669</v>
      </c>
      <c r="Z25" s="10">
        <f t="shared" si="5"/>
        <v>103.98435971907008</v>
      </c>
      <c r="AA25" s="20">
        <f>input!D24</f>
        <v>0</v>
      </c>
      <c r="AB25" s="19">
        <f t="shared" si="14"/>
        <v>0.99866597068041085</v>
      </c>
      <c r="AC25" s="21">
        <f t="shared" si="15"/>
        <v>1956.3459956959921</v>
      </c>
      <c r="AD25" s="8">
        <f t="shared" si="16"/>
        <v>53904.740427096542</v>
      </c>
      <c r="AE25" s="8">
        <f t="shared" si="17"/>
        <v>139051.4877021084</v>
      </c>
      <c r="AF25" s="8">
        <f t="shared" si="18"/>
        <v>1082.1777219021667</v>
      </c>
      <c r="AG25" s="8">
        <f t="shared" si="19"/>
        <v>0</v>
      </c>
      <c r="AH25" s="8">
        <f t="shared" si="20"/>
        <v>100.01159630112168</v>
      </c>
      <c r="AI25" s="8">
        <f t="shared" si="21"/>
        <v>91480.601017696667</v>
      </c>
      <c r="AJ25" s="8">
        <f t="shared" si="22"/>
        <v>1070.7556571293831</v>
      </c>
      <c r="AK25" s="8">
        <f t="shared" si="23"/>
        <v>0</v>
      </c>
      <c r="AL25" s="8">
        <f t="shared" si="24"/>
        <v>0.36362849459121854</v>
      </c>
      <c r="AM25" s="8">
        <f t="shared" si="25"/>
        <v>85820.537551261616</v>
      </c>
      <c r="AN25" s="8">
        <f t="shared" si="26"/>
        <v>1693.1628172893172</v>
      </c>
      <c r="AO25" s="8">
        <f t="shared" si="27"/>
        <v>0</v>
      </c>
    </row>
    <row r="26" spans="1:41">
      <c r="A26" s="1">
        <v>41753</v>
      </c>
      <c r="B26" s="5">
        <v>24</v>
      </c>
      <c r="C26" s="3">
        <f>B26/365+input!$K$2</f>
        <v>6.575342465753424E-2</v>
      </c>
      <c r="D26" s="4">
        <f t="shared" si="0"/>
        <v>18.213223752239603</v>
      </c>
      <c r="E26" s="10">
        <f t="shared" si="6"/>
        <v>8.4869441950761964</v>
      </c>
      <c r="F26" s="20">
        <f>input!A25</f>
        <v>6394.02</v>
      </c>
      <c r="G26" s="19">
        <f t="shared" si="7"/>
        <v>1.9023020520517683E-3</v>
      </c>
      <c r="H26" s="21">
        <f t="shared" si="8"/>
        <v>3.7892530520075218</v>
      </c>
      <c r="I26" s="5">
        <v>389</v>
      </c>
      <c r="J26" s="3">
        <f>I26/365+input!$K$2</f>
        <v>1.0657534246575342</v>
      </c>
      <c r="K26" s="4">
        <f t="shared" si="28"/>
        <v>29.650046426578363</v>
      </c>
      <c r="L26" s="10">
        <f t="shared" si="29"/>
        <v>41.158568719039927</v>
      </c>
      <c r="M26" s="20">
        <f>input!B25</f>
        <v>3346.86</v>
      </c>
      <c r="N26" s="19">
        <f t="shared" si="9"/>
        <v>0.66103907873627654</v>
      </c>
      <c r="O26" s="21">
        <f t="shared" si="10"/>
        <v>940.77686198323909</v>
      </c>
      <c r="P26" s="5">
        <v>754</v>
      </c>
      <c r="Q26" s="3">
        <f>P26/365+input!$K$2</f>
        <v>2.0657534246575344</v>
      </c>
      <c r="R26" s="4">
        <f t="shared" si="3"/>
        <v>36.053504760638795</v>
      </c>
      <c r="S26" s="10">
        <f t="shared" si="4"/>
        <v>77.554661019478701</v>
      </c>
      <c r="T26" s="20">
        <f>input!C25</f>
        <v>13.66</v>
      </c>
      <c r="U26" s="19">
        <f t="shared" si="11"/>
        <v>0.98952697254297384</v>
      </c>
      <c r="V26" s="21">
        <f t="shared" si="12"/>
        <v>1582.6125101542718</v>
      </c>
      <c r="W26" s="21">
        <v>1119</v>
      </c>
      <c r="X26" s="3">
        <f>W26/365+input!$K$2</f>
        <v>3.0657534246575344</v>
      </c>
      <c r="Y26" s="4">
        <f t="shared" si="13"/>
        <v>39.469004015014669</v>
      </c>
      <c r="Z26" s="10">
        <f t="shared" si="5"/>
        <v>103.98435971907008</v>
      </c>
      <c r="AA26" s="20">
        <f>input!D25</f>
        <v>0</v>
      </c>
      <c r="AB26" s="19">
        <f t="shared" si="14"/>
        <v>0.99866597068041085</v>
      </c>
      <c r="AC26" s="21">
        <f t="shared" si="15"/>
        <v>1956.3459956959921</v>
      </c>
      <c r="AD26" s="8">
        <f t="shared" si="16"/>
        <v>54265.690922201102</v>
      </c>
      <c r="AE26" s="8">
        <f t="shared" si="17"/>
        <v>137751.96730300598</v>
      </c>
      <c r="AF26" s="8">
        <f t="shared" si="18"/>
        <v>1059.396669526079</v>
      </c>
      <c r="AG26" s="8">
        <f t="shared" si="19"/>
        <v>0</v>
      </c>
      <c r="AH26" s="8">
        <f t="shared" si="20"/>
        <v>103.22973519731018</v>
      </c>
      <c r="AI26" s="8">
        <f t="shared" si="21"/>
        <v>91059.433560088757</v>
      </c>
      <c r="AJ26" s="8">
        <f t="shared" si="22"/>
        <v>1048.3015791182504</v>
      </c>
      <c r="AK26" s="8">
        <f t="shared" si="23"/>
        <v>0</v>
      </c>
      <c r="AL26" s="8">
        <f t="shared" si="24"/>
        <v>0.39116358915433591</v>
      </c>
      <c r="AM26" s="8">
        <f t="shared" si="25"/>
        <v>85666.608158631541</v>
      </c>
      <c r="AN26" s="8">
        <f t="shared" si="26"/>
        <v>1659.0551935270212</v>
      </c>
      <c r="AO26" s="8">
        <f t="shared" si="27"/>
        <v>0</v>
      </c>
    </row>
    <row r="27" spans="1:41">
      <c r="A27" s="1">
        <v>41754</v>
      </c>
      <c r="B27" s="5">
        <v>25</v>
      </c>
      <c r="C27" s="3">
        <f>B27/365+input!$K$2</f>
        <v>6.8493150684931503E-2</v>
      </c>
      <c r="D27" s="4">
        <f t="shared" si="0"/>
        <v>18.254485016042842</v>
      </c>
      <c r="E27" s="10">
        <f t="shared" si="6"/>
        <v>8.5493972423375766</v>
      </c>
      <c r="F27" s="20">
        <f>input!A26</f>
        <v>6389.65</v>
      </c>
      <c r="G27" s="19">
        <f t="shared" si="7"/>
        <v>1.9503735546070986E-3</v>
      </c>
      <c r="H27" s="21">
        <f t="shared" si="8"/>
        <v>3.9481346392210681</v>
      </c>
      <c r="I27" s="5">
        <v>390</v>
      </c>
      <c r="J27" s="3">
        <f>I27/365+input!$K$2</f>
        <v>1.0684931506849316</v>
      </c>
      <c r="K27" s="4">
        <f t="shared" si="28"/>
        <v>29.673148540784219</v>
      </c>
      <c r="L27" s="10">
        <f t="shared" si="29"/>
        <v>41.262563266716093</v>
      </c>
      <c r="M27" s="20">
        <f>input!B26</f>
        <v>3340.43</v>
      </c>
      <c r="N27" s="19">
        <f t="shared" si="9"/>
        <v>0.66416887459953799</v>
      </c>
      <c r="O27" s="21">
        <f t="shared" si="10"/>
        <v>943.41537116210975</v>
      </c>
      <c r="P27" s="5">
        <v>755</v>
      </c>
      <c r="Q27" s="3">
        <f>P27/365+input!$K$2</f>
        <v>2.0684931506849313</v>
      </c>
      <c r="R27" s="4">
        <f t="shared" si="3"/>
        <v>36.066439596646866</v>
      </c>
      <c r="S27" s="10">
        <f t="shared" si="4"/>
        <v>77.644847377913663</v>
      </c>
      <c r="T27" s="20">
        <f>input!C26</f>
        <v>13.54</v>
      </c>
      <c r="U27" s="19">
        <f t="shared" si="11"/>
        <v>0.98960789479219935</v>
      </c>
      <c r="V27" s="21">
        <f t="shared" si="12"/>
        <v>1583.9450750838648</v>
      </c>
      <c r="W27" s="21">
        <v>1120</v>
      </c>
      <c r="X27" s="3">
        <f>W27/365+input!$K$2</f>
        <v>3.0684931506849313</v>
      </c>
      <c r="Y27" s="4">
        <f t="shared" si="13"/>
        <v>39.469004015014669</v>
      </c>
      <c r="Z27" s="10">
        <f t="shared" si="5"/>
        <v>103.98435971907008</v>
      </c>
      <c r="AA27" s="20">
        <f>input!D26</f>
        <v>0</v>
      </c>
      <c r="AB27" s="19">
        <f t="shared" si="14"/>
        <v>0.99866597068041085</v>
      </c>
      <c r="AC27" s="21">
        <f t="shared" si="15"/>
        <v>1956.3459956959921</v>
      </c>
      <c r="AD27" s="8">
        <f t="shared" si="16"/>
        <v>54627.656089502292</v>
      </c>
      <c r="AE27" s="8">
        <f t="shared" si="17"/>
        <v>137834.70421303643</v>
      </c>
      <c r="AF27" s="8">
        <f t="shared" si="18"/>
        <v>1051.311233496951</v>
      </c>
      <c r="AG27" s="8">
        <f t="shared" si="19"/>
        <v>0</v>
      </c>
      <c r="AH27" s="8">
        <f t="shared" si="20"/>
        <v>106.5443357871367</v>
      </c>
      <c r="AI27" s="8">
        <f t="shared" si="21"/>
        <v>91545.520377932597</v>
      </c>
      <c r="AJ27" s="8">
        <f t="shared" si="22"/>
        <v>1040.3858965523079</v>
      </c>
      <c r="AK27" s="8">
        <f t="shared" si="23"/>
        <v>0</v>
      </c>
      <c r="AL27" s="8">
        <f t="shared" si="24"/>
        <v>0.42065138273399533</v>
      </c>
      <c r="AM27" s="8">
        <f t="shared" si="25"/>
        <v>86365.451085575754</v>
      </c>
      <c r="AN27" s="8">
        <f t="shared" si="26"/>
        <v>1647.9141170307394</v>
      </c>
      <c r="AO27" s="8">
        <f t="shared" si="27"/>
        <v>0</v>
      </c>
    </row>
    <row r="28" spans="1:41">
      <c r="A28" s="1">
        <v>41755</v>
      </c>
      <c r="B28" s="5">
        <v>26</v>
      </c>
      <c r="C28" s="3">
        <f>B28/365+input!$K$2</f>
        <v>7.1232876712328766E-2</v>
      </c>
      <c r="D28" s="4">
        <f t="shared" si="0"/>
        <v>18.29568076606806</v>
      </c>
      <c r="E28" s="10">
        <f t="shared" si="6"/>
        <v>8.6120673839564734</v>
      </c>
      <c r="F28" s="20">
        <f>input!A27</f>
        <v>6385.27</v>
      </c>
      <c r="G28" s="19">
        <f t="shared" si="7"/>
        <v>1.9995781698198393E-3</v>
      </c>
      <c r="H28" s="21">
        <f t="shared" si="8"/>
        <v>4.1126626563360444</v>
      </c>
      <c r="I28" s="5">
        <v>391</v>
      </c>
      <c r="J28" s="3">
        <f>I28/365+input!$K$2</f>
        <v>1.0712328767123287</v>
      </c>
      <c r="K28" s="4">
        <f t="shared" si="28"/>
        <v>29.696213973932782</v>
      </c>
      <c r="L28" s="10">
        <f t="shared" si="29"/>
        <v>41.366573782219341</v>
      </c>
      <c r="M28" s="20">
        <f>input!B27</f>
        <v>3312.78</v>
      </c>
      <c r="N28" s="19">
        <f t="shared" si="9"/>
        <v>0.66727938183767388</v>
      </c>
      <c r="O28" s="21">
        <f t="shared" si="10"/>
        <v>946.04385027506044</v>
      </c>
      <c r="P28" s="5">
        <v>756</v>
      </c>
      <c r="Q28" s="3">
        <f>P28/365+input!$K$2</f>
        <v>2.0712328767123287</v>
      </c>
      <c r="R28" s="4">
        <f t="shared" si="3"/>
        <v>36.079353894990859</v>
      </c>
      <c r="S28" s="10">
        <f t="shared" si="4"/>
        <v>77.734962848237416</v>
      </c>
      <c r="T28" s="20">
        <f>input!C27</f>
        <v>13.29</v>
      </c>
      <c r="U28" s="19">
        <f t="shared" si="11"/>
        <v>0.98968807127670166</v>
      </c>
      <c r="V28" s="21">
        <f t="shared" si="12"/>
        <v>1585.276119325702</v>
      </c>
      <c r="W28" s="21">
        <v>1121</v>
      </c>
      <c r="X28" s="3">
        <f>W28/365+input!$K$2</f>
        <v>3.0712328767123287</v>
      </c>
      <c r="Y28" s="4">
        <f t="shared" si="13"/>
        <v>39.469004015014669</v>
      </c>
      <c r="Z28" s="10">
        <f t="shared" si="5"/>
        <v>103.98435971907008</v>
      </c>
      <c r="AA28" s="20">
        <f>input!D27</f>
        <v>0</v>
      </c>
      <c r="AB28" s="19">
        <f t="shared" si="14"/>
        <v>0.99866597068041085</v>
      </c>
      <c r="AC28" s="21">
        <f t="shared" si="15"/>
        <v>1956.3459956959921</v>
      </c>
      <c r="AD28" s="8">
        <f t="shared" si="16"/>
        <v>54990.375504755757</v>
      </c>
      <c r="AE28" s="8">
        <f t="shared" si="17"/>
        <v>137038.3582942606</v>
      </c>
      <c r="AF28" s="8">
        <f t="shared" si="18"/>
        <v>1033.0976562530752</v>
      </c>
      <c r="AG28" s="8">
        <f t="shared" si="19"/>
        <v>0</v>
      </c>
      <c r="AH28" s="8">
        <f t="shared" si="20"/>
        <v>109.95755440950524</v>
      </c>
      <c r="AI28" s="8">
        <f t="shared" si="21"/>
        <v>91442.871010643881</v>
      </c>
      <c r="AJ28" s="8">
        <f t="shared" si="22"/>
        <v>1022.4444268575869</v>
      </c>
      <c r="AK28" s="8">
        <f t="shared" si="23"/>
        <v>0</v>
      </c>
      <c r="AL28" s="8">
        <f t="shared" si="24"/>
        <v>0.45221832780201093</v>
      </c>
      <c r="AM28" s="8">
        <f t="shared" si="25"/>
        <v>86508.965771115239</v>
      </c>
      <c r="AN28" s="8">
        <f t="shared" si="26"/>
        <v>1620.8567332349869</v>
      </c>
      <c r="AO28" s="8">
        <f t="shared" si="27"/>
        <v>0</v>
      </c>
    </row>
    <row r="29" spans="1:41">
      <c r="A29" s="1">
        <v>41756</v>
      </c>
      <c r="B29" s="5">
        <v>27</v>
      </c>
      <c r="C29" s="3">
        <f>B29/365+input!$K$2</f>
        <v>7.3972602739726029E-2</v>
      </c>
      <c r="D29" s="4">
        <f t="shared" si="0"/>
        <v>18.336811106336668</v>
      </c>
      <c r="E29" s="10">
        <f t="shared" si="6"/>
        <v>8.6749541541750119</v>
      </c>
      <c r="F29" s="20">
        <f>input!A28</f>
        <v>6380.9</v>
      </c>
      <c r="G29" s="19">
        <f t="shared" si="7"/>
        <v>2.0499404930023335E-3</v>
      </c>
      <c r="H29" s="21">
        <f t="shared" si="8"/>
        <v>4.2829944251492416</v>
      </c>
      <c r="I29" s="5">
        <v>392</v>
      </c>
      <c r="J29" s="3">
        <f>I29/365+input!$K$2</f>
        <v>1.0739726027397261</v>
      </c>
      <c r="K29" s="4">
        <f t="shared" si="28"/>
        <v>29.719242784265457</v>
      </c>
      <c r="L29" s="10">
        <f t="shared" si="29"/>
        <v>41.470599839604994</v>
      </c>
      <c r="M29" s="20">
        <f>input!B28</f>
        <v>3298.53</v>
      </c>
      <c r="N29" s="19">
        <f t="shared" si="9"/>
        <v>0.67037047328481447</v>
      </c>
      <c r="O29" s="21">
        <f t="shared" si="10"/>
        <v>948.66235713059837</v>
      </c>
      <c r="P29" s="5">
        <v>757</v>
      </c>
      <c r="Q29" s="3">
        <f>P29/365+input!$K$2</f>
        <v>2.0739726027397261</v>
      </c>
      <c r="R29" s="4">
        <f t="shared" si="3"/>
        <v>36.092247688280068</v>
      </c>
      <c r="S29" s="10">
        <f t="shared" si="4"/>
        <v>77.825007345573994</v>
      </c>
      <c r="T29" s="20">
        <f>input!C28</f>
        <v>13.18</v>
      </c>
      <c r="U29" s="19">
        <f t="shared" si="11"/>
        <v>0.98976750973705663</v>
      </c>
      <c r="V29" s="21">
        <f t="shared" si="12"/>
        <v>1586.6056440670172</v>
      </c>
      <c r="W29" s="21">
        <v>1122</v>
      </c>
      <c r="X29" s="3">
        <f>W29/365+input!$K$2</f>
        <v>3.0739726027397261</v>
      </c>
      <c r="Y29" s="4">
        <f t="shared" si="13"/>
        <v>39.469004015014669</v>
      </c>
      <c r="Z29" s="10">
        <f t="shared" si="5"/>
        <v>103.98435971907008</v>
      </c>
      <c r="AA29" s="20">
        <f>input!D28</f>
        <v>0</v>
      </c>
      <c r="AB29" s="19">
        <f t="shared" si="14"/>
        <v>0.99866597068041085</v>
      </c>
      <c r="AC29" s="21">
        <f t="shared" si="15"/>
        <v>1956.3459956959921</v>
      </c>
      <c r="AD29" s="8">
        <f t="shared" si="16"/>
        <v>55354.014962375331</v>
      </c>
      <c r="AE29" s="8">
        <f t="shared" si="17"/>
        <v>136792.01768893228</v>
      </c>
      <c r="AF29" s="8">
        <f t="shared" si="18"/>
        <v>1025.7335968146651</v>
      </c>
      <c r="AG29" s="8">
        <f t="shared" si="19"/>
        <v>0</v>
      </c>
      <c r="AH29" s="8">
        <f t="shared" si="20"/>
        <v>113.47243672163023</v>
      </c>
      <c r="AI29" s="8">
        <f t="shared" si="21"/>
        <v>91701.32963971424</v>
      </c>
      <c r="AJ29" s="8">
        <f t="shared" si="22"/>
        <v>1015.2377877728852</v>
      </c>
      <c r="AK29" s="8">
        <f t="shared" si="23"/>
        <v>0</v>
      </c>
      <c r="AL29" s="8">
        <f t="shared" si="24"/>
        <v>0.48600181388684233</v>
      </c>
      <c r="AM29" s="8">
        <f t="shared" si="25"/>
        <v>86993.599528021325</v>
      </c>
      <c r="AN29" s="8">
        <f t="shared" si="26"/>
        <v>1610.7820041505722</v>
      </c>
      <c r="AO29" s="8">
        <f t="shared" si="27"/>
        <v>0</v>
      </c>
    </row>
    <row r="30" spans="1:41">
      <c r="A30" s="1">
        <v>41757</v>
      </c>
      <c r="B30" s="5">
        <v>28</v>
      </c>
      <c r="C30" s="3">
        <f>B30/365+input!$K$2</f>
        <v>7.6712328767123292E-2</v>
      </c>
      <c r="D30" s="4">
        <f t="shared" si="0"/>
        <v>18.37787614070492</v>
      </c>
      <c r="E30" s="10">
        <f t="shared" si="6"/>
        <v>8.7380570846366457</v>
      </c>
      <c r="F30" s="20">
        <f>input!A29</f>
        <v>6376.53</v>
      </c>
      <c r="G30" s="19">
        <f t="shared" si="7"/>
        <v>2.1014856005008849E-3</v>
      </c>
      <c r="H30" s="21">
        <f t="shared" si="8"/>
        <v>4.4592900087316556</v>
      </c>
      <c r="I30" s="5">
        <v>393</v>
      </c>
      <c r="J30" s="3">
        <f>I30/365+input!$K$2</f>
        <v>1.0767123287671232</v>
      </c>
      <c r="K30" s="4">
        <f t="shared" si="28"/>
        <v>29.742235029931191</v>
      </c>
      <c r="L30" s="10">
        <f t="shared" si="29"/>
        <v>41.574641014080683</v>
      </c>
      <c r="M30" s="20">
        <f>input!B29</f>
        <v>3270.91</v>
      </c>
      <c r="N30" s="19">
        <f t="shared" si="9"/>
        <v>0.67344202812482756</v>
      </c>
      <c r="O30" s="21">
        <f t="shared" si="10"/>
        <v>951.27094999154326</v>
      </c>
      <c r="P30" s="5">
        <v>758</v>
      </c>
      <c r="Q30" s="3">
        <f>P30/365+input!$K$2</f>
        <v>2.0767123287671234</v>
      </c>
      <c r="R30" s="4">
        <f t="shared" si="3"/>
        <v>36.105121009071993</v>
      </c>
      <c r="S30" s="10">
        <f t="shared" si="4"/>
        <v>77.914980785658614</v>
      </c>
      <c r="T30" s="20">
        <f>input!C29</f>
        <v>12.92</v>
      </c>
      <c r="U30" s="19">
        <f t="shared" si="11"/>
        <v>0.9898462178262375</v>
      </c>
      <c r="V30" s="21">
        <f t="shared" si="12"/>
        <v>1587.9336504868429</v>
      </c>
      <c r="W30" s="21">
        <v>1123</v>
      </c>
      <c r="X30" s="3">
        <f>W30/365+input!$K$2</f>
        <v>3.0767123287671234</v>
      </c>
      <c r="Y30" s="4">
        <f t="shared" si="13"/>
        <v>39.469004015014669</v>
      </c>
      <c r="Z30" s="10">
        <f t="shared" si="5"/>
        <v>103.98435971907008</v>
      </c>
      <c r="AA30" s="20">
        <f>input!D29</f>
        <v>0</v>
      </c>
      <c r="AB30" s="19">
        <f t="shared" si="14"/>
        <v>0.99866597068041085</v>
      </c>
      <c r="AC30" s="21">
        <f t="shared" si="15"/>
        <v>1956.3459956959921</v>
      </c>
      <c r="AD30" s="8">
        <f t="shared" si="16"/>
        <v>55718.483141898105</v>
      </c>
      <c r="AE30" s="8">
        <f t="shared" si="17"/>
        <v>135986.90903936664</v>
      </c>
      <c r="AF30" s="8">
        <f t="shared" si="18"/>
        <v>1006.6615517507092</v>
      </c>
      <c r="AG30" s="8">
        <f t="shared" si="19"/>
        <v>0</v>
      </c>
      <c r="AH30" s="8">
        <f t="shared" si="20"/>
        <v>117.09159000445017</v>
      </c>
      <c r="AI30" s="8">
        <f t="shared" si="21"/>
        <v>91579.299821897512</v>
      </c>
      <c r="AJ30" s="8">
        <f t="shared" si="22"/>
        <v>996.44012963153079</v>
      </c>
      <c r="AK30" s="8">
        <f t="shared" si="23"/>
        <v>0</v>
      </c>
      <c r="AL30" s="8">
        <f t="shared" si="24"/>
        <v>0.522145357413348</v>
      </c>
      <c r="AM30" s="8">
        <f t="shared" si="25"/>
        <v>87116.727541136817</v>
      </c>
      <c r="AN30" s="8">
        <f t="shared" si="26"/>
        <v>1582.2808125373795</v>
      </c>
      <c r="AO30" s="8">
        <f t="shared" si="27"/>
        <v>0</v>
      </c>
    </row>
    <row r="31" spans="1:41">
      <c r="A31" s="1">
        <v>41758</v>
      </c>
      <c r="B31" s="5">
        <v>29</v>
      </c>
      <c r="C31" s="3">
        <f>B31/365+input!$K$2</f>
        <v>7.9452054794520555E-2</v>
      </c>
      <c r="D31" s="4">
        <f t="shared" si="0"/>
        <v>18.418875972864175</v>
      </c>
      <c r="E31" s="10">
        <f t="shared" si="6"/>
        <v>8.8013757044147987</v>
      </c>
      <c r="F31" s="20">
        <f>input!A30</f>
        <v>6372.16</v>
      </c>
      <c r="G31" s="19">
        <f t="shared" si="7"/>
        <v>2.1542390577982229E-3</v>
      </c>
      <c r="H31" s="21">
        <f t="shared" si="8"/>
        <v>4.6417122032870362</v>
      </c>
      <c r="I31" s="5">
        <v>394</v>
      </c>
      <c r="J31" s="3">
        <f>I31/365+input!$K$2</f>
        <v>1.0794520547945206</v>
      </c>
      <c r="K31" s="4">
        <f t="shared" si="28"/>
        <v>29.765190768986614</v>
      </c>
      <c r="L31" s="10">
        <f t="shared" si="29"/>
        <v>41.678696882006399</v>
      </c>
      <c r="M31" s="20">
        <f>input!B30</f>
        <v>3268.67</v>
      </c>
      <c r="N31" s="19">
        <f t="shared" si="9"/>
        <v>0.67649393183342366</v>
      </c>
      <c r="O31" s="21">
        <f t="shared" si="10"/>
        <v>953.86968755112991</v>
      </c>
      <c r="P31" s="5">
        <v>759</v>
      </c>
      <c r="Q31" s="3">
        <f>P31/365+input!$K$2</f>
        <v>2.0794520547945203</v>
      </c>
      <c r="R31" s="4">
        <f t="shared" si="3"/>
        <v>36.117973889872424</v>
      </c>
      <c r="S31" s="10">
        <f t="shared" si="4"/>
        <v>78.004883084836607</v>
      </c>
      <c r="T31" s="20">
        <f>input!C30</f>
        <v>12.84</v>
      </c>
      <c r="U31" s="19">
        <f t="shared" si="11"/>
        <v>0.98992420311066576</v>
      </c>
      <c r="V31" s="21">
        <f t="shared" si="12"/>
        <v>1589.2601397562116</v>
      </c>
      <c r="W31" s="21">
        <v>1124</v>
      </c>
      <c r="X31" s="3">
        <f>W31/365+input!$K$2</f>
        <v>3.0794520547945203</v>
      </c>
      <c r="Y31" s="4">
        <f t="shared" si="13"/>
        <v>39.469004015014669</v>
      </c>
      <c r="Z31" s="10">
        <f t="shared" si="5"/>
        <v>103.98435971907008</v>
      </c>
      <c r="AA31" s="20">
        <f>input!D30</f>
        <v>0</v>
      </c>
      <c r="AB31" s="19">
        <f t="shared" si="14"/>
        <v>0.99866597068041085</v>
      </c>
      <c r="AC31" s="21">
        <f t="shared" si="15"/>
        <v>1956.3459956959921</v>
      </c>
      <c r="AD31" s="8">
        <f t="shared" si="16"/>
        <v>56083.774208643801</v>
      </c>
      <c r="AE31" s="8">
        <f t="shared" si="17"/>
        <v>136233.90613730787</v>
      </c>
      <c r="AF31" s="8">
        <f t="shared" si="18"/>
        <v>1001.582698809302</v>
      </c>
      <c r="AG31" s="8">
        <f t="shared" si="19"/>
        <v>0</v>
      </c>
      <c r="AH31" s="8">
        <f t="shared" si="20"/>
        <v>120.8178569089971</v>
      </c>
      <c r="AI31" s="8">
        <f t="shared" si="21"/>
        <v>92161.410811852984</v>
      </c>
      <c r="AJ31" s="8">
        <f t="shared" si="22"/>
        <v>991.49095496822827</v>
      </c>
      <c r="AK31" s="8">
        <f t="shared" si="23"/>
        <v>0</v>
      </c>
      <c r="AL31" s="8">
        <f t="shared" si="24"/>
        <v>0.56080172078947887</v>
      </c>
      <c r="AM31" s="8">
        <f t="shared" si="25"/>
        <v>87909.976135373538</v>
      </c>
      <c r="AN31" s="8">
        <f t="shared" si="26"/>
        <v>1575.7370536598262</v>
      </c>
      <c r="AO31" s="8">
        <f t="shared" si="27"/>
        <v>0</v>
      </c>
    </row>
    <row r="32" spans="1:41">
      <c r="A32" s="1">
        <v>41759</v>
      </c>
      <c r="B32" s="5">
        <v>30</v>
      </c>
      <c r="C32" s="3">
        <f>B32/365+input!$K$2</f>
        <v>8.2191780821917804E-2</v>
      </c>
      <c r="D32" s="4">
        <f t="shared" si="0"/>
        <v>18.459810706341145</v>
      </c>
      <c r="E32" s="10">
        <f t="shared" si="6"/>
        <v>8.8649095400413422</v>
      </c>
      <c r="F32" s="20">
        <f>input!A31</f>
        <v>6367.8</v>
      </c>
      <c r="G32" s="19">
        <f t="shared" si="7"/>
        <v>2.2082269277188282E-3</v>
      </c>
      <c r="H32" s="21">
        <f t="shared" si="8"/>
        <v>4.8304265279119978</v>
      </c>
      <c r="I32" s="5">
        <v>395</v>
      </c>
      <c r="J32" s="3">
        <f>I32/365+input!$K$2</f>
        <v>1.0821917808219179</v>
      </c>
      <c r="K32" s="4">
        <f t="shared" si="28"/>
        <v>29.788110059396164</v>
      </c>
      <c r="L32" s="10">
        <f t="shared" si="29"/>
        <v>41.782767020894774</v>
      </c>
      <c r="M32" s="20">
        <f>input!B31</f>
        <v>3225.24</v>
      </c>
      <c r="N32" s="19">
        <f t="shared" si="9"/>
        <v>0.67952607611751459</v>
      </c>
      <c r="O32" s="21">
        <f t="shared" si="10"/>
        <v>956.45862890950127</v>
      </c>
      <c r="P32" s="5">
        <v>760</v>
      </c>
      <c r="Q32" s="3">
        <f>P32/365+input!$K$2</f>
        <v>2.0821917808219177</v>
      </c>
      <c r="R32" s="4">
        <f t="shared" si="3"/>
        <v>36.130806363135562</v>
      </c>
      <c r="S32" s="10">
        <f t="shared" si="4"/>
        <v>78.094714160061613</v>
      </c>
      <c r="T32" s="20">
        <f>input!C31</f>
        <v>12.54</v>
      </c>
      <c r="U32" s="19">
        <f t="shared" si="11"/>
        <v>0.99000147307125153</v>
      </c>
      <c r="V32" s="21">
        <f t="shared" si="12"/>
        <v>1590.5851130383624</v>
      </c>
      <c r="W32" s="21">
        <v>1125</v>
      </c>
      <c r="X32" s="3">
        <f>W32/365+input!$K$2</f>
        <v>3.0821917808219177</v>
      </c>
      <c r="Y32" s="4">
        <f t="shared" si="13"/>
        <v>39.469004015014669</v>
      </c>
      <c r="Z32" s="10">
        <f t="shared" si="5"/>
        <v>103.98435971907008</v>
      </c>
      <c r="AA32" s="20">
        <f>input!D31</f>
        <v>0</v>
      </c>
      <c r="AB32" s="19">
        <f t="shared" si="14"/>
        <v>0.99866597068041085</v>
      </c>
      <c r="AC32" s="21">
        <f t="shared" si="15"/>
        <v>1956.3459956959921</v>
      </c>
      <c r="AD32" s="8">
        <f t="shared" si="16"/>
        <v>56449.970969075264</v>
      </c>
      <c r="AE32" s="8">
        <f t="shared" si="17"/>
        <v>134759.45150647065</v>
      </c>
      <c r="AF32" s="8">
        <f t="shared" si="18"/>
        <v>979.30771556717252</v>
      </c>
      <c r="AG32" s="8">
        <f t="shared" si="19"/>
        <v>0</v>
      </c>
      <c r="AH32" s="8">
        <f t="shared" si="20"/>
        <v>124.65434596285812</v>
      </c>
      <c r="AI32" s="8">
        <f t="shared" si="21"/>
        <v>91572.561301940485</v>
      </c>
      <c r="AJ32" s="8">
        <f t="shared" si="22"/>
        <v>969.51608100154294</v>
      </c>
      <c r="AK32" s="8">
        <f t="shared" si="23"/>
        <v>0</v>
      </c>
      <c r="AL32" s="8">
        <f t="shared" si="24"/>
        <v>0.60213365955850962</v>
      </c>
      <c r="AM32" s="8">
        <f t="shared" si="25"/>
        <v>87585.366428585243</v>
      </c>
      <c r="AN32" s="8">
        <f t="shared" si="26"/>
        <v>1542.0978452923493</v>
      </c>
      <c r="AO32" s="8">
        <f t="shared" si="27"/>
        <v>0</v>
      </c>
    </row>
    <row r="33" spans="1:41">
      <c r="A33" s="1">
        <v>41760</v>
      </c>
      <c r="B33" s="5">
        <v>31</v>
      </c>
      <c r="C33" s="3">
        <f>B33/365+input!$K$2</f>
        <v>8.4931506849315067E-2</v>
      </c>
      <c r="D33" s="4">
        <f t="shared" si="0"/>
        <v>18.500680444498162</v>
      </c>
      <c r="E33" s="10">
        <f t="shared" si="6"/>
        <v>8.928658115534807</v>
      </c>
      <c r="F33" s="20">
        <f>input!A32</f>
        <v>6363.44</v>
      </c>
      <c r="G33" s="19">
        <f t="shared" si="7"/>
        <v>2.2634757787375771E-3</v>
      </c>
      <c r="H33" s="21">
        <f t="shared" si="8"/>
        <v>5.0256012122224396</v>
      </c>
      <c r="I33" s="5">
        <v>396</v>
      </c>
      <c r="J33" s="3">
        <f>I33/365+input!$K$2</f>
        <v>1.0849315068493151</v>
      </c>
      <c r="K33" s="4">
        <f t="shared" si="28"/>
        <v>29.81099295903223</v>
      </c>
      <c r="L33" s="10">
        <f t="shared" si="29"/>
        <v>41.886851009410684</v>
      </c>
      <c r="M33" s="20">
        <f>input!B32</f>
        <v>3223.03</v>
      </c>
      <c r="N33" s="19">
        <f t="shared" si="9"/>
        <v>0.68253835885193925</v>
      </c>
      <c r="O33" s="21">
        <f t="shared" si="10"/>
        <v>959.03783355057476</v>
      </c>
      <c r="P33" s="5">
        <v>761</v>
      </c>
      <c r="Q33" s="3">
        <f>P33/365+input!$K$2</f>
        <v>2.0849315068493151</v>
      </c>
      <c r="R33" s="4">
        <f t="shared" si="3"/>
        <v>36.143618461264083</v>
      </c>
      <c r="S33" s="10">
        <f t="shared" si="4"/>
        <v>78.184473928893567</v>
      </c>
      <c r="T33" s="20">
        <f>input!C32</f>
        <v>12.47</v>
      </c>
      <c r="U33" s="19">
        <f t="shared" si="11"/>
        <v>0.99007803510441905</v>
      </c>
      <c r="V33" s="21">
        <f t="shared" si="12"/>
        <v>1591.9085714889061</v>
      </c>
      <c r="W33" s="21">
        <v>1126</v>
      </c>
      <c r="X33" s="3">
        <f>W33/365+input!$K$2</f>
        <v>3.0849315068493151</v>
      </c>
      <c r="Y33" s="4">
        <f t="shared" si="13"/>
        <v>39.469004015014669</v>
      </c>
      <c r="Z33" s="10">
        <f t="shared" si="5"/>
        <v>103.98435971907008</v>
      </c>
      <c r="AA33" s="20">
        <f>input!D32</f>
        <v>0</v>
      </c>
      <c r="AB33" s="19">
        <f t="shared" si="14"/>
        <v>0.99866597068041085</v>
      </c>
      <c r="AC33" s="21">
        <f t="shared" si="15"/>
        <v>1956.3459956959921</v>
      </c>
      <c r="AD33" s="8">
        <f t="shared" si="16"/>
        <v>56816.980198718811</v>
      </c>
      <c r="AE33" s="8">
        <f t="shared" si="17"/>
        <v>135002.57740886093</v>
      </c>
      <c r="AF33" s="8">
        <f t="shared" si="18"/>
        <v>974.96038989330282</v>
      </c>
      <c r="AG33" s="8">
        <f t="shared" si="19"/>
        <v>0</v>
      </c>
      <c r="AH33" s="8">
        <f t="shared" si="20"/>
        <v>128.60385850081255</v>
      </c>
      <c r="AI33" s="8">
        <f t="shared" si="21"/>
        <v>92144.437625425824</v>
      </c>
      <c r="AJ33" s="8">
        <f t="shared" si="22"/>
        <v>965.28686713019954</v>
      </c>
      <c r="AK33" s="8">
        <f t="shared" si="23"/>
        <v>0</v>
      </c>
      <c r="AL33" s="8">
        <f t="shared" si="24"/>
        <v>0.64631170717816666</v>
      </c>
      <c r="AM33" s="8">
        <f t="shared" si="25"/>
        <v>88370.001834024442</v>
      </c>
      <c r="AN33" s="8">
        <f t="shared" si="26"/>
        <v>1536.6484377302374</v>
      </c>
      <c r="AO33" s="8">
        <f t="shared" si="27"/>
        <v>0</v>
      </c>
    </row>
    <row r="34" spans="1:41">
      <c r="A34" s="1">
        <v>41761</v>
      </c>
      <c r="B34" s="5">
        <v>32</v>
      </c>
      <c r="C34" s="3">
        <f>B34/365+input!$K$2</f>
        <v>8.7671232876712329E-2</v>
      </c>
      <c r="D34" s="4">
        <f t="shared" si="0"/>
        <v>18.541485290533451</v>
      </c>
      <c r="E34" s="10">
        <f t="shared" si="6"/>
        <v>8.9926209524286076</v>
      </c>
      <c r="F34" s="20">
        <f>input!A33</f>
        <v>6359.08</v>
      </c>
      <c r="G34" s="19">
        <f t="shared" si="7"/>
        <v>2.3200126933918758E-3</v>
      </c>
      <c r="H34" s="21">
        <f t="shared" si="8"/>
        <v>5.2274071818125538</v>
      </c>
      <c r="I34" s="5">
        <v>397</v>
      </c>
      <c r="J34" s="3">
        <f>I34/365+input!$K$2</f>
        <v>1.0876712328767124</v>
      </c>
      <c r="K34" s="4">
        <f t="shared" si="28"/>
        <v>29.833839525675341</v>
      </c>
      <c r="L34" s="10">
        <f t="shared" si="29"/>
        <v>41.990948427372381</v>
      </c>
      <c r="M34" s="20">
        <f>input!B33</f>
        <v>3197.27</v>
      </c>
      <c r="N34" s="19">
        <f t="shared" si="9"/>
        <v>0.68553068401369976</v>
      </c>
      <c r="O34" s="21">
        <f t="shared" si="10"/>
        <v>961.60736131932401</v>
      </c>
      <c r="P34" s="5">
        <v>762</v>
      </c>
      <c r="Q34" s="3">
        <f>P34/365+input!$K$2</f>
        <v>2.0876712328767124</v>
      </c>
      <c r="R34" s="4">
        <f t="shared" si="3"/>
        <v>36.156410216609181</v>
      </c>
      <c r="S34" s="10">
        <f t="shared" si="4"/>
        <v>78.274162309496774</v>
      </c>
      <c r="T34" s="20">
        <f>input!C33</f>
        <v>12.24</v>
      </c>
      <c r="U34" s="19">
        <f t="shared" si="11"/>
        <v>0.99015389652311947</v>
      </c>
      <c r="V34" s="21">
        <f t="shared" si="12"/>
        <v>1593.2305162560383</v>
      </c>
      <c r="W34" s="21">
        <v>1127</v>
      </c>
      <c r="X34" s="3">
        <f>W34/365+input!$K$2</f>
        <v>3.0876712328767124</v>
      </c>
      <c r="Y34" s="4">
        <f t="shared" si="13"/>
        <v>39.469004015014669</v>
      </c>
      <c r="Z34" s="10">
        <f t="shared" si="5"/>
        <v>103.98435971907008</v>
      </c>
      <c r="AA34" s="20">
        <f>input!D33</f>
        <v>0</v>
      </c>
      <c r="AB34" s="19">
        <f t="shared" si="14"/>
        <v>0.99866597068041085</v>
      </c>
      <c r="AC34" s="21">
        <f t="shared" si="15"/>
        <v>1956.3459956959921</v>
      </c>
      <c r="AD34" s="8">
        <f t="shared" si="16"/>
        <v>57184.796046169708</v>
      </c>
      <c r="AE34" s="8">
        <f t="shared" si="17"/>
        <v>134256.39967838489</v>
      </c>
      <c r="AF34" s="8">
        <f t="shared" si="18"/>
        <v>958.07574666824053</v>
      </c>
      <c r="AG34" s="8">
        <f t="shared" si="19"/>
        <v>0</v>
      </c>
      <c r="AH34" s="8">
        <f t="shared" si="20"/>
        <v>132.66945269613927</v>
      </c>
      <c r="AI34" s="8">
        <f t="shared" si="21"/>
        <v>92036.881504739853</v>
      </c>
      <c r="AJ34" s="8">
        <f t="shared" si="22"/>
        <v>948.6424337278554</v>
      </c>
      <c r="AK34" s="8">
        <f t="shared" si="23"/>
        <v>0</v>
      </c>
      <c r="AL34" s="8">
        <f t="shared" si="24"/>
        <v>0.69351724983093932</v>
      </c>
      <c r="AM34" s="8">
        <f t="shared" si="25"/>
        <v>88503.34276783219</v>
      </c>
      <c r="AN34" s="8">
        <f t="shared" si="26"/>
        <v>1511.4060744306157</v>
      </c>
      <c r="AO34" s="8">
        <f t="shared" si="27"/>
        <v>0</v>
      </c>
    </row>
    <row r="35" spans="1:41">
      <c r="A35" s="1">
        <v>41762</v>
      </c>
      <c r="B35" s="5">
        <v>33</v>
      </c>
      <c r="C35" s="3">
        <f>B35/365+input!$K$2</f>
        <v>9.0410958904109592E-2</v>
      </c>
      <c r="D35" s="4">
        <f t="shared" si="0"/>
        <v>18.582225347481373</v>
      </c>
      <c r="E35" s="10">
        <f t="shared" si="6"/>
        <v>9.0567975697990235</v>
      </c>
      <c r="F35" s="20">
        <f>input!A34</f>
        <v>6354.73</v>
      </c>
      <c r="G35" s="19">
        <f t="shared" si="7"/>
        <v>2.3778652767976012E-3</v>
      </c>
      <c r="H35" s="21">
        <f t="shared" si="8"/>
        <v>5.4360180415140924</v>
      </c>
      <c r="I35" s="5">
        <v>398</v>
      </c>
      <c r="J35" s="3">
        <f>I35/365+input!$K$2</f>
        <v>1.0904109589041096</v>
      </c>
      <c r="K35" s="4">
        <f t="shared" si="28"/>
        <v>29.856649817014262</v>
      </c>
      <c r="L35" s="10">
        <f t="shared" si="29"/>
        <v>42.095058855750878</v>
      </c>
      <c r="M35" s="20">
        <f>input!B34</f>
        <v>3175.57</v>
      </c>
      <c r="N35" s="19">
        <f t="shared" si="9"/>
        <v>0.68850296161378965</v>
      </c>
      <c r="O35" s="21">
        <f t="shared" si="10"/>
        <v>964.16727239941599</v>
      </c>
      <c r="P35" s="5">
        <v>763</v>
      </c>
      <c r="Q35" s="3">
        <f>P35/365+input!$K$2</f>
        <v>2.0904109589041098</v>
      </c>
      <c r="R35" s="4">
        <f t="shared" si="3"/>
        <v>36.169181661470724</v>
      </c>
      <c r="S35" s="10">
        <f t="shared" si="4"/>
        <v>78.363779220638719</v>
      </c>
      <c r="T35" s="20">
        <f>input!C34</f>
        <v>12.1</v>
      </c>
      <c r="U35" s="19">
        <f t="shared" si="11"/>
        <v>0.99022906455783322</v>
      </c>
      <c r="V35" s="21">
        <f t="shared" si="12"/>
        <v>1594.5509484807126</v>
      </c>
      <c r="W35" s="21">
        <v>1128</v>
      </c>
      <c r="X35" s="3">
        <f>W35/365+input!$K$2</f>
        <v>3.0904109589041098</v>
      </c>
      <c r="Y35" s="4">
        <f t="shared" si="13"/>
        <v>39.469004015014669</v>
      </c>
      <c r="Z35" s="10">
        <f t="shared" si="5"/>
        <v>103.98435971907008</v>
      </c>
      <c r="AA35" s="20">
        <f>input!D34</f>
        <v>0</v>
      </c>
      <c r="AB35" s="19">
        <f t="shared" si="14"/>
        <v>0.99866597068041085</v>
      </c>
      <c r="AC35" s="21">
        <f t="shared" si="15"/>
        <v>1956.3459956959921</v>
      </c>
      <c r="AD35" s="8">
        <f t="shared" si="16"/>
        <v>57553.503220728948</v>
      </c>
      <c r="AE35" s="8">
        <f t="shared" si="17"/>
        <v>133675.80605055683</v>
      </c>
      <c r="AF35" s="8">
        <f t="shared" si="18"/>
        <v>948.20172856972852</v>
      </c>
      <c r="AG35" s="8">
        <f t="shared" si="19"/>
        <v>0</v>
      </c>
      <c r="AH35" s="8">
        <f t="shared" si="20"/>
        <v>136.85447686663028</v>
      </c>
      <c r="AI35" s="8">
        <f t="shared" si="21"/>
        <v>92036.188361918918</v>
      </c>
      <c r="AJ35" s="8">
        <f t="shared" si="22"/>
        <v>938.93691069372278</v>
      </c>
      <c r="AK35" s="8">
        <f t="shared" si="23"/>
        <v>0</v>
      </c>
      <c r="AL35" s="8">
        <f t="shared" si="24"/>
        <v>0.74394340530897518</v>
      </c>
      <c r="AM35" s="8">
        <f t="shared" si="25"/>
        <v>88738.280694950241</v>
      </c>
      <c r="AN35" s="8">
        <f t="shared" si="26"/>
        <v>1497.1827415102257</v>
      </c>
      <c r="AO35" s="8">
        <f t="shared" si="27"/>
        <v>0</v>
      </c>
    </row>
    <row r="36" spans="1:41">
      <c r="A36" s="1">
        <v>41763</v>
      </c>
      <c r="B36" s="5">
        <v>34</v>
      </c>
      <c r="C36" s="3">
        <f>B36/365+input!$K$2</f>
        <v>9.3150684931506855E-2</v>
      </c>
      <c r="D36" s="4">
        <f t="shared" si="0"/>
        <v>18.622900718212691</v>
      </c>
      <c r="E36" s="10">
        <f t="shared" si="6"/>
        <v>9.1211874842929959</v>
      </c>
      <c r="F36" s="20">
        <f>input!A35</f>
        <v>6350.38</v>
      </c>
      <c r="G36" s="19">
        <f t="shared" si="7"/>
        <v>2.4370616652690121E-3</v>
      </c>
      <c r="H36" s="21">
        <f t="shared" si="8"/>
        <v>5.6516100564259588</v>
      </c>
      <c r="I36" s="5">
        <v>399</v>
      </c>
      <c r="J36" s="3">
        <f>I36/365+input!$K$2</f>
        <v>1.0931506849315069</v>
      </c>
      <c r="K36" s="4">
        <f t="shared" si="28"/>
        <v>29.879423890646166</v>
      </c>
      <c r="L36" s="10">
        <f t="shared" si="29"/>
        <v>42.199181876670337</v>
      </c>
      <c r="M36" s="20">
        <f>input!B35</f>
        <v>3149.82</v>
      </c>
      <c r="N36" s="19">
        <f t="shared" si="9"/>
        <v>0.69145510762675966</v>
      </c>
      <c r="O36" s="21">
        <f t="shared" si="10"/>
        <v>966.71762729125874</v>
      </c>
      <c r="P36" s="5">
        <v>764</v>
      </c>
      <c r="Q36" s="3">
        <f>P36/365+input!$K$2</f>
        <v>2.0931506849315067</v>
      </c>
      <c r="R36" s="4">
        <f t="shared" si="3"/>
        <v>36.181932828097274</v>
      </c>
      <c r="S36" s="10">
        <f t="shared" si="4"/>
        <v>78.453324581687809</v>
      </c>
      <c r="T36" s="20">
        <f>input!C35</f>
        <v>11.89</v>
      </c>
      <c r="U36" s="19">
        <f t="shared" si="11"/>
        <v>0.99030354635755724</v>
      </c>
      <c r="V36" s="21">
        <f t="shared" si="12"/>
        <v>1595.8698692968155</v>
      </c>
      <c r="W36" s="21">
        <v>1129</v>
      </c>
      <c r="X36" s="3">
        <f>W36/365+input!$K$2</f>
        <v>3.0931506849315067</v>
      </c>
      <c r="Y36" s="4">
        <f t="shared" si="13"/>
        <v>39.469004015014669</v>
      </c>
      <c r="Z36" s="10">
        <f t="shared" si="5"/>
        <v>103.98435971907008</v>
      </c>
      <c r="AA36" s="20">
        <f>input!D35</f>
        <v>0</v>
      </c>
      <c r="AB36" s="19">
        <f t="shared" si="14"/>
        <v>0.99866597068041085</v>
      </c>
      <c r="AC36" s="21">
        <f t="shared" si="15"/>
        <v>1956.3459956959921</v>
      </c>
      <c r="AD36" s="8">
        <f t="shared" si="16"/>
        <v>57923.006576504558</v>
      </c>
      <c r="AE36" s="8">
        <f t="shared" si="17"/>
        <v>132919.82705877378</v>
      </c>
      <c r="AF36" s="8">
        <f t="shared" si="18"/>
        <v>932.8100292762681</v>
      </c>
      <c r="AG36" s="8">
        <f t="shared" si="19"/>
        <v>0</v>
      </c>
      <c r="AH36" s="8">
        <f t="shared" si="20"/>
        <v>141.16193886472414</v>
      </c>
      <c r="AI36" s="8">
        <f t="shared" si="21"/>
        <v>91908.093324654707</v>
      </c>
      <c r="AJ36" s="8">
        <f t="shared" si="22"/>
        <v>923.76508007018504</v>
      </c>
      <c r="AK36" s="8">
        <f t="shared" si="23"/>
        <v>0</v>
      </c>
      <c r="AL36" s="8">
        <f t="shared" si="24"/>
        <v>0.79779223327246129</v>
      </c>
      <c r="AM36" s="8">
        <f t="shared" si="25"/>
        <v>88849.173907673772</v>
      </c>
      <c r="AN36" s="8">
        <f t="shared" si="26"/>
        <v>1474.2088575925684</v>
      </c>
      <c r="AO36" s="8">
        <f t="shared" si="27"/>
        <v>0</v>
      </c>
    </row>
    <row r="37" spans="1:41">
      <c r="A37" s="1">
        <v>41764</v>
      </c>
      <c r="B37" s="5">
        <v>35</v>
      </c>
      <c r="C37" s="3">
        <f>B37/365+input!$K$2</f>
        <v>9.5890410958904104E-2</v>
      </c>
      <c r="D37" s="4">
        <f t="shared" si="0"/>
        <v>18.663511505434844</v>
      </c>
      <c r="E37" s="10">
        <f t="shared" si="6"/>
        <v>9.185790210155929</v>
      </c>
      <c r="F37" s="20">
        <f>input!A36</f>
        <v>6346.03</v>
      </c>
      <c r="G37" s="19">
        <f t="shared" si="7"/>
        <v>2.4976305350428909E-3</v>
      </c>
      <c r="H37" s="21">
        <f t="shared" si="8"/>
        <v>5.8743621306858111</v>
      </c>
      <c r="I37" s="5">
        <v>400</v>
      </c>
      <c r="J37" s="3">
        <f>I37/365+input!$K$2</f>
        <v>1.095890410958904</v>
      </c>
      <c r="K37" s="4">
        <f t="shared" si="28"/>
        <v>29.902161804076787</v>
      </c>
      <c r="L37" s="10">
        <f t="shared" si="29"/>
        <v>42.303317073408017</v>
      </c>
      <c r="M37" s="20">
        <f>input!B36</f>
        <v>3140</v>
      </c>
      <c r="N37" s="19">
        <f t="shared" si="9"/>
        <v>0.69438704391813233</v>
      </c>
      <c r="O37" s="21">
        <f t="shared" si="10"/>
        <v>969.25848679042383</v>
      </c>
      <c r="P37" s="5">
        <v>765</v>
      </c>
      <c r="Q37" s="3">
        <f>P37/365+input!$K$2</f>
        <v>2.095890410958904</v>
      </c>
      <c r="R37" s="4">
        <f t="shared" si="3"/>
        <v>36.194663748686182</v>
      </c>
      <c r="S37" s="10">
        <f t="shared" si="4"/>
        <v>78.542798312611509</v>
      </c>
      <c r="T37" s="20">
        <f>input!C36</f>
        <v>11.77</v>
      </c>
      <c r="U37" s="19">
        <f t="shared" si="11"/>
        <v>0.99037734899078123</v>
      </c>
      <c r="V37" s="21">
        <f t="shared" si="12"/>
        <v>1597.1872798313584</v>
      </c>
      <c r="W37" s="21">
        <v>1130</v>
      </c>
      <c r="X37" s="3">
        <f>W37/365+input!$K$2</f>
        <v>3.095890410958904</v>
      </c>
      <c r="Y37" s="4">
        <f t="shared" si="13"/>
        <v>39.469004015014669</v>
      </c>
      <c r="Z37" s="10">
        <f t="shared" si="5"/>
        <v>103.98435971907008</v>
      </c>
      <c r="AA37" s="20">
        <f>input!D36</f>
        <v>0</v>
      </c>
      <c r="AB37" s="19">
        <f t="shared" si="14"/>
        <v>0.99866597068041085</v>
      </c>
      <c r="AC37" s="21">
        <f t="shared" si="15"/>
        <v>1956.3459956959921</v>
      </c>
      <c r="AD37" s="8">
        <f t="shared" si="16"/>
        <v>58293.30024735583</v>
      </c>
      <c r="AE37" s="8">
        <f t="shared" si="17"/>
        <v>132832.41561050116</v>
      </c>
      <c r="AF37" s="8">
        <f t="shared" si="18"/>
        <v>924.44873613943741</v>
      </c>
      <c r="AG37" s="8">
        <f t="shared" si="19"/>
        <v>0</v>
      </c>
      <c r="AH37" s="8">
        <f t="shared" si="20"/>
        <v>145.59512668621923</v>
      </c>
      <c r="AI37" s="8">
        <f t="shared" si="21"/>
        <v>92237.108412280679</v>
      </c>
      <c r="AJ37" s="8">
        <f t="shared" si="22"/>
        <v>915.55308857565421</v>
      </c>
      <c r="AK37" s="8">
        <f t="shared" si="23"/>
        <v>0</v>
      </c>
      <c r="AL37" s="8">
        <f t="shared" si="24"/>
        <v>0.85527849861792937</v>
      </c>
      <c r="AM37" s="8">
        <f t="shared" si="25"/>
        <v>89401.60012561144</v>
      </c>
      <c r="AN37" s="8">
        <f t="shared" si="26"/>
        <v>1462.3097470833479</v>
      </c>
      <c r="AO37" s="8">
        <f t="shared" si="27"/>
        <v>0</v>
      </c>
    </row>
    <row r="38" spans="1:41">
      <c r="A38" s="1">
        <v>41765</v>
      </c>
      <c r="B38" s="5">
        <v>36</v>
      </c>
      <c r="C38" s="3">
        <f>B38/365+input!$K$2</f>
        <v>9.8630136986301367E-2</v>
      </c>
      <c r="D38" s="4">
        <f t="shared" si="0"/>
        <v>18.704057811692184</v>
      </c>
      <c r="E38" s="10">
        <f t="shared" si="6"/>
        <v>9.2506052592589896</v>
      </c>
      <c r="F38" s="20">
        <f>input!A37</f>
        <v>6341.69</v>
      </c>
      <c r="G38" s="19">
        <f t="shared" si="7"/>
        <v>2.5596011111068762E-3</v>
      </c>
      <c r="H38" s="21">
        <f t="shared" si="8"/>
        <v>6.104455783956853</v>
      </c>
      <c r="I38" s="5">
        <v>401</v>
      </c>
      <c r="J38" s="3">
        <f>I38/365+input!$K$2</f>
        <v>1.0986301369863014</v>
      </c>
      <c r="K38" s="4">
        <f t="shared" si="28"/>
        <v>29.924863614720532</v>
      </c>
      <c r="L38" s="10">
        <f t="shared" si="29"/>
        <v>42.407464030394486</v>
      </c>
      <c r="M38" s="20">
        <f>input!B37</f>
        <v>3095.57</v>
      </c>
      <c r="N38" s="19">
        <f t="shared" si="9"/>
        <v>0.69729869816976842</v>
      </c>
      <c r="O38" s="21">
        <f t="shared" si="10"/>
        <v>971.7899119664545</v>
      </c>
      <c r="P38" s="5">
        <v>766</v>
      </c>
      <c r="Q38" s="3">
        <f>P38/365+input!$K$2</f>
        <v>2.0986301369863014</v>
      </c>
      <c r="R38" s="4">
        <f t="shared" si="3"/>
        <v>36.207374455383686</v>
      </c>
      <c r="S38" s="10">
        <f t="shared" si="4"/>
        <v>78.632200333974751</v>
      </c>
      <c r="T38" s="20">
        <f>input!C37</f>
        <v>11.5</v>
      </c>
      <c r="U38" s="19">
        <f t="shared" si="11"/>
        <v>0.99045047944645248</v>
      </c>
      <c r="V38" s="21">
        <f t="shared" si="12"/>
        <v>1598.5031812046436</v>
      </c>
      <c r="W38" s="21">
        <v>1131</v>
      </c>
      <c r="X38" s="3">
        <f>W38/365+input!$K$2</f>
        <v>3.0986301369863014</v>
      </c>
      <c r="Y38" s="4">
        <f t="shared" si="13"/>
        <v>39.469004015014669</v>
      </c>
      <c r="Z38" s="10">
        <f t="shared" si="5"/>
        <v>103.98435971907008</v>
      </c>
      <c r="AA38" s="20">
        <f>input!D37</f>
        <v>0</v>
      </c>
      <c r="AB38" s="19">
        <f t="shared" si="14"/>
        <v>0.99866597068041085</v>
      </c>
      <c r="AC38" s="21">
        <f t="shared" si="15"/>
        <v>1956.3459956959921</v>
      </c>
      <c r="AD38" s="8">
        <f t="shared" si="16"/>
        <v>58664.470866590134</v>
      </c>
      <c r="AE38" s="8">
        <f t="shared" si="17"/>
        <v>131275.27342856827</v>
      </c>
      <c r="AF38" s="8">
        <f t="shared" si="18"/>
        <v>904.27030384070963</v>
      </c>
      <c r="AG38" s="8">
        <f t="shared" si="19"/>
        <v>0</v>
      </c>
      <c r="AH38" s="8">
        <f t="shared" si="20"/>
        <v>150.15764481262107</v>
      </c>
      <c r="AI38" s="8">
        <f t="shared" si="21"/>
        <v>91538.077263621046</v>
      </c>
      <c r="AJ38" s="8">
        <f t="shared" si="22"/>
        <v>895.6349559882201</v>
      </c>
      <c r="AK38" s="8">
        <f t="shared" si="23"/>
        <v>0</v>
      </c>
      <c r="AL38" s="8">
        <f t="shared" si="24"/>
        <v>0.91663070338174335</v>
      </c>
      <c r="AM38" s="8">
        <f t="shared" si="25"/>
        <v>88955.780045592794</v>
      </c>
      <c r="AN38" s="8">
        <f t="shared" si="26"/>
        <v>1431.6753263452506</v>
      </c>
      <c r="AO38" s="8">
        <f t="shared" si="27"/>
        <v>0</v>
      </c>
    </row>
    <row r="39" spans="1:41">
      <c r="A39" s="1">
        <v>41766</v>
      </c>
      <c r="B39" s="5">
        <v>37</v>
      </c>
      <c r="C39" s="3">
        <f>B39/365+input!$K$2</f>
        <v>0.10136986301369863</v>
      </c>
      <c r="D39" s="4">
        <f t="shared" si="0"/>
        <v>18.74453973936625</v>
      </c>
      <c r="E39" s="10">
        <f t="shared" si="6"/>
        <v>9.3156321411267982</v>
      </c>
      <c r="F39" s="20">
        <f>input!A38</f>
        <v>6337.34</v>
      </c>
      <c r="G39" s="19">
        <f t="shared" si="7"/>
        <v>2.6230031761322321E-3</v>
      </c>
      <c r="H39" s="21">
        <f t="shared" si="8"/>
        <v>6.3420751256061862</v>
      </c>
      <c r="I39" s="5">
        <v>402</v>
      </c>
      <c r="J39" s="3">
        <f>I39/365+input!$K$2</f>
        <v>1.1013698630136985</v>
      </c>
      <c r="K39" s="4">
        <f t="shared" si="28"/>
        <v>29.947529379900658</v>
      </c>
      <c r="L39" s="10">
        <f t="shared" si="29"/>
        <v>42.511622333213637</v>
      </c>
      <c r="M39" s="20">
        <f>input!B38</f>
        <v>3093.45</v>
      </c>
      <c r="N39" s="19">
        <f t="shared" si="9"/>
        <v>0.70019000380332452</v>
      </c>
      <c r="O39" s="21">
        <f t="shared" si="10"/>
        <v>974.31196414206681</v>
      </c>
      <c r="P39" s="5">
        <v>767</v>
      </c>
      <c r="Q39" s="3">
        <f>P39/365+input!$K$2</f>
        <v>2.1013698630136988</v>
      </c>
      <c r="R39" s="4">
        <f t="shared" si="3"/>
        <v>36.220064980285002</v>
      </c>
      <c r="S39" s="10">
        <f t="shared" si="4"/>
        <v>78.721530566938583</v>
      </c>
      <c r="T39" s="20">
        <f>input!C38</f>
        <v>11.43</v>
      </c>
      <c r="U39" s="19">
        <f t="shared" si="11"/>
        <v>0.99052294463492829</v>
      </c>
      <c r="V39" s="21">
        <f t="shared" si="12"/>
        <v>1599.8175745304284</v>
      </c>
      <c r="W39" s="21">
        <v>1132</v>
      </c>
      <c r="X39" s="3">
        <f>W39/365+input!$K$2</f>
        <v>3.1013698630136988</v>
      </c>
      <c r="Y39" s="4">
        <f t="shared" si="13"/>
        <v>39.469004015014669</v>
      </c>
      <c r="Z39" s="10">
        <f t="shared" si="5"/>
        <v>103.98435971907008</v>
      </c>
      <c r="AA39" s="20">
        <f>input!D38</f>
        <v>0</v>
      </c>
      <c r="AB39" s="19">
        <f t="shared" si="14"/>
        <v>0.99866597068041085</v>
      </c>
      <c r="AC39" s="21">
        <f t="shared" si="15"/>
        <v>1956.3459956959921</v>
      </c>
      <c r="AD39" s="8">
        <f t="shared" si="16"/>
        <v>59036.328193248504</v>
      </c>
      <c r="AE39" s="8">
        <f t="shared" si="17"/>
        <v>131507.57810667972</v>
      </c>
      <c r="AF39" s="8">
        <f t="shared" si="18"/>
        <v>899.78709438010799</v>
      </c>
      <c r="AG39" s="8">
        <f t="shared" si="19"/>
        <v>0</v>
      </c>
      <c r="AH39" s="8">
        <f t="shared" si="20"/>
        <v>154.85247635807568</v>
      </c>
      <c r="AI39" s="8">
        <f t="shared" si="21"/>
        <v>92080.291614682064</v>
      </c>
      <c r="AJ39" s="8">
        <f t="shared" si="22"/>
        <v>891.25976226989076</v>
      </c>
      <c r="AK39" s="8">
        <f t="shared" si="23"/>
        <v>0</v>
      </c>
      <c r="AL39" s="8">
        <f t="shared" si="24"/>
        <v>0.98208603844907183</v>
      </c>
      <c r="AM39" s="8">
        <f t="shared" si="25"/>
        <v>89714.929781875166</v>
      </c>
      <c r="AN39" s="8">
        <f t="shared" si="26"/>
        <v>1425.8530311511827</v>
      </c>
      <c r="AO39" s="8">
        <f t="shared" si="27"/>
        <v>0</v>
      </c>
    </row>
    <row r="40" spans="1:41">
      <c r="A40" s="1">
        <v>41767</v>
      </c>
      <c r="B40" s="5">
        <v>38</v>
      </c>
      <c r="C40" s="3">
        <f>B40/365+input!$K$2</f>
        <v>0.10410958904109589</v>
      </c>
      <c r="D40" s="4">
        <f t="shared" si="0"/>
        <v>18.784957390676013</v>
      </c>
      <c r="E40" s="10">
        <f t="shared" si="6"/>
        <v>9.3808703629643535</v>
      </c>
      <c r="F40" s="20">
        <f>input!A39</f>
        <v>6333</v>
      </c>
      <c r="G40" s="19">
        <f t="shared" si="7"/>
        <v>2.6878670795109846E-3</v>
      </c>
      <c r="H40" s="21">
        <f t="shared" si="8"/>
        <v>6.5874068265518098</v>
      </c>
      <c r="I40" s="5">
        <v>403</v>
      </c>
      <c r="J40" s="3">
        <f>I40/365+input!$K$2</f>
        <v>1.1041095890410959</v>
      </c>
      <c r="K40" s="4">
        <f t="shared" si="28"/>
        <v>29.970159156849405</v>
      </c>
      <c r="L40" s="10">
        <f t="shared" si="29"/>
        <v>42.615791568602738</v>
      </c>
      <c r="M40" s="20">
        <f>input!B39</f>
        <v>3067.98</v>
      </c>
      <c r="N40" s="19">
        <f t="shared" si="9"/>
        <v>0.70306089990189002</v>
      </c>
      <c r="O40" s="21">
        <f t="shared" si="10"/>
        <v>976.82470487272985</v>
      </c>
      <c r="P40" s="5">
        <v>768</v>
      </c>
      <c r="Q40" s="3">
        <f>P40/365+input!$K$2</f>
        <v>2.1041095890410957</v>
      </c>
      <c r="R40" s="4">
        <f t="shared" si="3"/>
        <v>36.232735355434336</v>
      </c>
      <c r="S40" s="10">
        <f t="shared" si="4"/>
        <v>78.810788933257541</v>
      </c>
      <c r="T40" s="20">
        <f>input!C39</f>
        <v>11.23</v>
      </c>
      <c r="U40" s="19">
        <f t="shared" si="11"/>
        <v>0.99059475138891584</v>
      </c>
      <c r="V40" s="21">
        <f t="shared" si="12"/>
        <v>1601.1304609161134</v>
      </c>
      <c r="W40" s="21">
        <v>1133</v>
      </c>
      <c r="X40" s="3">
        <f>W40/365+input!$K$2</f>
        <v>3.1041095890410957</v>
      </c>
      <c r="Y40" s="4">
        <f t="shared" si="13"/>
        <v>39.469004015014669</v>
      </c>
      <c r="Z40" s="10">
        <f t="shared" si="5"/>
        <v>103.98435971907008</v>
      </c>
      <c r="AA40" s="20">
        <f>input!D39</f>
        <v>0</v>
      </c>
      <c r="AB40" s="19">
        <f t="shared" si="14"/>
        <v>0.99866597068041085</v>
      </c>
      <c r="AC40" s="21">
        <f t="shared" si="15"/>
        <v>1956.3459956959921</v>
      </c>
      <c r="AD40" s="8">
        <f t="shared" si="16"/>
        <v>59409.052008653249</v>
      </c>
      <c r="AE40" s="8">
        <f t="shared" si="17"/>
        <v>130744.39621664184</v>
      </c>
      <c r="AF40" s="8">
        <f t="shared" si="18"/>
        <v>885.04515972048227</v>
      </c>
      <c r="AG40" s="8">
        <f t="shared" si="19"/>
        <v>0</v>
      </c>
      <c r="AH40" s="8">
        <f t="shared" si="20"/>
        <v>159.68363511901501</v>
      </c>
      <c r="AI40" s="8">
        <f t="shared" si="21"/>
        <v>91921.272861201476</v>
      </c>
      <c r="AJ40" s="8">
        <f t="shared" si="22"/>
        <v>876.7210899612744</v>
      </c>
      <c r="AK40" s="8">
        <f t="shared" si="23"/>
        <v>0</v>
      </c>
      <c r="AL40" s="8">
        <f t="shared" si="24"/>
        <v>1.0519010680716079</v>
      </c>
      <c r="AM40" s="8">
        <f t="shared" si="25"/>
        <v>89790.970234168795</v>
      </c>
      <c r="AN40" s="8">
        <f t="shared" si="26"/>
        <v>1403.7448428645725</v>
      </c>
      <c r="AO40" s="8">
        <f t="shared" si="27"/>
        <v>0</v>
      </c>
    </row>
    <row r="41" spans="1:41">
      <c r="A41" s="1">
        <v>41768</v>
      </c>
      <c r="B41" s="5">
        <v>39</v>
      </c>
      <c r="C41" s="3">
        <f>B41/365+input!$K$2</f>
        <v>0.10684931506849316</v>
      </c>
      <c r="D41" s="4">
        <f t="shared" si="0"/>
        <v>18.825310867678155</v>
      </c>
      <c r="E41" s="10">
        <f t="shared" si="6"/>
        <v>9.4463194296842836</v>
      </c>
      <c r="F41" s="20">
        <f>input!A40</f>
        <v>6328.67</v>
      </c>
      <c r="G41" s="19">
        <f t="shared" si="7"/>
        <v>2.7542237464974533E-3</v>
      </c>
      <c r="H41" s="21">
        <f t="shared" si="8"/>
        <v>6.8406400887585619</v>
      </c>
      <c r="I41" s="5">
        <v>404</v>
      </c>
      <c r="J41" s="3">
        <f>I41/365+input!$K$2</f>
        <v>1.106849315068493</v>
      </c>
      <c r="K41" s="4">
        <f t="shared" si="28"/>
        <v>29.992753002708142</v>
      </c>
      <c r="L41" s="10">
        <f t="shared" si="29"/>
        <v>42.719971324452395</v>
      </c>
      <c r="M41" s="20">
        <f>input!B40</f>
        <v>3047.35</v>
      </c>
      <c r="N41" s="19">
        <f t="shared" si="9"/>
        <v>0.70591133112993831</v>
      </c>
      <c r="O41" s="21">
        <f t="shared" si="10"/>
        <v>979.32819592662577</v>
      </c>
      <c r="P41" s="5">
        <v>769</v>
      </c>
      <c r="Q41" s="3">
        <f>P41/365+input!$K$2</f>
        <v>2.106849315068493</v>
      </c>
      <c r="R41" s="4">
        <f t="shared" si="3"/>
        <v>36.245385612825075</v>
      </c>
      <c r="S41" s="10">
        <f t="shared" si="4"/>
        <v>78.899975355278542</v>
      </c>
      <c r="T41" s="20">
        <f>input!C40</f>
        <v>11.1</v>
      </c>
      <c r="U41" s="19">
        <f t="shared" si="11"/>
        <v>0.99066590646440122</v>
      </c>
      <c r="V41" s="21">
        <f t="shared" si="12"/>
        <v>1602.4418414628899</v>
      </c>
      <c r="W41" s="21">
        <v>1134</v>
      </c>
      <c r="X41" s="3">
        <f>W41/365+input!$K$2</f>
        <v>3.106849315068493</v>
      </c>
      <c r="Y41" s="4">
        <f t="shared" si="13"/>
        <v>39.469004015014669</v>
      </c>
      <c r="Z41" s="10">
        <f t="shared" si="5"/>
        <v>103.98435971907008</v>
      </c>
      <c r="AA41" s="20">
        <f>input!D40</f>
        <v>0</v>
      </c>
      <c r="AB41" s="19">
        <f t="shared" si="14"/>
        <v>0.99866597068041085</v>
      </c>
      <c r="AC41" s="21">
        <f t="shared" si="15"/>
        <v>1956.3459956959921</v>
      </c>
      <c r="AD41" s="8">
        <f t="shared" si="16"/>
        <v>59782.638385060032</v>
      </c>
      <c r="AE41" s="8">
        <f t="shared" si="17"/>
        <v>130182.70461557001</v>
      </c>
      <c r="AF41" s="8">
        <f t="shared" si="18"/>
        <v>875.7897264435918</v>
      </c>
      <c r="AG41" s="8">
        <f t="shared" si="19"/>
        <v>0</v>
      </c>
      <c r="AH41" s="8">
        <f t="shared" si="20"/>
        <v>164.65476226840249</v>
      </c>
      <c r="AI41" s="8">
        <f t="shared" si="21"/>
        <v>91897.446305272591</v>
      </c>
      <c r="AJ41" s="8">
        <f t="shared" si="22"/>
        <v>867.6150232194509</v>
      </c>
      <c r="AK41" s="8">
        <f t="shared" si="23"/>
        <v>0</v>
      </c>
      <c r="AL41" s="8">
        <f t="shared" si="24"/>
        <v>1.1263439675782447</v>
      </c>
      <c r="AM41" s="8">
        <f t="shared" si="25"/>
        <v>89997.76030040656</v>
      </c>
      <c r="AN41" s="8">
        <f t="shared" si="26"/>
        <v>1390.302615488645</v>
      </c>
      <c r="AO41" s="8">
        <f t="shared" si="27"/>
        <v>0</v>
      </c>
    </row>
    <row r="42" spans="1:41">
      <c r="A42" s="1">
        <v>41769</v>
      </c>
      <c r="B42" s="5">
        <v>40</v>
      </c>
      <c r="C42" s="3">
        <f>B42/365+input!$K$2</f>
        <v>0.1095890410958904</v>
      </c>
      <c r="D42" s="4">
        <f t="shared" si="0"/>
        <v>18.865600272267312</v>
      </c>
      <c r="E42" s="10">
        <f t="shared" si="6"/>
        <v>9.5119788439337754</v>
      </c>
      <c r="F42" s="20">
        <f>input!A41</f>
        <v>6324.34</v>
      </c>
      <c r="G42" s="19">
        <f t="shared" si="7"/>
        <v>2.8221046874540314E-3</v>
      </c>
      <c r="H42" s="21">
        <f t="shared" si="8"/>
        <v>7.1019666123648593</v>
      </c>
      <c r="I42" s="5">
        <v>405</v>
      </c>
      <c r="J42" s="3">
        <f>I42/365+input!$K$2</f>
        <v>1.1095890410958904</v>
      </c>
      <c r="K42" s="4">
        <f t="shared" si="28"/>
        <v>30.015310974527505</v>
      </c>
      <c r="L42" s="10">
        <f t="shared" si="29"/>
        <v>42.82416118980634</v>
      </c>
      <c r="M42" s="20">
        <f>input!B41</f>
        <v>3014.78</v>
      </c>
      <c r="N42" s="19">
        <f t="shared" si="9"/>
        <v>0.70874124765168756</v>
      </c>
      <c r="O42" s="21">
        <f t="shared" si="10"/>
        <v>981.82249926499719</v>
      </c>
      <c r="P42" s="5">
        <v>770</v>
      </c>
      <c r="Q42" s="3">
        <f>P42/365+input!$K$2</f>
        <v>2.1095890410958904</v>
      </c>
      <c r="R42" s="4">
        <f t="shared" si="3"/>
        <v>36.258015784399767</v>
      </c>
      <c r="S42" s="10">
        <f t="shared" si="4"/>
        <v>78.989089755938906</v>
      </c>
      <c r="T42" s="20">
        <f>input!C41</f>
        <v>10.85</v>
      </c>
      <c r="U42" s="19">
        <f t="shared" si="11"/>
        <v>0.99073641654156708</v>
      </c>
      <c r="V42" s="21">
        <f t="shared" si="12"/>
        <v>1603.7517172659047</v>
      </c>
      <c r="W42" s="21">
        <v>1135</v>
      </c>
      <c r="X42" s="3">
        <f>W42/365+input!$K$2</f>
        <v>3.1095890410958904</v>
      </c>
      <c r="Y42" s="4">
        <f t="shared" si="13"/>
        <v>39.469004015014669</v>
      </c>
      <c r="Z42" s="10">
        <f t="shared" si="5"/>
        <v>103.98435971907008</v>
      </c>
      <c r="AA42" s="20">
        <f>input!D41</f>
        <v>0</v>
      </c>
      <c r="AB42" s="19">
        <f t="shared" si="14"/>
        <v>0.99866597068041085</v>
      </c>
      <c r="AC42" s="21">
        <f t="shared" si="15"/>
        <v>1956.3459956959921</v>
      </c>
      <c r="AD42" s="8">
        <f t="shared" si="16"/>
        <v>60156.988281844133</v>
      </c>
      <c r="AE42" s="8">
        <f t="shared" si="17"/>
        <v>129105.42467180437</v>
      </c>
      <c r="AF42" s="8">
        <f t="shared" si="18"/>
        <v>857.03162385193707</v>
      </c>
      <c r="AG42" s="8">
        <f t="shared" si="19"/>
        <v>0</v>
      </c>
      <c r="AH42" s="8">
        <f t="shared" si="20"/>
        <v>169.76931861330957</v>
      </c>
      <c r="AI42" s="8">
        <f t="shared" si="21"/>
        <v>91502.339760495597</v>
      </c>
      <c r="AJ42" s="8">
        <f t="shared" si="22"/>
        <v>849.0924398778684</v>
      </c>
      <c r="AK42" s="8">
        <f t="shared" si="23"/>
        <v>0</v>
      </c>
      <c r="AL42" s="8">
        <f t="shared" si="24"/>
        <v>1.2056960325956565</v>
      </c>
      <c r="AM42" s="8">
        <f t="shared" si="25"/>
        <v>89839.055912244701</v>
      </c>
      <c r="AN42" s="8">
        <f t="shared" si="26"/>
        <v>1361.7334585716285</v>
      </c>
      <c r="AO42" s="8">
        <f t="shared" si="27"/>
        <v>0</v>
      </c>
    </row>
    <row r="43" spans="1:41">
      <c r="A43" s="1">
        <v>41770</v>
      </c>
      <c r="B43" s="5">
        <v>41</v>
      </c>
      <c r="C43" s="3">
        <f>B43/365+input!$K$2</f>
        <v>0.11232876712328767</v>
      </c>
      <c r="D43" s="4">
        <f t="shared" si="0"/>
        <v>18.905825706176334</v>
      </c>
      <c r="E43" s="10">
        <f t="shared" si="6"/>
        <v>9.5778481061212641</v>
      </c>
      <c r="F43" s="20">
        <f>input!A42</f>
        <v>6320</v>
      </c>
      <c r="G43" s="19">
        <f t="shared" si="7"/>
        <v>2.8915420072011737E-3</v>
      </c>
      <c r="H43" s="21">
        <f t="shared" si="8"/>
        <v>7.3715805604245146</v>
      </c>
      <c r="I43" s="5">
        <v>406</v>
      </c>
      <c r="J43" s="3">
        <f>I43/365+input!$K$2</f>
        <v>1.1123287671232878</v>
      </c>
      <c r="K43" s="4">
        <f t="shared" si="28"/>
        <v>30.037833129267547</v>
      </c>
      <c r="L43" s="10">
        <f t="shared" si="29"/>
        <v>42.928360754861686</v>
      </c>
      <c r="M43" s="20">
        <f>input!B42</f>
        <v>3012.72</v>
      </c>
      <c r="N43" s="19">
        <f t="shared" si="9"/>
        <v>0.71155060504798884</v>
      </c>
      <c r="O43" s="21">
        <f t="shared" si="10"/>
        <v>984.30767702287324</v>
      </c>
      <c r="P43" s="5">
        <v>771</v>
      </c>
      <c r="Q43" s="3">
        <f>P43/365+input!$K$2</f>
        <v>2.1123287671232878</v>
      </c>
      <c r="R43" s="4">
        <f t="shared" si="3"/>
        <v>36.270625902050249</v>
      </c>
      <c r="S43" s="10">
        <f t="shared" si="4"/>
        <v>79.078132058764481</v>
      </c>
      <c r="T43" s="20">
        <f>input!C42</f>
        <v>10.79</v>
      </c>
      <c r="U43" s="19">
        <f t="shared" si="11"/>
        <v>0.99080628822569827</v>
      </c>
      <c r="V43" s="21">
        <f t="shared" si="12"/>
        <v>1605.0600894144302</v>
      </c>
      <c r="W43" s="21">
        <v>1136</v>
      </c>
      <c r="X43" s="3">
        <f>W43/365+input!$K$2</f>
        <v>3.1123287671232878</v>
      </c>
      <c r="Y43" s="4">
        <f t="shared" si="13"/>
        <v>39.469004015014669</v>
      </c>
      <c r="Z43" s="10">
        <f t="shared" si="5"/>
        <v>103.98435971907008</v>
      </c>
      <c r="AA43" s="20">
        <f>input!D42</f>
        <v>0</v>
      </c>
      <c r="AB43" s="19">
        <f t="shared" si="14"/>
        <v>0.99866597068041085</v>
      </c>
      <c r="AC43" s="21">
        <f t="shared" si="15"/>
        <v>1956.3459956959921</v>
      </c>
      <c r="AD43" s="8">
        <f t="shared" si="16"/>
        <v>60532.000030686388</v>
      </c>
      <c r="AE43" s="8">
        <f t="shared" si="17"/>
        <v>129331.13101338688</v>
      </c>
      <c r="AF43" s="8">
        <f t="shared" si="18"/>
        <v>853.25304491406871</v>
      </c>
      <c r="AG43" s="8">
        <f t="shared" si="19"/>
        <v>0</v>
      </c>
      <c r="AH43" s="8">
        <f t="shared" si="20"/>
        <v>175.03082086863242</v>
      </c>
      <c r="AI43" s="8">
        <f t="shared" si="21"/>
        <v>92025.644524116156</v>
      </c>
      <c r="AJ43" s="8">
        <f t="shared" si="22"/>
        <v>845.40848234858345</v>
      </c>
      <c r="AK43" s="8">
        <f t="shared" si="23"/>
        <v>0</v>
      </c>
      <c r="AL43" s="8">
        <f t="shared" si="24"/>
        <v>1.2902537965903562</v>
      </c>
      <c r="AM43" s="8">
        <f t="shared" si="25"/>
        <v>90581.548388065479</v>
      </c>
      <c r="AN43" s="8">
        <f t="shared" si="26"/>
        <v>1356.9314142701351</v>
      </c>
      <c r="AO43" s="8">
        <f t="shared" si="27"/>
        <v>0</v>
      </c>
    </row>
    <row r="44" spans="1:41">
      <c r="A44" s="1">
        <v>41771</v>
      </c>
      <c r="B44" s="5">
        <v>42</v>
      </c>
      <c r="C44" s="3">
        <f>B44/365+input!$K$2</f>
        <v>0.11506849315068493</v>
      </c>
      <c r="D44" s="4">
        <f t="shared" si="0"/>
        <v>18.945987270976527</v>
      </c>
      <c r="E44" s="10">
        <f t="shared" si="6"/>
        <v>9.6439267144430758</v>
      </c>
      <c r="F44" s="20">
        <f>input!A43</f>
        <v>6315.68</v>
      </c>
      <c r="G44" s="19">
        <f t="shared" si="7"/>
        <v>2.9625684144713228E-3</v>
      </c>
      <c r="H44" s="21">
        <f t="shared" si="8"/>
        <v>7.6496785212503911</v>
      </c>
      <c r="I44" s="5">
        <v>407</v>
      </c>
      <c r="J44" s="3">
        <f>I44/365+input!$K$2</f>
        <v>1.1150684931506849</v>
      </c>
      <c r="K44" s="4">
        <f t="shared" si="28"/>
        <v>30.060319523797887</v>
      </c>
      <c r="L44" s="10">
        <f t="shared" si="29"/>
        <v>43.032569610969063</v>
      </c>
      <c r="M44" s="20">
        <f>input!B43</f>
        <v>2969.51</v>
      </c>
      <c r="N44" s="19">
        <f t="shared" si="9"/>
        <v>0.71433936423185207</v>
      </c>
      <c r="O44" s="21">
        <f t="shared" si="10"/>
        <v>986.7837914901761</v>
      </c>
      <c r="P44" s="5">
        <v>772</v>
      </c>
      <c r="Q44" s="3">
        <f>P44/365+input!$K$2</f>
        <v>2.1150684931506851</v>
      </c>
      <c r="R44" s="4">
        <f t="shared" si="3"/>
        <v>36.283215997617731</v>
      </c>
      <c r="S44" s="10">
        <f t="shared" si="4"/>
        <v>79.167102187867869</v>
      </c>
      <c r="T44" s="20">
        <f>input!C43</f>
        <v>10.55</v>
      </c>
      <c r="U44" s="19">
        <f t="shared" si="11"/>
        <v>0.99087552804807699</v>
      </c>
      <c r="V44" s="21">
        <f t="shared" si="12"/>
        <v>1606.3669589920064</v>
      </c>
      <c r="W44" s="21">
        <v>1137</v>
      </c>
      <c r="X44" s="3">
        <f>W44/365+input!$K$2</f>
        <v>3.1150684931506851</v>
      </c>
      <c r="Y44" s="4">
        <f t="shared" si="13"/>
        <v>39.469004015014669</v>
      </c>
      <c r="Z44" s="10">
        <f t="shared" si="5"/>
        <v>103.98435971907008</v>
      </c>
      <c r="AA44" s="20">
        <f>input!D43</f>
        <v>0</v>
      </c>
      <c r="AB44" s="19">
        <f t="shared" si="14"/>
        <v>0.99866597068041085</v>
      </c>
      <c r="AC44" s="21">
        <f t="shared" si="15"/>
        <v>1956.3459956959921</v>
      </c>
      <c r="AD44" s="8">
        <f t="shared" si="16"/>
        <v>60907.955071873846</v>
      </c>
      <c r="AE44" s="8">
        <f t="shared" si="17"/>
        <v>127785.64578546875</v>
      </c>
      <c r="AF44" s="8">
        <f t="shared" si="18"/>
        <v>835.2129280820061</v>
      </c>
      <c r="AG44" s="8">
        <f t="shared" si="19"/>
        <v>0</v>
      </c>
      <c r="AH44" s="8">
        <f t="shared" si="20"/>
        <v>180.44398388597187</v>
      </c>
      <c r="AI44" s="8">
        <f t="shared" si="21"/>
        <v>91282.316968348387</v>
      </c>
      <c r="AJ44" s="8">
        <f t="shared" si="22"/>
        <v>827.59205114583835</v>
      </c>
      <c r="AK44" s="8">
        <f t="shared" si="23"/>
        <v>0</v>
      </c>
      <c r="AL44" s="8">
        <f t="shared" si="24"/>
        <v>1.3803384678213706</v>
      </c>
      <c r="AM44" s="8">
        <f t="shared" si="25"/>
        <v>90075.910834034861</v>
      </c>
      <c r="AN44" s="8">
        <f t="shared" si="26"/>
        <v>1329.4165264850974</v>
      </c>
      <c r="AO44" s="8">
        <f t="shared" si="27"/>
        <v>0</v>
      </c>
    </row>
    <row r="45" spans="1:41">
      <c r="A45" s="1">
        <v>41772</v>
      </c>
      <c r="B45" s="5">
        <v>43</v>
      </c>
      <c r="C45" s="3">
        <f>B45/365+input!$K$2</f>
        <v>0.11780821917808219</v>
      </c>
      <c r="D45" s="4">
        <f t="shared" si="0"/>
        <v>18.986085068077944</v>
      </c>
      <c r="E45" s="10">
        <f t="shared" si="6"/>
        <v>9.7102141649099085</v>
      </c>
      <c r="F45" s="20">
        <f>input!A44</f>
        <v>6311.35</v>
      </c>
      <c r="G45" s="19">
        <f t="shared" si="7"/>
        <v>3.0352172314666564E-3</v>
      </c>
      <c r="H45" s="21">
        <f t="shared" si="8"/>
        <v>7.9364594683490894</v>
      </c>
      <c r="I45" s="5">
        <v>408</v>
      </c>
      <c r="J45" s="3">
        <f>I45/365+input!$K$2</f>
        <v>1.1178082191780823</v>
      </c>
      <c r="K45" s="4">
        <f t="shared" si="28"/>
        <v>30.082770214897838</v>
      </c>
      <c r="L45" s="10">
        <f t="shared" si="29"/>
        <v>43.136787350631764</v>
      </c>
      <c r="M45" s="20">
        <f>input!B44</f>
        <v>2967.48</v>
      </c>
      <c r="N45" s="19">
        <f t="shared" si="9"/>
        <v>0.71710749136270846</v>
      </c>
      <c r="O45" s="21">
        <f t="shared" si="10"/>
        <v>989.25090509319728</v>
      </c>
      <c r="P45" s="5">
        <v>773</v>
      </c>
      <c r="Q45" s="3">
        <f>P45/365+input!$K$2</f>
        <v>2.117808219178082</v>
      </c>
      <c r="R45" s="4">
        <f t="shared" si="3"/>
        <v>36.295786102892862</v>
      </c>
      <c r="S45" s="10">
        <f t="shared" si="4"/>
        <v>79.256000067947184</v>
      </c>
      <c r="T45" s="20">
        <f>input!C44</f>
        <v>10.48</v>
      </c>
      <c r="U45" s="19">
        <f t="shared" si="11"/>
        <v>0.99094414246686569</v>
      </c>
      <c r="V45" s="21">
        <f t="shared" si="12"/>
        <v>1607.6723270766099</v>
      </c>
      <c r="W45" s="21">
        <v>1138</v>
      </c>
      <c r="X45" s="3">
        <f>W45/365+input!$K$2</f>
        <v>3.117808219178082</v>
      </c>
      <c r="Y45" s="4">
        <f t="shared" si="13"/>
        <v>39.469004015014669</v>
      </c>
      <c r="Z45" s="10">
        <f t="shared" si="5"/>
        <v>103.98435971907008</v>
      </c>
      <c r="AA45" s="20">
        <f>input!D44</f>
        <v>0</v>
      </c>
      <c r="AB45" s="19">
        <f t="shared" si="14"/>
        <v>0.99866597068041085</v>
      </c>
      <c r="AC45" s="21">
        <f t="shared" si="15"/>
        <v>1956.3459956959921</v>
      </c>
      <c r="AD45" s="8">
        <f t="shared" si="16"/>
        <v>61284.560169704157</v>
      </c>
      <c r="AE45" s="8">
        <f t="shared" si="17"/>
        <v>128007.55372725274</v>
      </c>
      <c r="AF45" s="8">
        <f t="shared" si="18"/>
        <v>830.60288071208652</v>
      </c>
      <c r="AG45" s="8">
        <f t="shared" si="19"/>
        <v>0</v>
      </c>
      <c r="AH45" s="8">
        <f t="shared" si="20"/>
        <v>186.01195304994118</v>
      </c>
      <c r="AI45" s="8">
        <f t="shared" si="21"/>
        <v>91795.175728827337</v>
      </c>
      <c r="AJ45" s="8">
        <f t="shared" si="22"/>
        <v>823.08105935774688</v>
      </c>
      <c r="AK45" s="8">
        <f t="shared" si="23"/>
        <v>0</v>
      </c>
      <c r="AL45" s="8">
        <f t="shared" si="24"/>
        <v>1.4762763260093119</v>
      </c>
      <c r="AM45" s="8">
        <f t="shared" si="25"/>
        <v>90808.460672931542</v>
      </c>
      <c r="AN45" s="8">
        <f t="shared" si="26"/>
        <v>1323.2446420703502</v>
      </c>
      <c r="AO45" s="8">
        <f t="shared" si="27"/>
        <v>0</v>
      </c>
    </row>
    <row r="46" spans="1:41">
      <c r="A46" s="1">
        <v>41773</v>
      </c>
      <c r="B46" s="5">
        <v>44</v>
      </c>
      <c r="C46" s="3">
        <f>B46/365+input!$K$2</f>
        <v>0.12054794520547946</v>
      </c>
      <c r="D46" s="4">
        <f t="shared" si="0"/>
        <v>19.02611919872961</v>
      </c>
      <c r="E46" s="10">
        <f t="shared" si="6"/>
        <v>9.7767099513732152</v>
      </c>
      <c r="F46" s="20">
        <f>input!A45</f>
        <v>6307.03</v>
      </c>
      <c r="G46" s="19">
        <f t="shared" si="7"/>
        <v>3.1095224035201361E-3</v>
      </c>
      <c r="H46" s="21">
        <f t="shared" si="8"/>
        <v>8.2321247179373991</v>
      </c>
      <c r="I46" s="5">
        <v>409</v>
      </c>
      <c r="J46" s="3">
        <f>I46/365+input!$K$2</f>
        <v>1.1205479452054794</v>
      </c>
      <c r="K46" s="4">
        <f t="shared" si="28"/>
        <v>30.105185259256572</v>
      </c>
      <c r="L46" s="10">
        <f t="shared" si="29"/>
        <v>43.241013567506542</v>
      </c>
      <c r="M46" s="20">
        <f>input!B45</f>
        <v>2942.79</v>
      </c>
      <c r="N46" s="19">
        <f t="shared" si="9"/>
        <v>0.71985495775952424</v>
      </c>
      <c r="O46" s="21">
        <f t="shared" si="10"/>
        <v>991.70908037646052</v>
      </c>
      <c r="P46" s="5">
        <v>774</v>
      </c>
      <c r="Q46" s="3">
        <f>P46/365+input!$K$2</f>
        <v>2.1205479452054794</v>
      </c>
      <c r="R46" s="4">
        <f t="shared" si="3"/>
        <v>36.308336249615806</v>
      </c>
      <c r="S46" s="10">
        <f t="shared" si="4"/>
        <v>79.344825624283686</v>
      </c>
      <c r="T46" s="20">
        <f>input!C45</f>
        <v>10.29</v>
      </c>
      <c r="U46" s="19">
        <f t="shared" si="11"/>
        <v>0.99101213786798126</v>
      </c>
      <c r="V46" s="21">
        <f t="shared" si="12"/>
        <v>1608.9761947407849</v>
      </c>
      <c r="W46" s="21">
        <v>1139</v>
      </c>
      <c r="X46" s="3">
        <f>W46/365+input!$K$2</f>
        <v>3.1205479452054794</v>
      </c>
      <c r="Y46" s="4">
        <f t="shared" si="13"/>
        <v>39.469004015014669</v>
      </c>
      <c r="Z46" s="10">
        <f t="shared" si="5"/>
        <v>103.98435971907008</v>
      </c>
      <c r="AA46" s="20">
        <f>input!D45</f>
        <v>0</v>
      </c>
      <c r="AB46" s="19">
        <f t="shared" si="14"/>
        <v>0.99866597068041085</v>
      </c>
      <c r="AC46" s="21">
        <f t="shared" si="15"/>
        <v>1956.3459956959921</v>
      </c>
      <c r="AD46" s="8">
        <f t="shared" si="16"/>
        <v>61662.002964609404</v>
      </c>
      <c r="AE46" s="8">
        <f t="shared" si="17"/>
        <v>127249.22231632257</v>
      </c>
      <c r="AF46" s="8">
        <f t="shared" si="18"/>
        <v>816.45825567387908</v>
      </c>
      <c r="AG46" s="8">
        <f t="shared" si="19"/>
        <v>0</v>
      </c>
      <c r="AH46" s="8">
        <f t="shared" si="20"/>
        <v>191.73937966437799</v>
      </c>
      <c r="AI46" s="8">
        <f t="shared" si="21"/>
        <v>91600.983555448693</v>
      </c>
      <c r="AJ46" s="8">
        <f t="shared" si="22"/>
        <v>809.12004143533375</v>
      </c>
      <c r="AK46" s="8">
        <f t="shared" si="23"/>
        <v>0</v>
      </c>
      <c r="AL46" s="8">
        <f t="shared" si="24"/>
        <v>1.5784224867371095</v>
      </c>
      <c r="AM46" s="8">
        <f t="shared" si="25"/>
        <v>90841.527163353312</v>
      </c>
      <c r="AN46" s="8">
        <f t="shared" si="26"/>
        <v>1301.8548853571294</v>
      </c>
      <c r="AO46" s="8">
        <f t="shared" si="27"/>
        <v>0</v>
      </c>
    </row>
    <row r="47" spans="1:41">
      <c r="A47" s="1">
        <v>41774</v>
      </c>
      <c r="B47" s="5">
        <v>45</v>
      </c>
      <c r="C47" s="3">
        <f>B47/365+input!$K$2</f>
        <v>0.12328767123287671</v>
      </c>
      <c r="D47" s="4">
        <f t="shared" si="0"/>
        <v>19.066089764019793</v>
      </c>
      <c r="E47" s="10">
        <f t="shared" si="6"/>
        <v>9.8434135655512804</v>
      </c>
      <c r="F47" s="20">
        <f>input!A46</f>
        <v>6302.71</v>
      </c>
      <c r="G47" s="19">
        <f t="shared" si="7"/>
        <v>3.1855185088597443E-3</v>
      </c>
      <c r="H47" s="21">
        <f t="shared" si="8"/>
        <v>8.5368778840350501</v>
      </c>
      <c r="I47" s="5">
        <v>410</v>
      </c>
      <c r="J47" s="3">
        <f>I47/365+input!$K$2</f>
        <v>1.1232876712328768</v>
      </c>
      <c r="K47" s="4">
        <f t="shared" si="28"/>
        <v>30.127564713473248</v>
      </c>
      <c r="L47" s="10">
        <f t="shared" si="29"/>
        <v>43.345247856402949</v>
      </c>
      <c r="M47" s="20">
        <f>input!B46</f>
        <v>2915.81</v>
      </c>
      <c r="N47" s="19">
        <f t="shared" si="9"/>
        <v>0.72258173981285601</v>
      </c>
      <c r="O47" s="21">
        <f t="shared" si="10"/>
        <v>994.15837998495056</v>
      </c>
      <c r="P47" s="5">
        <v>775</v>
      </c>
      <c r="Q47" s="3">
        <f>P47/365+input!$K$2</f>
        <v>2.1232876712328768</v>
      </c>
      <c r="R47" s="4">
        <f t="shared" si="3"/>
        <v>36.320866469476343</v>
      </c>
      <c r="S47" s="10">
        <f t="shared" si="4"/>
        <v>79.4335787827399</v>
      </c>
      <c r="T47" s="20">
        <f>input!C46</f>
        <v>10.130000000000001</v>
      </c>
      <c r="U47" s="19">
        <f t="shared" si="11"/>
        <v>0.99107952056595572</v>
      </c>
      <c r="V47" s="21">
        <f t="shared" si="12"/>
        <v>1610.2785630518049</v>
      </c>
      <c r="W47" s="21">
        <v>1140</v>
      </c>
      <c r="X47" s="3">
        <f>W47/365+input!$K$2</f>
        <v>3.1232876712328768</v>
      </c>
      <c r="Y47" s="4">
        <f t="shared" si="13"/>
        <v>39.469004015014669</v>
      </c>
      <c r="Z47" s="10">
        <f t="shared" si="5"/>
        <v>103.98435971907008</v>
      </c>
      <c r="AA47" s="20">
        <f>input!D46</f>
        <v>0</v>
      </c>
      <c r="AB47" s="19">
        <f t="shared" si="14"/>
        <v>0.99866597068041085</v>
      </c>
      <c r="AC47" s="21">
        <f t="shared" si="15"/>
        <v>1956.3459956959921</v>
      </c>
      <c r="AD47" s="8">
        <f t="shared" si="16"/>
        <v>62040.181113735714</v>
      </c>
      <c r="AE47" s="8">
        <f t="shared" si="17"/>
        <v>126386.50715217828</v>
      </c>
      <c r="AF47" s="8">
        <f t="shared" si="18"/>
        <v>804.66215306915524</v>
      </c>
      <c r="AG47" s="8">
        <f t="shared" si="19"/>
        <v>0</v>
      </c>
      <c r="AH47" s="8">
        <f t="shared" si="20"/>
        <v>197.63014523081586</v>
      </c>
      <c r="AI47" s="8">
        <f t="shared" si="21"/>
        <v>91324.582226890954</v>
      </c>
      <c r="AJ47" s="8">
        <f t="shared" si="22"/>
        <v>797.48418088134804</v>
      </c>
      <c r="AK47" s="8">
        <f t="shared" si="23"/>
        <v>0</v>
      </c>
      <c r="AL47" s="8">
        <f t="shared" si="24"/>
        <v>1.687144416039587</v>
      </c>
      <c r="AM47" s="8">
        <f t="shared" si="25"/>
        <v>90791.09871948832</v>
      </c>
      <c r="AN47" s="8">
        <f t="shared" si="26"/>
        <v>1284.1716808461629</v>
      </c>
      <c r="AO47" s="8">
        <f t="shared" si="27"/>
        <v>0</v>
      </c>
    </row>
    <row r="48" spans="1:41">
      <c r="A48" s="1">
        <v>41775</v>
      </c>
      <c r="B48" s="5">
        <v>46</v>
      </c>
      <c r="C48" s="3">
        <f>B48/365+input!$K$2</f>
        <v>0.12602739726027398</v>
      </c>
      <c r="D48" s="4">
        <f t="shared" si="0"/>
        <v>19.105996864876261</v>
      </c>
      <c r="E48" s="10">
        <f t="shared" si="6"/>
        <v>9.9103244970553028</v>
      </c>
      <c r="F48" s="20">
        <f>input!A47</f>
        <v>6298.4</v>
      </c>
      <c r="G48" s="19">
        <f t="shared" si="7"/>
        <v>3.2632407684752489E-3</v>
      </c>
      <c r="H48" s="21">
        <f t="shared" si="8"/>
        <v>8.8509248311295661</v>
      </c>
      <c r="I48" s="5">
        <v>411</v>
      </c>
      <c r="J48" s="3">
        <f>I48/365+input!$K$2</f>
        <v>1.1260273972602739</v>
      </c>
      <c r="K48" s="4">
        <f t="shared" si="28"/>
        <v>30.149908634057134</v>
      </c>
      <c r="L48" s="10">
        <f t="shared" si="29"/>
        <v>43.449489813283122</v>
      </c>
      <c r="M48" s="20">
        <f>input!B47</f>
        <v>2890.98</v>
      </c>
      <c r="N48" s="19">
        <f t="shared" si="9"/>
        <v>0.72528781889596028</v>
      </c>
      <c r="O48" s="21">
        <f t="shared" si="10"/>
        <v>996.59886664670671</v>
      </c>
      <c r="P48" s="5">
        <v>776</v>
      </c>
      <c r="Q48" s="3">
        <f>P48/365+input!$K$2</f>
        <v>2.1260273972602741</v>
      </c>
      <c r="R48" s="4">
        <f t="shared" si="3"/>
        <v>36.333376794113931</v>
      </c>
      <c r="S48" s="10">
        <f t="shared" si="4"/>
        <v>79.522259469758765</v>
      </c>
      <c r="T48" s="20">
        <f>input!C47</f>
        <v>9.9600000000000009</v>
      </c>
      <c r="U48" s="19">
        <f t="shared" si="11"/>
        <v>0.9911462968047885</v>
      </c>
      <c r="V48" s="21">
        <f t="shared" si="12"/>
        <v>1611.5794330718222</v>
      </c>
      <c r="W48" s="21">
        <v>1141</v>
      </c>
      <c r="X48" s="3">
        <f>W48/365+input!$K$2</f>
        <v>3.1260273972602741</v>
      </c>
      <c r="Y48" s="4">
        <f t="shared" si="13"/>
        <v>39.469004015014669</v>
      </c>
      <c r="Z48" s="10">
        <f t="shared" si="5"/>
        <v>103.98435971907008</v>
      </c>
      <c r="AA48" s="20">
        <f>input!D47</f>
        <v>0</v>
      </c>
      <c r="AB48" s="19">
        <f t="shared" si="14"/>
        <v>0.99866597068041085</v>
      </c>
      <c r="AC48" s="21">
        <f t="shared" si="15"/>
        <v>1956.3459956959921</v>
      </c>
      <c r="AD48" s="8">
        <f t="shared" si="16"/>
        <v>62419.187812253112</v>
      </c>
      <c r="AE48" s="8">
        <f t="shared" si="17"/>
        <v>125611.60606040525</v>
      </c>
      <c r="AF48" s="8">
        <f t="shared" si="18"/>
        <v>792.04170431879731</v>
      </c>
      <c r="AG48" s="8">
        <f t="shared" si="19"/>
        <v>0</v>
      </c>
      <c r="AH48" s="8">
        <f t="shared" si="20"/>
        <v>203.68883840405775</v>
      </c>
      <c r="AI48" s="8">
        <f t="shared" si="21"/>
        <v>91104.567787569904</v>
      </c>
      <c r="AJ48" s="8">
        <f t="shared" si="22"/>
        <v>785.02920215052916</v>
      </c>
      <c r="AK48" s="8">
        <f t="shared" si="23"/>
        <v>0</v>
      </c>
      <c r="AL48" s="8">
        <f t="shared" si="24"/>
        <v>1.8028345976544125</v>
      </c>
      <c r="AM48" s="8">
        <f t="shared" si="25"/>
        <v>90794.709003430238</v>
      </c>
      <c r="AN48" s="8">
        <f t="shared" si="26"/>
        <v>1265.1369165465749</v>
      </c>
      <c r="AO48" s="8">
        <f t="shared" si="27"/>
        <v>0</v>
      </c>
    </row>
    <row r="49" spans="1:41">
      <c r="A49" s="1">
        <v>41776</v>
      </c>
      <c r="B49" s="5">
        <v>47</v>
      </c>
      <c r="C49" s="3">
        <f>B49/365+input!$K$2</f>
        <v>0.12876712328767123</v>
      </c>
      <c r="D49" s="4">
        <f t="shared" si="0"/>
        <v>19.14584060206651</v>
      </c>
      <c r="E49" s="10">
        <f t="shared" si="6"/>
        <v>9.9774422334152693</v>
      </c>
      <c r="F49" s="20">
        <f>input!A48</f>
        <v>6294.09</v>
      </c>
      <c r="G49" s="19">
        <f t="shared" si="7"/>
        <v>3.3427250560870703E-3</v>
      </c>
      <c r="H49" s="21">
        <f t="shared" si="8"/>
        <v>9.1744736244122294</v>
      </c>
      <c r="I49" s="5">
        <v>412</v>
      </c>
      <c r="J49" s="3">
        <f>I49/365+input!$K$2</f>
        <v>1.1287671232876713</v>
      </c>
      <c r="K49" s="4">
        <f t="shared" si="28"/>
        <v>30.17221707742782</v>
      </c>
      <c r="L49" s="10">
        <f t="shared" si="29"/>
        <v>43.553739035262254</v>
      </c>
      <c r="M49" s="20">
        <f>input!B48</f>
        <v>2889</v>
      </c>
      <c r="N49" s="19">
        <f t="shared" si="9"/>
        <v>0.72797318127505839</v>
      </c>
      <c r="O49" s="21">
        <f t="shared" si="10"/>
        <v>999.03060315581263</v>
      </c>
      <c r="P49" s="5">
        <v>777</v>
      </c>
      <c r="Q49" s="3">
        <f>P49/365+input!$K$2</f>
        <v>2.128767123287671</v>
      </c>
      <c r="R49" s="4">
        <f t="shared" si="3"/>
        <v>36.345867255117795</v>
      </c>
      <c r="S49" s="10">
        <f t="shared" si="4"/>
        <v>79.610867612361162</v>
      </c>
      <c r="T49" s="20">
        <f>input!C48</f>
        <v>9.9</v>
      </c>
      <c r="U49" s="19">
        <f t="shared" si="11"/>
        <v>0.99121247275878577</v>
      </c>
      <c r="V49" s="21">
        <f t="shared" si="12"/>
        <v>1612.8788058579933</v>
      </c>
      <c r="W49" s="21">
        <v>1142</v>
      </c>
      <c r="X49" s="3">
        <f>W49/365+input!$K$2</f>
        <v>3.128767123287671</v>
      </c>
      <c r="Y49" s="4">
        <f t="shared" si="13"/>
        <v>39.469004015014669</v>
      </c>
      <c r="Z49" s="10">
        <f t="shared" si="5"/>
        <v>103.98435971907008</v>
      </c>
      <c r="AA49" s="20">
        <f>input!D48</f>
        <v>0</v>
      </c>
      <c r="AB49" s="19">
        <f t="shared" si="14"/>
        <v>0.99866597068041085</v>
      </c>
      <c r="AC49" s="21">
        <f t="shared" si="15"/>
        <v>1956.3459956959921</v>
      </c>
      <c r="AD49" s="8">
        <f t="shared" si="16"/>
        <v>62798.919386916714</v>
      </c>
      <c r="AE49" s="8">
        <f t="shared" si="17"/>
        <v>125826.75207287265</v>
      </c>
      <c r="AF49" s="8">
        <f t="shared" si="18"/>
        <v>788.14758936237558</v>
      </c>
      <c r="AG49" s="8">
        <f t="shared" si="19"/>
        <v>0</v>
      </c>
      <c r="AH49" s="8">
        <f t="shared" si="20"/>
        <v>209.91952132983857</v>
      </c>
      <c r="AI49" s="8">
        <f t="shared" si="21"/>
        <v>91598.50099599715</v>
      </c>
      <c r="AJ49" s="8">
        <f t="shared" si="22"/>
        <v>781.22172095075643</v>
      </c>
      <c r="AK49" s="8">
        <f t="shared" si="23"/>
        <v>0</v>
      </c>
      <c r="AL49" s="8">
        <f t="shared" si="24"/>
        <v>1.9259011116898443</v>
      </c>
      <c r="AM49" s="8">
        <f t="shared" si="25"/>
        <v>91509.705698199337</v>
      </c>
      <c r="AN49" s="8">
        <f t="shared" si="26"/>
        <v>1260.0159563973825</v>
      </c>
      <c r="AO49" s="8">
        <f t="shared" si="27"/>
        <v>0</v>
      </c>
    </row>
    <row r="50" spans="1:41">
      <c r="A50" s="1">
        <v>41777</v>
      </c>
      <c r="B50" s="5">
        <v>48</v>
      </c>
      <c r="C50" s="3">
        <f>B50/365+input!$K$2</f>
        <v>0.13150684931506848</v>
      </c>
      <c r="D50" s="4">
        <f t="shared" si="0"/>
        <v>19.185621076198064</v>
      </c>
      <c r="E50" s="10">
        <f t="shared" si="6"/>
        <v>10.044766260105678</v>
      </c>
      <c r="F50" s="20">
        <f>input!A49</f>
        <v>6289.78</v>
      </c>
      <c r="G50" s="19">
        <f t="shared" si="7"/>
        <v>3.4240079082167919E-3</v>
      </c>
      <c r="H50" s="21">
        <f t="shared" si="8"/>
        <v>9.5077344775868724</v>
      </c>
      <c r="I50" s="5">
        <v>413</v>
      </c>
      <c r="J50" s="3">
        <f>I50/365+input!$K$2</f>
        <v>1.1315068493150684</v>
      </c>
      <c r="K50" s="4">
        <f t="shared" si="28"/>
        <v>30.194490099915281</v>
      </c>
      <c r="L50" s="10">
        <f t="shared" si="29"/>
        <v>43.657995120607872</v>
      </c>
      <c r="M50" s="20">
        <f>input!B49</f>
        <v>2847.47</v>
      </c>
      <c r="N50" s="19">
        <f t="shared" si="9"/>
        <v>0.73063781801882799</v>
      </c>
      <c r="O50" s="21">
        <f t="shared" si="10"/>
        <v>1001.453652355715</v>
      </c>
      <c r="P50" s="5">
        <v>778</v>
      </c>
      <c r="Q50" s="3">
        <f>P50/365+input!$K$2</f>
        <v>2.1315068493150684</v>
      </c>
      <c r="R50" s="4">
        <f t="shared" si="3"/>
        <v>36.358337884027002</v>
      </c>
      <c r="S50" s="10">
        <f t="shared" si="4"/>
        <v>79.699403138144149</v>
      </c>
      <c r="T50" s="20">
        <f>input!C49</f>
        <v>9.67</v>
      </c>
      <c r="U50" s="19">
        <f t="shared" si="11"/>
        <v>0.99127805453339246</v>
      </c>
      <c r="V50" s="21">
        <f t="shared" si="12"/>
        <v>1614.1766824626343</v>
      </c>
      <c r="W50" s="21">
        <v>1143</v>
      </c>
      <c r="X50" s="3">
        <f>W50/365+input!$K$2</f>
        <v>3.1315068493150684</v>
      </c>
      <c r="Y50" s="4">
        <f t="shared" si="13"/>
        <v>39.469004015014669</v>
      </c>
      <c r="Z50" s="10">
        <f t="shared" si="5"/>
        <v>103.98435971907008</v>
      </c>
      <c r="AA50" s="20">
        <f>input!D49</f>
        <v>0</v>
      </c>
      <c r="AB50" s="19">
        <f t="shared" si="14"/>
        <v>0.99866597068041085</v>
      </c>
      <c r="AC50" s="21">
        <f t="shared" si="15"/>
        <v>1956.3459956959921</v>
      </c>
      <c r="AD50" s="8">
        <f t="shared" si="16"/>
        <v>63179.369927487489</v>
      </c>
      <c r="AE50" s="8">
        <f t="shared" si="17"/>
        <v>124314.83136607728</v>
      </c>
      <c r="AF50" s="8">
        <f t="shared" si="18"/>
        <v>770.69322834585387</v>
      </c>
      <c r="AG50" s="8">
        <f t="shared" si="19"/>
        <v>0</v>
      </c>
      <c r="AH50" s="8">
        <f t="shared" si="20"/>
        <v>216.32666226787131</v>
      </c>
      <c r="AI50" s="8">
        <f t="shared" si="21"/>
        <v>90829.117136689267</v>
      </c>
      <c r="AJ50" s="8">
        <f t="shared" si="22"/>
        <v>763.97128403673764</v>
      </c>
      <c r="AK50" s="8">
        <f t="shared" si="23"/>
        <v>0</v>
      </c>
      <c r="AL50" s="8">
        <f t="shared" si="24"/>
        <v>2.0567764652655316</v>
      </c>
      <c r="AM50" s="8">
        <f t="shared" si="25"/>
        <v>90961.151096782531</v>
      </c>
      <c r="AN50" s="8">
        <f t="shared" si="26"/>
        <v>1233.1846327631401</v>
      </c>
      <c r="AO50" s="8">
        <f t="shared" si="27"/>
        <v>0</v>
      </c>
    </row>
    <row r="51" spans="1:41">
      <c r="A51" s="1">
        <v>41778</v>
      </c>
      <c r="B51" s="5">
        <v>49</v>
      </c>
      <c r="C51" s="3">
        <f>B51/365+input!$K$2</f>
        <v>0.13424657534246576</v>
      </c>
      <c r="D51" s="4">
        <f t="shared" si="0"/>
        <v>19.225338387718697</v>
      </c>
      <c r="E51" s="10">
        <f t="shared" si="6"/>
        <v>10.112296060571088</v>
      </c>
      <c r="F51" s="20">
        <f>input!A50</f>
        <v>6285.47</v>
      </c>
      <c r="G51" s="19">
        <f t="shared" si="7"/>
        <v>3.5071265343584435E-3</v>
      </c>
      <c r="H51" s="21">
        <f t="shared" si="8"/>
        <v>9.8509196982546303</v>
      </c>
      <c r="I51" s="5">
        <v>414</v>
      </c>
      <c r="J51" s="3">
        <f>I51/365+input!$K$2</f>
        <v>1.1342465753424658</v>
      </c>
      <c r="K51" s="4">
        <f t="shared" si="28"/>
        <v>30.216727757760051</v>
      </c>
      <c r="L51" s="10">
        <f t="shared" si="29"/>
        <v>43.762257668739515</v>
      </c>
      <c r="M51" s="20">
        <f>input!B50</f>
        <v>2845.52</v>
      </c>
      <c r="N51" s="19">
        <f t="shared" si="9"/>
        <v>0.73328172490725396</v>
      </c>
      <c r="O51" s="21">
        <f t="shared" si="10"/>
        <v>1003.8680771229281</v>
      </c>
      <c r="P51" s="5">
        <v>779</v>
      </c>
      <c r="Q51" s="3">
        <f>P51/365+input!$K$2</f>
        <v>2.1342465753424658</v>
      </c>
      <c r="R51" s="4">
        <f t="shared" si="3"/>
        <v>36.370788712330523</v>
      </c>
      <c r="S51" s="10">
        <f t="shared" si="4"/>
        <v>79.787865975279161</v>
      </c>
      <c r="T51" s="20">
        <f>input!C50</f>
        <v>9.61</v>
      </c>
      <c r="U51" s="19">
        <f t="shared" si="11"/>
        <v>0.9913430481660116</v>
      </c>
      <c r="V51" s="21">
        <f t="shared" si="12"/>
        <v>1615.4730639333457</v>
      </c>
      <c r="W51" s="21">
        <v>1144</v>
      </c>
      <c r="X51" s="3">
        <f>W51/365+input!$K$2</f>
        <v>3.1342465753424658</v>
      </c>
      <c r="Y51" s="4">
        <f t="shared" si="13"/>
        <v>39.469004015014669</v>
      </c>
      <c r="Z51" s="10">
        <f t="shared" si="5"/>
        <v>103.98435971907008</v>
      </c>
      <c r="AA51" s="20">
        <f>input!D50</f>
        <v>0</v>
      </c>
      <c r="AB51" s="19">
        <f t="shared" si="14"/>
        <v>0.99866597068041085</v>
      </c>
      <c r="AC51" s="21">
        <f t="shared" si="15"/>
        <v>1956.3459956959921</v>
      </c>
      <c r="AD51" s="8">
        <f t="shared" si="16"/>
        <v>63560.533519837758</v>
      </c>
      <c r="AE51" s="8">
        <f t="shared" si="17"/>
        <v>124526.37944155166</v>
      </c>
      <c r="AF51" s="8">
        <f t="shared" si="18"/>
        <v>766.76139202243269</v>
      </c>
      <c r="AG51" s="8">
        <f t="shared" si="19"/>
        <v>0</v>
      </c>
      <c r="AH51" s="8">
        <f t="shared" si="20"/>
        <v>222.91483364540227</v>
      </c>
      <c r="AI51" s="8">
        <f t="shared" si="21"/>
        <v>91312.918313356204</v>
      </c>
      <c r="AJ51" s="8">
        <f t="shared" si="22"/>
        <v>760.12357558353256</v>
      </c>
      <c r="AK51" s="8">
        <f t="shared" si="23"/>
        <v>0</v>
      </c>
      <c r="AL51" s="8">
        <f t="shared" si="24"/>
        <v>2.1959161257906472</v>
      </c>
      <c r="AM51" s="8">
        <f t="shared" si="25"/>
        <v>91666.123723711891</v>
      </c>
      <c r="AN51" s="8">
        <f t="shared" si="26"/>
        <v>1227.9591616158993</v>
      </c>
      <c r="AO51" s="8">
        <f t="shared" si="27"/>
        <v>0</v>
      </c>
    </row>
    <row r="52" spans="1:41">
      <c r="A52" s="1">
        <v>41779</v>
      </c>
      <c r="B52" s="5">
        <v>50</v>
      </c>
      <c r="C52" s="3">
        <f>B52/365+input!$K$2</f>
        <v>0.13698630136986301</v>
      </c>
      <c r="D52" s="4">
        <f t="shared" si="0"/>
        <v>19.264992636916677</v>
      </c>
      <c r="E52" s="10">
        <f t="shared" si="6"/>
        <v>10.180031116251586</v>
      </c>
      <c r="F52" s="20">
        <f>input!A51</f>
        <v>6281.17</v>
      </c>
      <c r="G52" s="19">
        <f t="shared" si="7"/>
        <v>3.5921188272499361E-3</v>
      </c>
      <c r="H52" s="21">
        <f t="shared" si="8"/>
        <v>10.204243630881946</v>
      </c>
      <c r="I52" s="5">
        <v>415</v>
      </c>
      <c r="J52" s="3">
        <f>I52/365+input!$K$2</f>
        <v>1.1369863013698631</v>
      </c>
      <c r="K52" s="4">
        <f t="shared" si="28"/>
        <v>30.238930107113379</v>
      </c>
      <c r="L52" s="10">
        <f t="shared" si="29"/>
        <v>43.866526280229159</v>
      </c>
      <c r="M52" s="20">
        <f>input!B51</f>
        <v>2813.92</v>
      </c>
      <c r="N52" s="19">
        <f t="shared" si="9"/>
        <v>0.73590490233990458</v>
      </c>
      <c r="O52" s="21">
        <f t="shared" si="10"/>
        <v>1006.2739403511075</v>
      </c>
      <c r="P52" s="5">
        <v>780</v>
      </c>
      <c r="Q52" s="3">
        <f>P52/365+input!$K$2</f>
        <v>2.1369863013698631</v>
      </c>
      <c r="R52" s="4">
        <f t="shared" si="3"/>
        <v>36.383219771467374</v>
      </c>
      <c r="S52" s="10">
        <f t="shared" si="4"/>
        <v>79.876256052511181</v>
      </c>
      <c r="T52" s="20">
        <f>input!C51</f>
        <v>9.4</v>
      </c>
      <c r="U52" s="19">
        <f t="shared" si="11"/>
        <v>0.99140745962681343</v>
      </c>
      <c r="V52" s="21">
        <f t="shared" si="12"/>
        <v>1616.7679513131607</v>
      </c>
      <c r="W52" s="21">
        <v>1145</v>
      </c>
      <c r="X52" s="3">
        <f>W52/365+input!$K$2</f>
        <v>3.1369863013698631</v>
      </c>
      <c r="Y52" s="4">
        <f t="shared" si="13"/>
        <v>39.469004015014669</v>
      </c>
      <c r="Z52" s="10">
        <f t="shared" si="5"/>
        <v>103.98435971907008</v>
      </c>
      <c r="AA52" s="20">
        <f>input!D51</f>
        <v>0</v>
      </c>
      <c r="AB52" s="19">
        <f t="shared" si="14"/>
        <v>0.99866597068041085</v>
      </c>
      <c r="AC52" s="21">
        <f t="shared" si="15"/>
        <v>1956.3459956959921</v>
      </c>
      <c r="AD52" s="8">
        <f t="shared" si="16"/>
        <v>63942.506046465976</v>
      </c>
      <c r="AE52" s="8">
        <f t="shared" si="17"/>
        <v>123436.89563046244</v>
      </c>
      <c r="AF52" s="8">
        <f t="shared" si="18"/>
        <v>750.83680689360517</v>
      </c>
      <c r="AG52" s="8">
        <f t="shared" si="19"/>
        <v>0</v>
      </c>
      <c r="AH52" s="8">
        <f t="shared" si="20"/>
        <v>229.68907983105331</v>
      </c>
      <c r="AI52" s="8">
        <f t="shared" si="21"/>
        <v>90837.816624076455</v>
      </c>
      <c r="AJ52" s="8">
        <f t="shared" si="22"/>
        <v>744.38521131669734</v>
      </c>
      <c r="AK52" s="8">
        <f t="shared" si="23"/>
        <v>0</v>
      </c>
      <c r="AL52" s="8">
        <f t="shared" si="24"/>
        <v>2.3438033299491603</v>
      </c>
      <c r="AM52" s="8">
        <f t="shared" si="25"/>
        <v>91407.727667200757</v>
      </c>
      <c r="AN52" s="8">
        <f t="shared" si="26"/>
        <v>1203.498153088311</v>
      </c>
      <c r="AO52" s="8">
        <f t="shared" si="27"/>
        <v>0</v>
      </c>
    </row>
    <row r="53" spans="1:41">
      <c r="A53" s="1">
        <v>41780</v>
      </c>
      <c r="B53" s="5">
        <v>51</v>
      </c>
      <c r="C53" s="3">
        <f>B53/365+input!$K$2</f>
        <v>0.13972602739726028</v>
      </c>
      <c r="D53" s="4">
        <f t="shared" si="0"/>
        <v>19.304583923921069</v>
      </c>
      <c r="E53" s="10">
        <f t="shared" si="6"/>
        <v>10.247970906608147</v>
      </c>
      <c r="F53" s="20">
        <f>input!A52</f>
        <v>6276.87</v>
      </c>
      <c r="G53" s="19">
        <f t="shared" si="7"/>
        <v>3.6790233732439583E-3</v>
      </c>
      <c r="H53" s="21">
        <f t="shared" si="8"/>
        <v>10.567922597361218</v>
      </c>
      <c r="I53" s="5">
        <v>416</v>
      </c>
      <c r="J53" s="3">
        <f>I53/365+input!$K$2</f>
        <v>1.1397260273972603</v>
      </c>
      <c r="K53" s="4">
        <f t="shared" si="28"/>
        <v>30.261097204037355</v>
      </c>
      <c r="L53" s="10">
        <f t="shared" si="29"/>
        <v>43.970800556800398</v>
      </c>
      <c r="M53" s="20">
        <f>input!B52</f>
        <v>2795.02</v>
      </c>
      <c r="N53" s="19">
        <f t="shared" si="9"/>
        <v>0.73850735524372568</v>
      </c>
      <c r="O53" s="21">
        <f t="shared" si="10"/>
        <v>1008.6713049354631</v>
      </c>
      <c r="P53" s="5">
        <v>781</v>
      </c>
      <c r="Q53" s="3">
        <f>P53/365+input!$K$2</f>
        <v>2.1397260273972605</v>
      </c>
      <c r="R53" s="4">
        <f t="shared" si="3"/>
        <v>36.395631092826605</v>
      </c>
      <c r="S53" s="10">
        <f t="shared" si="4"/>
        <v>79.96457329915583</v>
      </c>
      <c r="T53" s="20">
        <f>input!C52</f>
        <v>9.2899999999999991</v>
      </c>
      <c r="U53" s="19">
        <f t="shared" si="11"/>
        <v>0.991471294819537</v>
      </c>
      <c r="V53" s="21">
        <f t="shared" si="12"/>
        <v>1618.0613456406581</v>
      </c>
      <c r="W53" s="21">
        <v>1146</v>
      </c>
      <c r="X53" s="3">
        <f>W53/365+input!$K$2</f>
        <v>3.1397260273972605</v>
      </c>
      <c r="Y53" s="4">
        <f t="shared" si="13"/>
        <v>39.469004015014669</v>
      </c>
      <c r="Z53" s="10">
        <f t="shared" si="5"/>
        <v>103.98435971907008</v>
      </c>
      <c r="AA53" s="20">
        <f>input!D52</f>
        <v>0</v>
      </c>
      <c r="AB53" s="19">
        <f t="shared" si="14"/>
        <v>0.99866597068041085</v>
      </c>
      <c r="AC53" s="21">
        <f t="shared" si="15"/>
        <v>1956.3459956959921</v>
      </c>
      <c r="AD53" s="8">
        <f t="shared" si="16"/>
        <v>64325.18114456148</v>
      </c>
      <c r="AE53" s="8">
        <f t="shared" si="17"/>
        <v>122899.26697226825</v>
      </c>
      <c r="AF53" s="8">
        <f t="shared" si="18"/>
        <v>742.87088594915758</v>
      </c>
      <c r="AG53" s="8">
        <f t="shared" si="19"/>
        <v>0</v>
      </c>
      <c r="AH53" s="8">
        <f t="shared" si="20"/>
        <v>236.65384491899323</v>
      </c>
      <c r="AI53" s="8">
        <f t="shared" si="21"/>
        <v>90762.012613082392</v>
      </c>
      <c r="AJ53" s="8">
        <f t="shared" si="22"/>
        <v>736.53515917574782</v>
      </c>
      <c r="AK53" s="8">
        <f t="shared" si="23"/>
        <v>0</v>
      </c>
      <c r="AL53" s="8">
        <f t="shared" si="24"/>
        <v>2.5009395154718459</v>
      </c>
      <c r="AM53" s="8">
        <f t="shared" si="25"/>
        <v>91549.03770100679</v>
      </c>
      <c r="AN53" s="8">
        <f t="shared" si="26"/>
        <v>1191.7590707675668</v>
      </c>
      <c r="AO53" s="8">
        <f t="shared" si="27"/>
        <v>0</v>
      </c>
    </row>
    <row r="54" spans="1:41">
      <c r="A54" s="1">
        <v>41781</v>
      </c>
      <c r="B54" s="5">
        <v>52</v>
      </c>
      <c r="C54" s="3">
        <f>B54/365+input!$K$2</f>
        <v>0.14246575342465753</v>
      </c>
      <c r="D54" s="4">
        <f t="shared" si="0"/>
        <v>19.344112348701923</v>
      </c>
      <c r="E54" s="10">
        <f t="shared" si="6"/>
        <v>10.316114909147625</v>
      </c>
      <c r="F54" s="20">
        <f>input!A53</f>
        <v>6272.57</v>
      </c>
      <c r="G54" s="19">
        <f t="shared" si="7"/>
        <v>3.7678794627771265E-3</v>
      </c>
      <c r="H54" s="21">
        <f t="shared" si="8"/>
        <v>10.942174835174615</v>
      </c>
      <c r="I54" s="5">
        <v>417</v>
      </c>
      <c r="J54" s="3">
        <f>I54/365+input!$K$2</f>
        <v>1.1424657534246576</v>
      </c>
      <c r="K54" s="4">
        <f t="shared" si="28"/>
        <v>30.283229104505061</v>
      </c>
      <c r="L54" s="10">
        <f t="shared" si="29"/>
        <v>44.075080101328552</v>
      </c>
      <c r="M54" s="20">
        <f>input!B53</f>
        <v>2771.23</v>
      </c>
      <c r="N54" s="19">
        <f t="shared" si="9"/>
        <v>0.74108909298045134</v>
      </c>
      <c r="O54" s="21">
        <f t="shared" si="10"/>
        <v>1011.0602337575394</v>
      </c>
      <c r="P54" s="5">
        <v>782</v>
      </c>
      <c r="Q54" s="3">
        <f>P54/365+input!$K$2</f>
        <v>2.1424657534246574</v>
      </c>
      <c r="R54" s="4">
        <f t="shared" si="3"/>
        <v>36.408022707747456</v>
      </c>
      <c r="S54" s="10">
        <f t="shared" si="4"/>
        <v>80.052817645098244</v>
      </c>
      <c r="T54" s="20">
        <f>input!C53</f>
        <v>9.1199999999999992</v>
      </c>
      <c r="U54" s="19">
        <f t="shared" si="11"/>
        <v>0.99153455958227898</v>
      </c>
      <c r="V54" s="21">
        <f t="shared" si="12"/>
        <v>1619.3532479501159</v>
      </c>
      <c r="W54" s="21">
        <v>1147</v>
      </c>
      <c r="X54" s="3">
        <f>W54/365+input!$K$2</f>
        <v>3.1424657534246574</v>
      </c>
      <c r="Y54" s="4">
        <f t="shared" si="13"/>
        <v>39.469004015014669</v>
      </c>
      <c r="Z54" s="10">
        <f t="shared" si="5"/>
        <v>103.98435971907008</v>
      </c>
      <c r="AA54" s="20">
        <f>input!D53</f>
        <v>0</v>
      </c>
      <c r="AB54" s="19">
        <f t="shared" si="14"/>
        <v>0.99866597068041085</v>
      </c>
      <c r="AC54" s="21">
        <f t="shared" si="15"/>
        <v>1956.3459956959921</v>
      </c>
      <c r="AD54" s="8">
        <f t="shared" si="16"/>
        <v>64708.552895672117</v>
      </c>
      <c r="AE54" s="8">
        <f t="shared" si="17"/>
        <v>122142.18422920472</v>
      </c>
      <c r="AF54" s="8">
        <f t="shared" si="18"/>
        <v>730.08169692329591</v>
      </c>
      <c r="AG54" s="8">
        <f t="shared" si="19"/>
        <v>0</v>
      </c>
      <c r="AH54" s="8">
        <f t="shared" si="20"/>
        <v>243.81402752163032</v>
      </c>
      <c r="AI54" s="8">
        <f t="shared" si="21"/>
        <v>90518.240525072513</v>
      </c>
      <c r="AJ54" s="8">
        <f t="shared" si="22"/>
        <v>723.90123381792307</v>
      </c>
      <c r="AK54" s="8">
        <f t="shared" si="23"/>
        <v>0</v>
      </c>
      <c r="AL54" s="8">
        <f t="shared" si="24"/>
        <v>2.6678557164097541</v>
      </c>
      <c r="AM54" s="8">
        <f t="shared" si="25"/>
        <v>91519.393424600989</v>
      </c>
      <c r="AN54" s="8">
        <f t="shared" si="26"/>
        <v>1172.25181417815</v>
      </c>
      <c r="AO54" s="8">
        <f t="shared" si="27"/>
        <v>0</v>
      </c>
    </row>
    <row r="55" spans="1:41">
      <c r="A55" s="1">
        <v>41782</v>
      </c>
      <c r="B55" s="5">
        <v>53</v>
      </c>
      <c r="C55" s="3">
        <f>B55/365+input!$K$2</f>
        <v>0.14520547945205478</v>
      </c>
      <c r="D55" s="4">
        <f t="shared" si="0"/>
        <v>19.383578011070576</v>
      </c>
      <c r="E55" s="10">
        <f t="shared" si="6"/>
        <v>10.384462599447836</v>
      </c>
      <c r="F55" s="20">
        <f>input!A54</f>
        <v>6268.27</v>
      </c>
      <c r="G55" s="19">
        <f t="shared" si="7"/>
        <v>3.858727100936786E-3</v>
      </c>
      <c r="H55" s="21">
        <f t="shared" si="8"/>
        <v>11.327220433177496</v>
      </c>
      <c r="I55" s="5">
        <v>418</v>
      </c>
      <c r="J55" s="3">
        <f>I55/365+input!$K$2</f>
        <v>1.1452054794520548</v>
      </c>
      <c r="K55" s="4">
        <f t="shared" si="28"/>
        <v>30.305325864400693</v>
      </c>
      <c r="L55" s="10">
        <f t="shared" si="29"/>
        <v>44.17936451784017</v>
      </c>
      <c r="M55" s="20">
        <f>input!B54</f>
        <v>2769.34</v>
      </c>
      <c r="N55" s="19">
        <f t="shared" si="9"/>
        <v>0.74365012925370677</v>
      </c>
      <c r="O55" s="21">
        <f t="shared" si="10"/>
        <v>1013.4407896703495</v>
      </c>
      <c r="P55" s="5">
        <v>783</v>
      </c>
      <c r="Q55" s="3">
        <f>P55/365+input!$K$2</f>
        <v>2.1452054794520548</v>
      </c>
      <c r="R55" s="4">
        <f t="shared" si="3"/>
        <v>36.420394647519409</v>
      </c>
      <c r="S55" s="10">
        <f t="shared" si="4"/>
        <v>80.140989020791295</v>
      </c>
      <c r="T55" s="20">
        <f>input!C54</f>
        <v>9.07</v>
      </c>
      <c r="U55" s="19">
        <f t="shared" si="11"/>
        <v>0.99159725968827328</v>
      </c>
      <c r="V55" s="21">
        <f t="shared" si="12"/>
        <v>1620.6436592716241</v>
      </c>
      <c r="W55" s="21">
        <v>1148</v>
      </c>
      <c r="X55" s="3">
        <f>W55/365+input!$K$2</f>
        <v>3.1452054794520548</v>
      </c>
      <c r="Y55" s="4">
        <f t="shared" si="13"/>
        <v>39.469004015014669</v>
      </c>
      <c r="Z55" s="10">
        <f t="shared" si="5"/>
        <v>103.98435971907008</v>
      </c>
      <c r="AA55" s="20">
        <f>input!D54</f>
        <v>0</v>
      </c>
      <c r="AB55" s="19">
        <f t="shared" si="14"/>
        <v>0.99866597068041085</v>
      </c>
      <c r="AC55" s="21">
        <f t="shared" si="15"/>
        <v>1956.3459956959921</v>
      </c>
      <c r="AD55" s="8">
        <f t="shared" si="16"/>
        <v>65092.615378240895</v>
      </c>
      <c r="AE55" s="8">
        <f t="shared" si="17"/>
        <v>122347.6813338355</v>
      </c>
      <c r="AF55" s="8">
        <f t="shared" si="18"/>
        <v>726.87877041857712</v>
      </c>
      <c r="AG55" s="8">
        <f t="shared" si="19"/>
        <v>0</v>
      </c>
      <c r="AH55" s="8">
        <f t="shared" si="20"/>
        <v>251.17463903087275</v>
      </c>
      <c r="AI55" s="8">
        <f t="shared" si="21"/>
        <v>90983.869037798097</v>
      </c>
      <c r="AJ55" s="8">
        <f t="shared" si="22"/>
        <v>720.77099687264263</v>
      </c>
      <c r="AK55" s="8">
        <f t="shared" si="23"/>
        <v>0</v>
      </c>
      <c r="AL55" s="8">
        <f t="shared" si="24"/>
        <v>2.8451105035264836</v>
      </c>
      <c r="AM55" s="8">
        <f t="shared" si="25"/>
        <v>92206.76408492976</v>
      </c>
      <c r="AN55" s="8">
        <f t="shared" si="26"/>
        <v>1168.1129458685359</v>
      </c>
      <c r="AO55" s="8">
        <f t="shared" si="27"/>
        <v>0</v>
      </c>
    </row>
    <row r="56" spans="1:41">
      <c r="A56" s="1">
        <v>41783</v>
      </c>
      <c r="B56" s="5">
        <v>54</v>
      </c>
      <c r="C56" s="3">
        <f>B56/365+input!$K$2</f>
        <v>0.14794520547945206</v>
      </c>
      <c r="D56" s="4">
        <f t="shared" si="0"/>
        <v>19.422981010679891</v>
      </c>
      <c r="E56" s="10">
        <f t="shared" si="6"/>
        <v>10.453013451182478</v>
      </c>
      <c r="F56" s="20">
        <f>input!A55</f>
        <v>6263.98</v>
      </c>
      <c r="G56" s="19">
        <f t="shared" si="7"/>
        <v>3.9516070181241153E-3</v>
      </c>
      <c r="H56" s="21">
        <f t="shared" si="8"/>
        <v>11.723281265017146</v>
      </c>
      <c r="I56" s="5">
        <v>419</v>
      </c>
      <c r="J56" s="3">
        <f>I56/365+input!$K$2</f>
        <v>1.1479452054794521</v>
      </c>
      <c r="K56" s="4">
        <f t="shared" si="28"/>
        <v>30.327387539519723</v>
      </c>
      <c r="L56" s="10">
        <f t="shared" si="29"/>
        <v>44.283653411512951</v>
      </c>
      <c r="M56" s="20">
        <f>input!B55</f>
        <v>2728.58</v>
      </c>
      <c r="N56" s="19">
        <f t="shared" si="9"/>
        <v>0.74619048201588833</v>
      </c>
      <c r="O56" s="21">
        <f t="shared" si="10"/>
        <v>1015.8130354838538</v>
      </c>
      <c r="P56" s="5">
        <v>784</v>
      </c>
      <c r="Q56" s="3">
        <f>P56/365+input!$K$2</f>
        <v>2.1479452054794521</v>
      </c>
      <c r="R56" s="4">
        <f t="shared" si="3"/>
        <v>36.432746943382256</v>
      </c>
      <c r="S56" s="10">
        <f t="shared" si="4"/>
        <v>80.22908735725359</v>
      </c>
      <c r="T56" s="20">
        <f>input!C55</f>
        <v>8.86</v>
      </c>
      <c r="U56" s="19">
        <f t="shared" si="11"/>
        <v>0.99165940084666382</v>
      </c>
      <c r="V56" s="21">
        <f t="shared" si="12"/>
        <v>1621.9325806312004</v>
      </c>
      <c r="W56" s="21">
        <v>1149</v>
      </c>
      <c r="X56" s="3">
        <f>W56/365+input!$K$2</f>
        <v>3.1479452054794521</v>
      </c>
      <c r="Y56" s="4">
        <f t="shared" si="13"/>
        <v>39.469004015014669</v>
      </c>
      <c r="Z56" s="10">
        <f t="shared" si="5"/>
        <v>103.98435971907008</v>
      </c>
      <c r="AA56" s="20">
        <f>input!D55</f>
        <v>0</v>
      </c>
      <c r="AB56" s="19">
        <f t="shared" si="14"/>
        <v>0.99866597068041085</v>
      </c>
      <c r="AC56" s="21">
        <f t="shared" si="15"/>
        <v>1956.3459956959921</v>
      </c>
      <c r="AD56" s="8">
        <f t="shared" si="16"/>
        <v>65477.467197938015</v>
      </c>
      <c r="AE56" s="8">
        <f t="shared" si="17"/>
        <v>120831.491025586</v>
      </c>
      <c r="AF56" s="8">
        <f t="shared" si="18"/>
        <v>710.82971398526672</v>
      </c>
      <c r="AG56" s="8">
        <f t="shared" si="19"/>
        <v>0</v>
      </c>
      <c r="AH56" s="8">
        <f t="shared" si="20"/>
        <v>258.74121890836341</v>
      </c>
      <c r="AI56" s="8">
        <f t="shared" si="21"/>
        <v>90163.308531080504</v>
      </c>
      <c r="AJ56" s="8">
        <f t="shared" si="22"/>
        <v>704.90096827463503</v>
      </c>
      <c r="AK56" s="8">
        <f t="shared" si="23"/>
        <v>0</v>
      </c>
      <c r="AL56" s="8">
        <f t="shared" si="24"/>
        <v>3.0332960841161172</v>
      </c>
      <c r="AM56" s="8">
        <f t="shared" si="25"/>
        <v>91589.064128224141</v>
      </c>
      <c r="AN56" s="8">
        <f t="shared" si="26"/>
        <v>1143.3018465631105</v>
      </c>
      <c r="AO56" s="8">
        <f t="shared" si="27"/>
        <v>0</v>
      </c>
    </row>
    <row r="57" spans="1:41">
      <c r="A57" s="1">
        <v>41784</v>
      </c>
      <c r="B57" s="5">
        <v>55</v>
      </c>
      <c r="C57" s="3">
        <f>B57/365+input!$K$2</f>
        <v>0.15068493150684931</v>
      </c>
      <c r="D57" s="4">
        <f t="shared" si="0"/>
        <v>19.462321447024479</v>
      </c>
      <c r="E57" s="10">
        <f t="shared" si="6"/>
        <v>10.521766936145674</v>
      </c>
      <c r="F57" s="20">
        <f>input!A56</f>
        <v>6259.69</v>
      </c>
      <c r="G57" s="19">
        <f t="shared" si="7"/>
        <v>4.046560680812411E-3</v>
      </c>
      <c r="H57" s="21">
        <f t="shared" si="8"/>
        <v>12.130580920206988</v>
      </c>
      <c r="I57" s="5">
        <v>420</v>
      </c>
      <c r="J57" s="3">
        <f>I57/365+input!$K$2</f>
        <v>1.1506849315068493</v>
      </c>
      <c r="K57" s="4">
        <f t="shared" si="28"/>
        <v>30.349414185569028</v>
      </c>
      <c r="L57" s="10">
        <f t="shared" si="29"/>
        <v>44.387946388675097</v>
      </c>
      <c r="M57" s="20">
        <f>input!B56</f>
        <v>2719.89</v>
      </c>
      <c r="N57" s="19">
        <f t="shared" si="9"/>
        <v>0.74871017337490764</v>
      </c>
      <c r="O57" s="21">
        <f t="shared" si="10"/>
        <v>1018.1770339507916</v>
      </c>
      <c r="P57" s="5">
        <v>785</v>
      </c>
      <c r="Q57" s="3">
        <f>P57/365+input!$K$2</f>
        <v>2.1506849315068495</v>
      </c>
      <c r="R57" s="4">
        <f t="shared" si="3"/>
        <v>36.445079626526173</v>
      </c>
      <c r="S57" s="10">
        <f t="shared" si="4"/>
        <v>80.317112586068077</v>
      </c>
      <c r="T57" s="20">
        <f>input!C56</f>
        <v>8.77</v>
      </c>
      <c r="U57" s="19">
        <f t="shared" si="11"/>
        <v>0.99172098870326286</v>
      </c>
      <c r="V57" s="21">
        <f t="shared" si="12"/>
        <v>1623.2200130509307</v>
      </c>
      <c r="W57" s="21">
        <v>1150</v>
      </c>
      <c r="X57" s="3">
        <f>W57/365+input!$K$2</f>
        <v>3.1506849315068495</v>
      </c>
      <c r="Y57" s="4">
        <f t="shared" si="13"/>
        <v>39.469004015014669</v>
      </c>
      <c r="Z57" s="10">
        <f t="shared" si="5"/>
        <v>103.98435971907008</v>
      </c>
      <c r="AA57" s="20">
        <f>input!D56</f>
        <v>0</v>
      </c>
      <c r="AB57" s="19">
        <f t="shared" si="14"/>
        <v>0.99866597068041085</v>
      </c>
      <c r="AC57" s="21">
        <f t="shared" si="15"/>
        <v>1956.3459956959921</v>
      </c>
      <c r="AD57" s="8">
        <f t="shared" si="16"/>
        <v>65862.999272521716</v>
      </c>
      <c r="AE57" s="8">
        <f t="shared" si="17"/>
        <v>120730.3315030935</v>
      </c>
      <c r="AF57" s="8">
        <f t="shared" si="18"/>
        <v>704.38107737981704</v>
      </c>
      <c r="AG57" s="8">
        <f t="shared" si="19"/>
        <v>0</v>
      </c>
      <c r="AH57" s="8">
        <f t="shared" si="20"/>
        <v>266.51862317656281</v>
      </c>
      <c r="AI57" s="8">
        <f t="shared" si="21"/>
        <v>90392.027431291208</v>
      </c>
      <c r="AJ57" s="8">
        <f t="shared" si="22"/>
        <v>698.54949848298168</v>
      </c>
      <c r="AK57" s="8">
        <f t="shared" si="23"/>
        <v>0</v>
      </c>
      <c r="AL57" s="8">
        <f t="shared" si="24"/>
        <v>3.2330257251854486</v>
      </c>
      <c r="AM57" s="8">
        <f t="shared" si="25"/>
        <v>92035.086382790672</v>
      </c>
      <c r="AN57" s="8">
        <f t="shared" si="26"/>
        <v>1133.8995260442666</v>
      </c>
      <c r="AO57" s="8">
        <f t="shared" si="27"/>
        <v>0</v>
      </c>
    </row>
    <row r="58" spans="1:41">
      <c r="A58" s="1">
        <v>41785</v>
      </c>
      <c r="B58" s="5">
        <v>56</v>
      </c>
      <c r="C58" s="3">
        <f>B58/365+input!$K$2</f>
        <v>0.15342465753424658</v>
      </c>
      <c r="D58" s="4">
        <f t="shared" si="0"/>
        <v>19.50159941944101</v>
      </c>
      <c r="E58" s="10">
        <f t="shared" si="6"/>
        <v>10.590722524276751</v>
      </c>
      <c r="F58" s="20">
        <f>input!A57</f>
        <v>6255.41</v>
      </c>
      <c r="G58" s="19">
        <f t="shared" si="7"/>
        <v>4.1436303023995921E-3</v>
      </c>
      <c r="H58" s="21">
        <f t="shared" si="8"/>
        <v>12.549344632880057</v>
      </c>
      <c r="I58" s="5">
        <v>421</v>
      </c>
      <c r="J58" s="3">
        <f>I58/365+input!$K$2</f>
        <v>1.1534246575342466</v>
      </c>
      <c r="K58" s="4">
        <f t="shared" si="28"/>
        <v>30.371405858167044</v>
      </c>
      <c r="L58" s="10">
        <f t="shared" si="29"/>
        <v>44.492243056805449</v>
      </c>
      <c r="M58" s="20">
        <f>input!B57</f>
        <v>2696.38</v>
      </c>
      <c r="N58" s="19">
        <f t="shared" si="9"/>
        <v>0.75120922950086999</v>
      </c>
      <c r="O58" s="21">
        <f t="shared" si="10"/>
        <v>1020.5328477528572</v>
      </c>
      <c r="P58" s="5">
        <v>786</v>
      </c>
      <c r="Q58" s="3">
        <f>P58/365+input!$K$2</f>
        <v>2.1534246575342464</v>
      </c>
      <c r="R58" s="4">
        <f t="shared" si="3"/>
        <v>36.45739272809184</v>
      </c>
      <c r="S58" s="10">
        <f t="shared" si="4"/>
        <v>80.405064639379987</v>
      </c>
      <c r="T58" s="20">
        <f>input!C57</f>
        <v>8.61</v>
      </c>
      <c r="U58" s="19">
        <f t="shared" si="11"/>
        <v>0.99178202884130451</v>
      </c>
      <c r="V58" s="21">
        <f t="shared" si="12"/>
        <v>1624.5059575490861</v>
      </c>
      <c r="W58" s="21">
        <v>1151</v>
      </c>
      <c r="X58" s="3">
        <f>W58/365+input!$K$2</f>
        <v>3.1534246575342464</v>
      </c>
      <c r="Y58" s="4">
        <f t="shared" si="13"/>
        <v>39.469004015014669</v>
      </c>
      <c r="Z58" s="10">
        <f t="shared" si="5"/>
        <v>103.98435971907008</v>
      </c>
      <c r="AA58" s="20">
        <f>input!D57</f>
        <v>0</v>
      </c>
      <c r="AB58" s="19">
        <f t="shared" si="14"/>
        <v>0.99866597068041085</v>
      </c>
      <c r="AC58" s="21">
        <f t="shared" si="15"/>
        <v>1956.3459956959921</v>
      </c>
      <c r="AD58" s="8">
        <f t="shared" si="16"/>
        <v>66249.311585586038</v>
      </c>
      <c r="AE58" s="8">
        <f t="shared" si="17"/>
        <v>119967.99433350908</v>
      </c>
      <c r="AF58" s="8">
        <f t="shared" si="18"/>
        <v>692.28760654506164</v>
      </c>
      <c r="AG58" s="8">
        <f t="shared" si="19"/>
        <v>0</v>
      </c>
      <c r="AH58" s="8">
        <f t="shared" si="20"/>
        <v>274.51265499914666</v>
      </c>
      <c r="AI58" s="8">
        <f t="shared" si="21"/>
        <v>90121.064588040099</v>
      </c>
      <c r="AJ58" s="8">
        <f t="shared" si="22"/>
        <v>686.59840696095193</v>
      </c>
      <c r="AK58" s="8">
        <f t="shared" si="23"/>
        <v>0</v>
      </c>
      <c r="AL58" s="8">
        <f t="shared" si="24"/>
        <v>3.444953913671196</v>
      </c>
      <c r="AM58" s="8">
        <f t="shared" si="25"/>
        <v>91971.506686551729</v>
      </c>
      <c r="AN58" s="8">
        <f t="shared" si="26"/>
        <v>1115.3832025517784</v>
      </c>
      <c r="AO58" s="8">
        <f t="shared" si="27"/>
        <v>0</v>
      </c>
    </row>
    <row r="59" spans="1:41">
      <c r="A59" s="1">
        <v>41786</v>
      </c>
      <c r="B59" s="5">
        <v>57</v>
      </c>
      <c r="C59" s="3">
        <f>B59/365+input!$K$2</f>
        <v>0.15616438356164383</v>
      </c>
      <c r="D59" s="4">
        <f t="shared" si="0"/>
        <v>19.540815027108405</v>
      </c>
      <c r="E59" s="10">
        <f t="shared" si="6"/>
        <v>10.659879683684441</v>
      </c>
      <c r="F59" s="20">
        <f>input!A58</f>
        <v>6251.12</v>
      </c>
      <c r="G59" s="19">
        <f t="shared" si="7"/>
        <v>4.2428588541530065E-3</v>
      </c>
      <c r="H59" s="21">
        <f t="shared" si="8"/>
        <v>12.979799208244865</v>
      </c>
      <c r="I59" s="5">
        <v>422</v>
      </c>
      <c r="J59" s="3">
        <f>I59/365+input!$K$2</f>
        <v>1.1561643835616437</v>
      </c>
      <c r="K59" s="4">
        <f t="shared" si="28"/>
        <v>30.393362612843887</v>
      </c>
      <c r="L59" s="10">
        <f t="shared" si="29"/>
        <v>44.596543024532714</v>
      </c>
      <c r="M59" s="20">
        <f>input!B58</f>
        <v>2678.29</v>
      </c>
      <c r="N59" s="19">
        <f t="shared" si="9"/>
        <v>0.7536876805327577</v>
      </c>
      <c r="O59" s="21">
        <f t="shared" si="10"/>
        <v>1022.8805394872112</v>
      </c>
      <c r="P59" s="5">
        <v>787</v>
      </c>
      <c r="Q59" s="3">
        <f>P59/365+input!$K$2</f>
        <v>2.1561643835616437</v>
      </c>
      <c r="R59" s="4">
        <f t="shared" si="3"/>
        <v>36.469686279170482</v>
      </c>
      <c r="S59" s="10">
        <f t="shared" si="4"/>
        <v>80.492943449895861</v>
      </c>
      <c r="T59" s="20">
        <f>input!C58</f>
        <v>8.52</v>
      </c>
      <c r="U59" s="19">
        <f t="shared" si="11"/>
        <v>0.99184252678218632</v>
      </c>
      <c r="V59" s="21">
        <f t="shared" si="12"/>
        <v>1625.7904151402283</v>
      </c>
      <c r="W59" s="21">
        <v>1152</v>
      </c>
      <c r="X59" s="3">
        <f>W59/365+input!$K$2</f>
        <v>3.1561643835616437</v>
      </c>
      <c r="Y59" s="4">
        <f t="shared" si="13"/>
        <v>39.469004015014669</v>
      </c>
      <c r="Z59" s="10">
        <f t="shared" si="5"/>
        <v>103.98435971907008</v>
      </c>
      <c r="AA59" s="20">
        <f>input!D58</f>
        <v>0</v>
      </c>
      <c r="AB59" s="19">
        <f t="shared" si="14"/>
        <v>0.99866597068041085</v>
      </c>
      <c r="AC59" s="21">
        <f t="shared" si="15"/>
        <v>1956.3459956959921</v>
      </c>
      <c r="AD59" s="8">
        <f t="shared" si="16"/>
        <v>66636.18708827348</v>
      </c>
      <c r="AE59" s="8">
        <f t="shared" si="17"/>
        <v>119442.47521717573</v>
      </c>
      <c r="AF59" s="8">
        <f t="shared" si="18"/>
        <v>685.7998781931127</v>
      </c>
      <c r="AG59" s="8">
        <f t="shared" si="19"/>
        <v>0</v>
      </c>
      <c r="AH59" s="8">
        <f t="shared" si="20"/>
        <v>282.72793639447741</v>
      </c>
      <c r="AI59" s="8">
        <f t="shared" si="21"/>
        <v>90022.322103524566</v>
      </c>
      <c r="AJ59" s="8">
        <f t="shared" si="22"/>
        <v>680.20548405397255</v>
      </c>
      <c r="AK59" s="8">
        <f t="shared" si="23"/>
        <v>0</v>
      </c>
      <c r="AL59" s="8">
        <f t="shared" si="24"/>
        <v>3.6697518449617421</v>
      </c>
      <c r="AM59" s="8">
        <f t="shared" si="25"/>
        <v>92082.081399144707</v>
      </c>
      <c r="AN59" s="8">
        <f t="shared" si="26"/>
        <v>1105.8715563007679</v>
      </c>
      <c r="AO59" s="8">
        <f t="shared" si="27"/>
        <v>0</v>
      </c>
    </row>
    <row r="60" spans="1:41">
      <c r="A60" s="1">
        <v>41787</v>
      </c>
      <c r="B60" s="5">
        <v>58</v>
      </c>
      <c r="C60" s="3">
        <f>B60/365+input!$K$2</f>
        <v>0.15890410958904111</v>
      </c>
      <c r="D60" s="4">
        <f t="shared" si="0"/>
        <v>19.579968369048121</v>
      </c>
      <c r="E60" s="10">
        <f t="shared" si="6"/>
        <v>10.72923788067131</v>
      </c>
      <c r="F60" s="20">
        <f>input!A59</f>
        <v>6246.84</v>
      </c>
      <c r="G60" s="19">
        <f t="shared" si="7"/>
        <v>4.3442900762456519E-3</v>
      </c>
      <c r="H60" s="21">
        <f t="shared" si="8"/>
        <v>13.422172946773776</v>
      </c>
      <c r="I60" s="5">
        <v>423</v>
      </c>
      <c r="J60" s="3">
        <f>I60/365+input!$K$2</f>
        <v>1.1589041095890411</v>
      </c>
      <c r="K60" s="4">
        <f t="shared" si="28"/>
        <v>30.415284505041512</v>
      </c>
      <c r="L60" s="10">
        <f t="shared" si="29"/>
        <v>44.700845901635638</v>
      </c>
      <c r="M60" s="20">
        <f>input!B59</f>
        <v>2654.59</v>
      </c>
      <c r="N60" s="19">
        <f t="shared" si="9"/>
        <v>0.75614556048521553</v>
      </c>
      <c r="O60" s="21">
        <f t="shared" si="10"/>
        <v>1025.2201716533375</v>
      </c>
      <c r="P60" s="5">
        <v>788</v>
      </c>
      <c r="Q60" s="3">
        <f>P60/365+input!$K$2</f>
        <v>2.1589041095890411</v>
      </c>
      <c r="R60" s="4">
        <f t="shared" si="3"/>
        <v>36.481960310803956</v>
      </c>
      <c r="S60" s="10">
        <f t="shared" si="4"/>
        <v>80.580748950880519</v>
      </c>
      <c r="T60" s="20">
        <f>input!C59</f>
        <v>8.3699999999999992</v>
      </c>
      <c r="U60" s="19">
        <f t="shared" si="11"/>
        <v>0.99190248798620217</v>
      </c>
      <c r="V60" s="21">
        <f t="shared" si="12"/>
        <v>1627.0733868353382</v>
      </c>
      <c r="W60" s="21">
        <v>1153</v>
      </c>
      <c r="X60" s="3">
        <f>W60/365+input!$K$2</f>
        <v>3.1589041095890411</v>
      </c>
      <c r="Y60" s="4">
        <f t="shared" si="13"/>
        <v>39.469004015014669</v>
      </c>
      <c r="Z60" s="10">
        <f t="shared" si="5"/>
        <v>103.98435971907008</v>
      </c>
      <c r="AA60" s="20">
        <f>input!D59</f>
        <v>0</v>
      </c>
      <c r="AB60" s="19">
        <f t="shared" si="14"/>
        <v>0.99866597068041085</v>
      </c>
      <c r="AC60" s="21">
        <f t="shared" si="15"/>
        <v>1956.3459956959921</v>
      </c>
      <c r="AD60" s="8">
        <f t="shared" si="16"/>
        <v>67023.832362492758</v>
      </c>
      <c r="AE60" s="8">
        <f t="shared" si="17"/>
        <v>118662.41852202296</v>
      </c>
      <c r="AF60" s="8">
        <f t="shared" si="18"/>
        <v>674.46086871886985</v>
      </c>
      <c r="AG60" s="8">
        <f t="shared" si="19"/>
        <v>0</v>
      </c>
      <c r="AH60" s="8">
        <f t="shared" si="20"/>
        <v>291.17096980432945</v>
      </c>
      <c r="AI60" s="8">
        <f t="shared" si="21"/>
        <v>89726.060961866271</v>
      </c>
      <c r="AJ60" s="8">
        <f t="shared" si="22"/>
        <v>668.99941373158231</v>
      </c>
      <c r="AK60" s="8">
        <f t="shared" si="23"/>
        <v>0</v>
      </c>
      <c r="AL60" s="8">
        <f t="shared" si="24"/>
        <v>3.9081471137935546</v>
      </c>
      <c r="AM60" s="8">
        <f t="shared" si="25"/>
        <v>91988.967621102362</v>
      </c>
      <c r="AN60" s="8">
        <f t="shared" si="26"/>
        <v>1088.5111418911015</v>
      </c>
      <c r="AO60" s="8">
        <f t="shared" si="27"/>
        <v>0</v>
      </c>
    </row>
    <row r="61" spans="1:41">
      <c r="A61" s="1">
        <v>41788</v>
      </c>
      <c r="B61" s="5">
        <v>59</v>
      </c>
      <c r="C61" s="3">
        <f>B61/365+input!$K$2</f>
        <v>0.16164383561643836</v>
      </c>
      <c r="D61" s="4">
        <f t="shared" si="0"/>
        <v>19.619059544124379</v>
      </c>
      <c r="E61" s="10">
        <f t="shared" si="6"/>
        <v>10.798796579757836</v>
      </c>
      <c r="F61" s="20">
        <f>input!A60</f>
        <v>6242.57</v>
      </c>
      <c r="G61" s="19">
        <f t="shared" si="7"/>
        <v>4.4479684888819168E-3</v>
      </c>
      <c r="H61" s="21">
        <f t="shared" si="8"/>
        <v>13.876695566153028</v>
      </c>
      <c r="I61" s="5">
        <v>424</v>
      </c>
      <c r="J61" s="3">
        <f>I61/365+input!$K$2</f>
        <v>1.1616438356164382</v>
      </c>
      <c r="K61" s="4">
        <f t="shared" si="28"/>
        <v>30.437171590113827</v>
      </c>
      <c r="L61" s="10">
        <f t="shared" si="29"/>
        <v>44.805151299041782</v>
      </c>
      <c r="M61" s="20">
        <f>input!B60</f>
        <v>2652.77</v>
      </c>
      <c r="N61" s="19">
        <f t="shared" si="9"/>
        <v>0.75858290715547283</v>
      </c>
      <c r="O61" s="21">
        <f t="shared" si="10"/>
        <v>1027.551806640223</v>
      </c>
      <c r="P61" s="5">
        <v>789</v>
      </c>
      <c r="Q61" s="3">
        <f>P61/365+input!$K$2</f>
        <v>2.1616438356164385</v>
      </c>
      <c r="R61" s="4">
        <f t="shared" si="3"/>
        <v>36.494214853984829</v>
      </c>
      <c r="S61" s="10">
        <f t="shared" si="4"/>
        <v>80.668481076156638</v>
      </c>
      <c r="T61" s="20">
        <f>input!C60</f>
        <v>8.32</v>
      </c>
      <c r="U61" s="19">
        <f t="shared" si="11"/>
        <v>0.99196191785326704</v>
      </c>
      <c r="V61" s="21">
        <f t="shared" si="12"/>
        <v>1628.3548736419223</v>
      </c>
      <c r="W61" s="21">
        <v>1154</v>
      </c>
      <c r="X61" s="3">
        <f>W61/365+input!$K$2</f>
        <v>3.1616438356164385</v>
      </c>
      <c r="Y61" s="4">
        <f t="shared" si="13"/>
        <v>39.469004015014669</v>
      </c>
      <c r="Z61" s="10">
        <f t="shared" si="5"/>
        <v>103.98435971907008</v>
      </c>
      <c r="AA61" s="20">
        <f>input!D60</f>
        <v>0</v>
      </c>
      <c r="AB61" s="19">
        <f t="shared" si="14"/>
        <v>0.99866597068041085</v>
      </c>
      <c r="AC61" s="21">
        <f t="shared" si="15"/>
        <v>1956.3459956959921</v>
      </c>
      <c r="AD61" s="8">
        <f t="shared" si="16"/>
        <v>67412.243564898876</v>
      </c>
      <c r="AE61" s="8">
        <f t="shared" si="17"/>
        <v>118857.76121155906</v>
      </c>
      <c r="AF61" s="8">
        <f t="shared" si="18"/>
        <v>671.16176255362325</v>
      </c>
      <c r="AG61" s="8">
        <f t="shared" si="19"/>
        <v>0</v>
      </c>
      <c r="AH61" s="8">
        <f t="shared" si="20"/>
        <v>299.84753514150299</v>
      </c>
      <c r="AI61" s="8">
        <f t="shared" si="21"/>
        <v>90163.466037855469</v>
      </c>
      <c r="AJ61" s="8">
        <f t="shared" si="22"/>
        <v>665.76690917247117</v>
      </c>
      <c r="AK61" s="8">
        <f t="shared" si="23"/>
        <v>0</v>
      </c>
      <c r="AL61" s="8">
        <f t="shared" si="24"/>
        <v>4.160892961420009</v>
      </c>
      <c r="AM61" s="8">
        <f t="shared" si="25"/>
        <v>92647.632420142778</v>
      </c>
      <c r="AN61" s="8">
        <f t="shared" si="26"/>
        <v>1084.1047912605125</v>
      </c>
      <c r="AO61" s="8">
        <f t="shared" si="27"/>
        <v>0</v>
      </c>
    </row>
    <row r="62" spans="1:41">
      <c r="A62" s="1">
        <v>41789</v>
      </c>
      <c r="B62" s="5">
        <v>60</v>
      </c>
      <c r="C62" s="3">
        <f>B62/365+input!$K$2</f>
        <v>0.16438356164383561</v>
      </c>
      <c r="D62" s="4">
        <f t="shared" si="0"/>
        <v>19.658088651044441</v>
      </c>
      <c r="E62" s="10">
        <f t="shared" si="6"/>
        <v>10.868555243706437</v>
      </c>
      <c r="F62" s="20">
        <f>input!A61</f>
        <v>6238.29</v>
      </c>
      <c r="G62" s="19">
        <f t="shared" si="7"/>
        <v>4.5539394035112825E-3</v>
      </c>
      <c r="H62" s="21">
        <f t="shared" si="8"/>
        <v>14.343598121028812</v>
      </c>
      <c r="I62" s="5">
        <v>425</v>
      </c>
      <c r="J62" s="3">
        <f>I62/365+input!$K$2</f>
        <v>1.1643835616438356</v>
      </c>
      <c r="K62" s="4">
        <f t="shared" si="28"/>
        <v>30.459023923326878</v>
      </c>
      <c r="L62" s="10">
        <f t="shared" si="29"/>
        <v>44.909458828828221</v>
      </c>
      <c r="M62" s="20">
        <f>input!B61</f>
        <v>2607.0500000000002</v>
      </c>
      <c r="N62" s="19">
        <f t="shared" si="9"/>
        <v>0.76099976203051067</v>
      </c>
      <c r="O62" s="21">
        <f t="shared" si="10"/>
        <v>1029.8755067138875</v>
      </c>
      <c r="P62" s="5">
        <v>790</v>
      </c>
      <c r="Q62" s="3">
        <f>P62/365+input!$K$2</f>
        <v>2.1643835616438358</v>
      </c>
      <c r="R62" s="4">
        <f t="shared" si="3"/>
        <v>36.506449939656456</v>
      </c>
      <c r="S62" s="10">
        <f t="shared" si="4"/>
        <v>80.756139760101988</v>
      </c>
      <c r="T62" s="20">
        <f>input!C61</f>
        <v>8.09</v>
      </c>
      <c r="U62" s="19">
        <f t="shared" si="11"/>
        <v>0.99202082172363115</v>
      </c>
      <c r="V62" s="21">
        <f t="shared" si="12"/>
        <v>1629.6348765641233</v>
      </c>
      <c r="W62" s="21">
        <v>1155</v>
      </c>
      <c r="X62" s="3">
        <f>W62/365+input!$K$2</f>
        <v>3.1643835616438358</v>
      </c>
      <c r="Y62" s="4">
        <f t="shared" si="13"/>
        <v>39.469004015014669</v>
      </c>
      <c r="Z62" s="10">
        <f t="shared" si="5"/>
        <v>103.98435971907008</v>
      </c>
      <c r="AA62" s="20">
        <f>input!D61</f>
        <v>0</v>
      </c>
      <c r="AB62" s="19">
        <f t="shared" si="14"/>
        <v>0.99866597068041085</v>
      </c>
      <c r="AC62" s="21">
        <f t="shared" si="15"/>
        <v>1956.3459956959921</v>
      </c>
      <c r="AD62" s="8">
        <f t="shared" si="16"/>
        <v>67801.199491261432</v>
      </c>
      <c r="AE62" s="8">
        <f t="shared" si="17"/>
        <v>117081.20463969662</v>
      </c>
      <c r="AF62" s="8">
        <f t="shared" si="18"/>
        <v>653.3171706592251</v>
      </c>
      <c r="AG62" s="8">
        <f t="shared" si="19"/>
        <v>0</v>
      </c>
      <c r="AH62" s="8">
        <f t="shared" si="20"/>
        <v>308.76255396858454</v>
      </c>
      <c r="AI62" s="8">
        <f t="shared" si="21"/>
        <v>89098.768869054649</v>
      </c>
      <c r="AJ62" s="8">
        <f t="shared" si="22"/>
        <v>648.1042364835223</v>
      </c>
      <c r="AK62" s="8">
        <f t="shared" si="23"/>
        <v>0</v>
      </c>
      <c r="AL62" s="8">
        <f t="shared" si="24"/>
        <v>4.4287659889478466</v>
      </c>
      <c r="AM62" s="8">
        <f t="shared" si="25"/>
        <v>91760.63973660121</v>
      </c>
      <c r="AN62" s="8">
        <f t="shared" si="26"/>
        <v>1056.1732674225102</v>
      </c>
      <c r="AO62" s="8">
        <f t="shared" si="27"/>
        <v>0</v>
      </c>
    </row>
    <row r="63" spans="1:41">
      <c r="A63" s="1">
        <v>41790</v>
      </c>
      <c r="B63" s="5">
        <v>61</v>
      </c>
      <c r="C63" s="3">
        <f>B63/365+input!$K$2</f>
        <v>0.16712328767123288</v>
      </c>
      <c r="D63" s="4">
        <f t="shared" si="0"/>
        <v>19.697055788358842</v>
      </c>
      <c r="E63" s="10">
        <f t="shared" si="6"/>
        <v>10.938513333545306</v>
      </c>
      <c r="F63" s="20">
        <f>input!A62</f>
        <v>6234.02</v>
      </c>
      <c r="G63" s="19">
        <f t="shared" si="7"/>
        <v>4.662248934128174E-3</v>
      </c>
      <c r="H63" s="21">
        <f t="shared" si="8"/>
        <v>14.823112920584558</v>
      </c>
      <c r="I63" s="5">
        <v>426</v>
      </c>
      <c r="J63" s="3">
        <f>I63/365+input!$K$2</f>
        <v>1.167123287671233</v>
      </c>
      <c r="K63" s="4">
        <f t="shared" si="28"/>
        <v>30.480841559858941</v>
      </c>
      <c r="L63" s="10">
        <f t="shared" si="29"/>
        <v>45.01376810422002</v>
      </c>
      <c r="M63" s="20">
        <f>input!B62</f>
        <v>2605.2600000000002</v>
      </c>
      <c r="N63" s="19">
        <f t="shared" si="9"/>
        <v>0.76339617019449713</v>
      </c>
      <c r="O63" s="21">
        <f t="shared" si="10"/>
        <v>1032.1913340052211</v>
      </c>
      <c r="P63" s="5">
        <v>791</v>
      </c>
      <c r="Q63" s="3">
        <f>P63/365+input!$K$2</f>
        <v>2.1671232876712327</v>
      </c>
      <c r="R63" s="4">
        <f t="shared" si="3"/>
        <v>36.518665598713071</v>
      </c>
      <c r="S63" s="10">
        <f t="shared" si="4"/>
        <v>80.84372493764873</v>
      </c>
      <c r="T63" s="20">
        <f>input!C62</f>
        <v>8.0399999999999991</v>
      </c>
      <c r="U63" s="19">
        <f t="shared" si="11"/>
        <v>0.9920792048785867</v>
      </c>
      <c r="V63" s="21">
        <f t="shared" si="12"/>
        <v>1630.9133966028335</v>
      </c>
      <c r="W63" s="21">
        <v>1156</v>
      </c>
      <c r="X63" s="3">
        <f>W63/365+input!$K$2</f>
        <v>3.1671232876712327</v>
      </c>
      <c r="Y63" s="4">
        <f t="shared" si="13"/>
        <v>39.469004015014669</v>
      </c>
      <c r="Z63" s="10">
        <f t="shared" si="5"/>
        <v>103.98435971907008</v>
      </c>
      <c r="AA63" s="20">
        <f>input!D62</f>
        <v>0</v>
      </c>
      <c r="AB63" s="19">
        <f t="shared" si="14"/>
        <v>0.99866597068041085</v>
      </c>
      <c r="AC63" s="21">
        <f t="shared" si="15"/>
        <v>1956.3459956959921</v>
      </c>
      <c r="AD63" s="8">
        <f t="shared" si="16"/>
        <v>68190.910891588108</v>
      </c>
      <c r="AE63" s="8">
        <f t="shared" si="17"/>
        <v>117272.56949120027</v>
      </c>
      <c r="AF63" s="8">
        <f t="shared" si="18"/>
        <v>649.98354849869577</v>
      </c>
      <c r="AG63" s="8">
        <f t="shared" si="19"/>
        <v>0</v>
      </c>
      <c r="AH63" s="8">
        <f t="shared" si="20"/>
        <v>317.92300162153595</v>
      </c>
      <c r="AI63" s="8">
        <f t="shared" si="21"/>
        <v>89525.430418450313</v>
      </c>
      <c r="AJ63" s="8">
        <f t="shared" si="22"/>
        <v>644.83516197874837</v>
      </c>
      <c r="AK63" s="8">
        <f t="shared" si="23"/>
        <v>0</v>
      </c>
      <c r="AL63" s="8">
        <f t="shared" si="24"/>
        <v>4.7126085530872155</v>
      </c>
      <c r="AM63" s="8">
        <f t="shared" si="25"/>
        <v>92407.373451011823</v>
      </c>
      <c r="AN63" s="8">
        <f t="shared" si="26"/>
        <v>1051.6703042716988</v>
      </c>
      <c r="AO63" s="8">
        <f t="shared" si="27"/>
        <v>0</v>
      </c>
    </row>
    <row r="64" spans="1:41">
      <c r="A64" s="1">
        <v>41791</v>
      </c>
      <c r="B64" s="5">
        <v>62</v>
      </c>
      <c r="C64" s="3">
        <f>B64/365+input!$K$2</f>
        <v>0.16986301369863013</v>
      </c>
      <c r="D64" s="4">
        <f t="shared" si="0"/>
        <v>19.735961054461622</v>
      </c>
      <c r="E64" s="10">
        <f t="shared" si="6"/>
        <v>11.008670308592066</v>
      </c>
      <c r="F64" s="20">
        <f>input!A63</f>
        <v>6229.75</v>
      </c>
      <c r="G64" s="19">
        <f t="shared" si="7"/>
        <v>4.7729440086559981E-3</v>
      </c>
      <c r="H64" s="21">
        <f t="shared" si="8"/>
        <v>15.315473443988139</v>
      </c>
      <c r="I64" s="5">
        <v>427</v>
      </c>
      <c r="J64" s="3">
        <f>I64/365+input!$K$2</f>
        <v>1.1698630136986301</v>
      </c>
      <c r="K64" s="4">
        <f t="shared" si="28"/>
        <v>30.502624554800679</v>
      </c>
      <c r="L64" s="10">
        <f t="shared" si="29"/>
        <v>45.118078739590658</v>
      </c>
      <c r="M64" s="20">
        <f>input!B63</f>
        <v>2574.65</v>
      </c>
      <c r="N64" s="19">
        <f t="shared" si="9"/>
        <v>0.76577218023659388</v>
      </c>
      <c r="O64" s="21">
        <f t="shared" si="10"/>
        <v>1034.4993504981567</v>
      </c>
      <c r="P64" s="5">
        <v>792</v>
      </c>
      <c r="Q64" s="3">
        <f>P64/365+input!$K$2</f>
        <v>2.1698630136986301</v>
      </c>
      <c r="R64" s="4">
        <f t="shared" si="3"/>
        <v>36.530861861999853</v>
      </c>
      <c r="S64" s="10">
        <f t="shared" si="4"/>
        <v>80.931236544280779</v>
      </c>
      <c r="T64" s="20">
        <f>input!C63</f>
        <v>7.89</v>
      </c>
      <c r="U64" s="19">
        <f t="shared" si="11"/>
        <v>0.99213707254116545</v>
      </c>
      <c r="V64" s="21">
        <f t="shared" si="12"/>
        <v>1632.1904347558011</v>
      </c>
      <c r="W64" s="21">
        <v>1157</v>
      </c>
      <c r="X64" s="3">
        <f>W64/365+input!$K$2</f>
        <v>3.1698630136986301</v>
      </c>
      <c r="Y64" s="4">
        <f t="shared" si="13"/>
        <v>39.469004015014669</v>
      </c>
      <c r="Z64" s="10">
        <f t="shared" si="5"/>
        <v>103.98435971907008</v>
      </c>
      <c r="AA64" s="20">
        <f>input!D63</f>
        <v>0</v>
      </c>
      <c r="AB64" s="19">
        <f t="shared" si="14"/>
        <v>0.99866597068041085</v>
      </c>
      <c r="AC64" s="21">
        <f t="shared" si="15"/>
        <v>1956.3459956959921</v>
      </c>
      <c r="AD64" s="8">
        <f t="shared" si="16"/>
        <v>68581.263854951423</v>
      </c>
      <c r="AE64" s="8">
        <f t="shared" si="17"/>
        <v>116163.2614268871</v>
      </c>
      <c r="AF64" s="8">
        <f t="shared" si="18"/>
        <v>638.54745633437528</v>
      </c>
      <c r="AG64" s="8">
        <f t="shared" si="19"/>
        <v>0</v>
      </c>
      <c r="AH64" s="8">
        <f t="shared" si="20"/>
        <v>327.33453242254654</v>
      </c>
      <c r="AI64" s="8">
        <f t="shared" si="21"/>
        <v>88954.593966260756</v>
      </c>
      <c r="AJ64" s="8">
        <f t="shared" si="22"/>
        <v>633.52660400619482</v>
      </c>
      <c r="AK64" s="8">
        <f t="shared" si="23"/>
        <v>0</v>
      </c>
      <c r="AL64" s="8">
        <f t="shared" si="24"/>
        <v>5.0132833386177866</v>
      </c>
      <c r="AM64" s="8">
        <f t="shared" si="25"/>
        <v>92023.469681924005</v>
      </c>
      <c r="AN64" s="8">
        <f t="shared" si="26"/>
        <v>1034.0360632222373</v>
      </c>
      <c r="AO64" s="8">
        <f t="shared" si="27"/>
        <v>0</v>
      </c>
    </row>
    <row r="65" spans="1:41">
      <c r="A65" s="1">
        <v>41792</v>
      </c>
      <c r="B65" s="5">
        <v>63</v>
      </c>
      <c r="C65" s="3">
        <f>B65/365+input!$K$2</f>
        <v>0.17260273972602741</v>
      </c>
      <c r="D65" s="4">
        <f t="shared" si="0"/>
        <v>19.774804547590616</v>
      </c>
      <c r="E65" s="10">
        <f t="shared" si="6"/>
        <v>11.079025626477472</v>
      </c>
      <c r="F65" s="20">
        <f>input!A64</f>
        <v>6225.49</v>
      </c>
      <c r="G65" s="19">
        <f t="shared" si="7"/>
        <v>4.8860723804135912E-3</v>
      </c>
      <c r="H65" s="21">
        <f t="shared" si="8"/>
        <v>15.82091425375145</v>
      </c>
      <c r="I65" s="5">
        <v>428</v>
      </c>
      <c r="J65" s="3">
        <f>I65/365+input!$K$2</f>
        <v>1.1726027397260275</v>
      </c>
      <c r="K65" s="4">
        <f t="shared" si="28"/>
        <v>30.524372963155304</v>
      </c>
      <c r="L65" s="10">
        <f t="shared" si="29"/>
        <v>45.222390350461218</v>
      </c>
      <c r="M65" s="20">
        <f>input!B64</f>
        <v>2550.9299999999998</v>
      </c>
      <c r="N65" s="19">
        <f t="shared" si="9"/>
        <v>0.76812784415916791</v>
      </c>
      <c r="O65" s="21">
        <f t="shared" si="10"/>
        <v>1036.7996180181578</v>
      </c>
      <c r="P65" s="5">
        <v>793</v>
      </c>
      <c r="Q65" s="3">
        <f>P65/365+input!$K$2</f>
        <v>2.1726027397260275</v>
      </c>
      <c r="R65" s="4">
        <f t="shared" si="3"/>
        <v>36.543038760313003</v>
      </c>
      <c r="S65" s="10">
        <f t="shared" si="4"/>
        <v>81.018674516032917</v>
      </c>
      <c r="T65" s="20">
        <f>input!C64</f>
        <v>7.78</v>
      </c>
      <c r="U65" s="19">
        <f t="shared" si="11"/>
        <v>0.99219442987682727</v>
      </c>
      <c r="V65" s="21">
        <f t="shared" si="12"/>
        <v>1633.4659920177357</v>
      </c>
      <c r="W65" s="21">
        <v>1158</v>
      </c>
      <c r="X65" s="3">
        <f>W65/365+input!$K$2</f>
        <v>3.1726027397260275</v>
      </c>
      <c r="Y65" s="4">
        <f t="shared" si="13"/>
        <v>39.469004015014669</v>
      </c>
      <c r="Z65" s="10">
        <f t="shared" si="5"/>
        <v>103.98435971907008</v>
      </c>
      <c r="AA65" s="20">
        <f>input!D64</f>
        <v>0</v>
      </c>
      <c r="AB65" s="19">
        <f t="shared" si="14"/>
        <v>0.99866597068041085</v>
      </c>
      <c r="AC65" s="21">
        <f t="shared" si="15"/>
        <v>1956.3459956959921</v>
      </c>
      <c r="AD65" s="8">
        <f t="shared" si="16"/>
        <v>68972.363247379239</v>
      </c>
      <c r="AE65" s="8">
        <f t="shared" si="17"/>
        <v>115359.15221670203</v>
      </c>
      <c r="AF65" s="8">
        <f t="shared" si="18"/>
        <v>630.32528773473609</v>
      </c>
      <c r="AG65" s="8">
        <f t="shared" si="19"/>
        <v>0</v>
      </c>
      <c r="AH65" s="8">
        <f t="shared" si="20"/>
        <v>337.00395907487319</v>
      </c>
      <c r="AI65" s="8">
        <f t="shared" si="21"/>
        <v>88610.576896244631</v>
      </c>
      <c r="AJ65" s="8">
        <f t="shared" si="22"/>
        <v>625.40523950091358</v>
      </c>
      <c r="AK65" s="8">
        <f t="shared" si="23"/>
        <v>0</v>
      </c>
      <c r="AL65" s="8">
        <f t="shared" si="24"/>
        <v>5.3317107396983321</v>
      </c>
      <c r="AM65" s="8">
        <f t="shared" si="25"/>
        <v>91871.412278395044</v>
      </c>
      <c r="AN65" s="8">
        <f t="shared" si="26"/>
        <v>1021.5781899544494</v>
      </c>
      <c r="AO65" s="8">
        <f t="shared" si="27"/>
        <v>0</v>
      </c>
    </row>
    <row r="66" spans="1:41">
      <c r="A66" s="1">
        <v>41793</v>
      </c>
      <c r="B66" s="5">
        <v>64</v>
      </c>
      <c r="C66" s="3">
        <f>B66/365+input!$K$2</f>
        <v>0.17534246575342466</v>
      </c>
      <c r="D66" s="4">
        <f t="shared" si="0"/>
        <v>19.813586365827668</v>
      </c>
      <c r="E66" s="10">
        <f t="shared" si="6"/>
        <v>11.149578743168769</v>
      </c>
      <c r="F66" s="20">
        <f>input!A65</f>
        <v>6221.22</v>
      </c>
      <c r="G66" s="19">
        <f t="shared" si="7"/>
        <v>5.0016826396615758E-3</v>
      </c>
      <c r="H66" s="21">
        <f t="shared" si="8"/>
        <v>16.339670907044148</v>
      </c>
      <c r="I66" s="5">
        <v>429</v>
      </c>
      <c r="J66" s="3">
        <f>I66/365+input!$K$2</f>
        <v>1.1753424657534246</v>
      </c>
      <c r="K66" s="4">
        <f t="shared" si="28"/>
        <v>30.546086839838662</v>
      </c>
      <c r="L66" s="10">
        <f t="shared" si="29"/>
        <v>45.326702553499821</v>
      </c>
      <c r="M66" s="20">
        <f>input!B65</f>
        <v>2520.4899999999998</v>
      </c>
      <c r="N66" s="19">
        <f t="shared" si="9"/>
        <v>0.77046321728647094</v>
      </c>
      <c r="O66" s="21">
        <f t="shared" si="10"/>
        <v>1039.0921982210366</v>
      </c>
      <c r="P66" s="5">
        <v>794</v>
      </c>
      <c r="Q66" s="3">
        <f>P66/365+input!$K$2</f>
        <v>2.1753424657534248</v>
      </c>
      <c r="R66" s="4">
        <f t="shared" si="3"/>
        <v>36.555196324399823</v>
      </c>
      <c r="S66" s="10">
        <f t="shared" si="4"/>
        <v>81.106038789488153</v>
      </c>
      <c r="T66" s="20">
        <f>input!C65</f>
        <v>7.62</v>
      </c>
      <c r="U66" s="19">
        <f t="shared" si="11"/>
        <v>0.99225128199414103</v>
      </c>
      <c r="V66" s="21">
        <f t="shared" si="12"/>
        <v>1634.7400693804004</v>
      </c>
      <c r="W66" s="21">
        <v>1159</v>
      </c>
      <c r="X66" s="3">
        <f>W66/365+input!$K$2</f>
        <v>3.1753424657534248</v>
      </c>
      <c r="Y66" s="4">
        <f t="shared" si="13"/>
        <v>39.469004015014669</v>
      </c>
      <c r="Z66" s="10">
        <f t="shared" si="5"/>
        <v>103.98435971907008</v>
      </c>
      <c r="AA66" s="20">
        <f>input!D65</f>
        <v>0</v>
      </c>
      <c r="AB66" s="19">
        <f t="shared" si="14"/>
        <v>0.99866597068041085</v>
      </c>
      <c r="AC66" s="21">
        <f t="shared" si="15"/>
        <v>1956.3459956959921</v>
      </c>
      <c r="AD66" s="8">
        <f t="shared" si="16"/>
        <v>69363.982268576408</v>
      </c>
      <c r="AE66" s="8">
        <f t="shared" si="17"/>
        <v>114245.50051907076</v>
      </c>
      <c r="AF66" s="8">
        <f t="shared" si="18"/>
        <v>618.02801557589976</v>
      </c>
      <c r="AG66" s="8">
        <f t="shared" si="19"/>
        <v>0</v>
      </c>
      <c r="AH66" s="8">
        <f t="shared" si="20"/>
        <v>346.93662593053199</v>
      </c>
      <c r="AI66" s="8">
        <f t="shared" si="21"/>
        <v>88021.955890426441</v>
      </c>
      <c r="AJ66" s="8">
        <f t="shared" si="22"/>
        <v>613.2390907634815</v>
      </c>
      <c r="AK66" s="8">
        <f t="shared" si="23"/>
        <v>0</v>
      </c>
      <c r="AL66" s="8">
        <f t="shared" si="24"/>
        <v>5.668830293305172</v>
      </c>
      <c r="AM66" s="8">
        <f t="shared" si="25"/>
        <v>91462.92763789832</v>
      </c>
      <c r="AN66" s="8">
        <f t="shared" si="26"/>
        <v>1002.4865137814675</v>
      </c>
      <c r="AO66" s="8">
        <f t="shared" si="27"/>
        <v>0</v>
      </c>
    </row>
    <row r="67" spans="1:41">
      <c r="A67" s="1">
        <v>41794</v>
      </c>
      <c r="B67" s="5">
        <v>65</v>
      </c>
      <c r="C67" s="3">
        <f>B67/365+input!$K$2</f>
        <v>0.17808219178082191</v>
      </c>
      <c r="D67" s="4">
        <f t="shared" ref="D67:D130" si="30">44.2*(1-EXP(-0.58*(C67+0.85)))</f>
        <v>19.852306607098889</v>
      </c>
      <c r="E67" s="10">
        <f t="shared" si="6"/>
        <v>11.220329112992923</v>
      </c>
      <c r="F67" s="20">
        <f>input!A66</f>
        <v>6216.96</v>
      </c>
      <c r="G67" s="19">
        <f t="shared" si="7"/>
        <v>5.1198242252266362E-3</v>
      </c>
      <c r="H67" s="21">
        <f t="shared" si="8"/>
        <v>16.871979865009756</v>
      </c>
      <c r="I67" s="5">
        <v>430</v>
      </c>
      <c r="J67" s="3">
        <f>I67/365+input!$K$2</f>
        <v>1.178082191780822</v>
      </c>
      <c r="K67" s="4">
        <f t="shared" si="28"/>
        <v>30.567766239679433</v>
      </c>
      <c r="L67" s="10">
        <f t="shared" si="29"/>
        <v>45.431014966521346</v>
      </c>
      <c r="M67" s="20">
        <f>input!B66</f>
        <v>2509.4699999999998</v>
      </c>
      <c r="N67" s="19">
        <f t="shared" si="9"/>
        <v>0.77277835817386054</v>
      </c>
      <c r="O67" s="21">
        <f t="shared" si="10"/>
        <v>1041.3771525820598</v>
      </c>
      <c r="P67" s="5">
        <v>795</v>
      </c>
      <c r="Q67" s="3">
        <f>P67/365+input!$K$2</f>
        <v>2.1780821917808217</v>
      </c>
      <c r="R67" s="4">
        <f t="shared" ref="R67:R130" si="31">44.2*(1-EXP(-0.58*(Q67+0.85)))</f>
        <v>36.567334584958793</v>
      </c>
      <c r="S67" s="10">
        <f t="shared" ref="S67:S130" si="32">0.0007*R67^3.24</f>
        <v>81.193329301777226</v>
      </c>
      <c r="T67" s="20">
        <f>input!C66</f>
        <v>7.53</v>
      </c>
      <c r="U67" s="19">
        <f t="shared" si="11"/>
        <v>0.99230763394545562</v>
      </c>
      <c r="V67" s="21">
        <f t="shared" si="12"/>
        <v>1636.0126678327256</v>
      </c>
      <c r="W67" s="21">
        <v>1160</v>
      </c>
      <c r="X67" s="3">
        <f>W67/365+input!$K$2</f>
        <v>3.1780821917808217</v>
      </c>
      <c r="Y67" s="4">
        <f t="shared" si="13"/>
        <v>39.469004015014669</v>
      </c>
      <c r="Z67" s="10">
        <f t="shared" ref="Z67:Z130" si="33">0.0007*Y67^3.24</f>
        <v>103.98435971907008</v>
      </c>
      <c r="AA67" s="20">
        <f>input!D66</f>
        <v>0</v>
      </c>
      <c r="AB67" s="19">
        <f t="shared" si="14"/>
        <v>0.99866597068041085</v>
      </c>
      <c r="AC67" s="21">
        <f t="shared" si="15"/>
        <v>1956.3459956959921</v>
      </c>
      <c r="AD67" s="8">
        <f t="shared" si="16"/>
        <v>69756.337282312481</v>
      </c>
      <c r="AE67" s="8">
        <f t="shared" si="17"/>
        <v>114007.76912803631</v>
      </c>
      <c r="AF67" s="8">
        <f t="shared" si="18"/>
        <v>611.38576964238257</v>
      </c>
      <c r="AG67" s="8">
        <f t="shared" si="19"/>
        <v>0</v>
      </c>
      <c r="AH67" s="8">
        <f t="shared" si="20"/>
        <v>357.14018548106344</v>
      </c>
      <c r="AI67" s="8">
        <f t="shared" si="21"/>
        <v>88102.736645828438</v>
      </c>
      <c r="AJ67" s="8">
        <f t="shared" si="22"/>
        <v>606.68276650175403</v>
      </c>
      <c r="AK67" s="8">
        <f t="shared" si="23"/>
        <v>0</v>
      </c>
      <c r="AL67" s="8">
        <f t="shared" si="24"/>
        <v>6.0256620184223522</v>
      </c>
      <c r="AM67" s="8">
        <f t="shared" si="25"/>
        <v>91748.177022919903</v>
      </c>
      <c r="AN67" s="8">
        <f t="shared" si="26"/>
        <v>992.54069135267309</v>
      </c>
      <c r="AO67" s="8">
        <f t="shared" si="27"/>
        <v>0</v>
      </c>
    </row>
    <row r="68" spans="1:41">
      <c r="A68" s="1">
        <v>41795</v>
      </c>
      <c r="B68" s="5">
        <v>66</v>
      </c>
      <c r="C68" s="3">
        <f>B68/365+input!$K$2</f>
        <v>0.18082191780821918</v>
      </c>
      <c r="D68" s="4">
        <f t="shared" si="30"/>
        <v>19.890965369174904</v>
      </c>
      <c r="E68" s="10">
        <f t="shared" ref="E68:E131" si="34">0.0007*D68^3.24</f>
        <v>11.29127618865985</v>
      </c>
      <c r="F68" s="20">
        <f>input!A67</f>
        <v>6212.71</v>
      </c>
      <c r="G68" s="19">
        <f t="shared" ref="G68:G131" si="35">1/(1+EXP(-0.606*D68+17.3))</f>
        <v>5.2405474362011845E-3</v>
      </c>
      <c r="H68" s="21">
        <f t="shared" ref="H68:H131" si="36">0.3586*D68^2.341*_xlfn.NORM.DIST(D68,25,3,TRUE)</f>
        <v>17.418078400132085</v>
      </c>
      <c r="I68" s="5">
        <v>431</v>
      </c>
      <c r="J68" s="3">
        <f>I68/365+input!$K$2</f>
        <v>1.1808219178082191</v>
      </c>
      <c r="K68" s="4">
        <f t="shared" si="28"/>
        <v>30.58941121741924</v>
      </c>
      <c r="L68" s="10">
        <f t="shared" si="29"/>
        <v>45.535327208487161</v>
      </c>
      <c r="M68" s="20">
        <f>input!B67</f>
        <v>2456.7199999999998</v>
      </c>
      <c r="N68" s="19">
        <f t="shared" ref="N68:N131" si="37">1/(1+EXP(-0.606*K68+17.3))</f>
        <v>0.77507332851758726</v>
      </c>
      <c r="O68" s="21">
        <f t="shared" ref="O68:O131" si="38">0.3586*K68^2.341*_xlfn.NORM.DIST(K68,25,3,TRUE)</f>
        <v>1043.6545423853952</v>
      </c>
      <c r="P68" s="5">
        <v>796</v>
      </c>
      <c r="Q68" s="3">
        <f>P68/365+input!$K$2</f>
        <v>2.1808219178082191</v>
      </c>
      <c r="R68" s="4">
        <f t="shared" si="31"/>
        <v>36.57945357263965</v>
      </c>
      <c r="S68" s="10">
        <f t="shared" si="32"/>
        <v>81.280545990575405</v>
      </c>
      <c r="T68" s="20">
        <f>input!C67</f>
        <v>7.3</v>
      </c>
      <c r="U68" s="19">
        <f t="shared" ref="U68:U131" si="39">1/(1+EXP(-0.606*R68+17.3))</f>
        <v>0.99236349072756447</v>
      </c>
      <c r="V68" s="21">
        <f t="shared" ref="V68:V131" si="40">0.3586*R68^2.341*_xlfn.NORM.DIST(R68,25,3,TRUE)</f>
        <v>1637.2837883609043</v>
      </c>
      <c r="W68" s="21">
        <v>1161</v>
      </c>
      <c r="X68" s="3">
        <f>W68/365+input!$K$2</f>
        <v>3.1808219178082191</v>
      </c>
      <c r="Y68" s="4">
        <f t="shared" ref="Y68:Y131" si="41">44.2*(1-EXP(-0.58*(X$3+0.85)))</f>
        <v>39.469004015014669</v>
      </c>
      <c r="Z68" s="10">
        <f t="shared" si="33"/>
        <v>103.98435971907008</v>
      </c>
      <c r="AA68" s="20">
        <f>input!D67</f>
        <v>0</v>
      </c>
      <c r="AB68" s="19">
        <f t="shared" ref="AB68:AB131" si="42">1/(1+EXP(-0.606*Y68+17.3))</f>
        <v>0.99866597068041085</v>
      </c>
      <c r="AC68" s="21">
        <f t="shared" ref="AC68:AC131" si="43">0.3586*Y68^2.341*_xlfn.NORM.DIST(Y68,25,3,TRUE)</f>
        <v>1956.3459956959921</v>
      </c>
      <c r="AD68" s="8">
        <f t="shared" ref="AD68:AD131" si="44">E68*F68</f>
        <v>70149.424490048943</v>
      </c>
      <c r="AE68" s="8">
        <f t="shared" ref="AE68:AE131" si="45">L68*M68</f>
        <v>111867.54905963456</v>
      </c>
      <c r="AF68" s="8">
        <f t="shared" ref="AF68:AF131" si="46">S68*T68</f>
        <v>593.34798573120042</v>
      </c>
      <c r="AG68" s="8">
        <f t="shared" ref="AG68:AG131" si="47">Z68*AA68</f>
        <v>0</v>
      </c>
      <c r="AH68" s="8">
        <f t="shared" ref="AH68:AH131" si="48">E68*F68*G68</f>
        <v>367.62138666231459</v>
      </c>
      <c r="AI68" s="8">
        <f t="shared" ref="AI68:AI131" si="49">L68*M68*N68</f>
        <v>86705.553602755448</v>
      </c>
      <c r="AJ68" s="8">
        <f t="shared" ref="AJ68:AJ131" si="50">S68*T68*U68</f>
        <v>588.81687833638318</v>
      </c>
      <c r="AK68" s="8">
        <f t="shared" ref="AK68:AK131" si="51">Z68*AA68*AB68</f>
        <v>0</v>
      </c>
      <c r="AL68" s="8">
        <f t="shared" ref="AL68:AL131" si="52">AH68*H68/1000</f>
        <v>6.4032581344494677</v>
      </c>
      <c r="AM68" s="8">
        <f t="shared" ref="AM68:AM131" si="53">AI68*O68/1000</f>
        <v>90490.644867556097</v>
      </c>
      <c r="AN68" s="8">
        <f t="shared" ref="AN68:AN131" si="54">AJ68*V68/1000</f>
        <v>964.06032921343512</v>
      </c>
      <c r="AO68" s="8">
        <f t="shared" ref="AO68:AO131" si="55">AK68*AC68/1000</f>
        <v>0</v>
      </c>
    </row>
    <row r="69" spans="1:41">
      <c r="A69" s="1">
        <v>41796</v>
      </c>
      <c r="B69" s="5">
        <v>67</v>
      </c>
      <c r="C69" s="3">
        <f>B69/365+input!$K$2</f>
        <v>0.18356164383561643</v>
      </c>
      <c r="D69" s="4">
        <f t="shared" si="30"/>
        <v>19.92956274967111</v>
      </c>
      <c r="E69" s="10">
        <f t="shared" si="34"/>
        <v>11.362419421285491</v>
      </c>
      <c r="F69" s="20">
        <f>input!A68</f>
        <v>6208.45</v>
      </c>
      <c r="G69" s="19">
        <f t="shared" si="35"/>
        <v>5.3639034437159543E-3</v>
      </c>
      <c r="H69" s="21">
        <f t="shared" si="36"/>
        <v>17.978204501703924</v>
      </c>
      <c r="I69" s="5">
        <v>432</v>
      </c>
      <c r="J69" s="3">
        <f>I69/365+input!$K$2</f>
        <v>1.1835616438356165</v>
      </c>
      <c r="K69" s="4">
        <f t="shared" si="28"/>
        <v>30.611021827712765</v>
      </c>
      <c r="L69" s="10">
        <f t="shared" si="29"/>
        <v>45.639638899503765</v>
      </c>
      <c r="M69" s="20">
        <f>input!B68</f>
        <v>2455.04</v>
      </c>
      <c r="N69" s="19">
        <f t="shared" si="37"/>
        <v>0.77734819306522041</v>
      </c>
      <c r="O69" s="21">
        <f t="shared" si="38"/>
        <v>1045.924428713826</v>
      </c>
      <c r="P69" s="5">
        <v>797</v>
      </c>
      <c r="Q69" s="3">
        <f>P69/365+input!$K$2</f>
        <v>2.1835616438356165</v>
      </c>
      <c r="R69" s="4">
        <f t="shared" si="31"/>
        <v>36.591553318043474</v>
      </c>
      <c r="S69" s="10">
        <f t="shared" si="32"/>
        <v>81.36768879410225</v>
      </c>
      <c r="T69" s="20">
        <f>input!C68</f>
        <v>7.26</v>
      </c>
      <c r="U69" s="19">
        <f t="shared" si="39"/>
        <v>0.99241885728236034</v>
      </c>
      <c r="V69" s="21">
        <f t="shared" si="40"/>
        <v>1638.5534319484916</v>
      </c>
      <c r="W69" s="21">
        <v>1162</v>
      </c>
      <c r="X69" s="3">
        <f>W69/365+input!$K$2</f>
        <v>3.1835616438356165</v>
      </c>
      <c r="Y69" s="4">
        <f t="shared" si="41"/>
        <v>39.469004015014669</v>
      </c>
      <c r="Z69" s="10">
        <f t="shared" si="33"/>
        <v>103.98435971907008</v>
      </c>
      <c r="AA69" s="20">
        <f>input!D68</f>
        <v>0</v>
      </c>
      <c r="AB69" s="19">
        <f t="shared" si="42"/>
        <v>0.99866597068041085</v>
      </c>
      <c r="AC69" s="21">
        <f t="shared" si="43"/>
        <v>1956.3459956959921</v>
      </c>
      <c r="AD69" s="8">
        <f t="shared" si="44"/>
        <v>70543.012856079906</v>
      </c>
      <c r="AE69" s="8">
        <f t="shared" si="45"/>
        <v>112047.13908383773</v>
      </c>
      <c r="AF69" s="8">
        <f t="shared" si="46"/>
        <v>590.72942064518236</v>
      </c>
      <c r="AG69" s="8">
        <f t="shared" si="47"/>
        <v>0</v>
      </c>
      <c r="AH69" s="8">
        <f t="shared" si="48"/>
        <v>378.38590958882583</v>
      </c>
      <c r="AI69" s="8">
        <f t="shared" si="49"/>
        <v>87099.641104948692</v>
      </c>
      <c r="AJ69" s="8">
        <f t="shared" si="50"/>
        <v>586.25101659976269</v>
      </c>
      <c r="AK69" s="8">
        <f t="shared" si="51"/>
        <v>0</v>
      </c>
      <c r="AL69" s="8">
        <f t="shared" si="52"/>
        <v>6.8026992631511627</v>
      </c>
      <c r="AM69" s="8">
        <f t="shared" si="53"/>
        <v>91099.642363872743</v>
      </c>
      <c r="AN69" s="8">
        <f t="shared" si="54"/>
        <v>960.60361523283336</v>
      </c>
      <c r="AO69" s="8">
        <f t="shared" si="55"/>
        <v>0</v>
      </c>
    </row>
    <row r="70" spans="1:41">
      <c r="A70" s="1">
        <v>41797</v>
      </c>
      <c r="B70" s="5">
        <v>68</v>
      </c>
      <c r="C70" s="3">
        <f>B70/365+input!$K$2</f>
        <v>0.18630136986301371</v>
      </c>
      <c r="D70" s="4">
        <f t="shared" si="30"/>
        <v>19.968098846047901</v>
      </c>
      <c r="E70" s="10">
        <f t="shared" si="34"/>
        <v>11.433758260414537</v>
      </c>
      <c r="F70" s="20">
        <f>input!A69</f>
        <v>6204.2</v>
      </c>
      <c r="G70" s="19">
        <f t="shared" si="35"/>
        <v>5.4899443027827078E-3</v>
      </c>
      <c r="H70" s="21">
        <f t="shared" si="36"/>
        <v>18.552596779451125</v>
      </c>
      <c r="I70" s="5">
        <v>433</v>
      </c>
      <c r="J70" s="3">
        <f>I70/365+input!$K$2</f>
        <v>1.1863013698630136</v>
      </c>
      <c r="K70" s="4">
        <f t="shared" si="28"/>
        <v>30.632598125127938</v>
      </c>
      <c r="L70" s="10">
        <f t="shared" si="29"/>
        <v>45.74394966082334</v>
      </c>
      <c r="M70" s="20">
        <f>input!B69</f>
        <v>2424.54</v>
      </c>
      <c r="N70" s="19">
        <f t="shared" si="37"/>
        <v>0.77960301952675615</v>
      </c>
      <c r="O70" s="21">
        <f t="shared" si="38"/>
        <v>1048.1868724388132</v>
      </c>
      <c r="P70" s="5">
        <v>798</v>
      </c>
      <c r="Q70" s="3">
        <f>P70/365+input!$K$2</f>
        <v>2.1863013698630138</v>
      </c>
      <c r="R70" s="4">
        <f t="shared" si="31"/>
        <v>36.603633851722762</v>
      </c>
      <c r="S70" s="10">
        <f t="shared" si="32"/>
        <v>81.454757651119039</v>
      </c>
      <c r="T70" s="20">
        <f>input!C69</f>
        <v>7.1</v>
      </c>
      <c r="U70" s="19">
        <f t="shared" si="39"/>
        <v>0.99247373849748333</v>
      </c>
      <c r="V70" s="21">
        <f t="shared" si="40"/>
        <v>1639.821599576484</v>
      </c>
      <c r="W70" s="21">
        <v>1163</v>
      </c>
      <c r="X70" s="3">
        <f>W70/365+input!$K$2</f>
        <v>3.1863013698630138</v>
      </c>
      <c r="Y70" s="4">
        <f t="shared" si="41"/>
        <v>39.469004015014669</v>
      </c>
      <c r="Z70" s="10">
        <f t="shared" si="33"/>
        <v>103.98435971907008</v>
      </c>
      <c r="AA70" s="20">
        <f>input!D69</f>
        <v>0</v>
      </c>
      <c r="AB70" s="19">
        <f t="shared" si="42"/>
        <v>0.99866597068041085</v>
      </c>
      <c r="AC70" s="21">
        <f t="shared" si="43"/>
        <v>1956.3459956959921</v>
      </c>
      <c r="AD70" s="8">
        <f t="shared" si="44"/>
        <v>70937.322999263866</v>
      </c>
      <c r="AE70" s="8">
        <f t="shared" si="45"/>
        <v>110908.03571065262</v>
      </c>
      <c r="AF70" s="8">
        <f t="shared" si="46"/>
        <v>578.32877932294514</v>
      </c>
      <c r="AG70" s="8">
        <f t="shared" si="47"/>
        <v>0</v>
      </c>
      <c r="AH70" s="8">
        <f t="shared" si="48"/>
        <v>389.44195225446543</v>
      </c>
      <c r="AI70" s="8">
        <f t="shared" si="49"/>
        <v>86464.239529806087</v>
      </c>
      <c r="AJ70" s="8">
        <f t="shared" si="50"/>
        <v>573.97612569532942</v>
      </c>
      <c r="AK70" s="8">
        <f t="shared" si="51"/>
        <v>0</v>
      </c>
      <c r="AL70" s="8">
        <f t="shared" si="52"/>
        <v>7.2251595091793543</v>
      </c>
      <c r="AM70" s="8">
        <f t="shared" si="53"/>
        <v>90630.680810547841</v>
      </c>
      <c r="AN70" s="8">
        <f t="shared" si="54"/>
        <v>941.21844855642803</v>
      </c>
      <c r="AO70" s="8">
        <f t="shared" si="55"/>
        <v>0</v>
      </c>
    </row>
    <row r="71" spans="1:41">
      <c r="A71" s="1">
        <v>41798</v>
      </c>
      <c r="B71" s="5">
        <v>69</v>
      </c>
      <c r="C71" s="3">
        <f>B71/365+input!$K$2</f>
        <v>0.18904109589041096</v>
      </c>
      <c r="D71" s="4">
        <f t="shared" si="30"/>
        <v>20.00657375561093</v>
      </c>
      <c r="E71" s="10">
        <f t="shared" si="34"/>
        <v>11.50529215404327</v>
      </c>
      <c r="F71" s="20">
        <f>input!A70</f>
        <v>6199.95</v>
      </c>
      <c r="G71" s="19">
        <f t="shared" si="35"/>
        <v>5.6187229642043696E-3</v>
      </c>
      <c r="H71" s="21">
        <f t="shared" si="36"/>
        <v>19.141494365369162</v>
      </c>
      <c r="I71" s="5">
        <v>434</v>
      </c>
      <c r="J71" s="3">
        <f>I71/365+input!$K$2</f>
        <v>1.189041095890411</v>
      </c>
      <c r="K71" s="4">
        <f t="shared" si="28"/>
        <v>30.654140164146028</v>
      </c>
      <c r="L71" s="10">
        <f t="shared" si="29"/>
        <v>45.848259114842413</v>
      </c>
      <c r="M71" s="20">
        <f>input!B70</f>
        <v>2400.37</v>
      </c>
      <c r="N71" s="19">
        <f t="shared" si="37"/>
        <v>0.78183787848644815</v>
      </c>
      <c r="O71" s="21">
        <f t="shared" si="38"/>
        <v>1050.4419342108151</v>
      </c>
      <c r="P71" s="5">
        <v>799</v>
      </c>
      <c r="Q71" s="3">
        <f>P71/365+input!$K$2</f>
        <v>2.1890410958904107</v>
      </c>
      <c r="R71" s="4">
        <f t="shared" si="31"/>
        <v>36.615695204181478</v>
      </c>
      <c r="S71" s="10">
        <f t="shared" si="32"/>
        <v>81.541752500927458</v>
      </c>
      <c r="T71" s="20">
        <f>input!C70</f>
        <v>6.99</v>
      </c>
      <c r="U71" s="19">
        <f t="shared" si="39"/>
        <v>0.99252813920695948</v>
      </c>
      <c r="V71" s="21">
        <f t="shared" si="40"/>
        <v>1641.0882922234375</v>
      </c>
      <c r="W71" s="21">
        <v>1164</v>
      </c>
      <c r="X71" s="3">
        <f>W71/365+input!$K$2</f>
        <v>3.1890410958904107</v>
      </c>
      <c r="Y71" s="4">
        <f t="shared" si="41"/>
        <v>39.469004015014669</v>
      </c>
      <c r="Z71" s="10">
        <f t="shared" si="33"/>
        <v>103.98435971907008</v>
      </c>
      <c r="AA71" s="20">
        <f>input!D70</f>
        <v>0</v>
      </c>
      <c r="AB71" s="19">
        <f t="shared" si="42"/>
        <v>0.99866597068041085</v>
      </c>
      <c r="AC71" s="21">
        <f t="shared" si="43"/>
        <v>1956.3459956959921</v>
      </c>
      <c r="AD71" s="8">
        <f t="shared" si="44"/>
        <v>71332.236090460574</v>
      </c>
      <c r="AE71" s="8">
        <f t="shared" si="45"/>
        <v>110052.78573149428</v>
      </c>
      <c r="AF71" s="8">
        <f t="shared" si="46"/>
        <v>569.97684998148293</v>
      </c>
      <c r="AG71" s="8">
        <f t="shared" si="47"/>
        <v>0</v>
      </c>
      <c r="AH71" s="8">
        <f t="shared" si="48"/>
        <v>400.79607300951852</v>
      </c>
      <c r="AI71" s="8">
        <f t="shared" si="49"/>
        <v>86043.436517835144</v>
      </c>
      <c r="AJ71" s="8">
        <f t="shared" si="50"/>
        <v>565.71806230316554</v>
      </c>
      <c r="AK71" s="8">
        <f t="shared" si="51"/>
        <v>0</v>
      </c>
      <c r="AL71" s="8">
        <f t="shared" si="52"/>
        <v>7.6718357731737861</v>
      </c>
      <c r="AM71" s="8">
        <f t="shared" si="53"/>
        <v>90383.63388194023</v>
      </c>
      <c r="AN71" s="8">
        <f t="shared" si="54"/>
        <v>928.39328874505418</v>
      </c>
      <c r="AO71" s="8">
        <f t="shared" si="55"/>
        <v>0</v>
      </c>
    </row>
    <row r="72" spans="1:41">
      <c r="A72" s="1">
        <v>41799</v>
      </c>
      <c r="B72" s="5">
        <v>70</v>
      </c>
      <c r="C72" s="3">
        <f>B72/365+input!$K$2</f>
        <v>0.19178082191780821</v>
      </c>
      <c r="D72" s="4">
        <f t="shared" si="30"/>
        <v>20.044987575511346</v>
      </c>
      <c r="E72" s="10">
        <f t="shared" si="34"/>
        <v>11.577020548642141</v>
      </c>
      <c r="F72" s="20">
        <f>input!A71</f>
        <v>6195.71</v>
      </c>
      <c r="G72" s="19">
        <f t="shared" si="35"/>
        <v>5.7502932865495975E-3</v>
      </c>
      <c r="H72" s="21">
        <f t="shared" si="36"/>
        <v>19.745136813830506</v>
      </c>
      <c r="I72" s="5">
        <v>435</v>
      </c>
      <c r="J72" s="3">
        <f>I72/365+input!$K$2</f>
        <v>1.1917808219178083</v>
      </c>
      <c r="K72" s="4">
        <f t="shared" si="28"/>
        <v>30.675647999161811</v>
      </c>
      <c r="L72" s="10">
        <f t="shared" si="29"/>
        <v>45.952566885101646</v>
      </c>
      <c r="M72" s="20">
        <f>input!B71</f>
        <v>2359.98</v>
      </c>
      <c r="N72" s="19">
        <f t="shared" si="37"/>
        <v>0.78405284331541014</v>
      </c>
      <c r="O72" s="21">
        <f t="shared" si="38"/>
        <v>1052.6896744499236</v>
      </c>
      <c r="P72" s="5">
        <v>800</v>
      </c>
      <c r="Q72" s="3">
        <f>P72/365+input!$K$2</f>
        <v>2.1917808219178081</v>
      </c>
      <c r="R72" s="4">
        <f t="shared" si="31"/>
        <v>36.627737405875173</v>
      </c>
      <c r="S72" s="10">
        <f t="shared" si="32"/>
        <v>81.62867328336732</v>
      </c>
      <c r="T72" s="20">
        <f>input!C71</f>
        <v>6.78</v>
      </c>
      <c r="U72" s="19">
        <f t="shared" si="39"/>
        <v>0.9925820641918327</v>
      </c>
      <c r="V72" s="21">
        <f t="shared" si="40"/>
        <v>1642.3535108655346</v>
      </c>
      <c r="W72" s="21">
        <v>1165</v>
      </c>
      <c r="X72" s="3">
        <f>W72/365+input!$K$2</f>
        <v>3.1917808219178081</v>
      </c>
      <c r="Y72" s="4">
        <f t="shared" si="41"/>
        <v>39.469004015014669</v>
      </c>
      <c r="Z72" s="10">
        <f t="shared" si="33"/>
        <v>103.98435971907008</v>
      </c>
      <c r="AA72" s="20">
        <f>input!D71</f>
        <v>0</v>
      </c>
      <c r="AB72" s="19">
        <f t="shared" si="42"/>
        <v>0.99866597068041085</v>
      </c>
      <c r="AC72" s="21">
        <f t="shared" si="43"/>
        <v>1956.3459956959921</v>
      </c>
      <c r="AD72" s="8">
        <f t="shared" si="44"/>
        <v>71727.861983427603</v>
      </c>
      <c r="AE72" s="8">
        <f t="shared" si="45"/>
        <v>108447.13879750218</v>
      </c>
      <c r="AF72" s="8">
        <f t="shared" si="46"/>
        <v>553.44240486123044</v>
      </c>
      <c r="AG72" s="8">
        <f t="shared" si="47"/>
        <v>0</v>
      </c>
      <c r="AH72" s="8">
        <f t="shared" si="48"/>
        <v>412.45624322185984</v>
      </c>
      <c r="AI72" s="8">
        <f t="shared" si="49"/>
        <v>85028.287523602514</v>
      </c>
      <c r="AJ72" s="8">
        <f t="shared" si="50"/>
        <v>549.33700462845206</v>
      </c>
      <c r="AK72" s="8">
        <f t="shared" si="51"/>
        <v>0</v>
      </c>
      <c r="AL72" s="8">
        <f t="shared" si="52"/>
        <v>8.1440049521341731</v>
      </c>
      <c r="AM72" s="8">
        <f t="shared" si="53"/>
        <v>89508.400312255631</v>
      </c>
      <c r="AN72" s="8">
        <f t="shared" si="54"/>
        <v>902.20555819989477</v>
      </c>
      <c r="AO72" s="8">
        <f t="shared" si="55"/>
        <v>0</v>
      </c>
    </row>
    <row r="73" spans="1:41">
      <c r="A73" s="1">
        <v>41800</v>
      </c>
      <c r="B73" s="5">
        <v>71</v>
      </c>
      <c r="C73" s="3">
        <f>B73/365+input!$K$2</f>
        <v>0.19452054794520549</v>
      </c>
      <c r="D73" s="4">
        <f t="shared" si="30"/>
        <v>20.08334040274606</v>
      </c>
      <c r="E73" s="10">
        <f t="shared" si="34"/>
        <v>11.648942889178306</v>
      </c>
      <c r="F73" s="20">
        <f>input!A72</f>
        <v>6191.47</v>
      </c>
      <c r="G73" s="19">
        <f t="shared" si="35"/>
        <v>5.8847100481886471E-3</v>
      </c>
      <c r="H73" s="21">
        <f t="shared" si="36"/>
        <v>20.363764000023746</v>
      </c>
      <c r="I73" s="5">
        <v>436</v>
      </c>
      <c r="J73" s="3">
        <f>I73/365+input!$K$2</f>
        <v>1.1945205479452055</v>
      </c>
      <c r="K73" s="4">
        <f t="shared" si="28"/>
        <v>30.697121684483694</v>
      </c>
      <c r="L73" s="10">
        <f t="shared" si="29"/>
        <v>46.056872596285011</v>
      </c>
      <c r="M73" s="20">
        <f>input!B72</f>
        <v>2358.37</v>
      </c>
      <c r="N73" s="19">
        <f t="shared" si="37"/>
        <v>0.7862479900850321</v>
      </c>
      <c r="O73" s="21">
        <f t="shared" si="38"/>
        <v>1054.9301533367757</v>
      </c>
      <c r="P73" s="5">
        <v>801</v>
      </c>
      <c r="Q73" s="3">
        <f>P73/365+input!$K$2</f>
        <v>2.1945205479452055</v>
      </c>
      <c r="R73" s="4">
        <f t="shared" si="31"/>
        <v>36.639760487211028</v>
      </c>
      <c r="S73" s="10">
        <f t="shared" si="32"/>
        <v>81.715519938815845</v>
      </c>
      <c r="T73" s="20">
        <f>input!C72</f>
        <v>6.74</v>
      </c>
      <c r="U73" s="19">
        <f t="shared" si="39"/>
        <v>0.99263551818078799</v>
      </c>
      <c r="V73" s="21">
        <f t="shared" si="40"/>
        <v>1643.617256476695</v>
      </c>
      <c r="W73" s="21">
        <v>1166</v>
      </c>
      <c r="X73" s="3">
        <f>W73/365+input!$K$2</f>
        <v>3.1945205479452055</v>
      </c>
      <c r="Y73" s="4">
        <f t="shared" si="41"/>
        <v>39.469004015014669</v>
      </c>
      <c r="Z73" s="10">
        <f t="shared" si="33"/>
        <v>103.98435971907008</v>
      </c>
      <c r="AA73" s="20">
        <f>input!D72</f>
        <v>0</v>
      </c>
      <c r="AB73" s="19">
        <f t="shared" si="42"/>
        <v>0.99866597068041085</v>
      </c>
      <c r="AC73" s="21">
        <f t="shared" si="43"/>
        <v>1956.3459956959921</v>
      </c>
      <c r="AD73" s="8">
        <f t="shared" si="44"/>
        <v>72124.080430060814</v>
      </c>
      <c r="AE73" s="8">
        <f t="shared" si="45"/>
        <v>108619.14662490068</v>
      </c>
      <c r="AF73" s="8">
        <f t="shared" si="46"/>
        <v>550.76260438761881</v>
      </c>
      <c r="AG73" s="8">
        <f t="shared" si="47"/>
        <v>0</v>
      </c>
      <c r="AH73" s="8">
        <f t="shared" si="48"/>
        <v>424.42930082314501</v>
      </c>
      <c r="AI73" s="8">
        <f t="shared" si="49"/>
        <v>85401.585718579561</v>
      </c>
      <c r="AJ73" s="8">
        <f t="shared" si="50"/>
        <v>546.70652320090437</v>
      </c>
      <c r="AK73" s="8">
        <f t="shared" si="51"/>
        <v>0</v>
      </c>
      <c r="AL73" s="8">
        <f t="shared" si="52"/>
        <v>8.6429781166576092</v>
      </c>
      <c r="AM73" s="8">
        <f t="shared" si="53"/>
        <v>90092.707917304928</v>
      </c>
      <c r="AN73" s="8">
        <f t="shared" si="54"/>
        <v>898.57627576138316</v>
      </c>
      <c r="AO73" s="8">
        <f t="shared" si="55"/>
        <v>0</v>
      </c>
    </row>
    <row r="74" spans="1:41">
      <c r="A74" s="1">
        <v>41801</v>
      </c>
      <c r="B74" s="5">
        <v>72</v>
      </c>
      <c r="C74" s="3">
        <f>B74/365+input!$K$2</f>
        <v>0.19726027397260273</v>
      </c>
      <c r="D74" s="4">
        <f t="shared" si="30"/>
        <v>20.121632334157944</v>
      </c>
      <c r="E74" s="10">
        <f t="shared" si="34"/>
        <v>11.721058619137748</v>
      </c>
      <c r="F74" s="20">
        <f>input!A73</f>
        <v>6187.23</v>
      </c>
      <c r="G74" s="19">
        <f t="shared" si="35"/>
        <v>6.0220289593870364E-3</v>
      </c>
      <c r="H74" s="21">
        <f t="shared" si="36"/>
        <v>20.997616016786544</v>
      </c>
      <c r="I74" s="5">
        <v>437</v>
      </c>
      <c r="J74" s="3">
        <f>I74/365+input!$K$2</f>
        <v>1.1972602739726028</v>
      </c>
      <c r="K74" s="4">
        <f t="shared" si="28"/>
        <v>30.71856127433384</v>
      </c>
      <c r="L74" s="10">
        <f t="shared" si="29"/>
        <v>46.16117587421968</v>
      </c>
      <c r="M74" s="20">
        <f>input!B73</f>
        <v>2304.52</v>
      </c>
      <c r="N74" s="19">
        <f t="shared" si="37"/>
        <v>0.78842339748124246</v>
      </c>
      <c r="O74" s="21">
        <f t="shared" si="38"/>
        <v>1057.1634308037792</v>
      </c>
      <c r="P74" s="5">
        <v>802</v>
      </c>
      <c r="Q74" s="3">
        <f>P74/365+input!$K$2</f>
        <v>2.1972602739726028</v>
      </c>
      <c r="R74" s="4">
        <f t="shared" si="31"/>
        <v>36.651764478547967</v>
      </c>
      <c r="S74" s="10">
        <f t="shared" si="32"/>
        <v>81.802292408185323</v>
      </c>
      <c r="T74" s="20">
        <f>input!C73</f>
        <v>6.52</v>
      </c>
      <c r="U74" s="19">
        <f t="shared" si="39"/>
        <v>0.99268850585076795</v>
      </c>
      <c r="V74" s="21">
        <f t="shared" si="40"/>
        <v>1644.8795300286479</v>
      </c>
      <c r="W74" s="21">
        <v>1167</v>
      </c>
      <c r="X74" s="3">
        <f>W74/365+input!$K$2</f>
        <v>3.1972602739726028</v>
      </c>
      <c r="Y74" s="4">
        <f t="shared" si="41"/>
        <v>39.469004015014669</v>
      </c>
      <c r="Z74" s="10">
        <f t="shared" si="33"/>
        <v>103.98435971907008</v>
      </c>
      <c r="AA74" s="20">
        <f>input!D73</f>
        <v>0</v>
      </c>
      <c r="AB74" s="19">
        <f t="shared" si="42"/>
        <v>0.99866597068041085</v>
      </c>
      <c r="AC74" s="21">
        <f t="shared" si="43"/>
        <v>1956.3459956959921</v>
      </c>
      <c r="AD74" s="8">
        <f t="shared" si="44"/>
        <v>72520.885520087642</v>
      </c>
      <c r="AE74" s="8">
        <f t="shared" si="45"/>
        <v>106379.35302565673</v>
      </c>
      <c r="AF74" s="8">
        <f t="shared" si="46"/>
        <v>533.3509465013683</v>
      </c>
      <c r="AG74" s="8">
        <f t="shared" si="47"/>
        <v>0</v>
      </c>
      <c r="AH74" s="8">
        <f t="shared" si="48"/>
        <v>436.72287276235977</v>
      </c>
      <c r="AI74" s="8">
        <f t="shared" si="49"/>
        <v>83871.970934344776</v>
      </c>
      <c r="AJ74" s="8">
        <f t="shared" si="50"/>
        <v>529.45135417653614</v>
      </c>
      <c r="AK74" s="8">
        <f t="shared" si="51"/>
        <v>0</v>
      </c>
      <c r="AL74" s="8">
        <f t="shared" si="52"/>
        <v>9.1701391880119569</v>
      </c>
      <c r="AM74" s="8">
        <f t="shared" si="53"/>
        <v>88666.380541226768</v>
      </c>
      <c r="AN74" s="8">
        <f t="shared" si="54"/>
        <v>870.88369463093193</v>
      </c>
      <c r="AO74" s="8">
        <f t="shared" si="55"/>
        <v>0</v>
      </c>
    </row>
    <row r="75" spans="1:41">
      <c r="A75" s="1">
        <v>41802</v>
      </c>
      <c r="B75" s="5">
        <v>73</v>
      </c>
      <c r="C75" s="3">
        <f>B75/365+input!$K$2</f>
        <v>0.2</v>
      </c>
      <c r="D75" s="4">
        <f t="shared" si="30"/>
        <v>20.159863466436128</v>
      </c>
      <c r="E75" s="10">
        <f t="shared" si="34"/>
        <v>11.793367180547749</v>
      </c>
      <c r="F75" s="20">
        <f>input!A74</f>
        <v>6182.99</v>
      </c>
      <c r="G75" s="19">
        <f t="shared" si="35"/>
        <v>6.1623066744541048E-3</v>
      </c>
      <c r="H75" s="21">
        <f t="shared" si="36"/>
        <v>21.646933069900591</v>
      </c>
      <c r="I75" s="5">
        <v>438</v>
      </c>
      <c r="J75" s="3">
        <f>I75/365+input!$K$2</f>
        <v>1.2</v>
      </c>
      <c r="K75" s="4">
        <f t="shared" si="28"/>
        <v>30.739966822848341</v>
      </c>
      <c r="L75" s="10">
        <f t="shared" si="29"/>
        <v>46.265476345874667</v>
      </c>
      <c r="M75" s="20">
        <f>input!B74</f>
        <v>2302.9499999999998</v>
      </c>
      <c r="N75" s="19">
        <f t="shared" si="37"/>
        <v>0.790579146719669</v>
      </c>
      <c r="O75" s="21">
        <f t="shared" si="38"/>
        <v>1059.3895665265786</v>
      </c>
      <c r="P75" s="5">
        <v>803</v>
      </c>
      <c r="Q75" s="3">
        <f>P75/365+input!$K$2</f>
        <v>2.2000000000000002</v>
      </c>
      <c r="R75" s="4">
        <f t="shared" si="31"/>
        <v>36.663749410196672</v>
      </c>
      <c r="S75" s="10">
        <f t="shared" si="32"/>
        <v>81.888990632921264</v>
      </c>
      <c r="T75" s="20">
        <f>input!C74</f>
        <v>6.48</v>
      </c>
      <c r="U75" s="19">
        <f t="shared" si="39"/>
        <v>0.99274103182758067</v>
      </c>
      <c r="V75" s="21">
        <f t="shared" si="40"/>
        <v>1646.1403324910245</v>
      </c>
      <c r="W75" s="21">
        <v>1168</v>
      </c>
      <c r="X75" s="3">
        <f>W75/365+input!$K$2</f>
        <v>3.2</v>
      </c>
      <c r="Y75" s="4">
        <f t="shared" si="41"/>
        <v>39.469004015014669</v>
      </c>
      <c r="Z75" s="10">
        <f t="shared" si="33"/>
        <v>103.98435971907008</v>
      </c>
      <c r="AA75" s="20">
        <f>input!D74</f>
        <v>0</v>
      </c>
      <c r="AB75" s="19">
        <f t="shared" si="42"/>
        <v>0.99866597068041085</v>
      </c>
      <c r="AC75" s="21">
        <f t="shared" si="43"/>
        <v>1956.3459956959921</v>
      </c>
      <c r="AD75" s="8">
        <f t="shared" si="44"/>
        <v>72918.271343654924</v>
      </c>
      <c r="AE75" s="8">
        <f t="shared" si="45"/>
        <v>106547.07875073205</v>
      </c>
      <c r="AF75" s="8">
        <f t="shared" si="46"/>
        <v>530.64065930132983</v>
      </c>
      <c r="AG75" s="8">
        <f t="shared" si="47"/>
        <v>0</v>
      </c>
      <c r="AH75" s="8">
        <f t="shared" si="48"/>
        <v>449.34475019066019</v>
      </c>
      <c r="AI75" s="8">
        <f t="shared" si="49"/>
        <v>84233.898604227114</v>
      </c>
      <c r="AJ75" s="8">
        <f t="shared" si="50"/>
        <v>526.78875564446992</v>
      </c>
      <c r="AK75" s="8">
        <f t="shared" si="51"/>
        <v>0</v>
      </c>
      <c r="AL75" s="8">
        <f t="shared" si="52"/>
        <v>9.7269357326884212</v>
      </c>
      <c r="AM75" s="8">
        <f t="shared" si="53"/>
        <v>89236.513329175941</v>
      </c>
      <c r="AN75" s="8">
        <f t="shared" si="54"/>
        <v>867.16821736912084</v>
      </c>
      <c r="AO75" s="8">
        <f t="shared" si="55"/>
        <v>0</v>
      </c>
    </row>
    <row r="76" spans="1:41">
      <c r="A76" s="1">
        <v>41803</v>
      </c>
      <c r="B76" s="5">
        <v>74</v>
      </c>
      <c r="C76" s="3">
        <f>B76/365+input!$K$2</f>
        <v>0.20273972602739726</v>
      </c>
      <c r="D76" s="4">
        <f t="shared" si="30"/>
        <v>20.198033896116211</v>
      </c>
      <c r="E76" s="10">
        <f t="shared" si="34"/>
        <v>11.865868013998695</v>
      </c>
      <c r="F76" s="20">
        <f>input!A75</f>
        <v>6178.76</v>
      </c>
      <c r="G76" s="19">
        <f t="shared" si="35"/>
        <v>6.3056008039422433E-3</v>
      </c>
      <c r="H76" s="21">
        <f t="shared" si="36"/>
        <v>22.311955371912632</v>
      </c>
      <c r="I76" s="5">
        <v>439</v>
      </c>
      <c r="J76" s="3">
        <f>I76/365+input!$K$2</f>
        <v>1.2027397260273973</v>
      </c>
      <c r="K76" s="4">
        <f t="shared" si="28"/>
        <v>30.76133838407732</v>
      </c>
      <c r="L76" s="10">
        <f t="shared" si="29"/>
        <v>46.369773639360979</v>
      </c>
      <c r="M76" s="20">
        <f>input!B75</f>
        <v>2271.35</v>
      </c>
      <c r="N76" s="19">
        <f t="shared" si="37"/>
        <v>0.7927153214617132</v>
      </c>
      <c r="O76" s="21">
        <f t="shared" si="38"/>
        <v>1061.6086199158406</v>
      </c>
      <c r="P76" s="5">
        <v>804</v>
      </c>
      <c r="Q76" s="3">
        <f>P76/365+input!$K$2</f>
        <v>2.2027397260273971</v>
      </c>
      <c r="R76" s="4">
        <f t="shared" si="31"/>
        <v>36.675715312419726</v>
      </c>
      <c r="S76" s="10">
        <f t="shared" si="32"/>
        <v>81.975614555001201</v>
      </c>
      <c r="T76" s="20">
        <f>input!C75</f>
        <v>6.32</v>
      </c>
      <c r="U76" s="19">
        <f t="shared" si="39"/>
        <v>0.99279310068650062</v>
      </c>
      <c r="V76" s="21">
        <f t="shared" si="40"/>
        <v>1647.3996648314358</v>
      </c>
      <c r="W76" s="21">
        <v>1169</v>
      </c>
      <c r="X76" s="3">
        <f>W76/365+input!$K$2</f>
        <v>3.2027397260273971</v>
      </c>
      <c r="Y76" s="4">
        <f t="shared" si="41"/>
        <v>39.469004015014669</v>
      </c>
      <c r="Z76" s="10">
        <f t="shared" si="33"/>
        <v>103.98435971907008</v>
      </c>
      <c r="AA76" s="20">
        <f>input!D75</f>
        <v>0</v>
      </c>
      <c r="AB76" s="19">
        <f t="shared" si="42"/>
        <v>0.99866597068041085</v>
      </c>
      <c r="AC76" s="21">
        <f t="shared" si="43"/>
        <v>1956.3459956959921</v>
      </c>
      <c r="AD76" s="8">
        <f t="shared" si="44"/>
        <v>73316.350650174572</v>
      </c>
      <c r="AE76" s="8">
        <f t="shared" si="45"/>
        <v>105321.98535576256</v>
      </c>
      <c r="AF76" s="8">
        <f t="shared" si="46"/>
        <v>518.08588398760764</v>
      </c>
      <c r="AG76" s="8">
        <f t="shared" si="47"/>
        <v>0</v>
      </c>
      <c r="AH76" s="8">
        <f t="shared" si="48"/>
        <v>462.30363960185218</v>
      </c>
      <c r="AI76" s="8">
        <f t="shared" si="49"/>
        <v>83490.351478279175</v>
      </c>
      <c r="AJ76" s="8">
        <f t="shared" si="50"/>
        <v>514.35209118596367</v>
      </c>
      <c r="AK76" s="8">
        <f t="shared" si="51"/>
        <v>0</v>
      </c>
      <c r="AL76" s="8">
        <f t="shared" si="52"/>
        <v>10.314898175069308</v>
      </c>
      <c r="AM76" s="8">
        <f t="shared" si="53"/>
        <v>88634.076809144404</v>
      </c>
      <c r="AN76" s="8">
        <f t="shared" si="54"/>
        <v>847.34346262510462</v>
      </c>
      <c r="AO76" s="8">
        <f t="shared" si="55"/>
        <v>0</v>
      </c>
    </row>
    <row r="77" spans="1:41">
      <c r="A77" s="1">
        <v>41804</v>
      </c>
      <c r="B77" s="5">
        <v>75</v>
      </c>
      <c r="C77" s="3">
        <f>B77/365+input!$K$2</f>
        <v>0.20547945205479451</v>
      </c>
      <c r="D77" s="4">
        <f t="shared" si="30"/>
        <v>20.236143719580529</v>
      </c>
      <c r="E77" s="10">
        <f t="shared" si="34"/>
        <v>11.938560558666289</v>
      </c>
      <c r="F77" s="20">
        <f>input!A76</f>
        <v>6174.53</v>
      </c>
      <c r="G77" s="19">
        <f t="shared" si="35"/>
        <v>6.4519699268934718E-3</v>
      </c>
      <c r="H77" s="21">
        <f t="shared" si="36"/>
        <v>22.992923034553893</v>
      </c>
      <c r="I77" s="5">
        <v>440</v>
      </c>
      <c r="J77" s="3">
        <f>I77/365+input!$K$2</f>
        <v>1.2054794520547945</v>
      </c>
      <c r="K77" s="4">
        <f t="shared" si="28"/>
        <v>30.782676011985085</v>
      </c>
      <c r="L77" s="10">
        <f t="shared" si="29"/>
        <v>46.474067383930645</v>
      </c>
      <c r="M77" s="20">
        <f>input!B76</f>
        <v>2235.71</v>
      </c>
      <c r="N77" s="19">
        <f t="shared" si="37"/>
        <v>0.79483200773158413</v>
      </c>
      <c r="O77" s="21">
        <f t="shared" si="38"/>
        <v>1063.8206501092882</v>
      </c>
      <c r="P77" s="5">
        <v>805</v>
      </c>
      <c r="Q77" s="3">
        <f>P77/365+input!$K$2</f>
        <v>2.2054794520547945</v>
      </c>
      <c r="R77" s="4">
        <f t="shared" si="31"/>
        <v>36.687662215431665</v>
      </c>
      <c r="S77" s="10">
        <f t="shared" si="32"/>
        <v>82.062164116933332</v>
      </c>
      <c r="T77" s="20">
        <f>input!C76</f>
        <v>6.16</v>
      </c>
      <c r="U77" s="19">
        <f t="shared" si="39"/>
        <v>0.99284471695286236</v>
      </c>
      <c r="V77" s="21">
        <f t="shared" si="40"/>
        <v>1648.6575280155694</v>
      </c>
      <c r="W77" s="21">
        <v>1170</v>
      </c>
      <c r="X77" s="3">
        <f>W77/365+input!$K$2</f>
        <v>3.2054794520547945</v>
      </c>
      <c r="Y77" s="4">
        <f t="shared" si="41"/>
        <v>39.469004015014669</v>
      </c>
      <c r="Z77" s="10">
        <f t="shared" si="33"/>
        <v>103.98435971907008</v>
      </c>
      <c r="AA77" s="20">
        <f>input!D76</f>
        <v>0</v>
      </c>
      <c r="AB77" s="19">
        <f t="shared" si="42"/>
        <v>0.99866597068041085</v>
      </c>
      <c r="AC77" s="21">
        <f t="shared" si="43"/>
        <v>1956.3459956959921</v>
      </c>
      <c r="AD77" s="8">
        <f t="shared" si="44"/>
        <v>73715.000326301757</v>
      </c>
      <c r="AE77" s="8">
        <f t="shared" si="45"/>
        <v>103902.53719092759</v>
      </c>
      <c r="AF77" s="8">
        <f t="shared" si="46"/>
        <v>505.50293096030936</v>
      </c>
      <c r="AG77" s="8">
        <f t="shared" si="47"/>
        <v>0</v>
      </c>
      <c r="AH77" s="8">
        <f t="shared" si="48"/>
        <v>475.60696526624139</v>
      </c>
      <c r="AI77" s="8">
        <f t="shared" si="49"/>
        <v>82585.062243870561</v>
      </c>
      <c r="AJ77" s="8">
        <f t="shared" si="50"/>
        <v>501.88591440813065</v>
      </c>
      <c r="AK77" s="8">
        <f t="shared" si="51"/>
        <v>0</v>
      </c>
      <c r="AL77" s="8">
        <f t="shared" si="52"/>
        <v>10.935594347064434</v>
      </c>
      <c r="AM77" s="8">
        <f t="shared" si="53"/>
        <v>87855.694605590397</v>
      </c>
      <c r="AN77" s="8">
        <f t="shared" si="54"/>
        <v>827.43799099394221</v>
      </c>
      <c r="AO77" s="8">
        <f t="shared" si="55"/>
        <v>0</v>
      </c>
    </row>
    <row r="78" spans="1:41">
      <c r="A78" s="1">
        <v>41805</v>
      </c>
      <c r="B78" s="5">
        <v>76</v>
      </c>
      <c r="C78" s="3">
        <f>B78/365+input!$K$2</f>
        <v>0.20821917808219179</v>
      </c>
      <c r="D78" s="4">
        <f t="shared" si="30"/>
        <v>20.274193033058353</v>
      </c>
      <c r="E78" s="10">
        <f t="shared" si="34"/>
        <v>12.01144425233292</v>
      </c>
      <c r="F78" s="20">
        <f>input!A77</f>
        <v>6170.3</v>
      </c>
      <c r="G78" s="19">
        <f t="shared" si="35"/>
        <v>6.6014736031289522E-3</v>
      </c>
      <c r="H78" s="21">
        <f t="shared" si="36"/>
        <v>23.690075959826661</v>
      </c>
      <c r="I78" s="5">
        <v>441</v>
      </c>
      <c r="J78" s="3">
        <f>I78/365+input!$K$2</f>
        <v>1.2082191780821918</v>
      </c>
      <c r="K78" s="4">
        <f t="shared" si="28"/>
        <v>30.803979760450261</v>
      </c>
      <c r="L78" s="10">
        <f t="shared" si="29"/>
        <v>46.578357209975515</v>
      </c>
      <c r="M78" s="20">
        <f>input!B77</f>
        <v>2203.4899999999998</v>
      </c>
      <c r="N78" s="19">
        <f t="shared" si="37"/>
        <v>0.7969292938343242</v>
      </c>
      <c r="O78" s="21">
        <f t="shared" si="38"/>
        <v>1066.0257159640107</v>
      </c>
      <c r="P78" s="5">
        <v>806</v>
      </c>
      <c r="Q78" s="3">
        <f>P78/365+input!$K$2</f>
        <v>2.2082191780821918</v>
      </c>
      <c r="R78" s="4">
        <f t="shared" si="31"/>
        <v>36.699590149399036</v>
      </c>
      <c r="S78" s="10">
        <f t="shared" si="32"/>
        <v>82.148639261753431</v>
      </c>
      <c r="T78" s="20">
        <f>input!C77</f>
        <v>5.99</v>
      </c>
      <c r="U78" s="19">
        <f t="shared" si="39"/>
        <v>0.99289588510264604</v>
      </c>
      <c r="V78" s="21">
        <f t="shared" si="40"/>
        <v>1649.9139230072565</v>
      </c>
      <c r="W78" s="21">
        <v>1171</v>
      </c>
      <c r="X78" s="3">
        <f>W78/365+input!$K$2</f>
        <v>3.2082191780821918</v>
      </c>
      <c r="Y78" s="4">
        <f t="shared" si="41"/>
        <v>39.469004015014669</v>
      </c>
      <c r="Z78" s="10">
        <f t="shared" si="33"/>
        <v>103.98435971907008</v>
      </c>
      <c r="AA78" s="20">
        <f>input!D77</f>
        <v>0</v>
      </c>
      <c r="AB78" s="19">
        <f t="shared" si="42"/>
        <v>0.99866597068041085</v>
      </c>
      <c r="AC78" s="21">
        <f t="shared" si="43"/>
        <v>1956.3459956959921</v>
      </c>
      <c r="AD78" s="8">
        <f t="shared" si="44"/>
        <v>74114.214470169813</v>
      </c>
      <c r="AE78" s="8">
        <f t="shared" si="45"/>
        <v>102634.94432860894</v>
      </c>
      <c r="AF78" s="8">
        <f t="shared" si="46"/>
        <v>492.07034917790304</v>
      </c>
      <c r="AG78" s="8">
        <f t="shared" si="47"/>
        <v>0</v>
      </c>
      <c r="AH78" s="8">
        <f t="shared" si="48"/>
        <v>489.26303044146385</v>
      </c>
      <c r="AI78" s="8">
        <f t="shared" si="49"/>
        <v>81792.793706523502</v>
      </c>
      <c r="AJ78" s="8">
        <f t="shared" si="50"/>
        <v>488.57462487976215</v>
      </c>
      <c r="AK78" s="8">
        <f t="shared" si="51"/>
        <v>0</v>
      </c>
      <c r="AL78" s="8">
        <f t="shared" si="52"/>
        <v>11.590678355493262</v>
      </c>
      <c r="AM78" s="8">
        <f t="shared" si="53"/>
        <v>87193.221471693352</v>
      </c>
      <c r="AN78" s="8">
        <f t="shared" si="54"/>
        <v>806.10607601716708</v>
      </c>
      <c r="AO78" s="8">
        <f t="shared" si="55"/>
        <v>0</v>
      </c>
    </row>
    <row r="79" spans="1:41">
      <c r="A79" s="1">
        <v>41806</v>
      </c>
      <c r="B79" s="5">
        <v>77</v>
      </c>
      <c r="C79" s="3">
        <f>B79/365+input!$K$2</f>
        <v>0.21095890410958903</v>
      </c>
      <c r="D79" s="4">
        <f t="shared" si="30"/>
        <v>20.312181932626206</v>
      </c>
      <c r="E79" s="10">
        <f t="shared" si="34"/>
        <v>12.08451853140985</v>
      </c>
      <c r="F79" s="20">
        <f>input!A78</f>
        <v>6166.07</v>
      </c>
      <c r="G79" s="19">
        <f t="shared" si="35"/>
        <v>6.7541723855780444E-3</v>
      </c>
      <c r="H79" s="21">
        <f t="shared" si="36"/>
        <v>24.403653729835803</v>
      </c>
      <c r="I79" s="5">
        <v>442</v>
      </c>
      <c r="J79" s="3">
        <f>I79/365+input!$K$2</f>
        <v>1.210958904109589</v>
      </c>
      <c r="K79" s="4">
        <f t="shared" si="28"/>
        <v>30.825249683265916</v>
      </c>
      <c r="L79" s="10">
        <f t="shared" si="29"/>
        <v>46.682642749027799</v>
      </c>
      <c r="M79" s="20">
        <f>input!B78</f>
        <v>2201.98</v>
      </c>
      <c r="N79" s="19">
        <f t="shared" si="37"/>
        <v>0.79900727027484131</v>
      </c>
      <c r="O79" s="21">
        <f t="shared" si="38"/>
        <v>1068.2238760490504</v>
      </c>
      <c r="P79" s="5">
        <v>807</v>
      </c>
      <c r="Q79" s="3">
        <f>P79/365+input!$K$2</f>
        <v>2.2109589041095892</v>
      </c>
      <c r="R79" s="4">
        <f t="shared" si="31"/>
        <v>36.711499144440495</v>
      </c>
      <c r="S79" s="10">
        <f t="shared" si="32"/>
        <v>82.235039933024709</v>
      </c>
      <c r="T79" s="20">
        <f>input!C78</f>
        <v>5.95</v>
      </c>
      <c r="U79" s="19">
        <f t="shared" si="39"/>
        <v>0.99294660956305669</v>
      </c>
      <c r="V79" s="21">
        <f t="shared" si="40"/>
        <v>1651.1688507685526</v>
      </c>
      <c r="W79" s="21">
        <v>1172</v>
      </c>
      <c r="X79" s="3">
        <f>W79/365+input!$K$2</f>
        <v>3.2109589041095892</v>
      </c>
      <c r="Y79" s="4">
        <f t="shared" si="41"/>
        <v>39.469004015014669</v>
      </c>
      <c r="Z79" s="10">
        <f t="shared" si="33"/>
        <v>103.98435971907008</v>
      </c>
      <c r="AA79" s="20">
        <f>input!D78</f>
        <v>0</v>
      </c>
      <c r="AB79" s="19">
        <f t="shared" si="42"/>
        <v>0.99866597068041085</v>
      </c>
      <c r="AC79" s="21">
        <f t="shared" si="43"/>
        <v>1956.3459956959921</v>
      </c>
      <c r="AD79" s="8">
        <f t="shared" si="44"/>
        <v>74513.987180970333</v>
      </c>
      <c r="AE79" s="8">
        <f t="shared" si="45"/>
        <v>102794.24568050423</v>
      </c>
      <c r="AF79" s="8">
        <f t="shared" si="46"/>
        <v>489.29848760149702</v>
      </c>
      <c r="AG79" s="8">
        <f t="shared" si="47"/>
        <v>0</v>
      </c>
      <c r="AH79" s="8">
        <f t="shared" si="48"/>
        <v>503.2803145570262</v>
      </c>
      <c r="AI79" s="8">
        <f t="shared" si="49"/>
        <v>82133.349641141089</v>
      </c>
      <c r="AJ79" s="8">
        <f t="shared" si="50"/>
        <v>485.8472743282378</v>
      </c>
      <c r="AK79" s="8">
        <f t="shared" si="51"/>
        <v>0</v>
      </c>
      <c r="AL79" s="8">
        <f t="shared" si="52"/>
        <v>12.281878525492507</v>
      </c>
      <c r="AM79" s="8">
        <f t="shared" si="53"/>
        <v>87736.805106551619</v>
      </c>
      <c r="AN79" s="8">
        <f t="shared" si="54"/>
        <v>802.21588560159012</v>
      </c>
      <c r="AO79" s="8">
        <f t="shared" si="55"/>
        <v>0</v>
      </c>
    </row>
    <row r="80" spans="1:41">
      <c r="A80" s="1">
        <v>41807</v>
      </c>
      <c r="B80" s="5">
        <v>78</v>
      </c>
      <c r="C80" s="3">
        <f>B80/365+input!$K$2</f>
        <v>0.21369863013698631</v>
      </c>
      <c r="D80" s="4">
        <f t="shared" si="30"/>
        <v>20.35011051420803</v>
      </c>
      <c r="E80" s="10">
        <f t="shared" si="34"/>
        <v>12.157782830958288</v>
      </c>
      <c r="F80" s="20">
        <f>input!A79</f>
        <v>6161.85</v>
      </c>
      <c r="G80" s="19">
        <f t="shared" si="35"/>
        <v>6.9101278326415575E-3</v>
      </c>
      <c r="H80" s="21">
        <f t="shared" si="36"/>
        <v>25.133895495434341</v>
      </c>
      <c r="I80" s="5">
        <v>443</v>
      </c>
      <c r="J80" s="3">
        <f>I80/365+input!$K$2</f>
        <v>1.2136986301369863</v>
      </c>
      <c r="K80" s="4">
        <f t="shared" si="28"/>
        <v>30.846485834139717</v>
      </c>
      <c r="L80" s="10">
        <f t="shared" si="29"/>
        <v>46.786923633758221</v>
      </c>
      <c r="M80" s="20">
        <f>input!B79</f>
        <v>2143.29</v>
      </c>
      <c r="N80" s="19">
        <f t="shared" si="37"/>
        <v>0.80106602967799478</v>
      </c>
      <c r="O80" s="21">
        <f t="shared" si="38"/>
        <v>1070.4151886382347</v>
      </c>
      <c r="P80" s="5">
        <v>808</v>
      </c>
      <c r="Q80" s="3">
        <f>P80/365+input!$K$2</f>
        <v>2.2136986301369861</v>
      </c>
      <c r="R80" s="4">
        <f t="shared" si="31"/>
        <v>36.723389230626871</v>
      </c>
      <c r="S80" s="10">
        <f t="shared" si="32"/>
        <v>82.32136607483524</v>
      </c>
      <c r="T80" s="20">
        <f>input!C79</f>
        <v>5.72</v>
      </c>
      <c r="U80" s="19">
        <f t="shared" si="39"/>
        <v>0.99299689471309616</v>
      </c>
      <c r="V80" s="21">
        <f t="shared" si="40"/>
        <v>1652.4223122598275</v>
      </c>
      <c r="W80" s="21">
        <v>1173</v>
      </c>
      <c r="X80" s="3">
        <f>W80/365+input!$K$2</f>
        <v>3.2136986301369861</v>
      </c>
      <c r="Y80" s="4">
        <f t="shared" si="41"/>
        <v>39.469004015014669</v>
      </c>
      <c r="Z80" s="10">
        <f t="shared" si="33"/>
        <v>103.98435971907008</v>
      </c>
      <c r="AA80" s="20">
        <f>input!D79</f>
        <v>0</v>
      </c>
      <c r="AB80" s="19">
        <f t="shared" si="42"/>
        <v>0.99866597068041085</v>
      </c>
      <c r="AC80" s="21">
        <f t="shared" si="43"/>
        <v>1956.3459956959921</v>
      </c>
      <c r="AD80" s="8">
        <f t="shared" si="44"/>
        <v>74914.434136940326</v>
      </c>
      <c r="AE80" s="8">
        <f t="shared" si="45"/>
        <v>100277.94555499766</v>
      </c>
      <c r="AF80" s="8">
        <f t="shared" si="46"/>
        <v>470.87821394805758</v>
      </c>
      <c r="AG80" s="8">
        <f t="shared" si="47"/>
        <v>0</v>
      </c>
      <c r="AH80" s="8">
        <f t="shared" si="48"/>
        <v>517.66831639626412</v>
      </c>
      <c r="AI80" s="8">
        <f t="shared" si="49"/>
        <v>80329.255710008103</v>
      </c>
      <c r="AJ80" s="8">
        <f t="shared" si="50"/>
        <v>467.58060423847007</v>
      </c>
      <c r="AK80" s="8">
        <f t="shared" si="51"/>
        <v>0</v>
      </c>
      <c r="AL80" s="8">
        <f t="shared" si="52"/>
        <v>13.011021365601142</v>
      </c>
      <c r="AM80" s="8">
        <f t="shared" si="53"/>
        <v>85985.655403997313</v>
      </c>
      <c r="AN80" s="8">
        <f t="shared" si="54"/>
        <v>772.64062322358006</v>
      </c>
      <c r="AO80" s="8">
        <f t="shared" si="55"/>
        <v>0</v>
      </c>
    </row>
    <row r="81" spans="1:41">
      <c r="A81" s="1">
        <v>41808</v>
      </c>
      <c r="B81" s="5">
        <v>79</v>
      </c>
      <c r="C81" s="3">
        <f>B81/365+input!$K$2</f>
        <v>0.21643835616438356</v>
      </c>
      <c r="D81" s="4">
        <f t="shared" si="30"/>
        <v>20.387978873575463</v>
      </c>
      <c r="E81" s="10">
        <f t="shared" si="34"/>
        <v>12.231236584710944</v>
      </c>
      <c r="F81" s="20">
        <f>input!A80</f>
        <v>6157.63</v>
      </c>
      <c r="G81" s="19">
        <f t="shared" si="35"/>
        <v>7.0694025205855701E-3</v>
      </c>
      <c r="H81" s="21">
        <f t="shared" si="36"/>
        <v>25.881039863766347</v>
      </c>
      <c r="I81" s="5">
        <v>444</v>
      </c>
      <c r="J81" s="3">
        <f>I81/365+input!$K$2</f>
        <v>1.2164383561643837</v>
      </c>
      <c r="K81" s="4">
        <f t="shared" si="28"/>
        <v>30.86768826669406</v>
      </c>
      <c r="L81" s="10">
        <f t="shared" si="29"/>
        <v>46.891199497975876</v>
      </c>
      <c r="M81" s="20">
        <f>input!B80</f>
        <v>2141.8200000000002</v>
      </c>
      <c r="N81" s="19">
        <f t="shared" si="37"/>
        <v>0.80310566670974048</v>
      </c>
      <c r="O81" s="21">
        <f t="shared" si="38"/>
        <v>1072.5997117032798</v>
      </c>
      <c r="P81" s="5">
        <v>809</v>
      </c>
      <c r="Q81" s="3">
        <f>P81/365+input!$K$2</f>
        <v>2.2164383561643834</v>
      </c>
      <c r="R81" s="4">
        <f t="shared" si="31"/>
        <v>36.73526043798126</v>
      </c>
      <c r="S81" s="10">
        <f t="shared" si="32"/>
        <v>82.407617631796825</v>
      </c>
      <c r="T81" s="20">
        <f>input!C80</f>
        <v>5.68</v>
      </c>
      <c r="U81" s="19">
        <f t="shared" si="39"/>
        <v>0.99304674488412725</v>
      </c>
      <c r="V81" s="21">
        <f t="shared" si="40"/>
        <v>1653.6743084398202</v>
      </c>
      <c r="W81" s="21">
        <v>1174</v>
      </c>
      <c r="X81" s="3">
        <f>W81/365+input!$K$2</f>
        <v>3.2164383561643834</v>
      </c>
      <c r="Y81" s="4">
        <f t="shared" si="41"/>
        <v>39.469004015014669</v>
      </c>
      <c r="Z81" s="10">
        <f t="shared" si="33"/>
        <v>103.98435971907008</v>
      </c>
      <c r="AA81" s="20">
        <f>input!D80</f>
        <v>0</v>
      </c>
      <c r="AB81" s="19">
        <f t="shared" si="42"/>
        <v>0.99866597068041085</v>
      </c>
      <c r="AC81" s="21">
        <f t="shared" si="43"/>
        <v>1956.3459956959921</v>
      </c>
      <c r="AD81" s="8">
        <f t="shared" si="44"/>
        <v>75315.429331113643</v>
      </c>
      <c r="AE81" s="8">
        <f t="shared" si="45"/>
        <v>100432.50890875469</v>
      </c>
      <c r="AF81" s="8">
        <f t="shared" si="46"/>
        <v>468.07526814860591</v>
      </c>
      <c r="AG81" s="8">
        <f t="shared" si="47"/>
        <v>0</v>
      </c>
      <c r="AH81" s="8">
        <f t="shared" si="48"/>
        <v>532.43508595235915</v>
      </c>
      <c r="AI81" s="8">
        <f t="shared" si="49"/>
        <v>80657.917026497395</v>
      </c>
      <c r="AJ81" s="8">
        <f t="shared" si="50"/>
        <v>464.8206213957381</v>
      </c>
      <c r="AK81" s="8">
        <f t="shared" si="51"/>
        <v>0</v>
      </c>
      <c r="AL81" s="8">
        <f t="shared" si="52"/>
        <v>13.779973684400868</v>
      </c>
      <c r="AM81" s="8">
        <f t="shared" si="53"/>
        <v>86513.658549208165</v>
      </c>
      <c r="AN81" s="8">
        <f t="shared" si="54"/>
        <v>768.66191963516462</v>
      </c>
      <c r="AO81" s="8">
        <f t="shared" si="55"/>
        <v>0</v>
      </c>
    </row>
    <row r="82" spans="1:41">
      <c r="A82" s="1">
        <v>41809</v>
      </c>
      <c r="B82" s="5">
        <v>80</v>
      </c>
      <c r="C82" s="3">
        <f>B82/365+input!$K$2</f>
        <v>0.21917808219178081</v>
      </c>
      <c r="D82" s="4">
        <f t="shared" si="30"/>
        <v>20.425787106348103</v>
      </c>
      <c r="E82" s="10">
        <f t="shared" si="34"/>
        <v>12.304879225093421</v>
      </c>
      <c r="F82" s="20">
        <f>input!A81</f>
        <v>6153.42</v>
      </c>
      <c r="G82" s="19">
        <f t="shared" si="35"/>
        <v>7.2320600559608464E-3</v>
      </c>
      <c r="H82" s="21">
        <f t="shared" si="36"/>
        <v>26.645324784782343</v>
      </c>
      <c r="I82" s="5">
        <v>445</v>
      </c>
      <c r="J82" s="3">
        <f>I82/365+input!$K$2</f>
        <v>1.2191780821917808</v>
      </c>
      <c r="K82" s="4">
        <f t="shared" si="28"/>
        <v>30.888857034466181</v>
      </c>
      <c r="L82" s="10">
        <f t="shared" si="29"/>
        <v>46.995469976627632</v>
      </c>
      <c r="M82" s="20">
        <f>input!B81</f>
        <v>2096.19</v>
      </c>
      <c r="N82" s="19">
        <f t="shared" si="37"/>
        <v>0.80512627799936498</v>
      </c>
      <c r="O82" s="21">
        <f t="shared" si="38"/>
        <v>1074.7775029071488</v>
      </c>
      <c r="P82" s="5">
        <v>810</v>
      </c>
      <c r="Q82" s="3">
        <f>P82/365+input!$K$2</f>
        <v>2.2191780821917808</v>
      </c>
      <c r="R82" s="4">
        <f t="shared" si="31"/>
        <v>36.747112796479072</v>
      </c>
      <c r="S82" s="10">
        <f t="shared" si="32"/>
        <v>82.493794549042818</v>
      </c>
      <c r="T82" s="20">
        <f>input!C81</f>
        <v>5.45</v>
      </c>
      <c r="U82" s="19">
        <f t="shared" si="39"/>
        <v>0.99309616436043202</v>
      </c>
      <c r="V82" s="21">
        <f t="shared" si="40"/>
        <v>1654.9248402657315</v>
      </c>
      <c r="W82" s="21">
        <v>1175</v>
      </c>
      <c r="X82" s="3">
        <f>W82/365+input!$K$2</f>
        <v>3.2191780821917808</v>
      </c>
      <c r="Y82" s="4">
        <f t="shared" si="41"/>
        <v>39.469004015014669</v>
      </c>
      <c r="Z82" s="10">
        <f t="shared" si="33"/>
        <v>103.98435971907008</v>
      </c>
      <c r="AA82" s="20">
        <f>input!D81</f>
        <v>0</v>
      </c>
      <c r="AB82" s="19">
        <f t="shared" si="42"/>
        <v>0.99866597068041085</v>
      </c>
      <c r="AC82" s="21">
        <f t="shared" si="43"/>
        <v>1956.3459956959921</v>
      </c>
      <c r="AD82" s="8">
        <f t="shared" si="44"/>
        <v>75717.089921274353</v>
      </c>
      <c r="AE82" s="8">
        <f t="shared" si="45"/>
        <v>98511.434210307081</v>
      </c>
      <c r="AF82" s="8">
        <f t="shared" si="46"/>
        <v>449.59118029228335</v>
      </c>
      <c r="AG82" s="8">
        <f t="shared" si="47"/>
        <v>0</v>
      </c>
      <c r="AH82" s="8">
        <f t="shared" si="48"/>
        <v>547.59054157324385</v>
      </c>
      <c r="AI82" s="8">
        <f t="shared" si="49"/>
        <v>79314.144366123859</v>
      </c>
      <c r="AJ82" s="8">
        <f t="shared" si="50"/>
        <v>446.48727667854604</v>
      </c>
      <c r="AK82" s="8">
        <f t="shared" si="51"/>
        <v>0</v>
      </c>
      <c r="AL82" s="8">
        <f t="shared" si="52"/>
        <v>14.590727829293941</v>
      </c>
      <c r="AM82" s="8">
        <f t="shared" si="53"/>
        <v>85245.058027039704</v>
      </c>
      <c r="AN82" s="8">
        <f t="shared" si="54"/>
        <v>738.90288503792431</v>
      </c>
      <c r="AO82" s="8">
        <f t="shared" si="55"/>
        <v>0</v>
      </c>
    </row>
    <row r="83" spans="1:41">
      <c r="A83" s="1">
        <v>41810</v>
      </c>
      <c r="B83" s="5">
        <v>81</v>
      </c>
      <c r="C83" s="3">
        <f>B83/365+input!$K$2</f>
        <v>0.22191780821917809</v>
      </c>
      <c r="D83" s="4">
        <f t="shared" si="30"/>
        <v>20.463535307993695</v>
      </c>
      <c r="E83" s="10">
        <f t="shared" si="34"/>
        <v>12.378710183245135</v>
      </c>
      <c r="F83" s="20">
        <f>input!A82</f>
        <v>6149.2</v>
      </c>
      <c r="G83" s="19">
        <f t="shared" si="35"/>
        <v>7.3981650880424205E-3</v>
      </c>
      <c r="H83" s="21">
        <f t="shared" si="36"/>
        <v>27.42698743680732</v>
      </c>
      <c r="I83" s="5">
        <v>446</v>
      </c>
      <c r="J83" s="3">
        <f>I83/365+input!$K$2</f>
        <v>1.2219178082191782</v>
      </c>
      <c r="K83" s="4">
        <f t="shared" si="28"/>
        <v>30.909992190908333</v>
      </c>
      <c r="L83" s="10">
        <f t="shared" si="29"/>
        <v>47.099734705796834</v>
      </c>
      <c r="M83" s="20">
        <f>input!B82</f>
        <v>2068.59</v>
      </c>
      <c r="N83" s="19">
        <f t="shared" si="37"/>
        <v>0.80712796206284287</v>
      </c>
      <c r="O83" s="21">
        <f t="shared" si="38"/>
        <v>1076.9486195976497</v>
      </c>
      <c r="P83" s="5">
        <v>811</v>
      </c>
      <c r="Q83" s="3">
        <f>P83/365+input!$K$2</f>
        <v>2.2219178082191782</v>
      </c>
      <c r="R83" s="4">
        <f t="shared" si="31"/>
        <v>36.758946336048133</v>
      </c>
      <c r="S83" s="10">
        <f t="shared" si="32"/>
        <v>82.579896772227173</v>
      </c>
      <c r="T83" s="20">
        <f>input!C82</f>
        <v>5.33</v>
      </c>
      <c r="U83" s="19">
        <f t="shared" si="39"/>
        <v>0.99314515737976206</v>
      </c>
      <c r="V83" s="21">
        <f t="shared" si="40"/>
        <v>1656.1739086932935</v>
      </c>
      <c r="W83" s="21">
        <v>1176</v>
      </c>
      <c r="X83" s="3">
        <f>W83/365+input!$K$2</f>
        <v>3.2219178082191782</v>
      </c>
      <c r="Y83" s="4">
        <f t="shared" si="41"/>
        <v>39.469004015014669</v>
      </c>
      <c r="Z83" s="10">
        <f t="shared" si="33"/>
        <v>103.98435971907008</v>
      </c>
      <c r="AA83" s="20">
        <f>input!D82</f>
        <v>0</v>
      </c>
      <c r="AB83" s="19">
        <f t="shared" si="42"/>
        <v>0.99866597068041085</v>
      </c>
      <c r="AC83" s="21">
        <f t="shared" si="43"/>
        <v>1956.3459956959921</v>
      </c>
      <c r="AD83" s="8">
        <f t="shared" si="44"/>
        <v>76119.164658810972</v>
      </c>
      <c r="AE83" s="8">
        <f t="shared" si="45"/>
        <v>97430.040215064277</v>
      </c>
      <c r="AF83" s="8">
        <f t="shared" si="46"/>
        <v>440.15084979597083</v>
      </c>
      <c r="AG83" s="8">
        <f t="shared" si="47"/>
        <v>0</v>
      </c>
      <c r="AH83" s="8">
        <f t="shared" si="48"/>
        <v>563.14214650976783</v>
      </c>
      <c r="AI83" s="8">
        <f t="shared" si="49"/>
        <v>78638.509802485656</v>
      </c>
      <c r="AJ83" s="8">
        <f t="shared" si="50"/>
        <v>437.13368499145548</v>
      </c>
      <c r="AK83" s="8">
        <f t="shared" si="51"/>
        <v>0</v>
      </c>
      <c r="AL83" s="8">
        <f t="shared" si="52"/>
        <v>15.44529257746011</v>
      </c>
      <c r="AM83" s="8">
        <f t="shared" si="53"/>
        <v>84689.634579003177</v>
      </c>
      <c r="AN83" s="8">
        <f t="shared" si="54"/>
        <v>723.96940369380172</v>
      </c>
      <c r="AO83" s="8">
        <f t="shared" si="55"/>
        <v>0</v>
      </c>
    </row>
    <row r="84" spans="1:41">
      <c r="A84" s="1">
        <v>41811</v>
      </c>
      <c r="B84" s="5">
        <v>82</v>
      </c>
      <c r="C84" s="3">
        <f>B84/365+input!$K$2</f>
        <v>0.22465753424657534</v>
      </c>
      <c r="D84" s="4">
        <f t="shared" si="30"/>
        <v>20.501223573828423</v>
      </c>
      <c r="E84" s="10">
        <f t="shared" si="34"/>
        <v>12.452728889040381</v>
      </c>
      <c r="F84" s="20">
        <f>input!A83</f>
        <v>6144.99</v>
      </c>
      <c r="G84" s="19">
        <f t="shared" si="35"/>
        <v>7.567783321285217E-3</v>
      </c>
      <c r="H84" s="21">
        <f t="shared" si="36"/>
        <v>28.226264111246135</v>
      </c>
      <c r="I84" s="5">
        <v>447</v>
      </c>
      <c r="J84" s="3">
        <f>I84/365+input!$K$2</f>
        <v>1.2246575342465753</v>
      </c>
      <c r="K84" s="4">
        <f t="shared" si="28"/>
        <v>30.931093789387873</v>
      </c>
      <c r="L84" s="10">
        <f t="shared" si="29"/>
        <v>47.203993322703163</v>
      </c>
      <c r="M84" s="20">
        <f>input!B83</f>
        <v>2035.04</v>
      </c>
      <c r="N84" s="19">
        <f t="shared" si="37"/>
        <v>0.80911081922730621</v>
      </c>
      <c r="O84" s="21">
        <f t="shared" si="38"/>
        <v>1079.1131188012821</v>
      </c>
      <c r="P84" s="5">
        <v>812</v>
      </c>
      <c r="Q84" s="3">
        <f>P84/365+input!$K$2</f>
        <v>2.2246575342465755</v>
      </c>
      <c r="R84" s="4">
        <f t="shared" si="31"/>
        <v>36.770761086568761</v>
      </c>
      <c r="S84" s="10">
        <f t="shared" si="32"/>
        <v>82.6659242475219</v>
      </c>
      <c r="T84" s="20">
        <f>input!C83</f>
        <v>5.16</v>
      </c>
      <c r="U84" s="19">
        <f t="shared" si="39"/>
        <v>0.99319372813388307</v>
      </c>
      <c r="V84" s="21">
        <f t="shared" si="40"/>
        <v>1657.4215146768393</v>
      </c>
      <c r="W84" s="21">
        <v>1177</v>
      </c>
      <c r="X84" s="3">
        <f>W84/365+input!$K$2</f>
        <v>3.2246575342465755</v>
      </c>
      <c r="Y84" s="4">
        <f t="shared" si="41"/>
        <v>39.469004015014669</v>
      </c>
      <c r="Z84" s="10">
        <f t="shared" si="33"/>
        <v>103.98435971907008</v>
      </c>
      <c r="AA84" s="20">
        <f>input!D83</f>
        <v>0</v>
      </c>
      <c r="AB84" s="19">
        <f t="shared" si="42"/>
        <v>0.99866597068041085</v>
      </c>
      <c r="AC84" s="21">
        <f t="shared" si="43"/>
        <v>1956.3459956959921</v>
      </c>
      <c r="AD84" s="8">
        <f t="shared" si="44"/>
        <v>76521.894495864253</v>
      </c>
      <c r="AE84" s="8">
        <f t="shared" si="45"/>
        <v>96062.014571433843</v>
      </c>
      <c r="AF84" s="8">
        <f t="shared" si="46"/>
        <v>426.55616911721302</v>
      </c>
      <c r="AG84" s="8">
        <f t="shared" si="47"/>
        <v>0</v>
      </c>
      <c r="AH84" s="8">
        <f t="shared" si="48"/>
        <v>579.10111687894857</v>
      </c>
      <c r="AI84" s="8">
        <f t="shared" si="49"/>
        <v>77724.815306518271</v>
      </c>
      <c r="AJ84" s="8">
        <f t="shared" si="50"/>
        <v>423.65291186403192</v>
      </c>
      <c r="AK84" s="8">
        <f t="shared" si="51"/>
        <v>0</v>
      </c>
      <c r="AL84" s="8">
        <f t="shared" si="52"/>
        <v>16.345861072142821</v>
      </c>
      <c r="AM84" s="8">
        <f t="shared" si="53"/>
        <v>83873.867853670556</v>
      </c>
      <c r="AN84" s="8">
        <f t="shared" si="54"/>
        <v>702.17145087893721</v>
      </c>
      <c r="AO84" s="8">
        <f t="shared" si="55"/>
        <v>0</v>
      </c>
    </row>
    <row r="85" spans="1:41">
      <c r="A85" s="1">
        <v>41812</v>
      </c>
      <c r="B85" s="5">
        <v>83</v>
      </c>
      <c r="C85" s="3">
        <f>B85/365+input!$K$2</f>
        <v>0.22739726027397261</v>
      </c>
      <c r="D85" s="4">
        <f t="shared" si="30"/>
        <v>20.538851999017115</v>
      </c>
      <c r="E85" s="10">
        <f t="shared" si="34"/>
        <v>12.526934771109309</v>
      </c>
      <c r="F85" s="20">
        <f>input!A84</f>
        <v>6140.79</v>
      </c>
      <c r="G85" s="19">
        <f t="shared" si="35"/>
        <v>7.7409815277893791E-3</v>
      </c>
      <c r="H85" s="21">
        <f t="shared" si="36"/>
        <v>29.043390096506041</v>
      </c>
      <c r="I85" s="5">
        <v>448</v>
      </c>
      <c r="J85" s="3">
        <f>I85/365+input!$K$2</f>
        <v>1.2273972602739727</v>
      </c>
      <c r="K85" s="4">
        <f t="shared" si="28"/>
        <v>30.952161883187458</v>
      </c>
      <c r="L85" s="10">
        <f t="shared" si="29"/>
        <v>47.308245465701461</v>
      </c>
      <c r="M85" s="20">
        <f>input!B84</f>
        <v>2033.65</v>
      </c>
      <c r="N85" s="19">
        <f t="shared" si="37"/>
        <v>0.81107495155668252</v>
      </c>
      <c r="O85" s="21">
        <f t="shared" si="38"/>
        <v>1081.2710572173403</v>
      </c>
      <c r="P85" s="5">
        <v>813</v>
      </c>
      <c r="Q85" s="3">
        <f>P85/365+input!$K$2</f>
        <v>2.2273972602739724</v>
      </c>
      <c r="R85" s="4">
        <f t="shared" si="31"/>
        <v>36.78255707787379</v>
      </c>
      <c r="S85" s="10">
        <f t="shared" si="32"/>
        <v>82.751876921615832</v>
      </c>
      <c r="T85" s="20">
        <f>input!C84</f>
        <v>5.12</v>
      </c>
      <c r="U85" s="19">
        <f t="shared" si="39"/>
        <v>0.99324188076911157</v>
      </c>
      <c r="V85" s="21">
        <f t="shared" si="40"/>
        <v>1658.6676591693583</v>
      </c>
      <c r="W85" s="21">
        <v>1178</v>
      </c>
      <c r="X85" s="3">
        <f>W85/365+input!$K$2</f>
        <v>3.2273972602739724</v>
      </c>
      <c r="Y85" s="4">
        <f t="shared" si="41"/>
        <v>39.469004015014669</v>
      </c>
      <c r="Z85" s="10">
        <f t="shared" si="33"/>
        <v>103.98435971907008</v>
      </c>
      <c r="AA85" s="20">
        <f>input!D84</f>
        <v>0</v>
      </c>
      <c r="AB85" s="19">
        <f t="shared" si="42"/>
        <v>0.99866597068041085</v>
      </c>
      <c r="AC85" s="21">
        <f t="shared" si="43"/>
        <v>1956.3459956959921</v>
      </c>
      <c r="AD85" s="8">
        <f t="shared" si="44"/>
        <v>76925.275773080328</v>
      </c>
      <c r="AE85" s="8">
        <f t="shared" si="45"/>
        <v>96208.413391323775</v>
      </c>
      <c r="AF85" s="8">
        <f t="shared" si="46"/>
        <v>423.68960983867305</v>
      </c>
      <c r="AG85" s="8">
        <f t="shared" si="47"/>
        <v>0</v>
      </c>
      <c r="AH85" s="8">
        <f t="shared" si="48"/>
        <v>595.47713877951867</v>
      </c>
      <c r="AI85" s="8">
        <f t="shared" si="49"/>
        <v>78032.23423071322</v>
      </c>
      <c r="AJ85" s="8">
        <f t="shared" si="50"/>
        <v>420.82626493849472</v>
      </c>
      <c r="AK85" s="8">
        <f t="shared" si="51"/>
        <v>0</v>
      </c>
      <c r="AL85" s="8">
        <f t="shared" si="52"/>
        <v>17.294674835124823</v>
      </c>
      <c r="AM85" s="8">
        <f t="shared" si="53"/>
        <v>84373.996403674406</v>
      </c>
      <c r="AN85" s="8">
        <f t="shared" si="54"/>
        <v>698.01091578251726</v>
      </c>
      <c r="AO85" s="8">
        <f t="shared" si="55"/>
        <v>0</v>
      </c>
    </row>
    <row r="86" spans="1:41">
      <c r="A86" s="1">
        <v>41813</v>
      </c>
      <c r="B86" s="5">
        <v>84</v>
      </c>
      <c r="C86" s="3">
        <f>B86/365+input!$K$2</f>
        <v>0.23013698630136986</v>
      </c>
      <c r="D86" s="4">
        <f t="shared" si="30"/>
        <v>20.576420678573516</v>
      </c>
      <c r="E86" s="10">
        <f t="shared" si="34"/>
        <v>12.601327256858491</v>
      </c>
      <c r="F86" s="20">
        <f>input!A85</f>
        <v>6136.58</v>
      </c>
      <c r="G86" s="19">
        <f t="shared" si="35"/>
        <v>7.9178275597705256E-3</v>
      </c>
      <c r="H86" s="21">
        <f t="shared" si="36"/>
        <v>29.878599561224306</v>
      </c>
      <c r="I86" s="5">
        <v>449</v>
      </c>
      <c r="J86" s="3">
        <f>I86/365+input!$K$2</f>
        <v>1.2301369863013698</v>
      </c>
      <c r="K86" s="4">
        <f t="shared" ref="K86:K149" si="56">44.2*(1-EXP(-0.58*(J86+0.85)))</f>
        <v>30.973196525505106</v>
      </c>
      <c r="L86" s="10">
        <f t="shared" si="29"/>
        <v>47.41249077428126</v>
      </c>
      <c r="M86" s="20">
        <f>input!B85</f>
        <v>1972.68</v>
      </c>
      <c r="N86" s="19">
        <f t="shared" si="37"/>
        <v>0.81302046277847562</v>
      </c>
      <c r="O86" s="21">
        <f t="shared" si="38"/>
        <v>1083.4224912122338</v>
      </c>
      <c r="P86" s="5">
        <v>814</v>
      </c>
      <c r="Q86" s="3">
        <f>P86/365+input!$K$2</f>
        <v>2.2301369863013698</v>
      </c>
      <c r="R86" s="4">
        <f t="shared" si="31"/>
        <v>36.794334339748723</v>
      </c>
      <c r="S86" s="10">
        <f t="shared" si="32"/>
        <v>82.837754741713312</v>
      </c>
      <c r="T86" s="20">
        <f>input!C85</f>
        <v>4.8899999999999997</v>
      </c>
      <c r="U86" s="19">
        <f t="shared" si="39"/>
        <v>0.99328961938684701</v>
      </c>
      <c r="V86" s="21">
        <f t="shared" si="40"/>
        <v>1659.9123431225944</v>
      </c>
      <c r="W86" s="21">
        <v>1179</v>
      </c>
      <c r="X86" s="3">
        <f>W86/365+input!$K$2</f>
        <v>3.2301369863013698</v>
      </c>
      <c r="Y86" s="4">
        <f t="shared" si="41"/>
        <v>39.469004015014669</v>
      </c>
      <c r="Z86" s="10">
        <f t="shared" si="33"/>
        <v>103.98435971907008</v>
      </c>
      <c r="AA86" s="20">
        <f>input!D85</f>
        <v>0</v>
      </c>
      <c r="AB86" s="19">
        <f t="shared" si="42"/>
        <v>0.99866597068041085</v>
      </c>
      <c r="AC86" s="21">
        <f t="shared" si="43"/>
        <v>1956.3459956959921</v>
      </c>
      <c r="AD86" s="8">
        <f t="shared" si="44"/>
        <v>77329.052817892676</v>
      </c>
      <c r="AE86" s="8">
        <f t="shared" si="45"/>
        <v>93529.672300609163</v>
      </c>
      <c r="AF86" s="8">
        <f t="shared" si="46"/>
        <v>405.07662068697806</v>
      </c>
      <c r="AG86" s="8">
        <f t="shared" si="47"/>
        <v>0</v>
      </c>
      <c r="AH86" s="8">
        <f t="shared" si="48"/>
        <v>612.2781055724613</v>
      </c>
      <c r="AI86" s="8">
        <f t="shared" si="49"/>
        <v>76041.537457360435</v>
      </c>
      <c r="AJ86" s="8">
        <f t="shared" si="50"/>
        <v>402.35840238467864</v>
      </c>
      <c r="AK86" s="8">
        <f t="shared" si="51"/>
        <v>0</v>
      </c>
      <c r="AL86" s="8">
        <f t="shared" si="52"/>
        <v>18.29401233650459</v>
      </c>
      <c r="AM86" s="8">
        <f t="shared" si="53"/>
        <v>82385.111947661833</v>
      </c>
      <c r="AN86" s="8">
        <f t="shared" si="54"/>
        <v>667.87967847741561</v>
      </c>
      <c r="AO86" s="8">
        <f t="shared" si="55"/>
        <v>0</v>
      </c>
    </row>
    <row r="87" spans="1:41">
      <c r="A87" s="1">
        <v>41814</v>
      </c>
      <c r="B87" s="5">
        <v>85</v>
      </c>
      <c r="C87" s="3">
        <f>B87/365+input!$K$2</f>
        <v>0.23287671232876711</v>
      </c>
      <c r="D87" s="4">
        <f t="shared" si="30"/>
        <v>20.613929707360501</v>
      </c>
      <c r="E87" s="10">
        <f t="shared" si="34"/>
        <v>12.675905772491678</v>
      </c>
      <c r="F87" s="20">
        <f>input!A86</f>
        <v>6132.38</v>
      </c>
      <c r="G87" s="19">
        <f t="shared" si="35"/>
        <v>8.0983903620286211E-3</v>
      </c>
      <c r="H87" s="21">
        <f t="shared" si="36"/>
        <v>30.732125436883766</v>
      </c>
      <c r="I87" s="5">
        <v>450</v>
      </c>
      <c r="J87" s="3">
        <f>I87/365+input!$K$2</f>
        <v>1.2328767123287672</v>
      </c>
      <c r="K87" s="4">
        <f t="shared" si="56"/>
        <v>30.994197769454392</v>
      </c>
      <c r="L87" s="10">
        <f t="shared" ref="L87:L150" si="57">0.0007*K87^3.24</f>
        <v>47.516728889065661</v>
      </c>
      <c r="M87" s="20">
        <f>input!B86</f>
        <v>1959.73</v>
      </c>
      <c r="N87" s="19">
        <f t="shared" si="37"/>
        <v>0.81494745821174197</v>
      </c>
      <c r="O87" s="21">
        <f t="shared" si="38"/>
        <v>1085.5674768140589</v>
      </c>
      <c r="P87" s="5">
        <v>815</v>
      </c>
      <c r="Q87" s="3">
        <f>P87/365+input!$K$2</f>
        <v>2.2328767123287672</v>
      </c>
      <c r="R87" s="4">
        <f t="shared" si="31"/>
        <v>36.80609290193177</v>
      </c>
      <c r="S87" s="10">
        <f t="shared" si="32"/>
        <v>82.92355765553225</v>
      </c>
      <c r="T87" s="20">
        <f>input!C86</f>
        <v>4.8</v>
      </c>
      <c r="U87" s="19">
        <f t="shared" si="39"/>
        <v>0.993336948044094</v>
      </c>
      <c r="V87" s="21">
        <f t="shared" si="40"/>
        <v>1661.1555674870897</v>
      </c>
      <c r="W87" s="21">
        <v>1180</v>
      </c>
      <c r="X87" s="3">
        <f>W87/365+input!$K$2</f>
        <v>3.2328767123287672</v>
      </c>
      <c r="Y87" s="4">
        <f t="shared" si="41"/>
        <v>39.469004015014669</v>
      </c>
      <c r="Z87" s="10">
        <f t="shared" si="33"/>
        <v>103.98435971907008</v>
      </c>
      <c r="AA87" s="20">
        <f>input!D86</f>
        <v>0</v>
      </c>
      <c r="AB87" s="19">
        <f t="shared" si="42"/>
        <v>0.99866597068041085</v>
      </c>
      <c r="AC87" s="21">
        <f t="shared" si="43"/>
        <v>1956.3459956959921</v>
      </c>
      <c r="AD87" s="8">
        <f t="shared" si="44"/>
        <v>77733.471041112512</v>
      </c>
      <c r="AE87" s="8">
        <f t="shared" si="45"/>
        <v>93119.959105768648</v>
      </c>
      <c r="AF87" s="8">
        <f t="shared" si="46"/>
        <v>398.0330767465548</v>
      </c>
      <c r="AG87" s="8">
        <f t="shared" si="47"/>
        <v>0</v>
      </c>
      <c r="AH87" s="8">
        <f t="shared" si="48"/>
        <v>629.51599268637653</v>
      </c>
      <c r="AI87" s="8">
        <f t="shared" si="49"/>
        <v>75887.873982027522</v>
      </c>
      <c r="AJ87" s="8">
        <f t="shared" si="50"/>
        <v>395.38096167602339</v>
      </c>
      <c r="AK87" s="8">
        <f t="shared" si="51"/>
        <v>0</v>
      </c>
      <c r="AL87" s="8">
        <f t="shared" si="52"/>
        <v>19.346364451762128</v>
      </c>
      <c r="AM87" s="8">
        <f t="shared" si="53"/>
        <v>82381.40787945289</v>
      </c>
      <c r="AN87" s="8">
        <f t="shared" si="54"/>
        <v>656.78928576652584</v>
      </c>
      <c r="AO87" s="8">
        <f t="shared" si="55"/>
        <v>0</v>
      </c>
    </row>
    <row r="88" spans="1:41">
      <c r="A88" s="1">
        <v>41815</v>
      </c>
      <c r="B88" s="5">
        <v>86</v>
      </c>
      <c r="C88" s="3">
        <f>B88/365+input!$K$2</f>
        <v>0.23561643835616439</v>
      </c>
      <c r="D88" s="4">
        <f t="shared" si="30"/>
        <v>20.651379180090316</v>
      </c>
      <c r="E88" s="10">
        <f t="shared" si="34"/>
        <v>12.750669743030111</v>
      </c>
      <c r="F88" s="20">
        <f>input!A87</f>
        <v>6128.18</v>
      </c>
      <c r="G88" s="19">
        <f t="shared" si="35"/>
        <v>8.2827399844097923E-3</v>
      </c>
      <c r="H88" s="21">
        <f t="shared" si="36"/>
        <v>31.604199299905705</v>
      </c>
      <c r="I88" s="5">
        <v>451</v>
      </c>
      <c r="J88" s="3">
        <f>I88/365+input!$K$2</f>
        <v>1.2356164383561643</v>
      </c>
      <c r="K88" s="4">
        <f t="shared" si="56"/>
        <v>31.015165668064551</v>
      </c>
      <c r="L88" s="10">
        <f t="shared" si="57"/>
        <v>47.620959451811018</v>
      </c>
      <c r="M88" s="20">
        <f>input!B87</f>
        <v>1925.62</v>
      </c>
      <c r="N88" s="19">
        <f t="shared" si="37"/>
        <v>0.81685604469624651</v>
      </c>
      <c r="O88" s="21">
        <f t="shared" si="38"/>
        <v>1087.7060697073921</v>
      </c>
      <c r="P88" s="5">
        <v>816</v>
      </c>
      <c r="Q88" s="3">
        <f>P88/365+input!$K$2</f>
        <v>2.2356164383561645</v>
      </c>
      <c r="R88" s="4">
        <f t="shared" si="31"/>
        <v>36.817832794113912</v>
      </c>
      <c r="S88" s="10">
        <f t="shared" si="32"/>
        <v>83.009285611302261</v>
      </c>
      <c r="T88" s="20">
        <f>input!C87</f>
        <v>4.6399999999999997</v>
      </c>
      <c r="U88" s="19">
        <f t="shared" si="39"/>
        <v>0.99338387075398182</v>
      </c>
      <c r="V88" s="21">
        <f t="shared" si="40"/>
        <v>1662.3973332122596</v>
      </c>
      <c r="W88" s="21">
        <v>1181</v>
      </c>
      <c r="X88" s="3">
        <f>W88/365+input!$K$2</f>
        <v>3.2356164383561645</v>
      </c>
      <c r="Y88" s="4">
        <f t="shared" si="41"/>
        <v>39.469004015014669</v>
      </c>
      <c r="Z88" s="10">
        <f t="shared" si="33"/>
        <v>103.98435971907008</v>
      </c>
      <c r="AA88" s="20">
        <f>input!D87</f>
        <v>0</v>
      </c>
      <c r="AB88" s="19">
        <f t="shared" si="42"/>
        <v>0.99866597068041085</v>
      </c>
      <c r="AC88" s="21">
        <f t="shared" si="43"/>
        <v>1956.3459956959921</v>
      </c>
      <c r="AD88" s="8">
        <f t="shared" si="44"/>
        <v>78138.399305842264</v>
      </c>
      <c r="AE88" s="8">
        <f t="shared" si="45"/>
        <v>91699.871939596327</v>
      </c>
      <c r="AF88" s="8">
        <f t="shared" si="46"/>
        <v>385.16308523644244</v>
      </c>
      <c r="AG88" s="8">
        <f t="shared" si="47"/>
        <v>0</v>
      </c>
      <c r="AH88" s="8">
        <f t="shared" si="48"/>
        <v>647.20004424827812</v>
      </c>
      <c r="AI88" s="8">
        <f t="shared" si="49"/>
        <v>74905.594691730978</v>
      </c>
      <c r="AJ88" s="8">
        <f t="shared" si="50"/>
        <v>382.61479648372301</v>
      </c>
      <c r="AK88" s="8">
        <f t="shared" si="51"/>
        <v>0</v>
      </c>
      <c r="AL88" s="8">
        <f t="shared" si="52"/>
        <v>20.454239185330373</v>
      </c>
      <c r="AM88" s="8">
        <f t="shared" si="53"/>
        <v>81475.270001237586</v>
      </c>
      <c r="AN88" s="8">
        <f t="shared" si="54"/>
        <v>636.05781732209255</v>
      </c>
      <c r="AO88" s="8">
        <f t="shared" si="55"/>
        <v>0</v>
      </c>
    </row>
    <row r="89" spans="1:41">
      <c r="A89" s="1">
        <v>41816</v>
      </c>
      <c r="B89" s="5">
        <v>87</v>
      </c>
      <c r="C89" s="3">
        <f>B89/365+input!$K$2</f>
        <v>0.23835616438356164</v>
      </c>
      <c r="D89" s="4">
        <f t="shared" si="30"/>
        <v>20.688769191324841</v>
      </c>
      <c r="E89" s="10">
        <f t="shared" si="34"/>
        <v>12.825618592333113</v>
      </c>
      <c r="F89" s="20">
        <f>input!A88</f>
        <v>6123.98</v>
      </c>
      <c r="G89" s="19">
        <f t="shared" si="35"/>
        <v>8.4709475942548289E-3</v>
      </c>
      <c r="H89" s="21">
        <f t="shared" si="36"/>
        <v>32.495051253307608</v>
      </c>
      <c r="I89" s="5">
        <v>452</v>
      </c>
      <c r="J89" s="3">
        <f>I89/365+input!$K$2</f>
        <v>1.2383561643835617</v>
      </c>
      <c r="K89" s="4">
        <f t="shared" si="56"/>
        <v>31.036100274280624</v>
      </c>
      <c r="L89" s="10">
        <f t="shared" si="57"/>
        <v>47.72518210540543</v>
      </c>
      <c r="M89" s="20">
        <f>input!B88</f>
        <v>1898.51</v>
      </c>
      <c r="N89" s="19">
        <f t="shared" si="37"/>
        <v>0.81874633052282231</v>
      </c>
      <c r="O89" s="21">
        <f t="shared" si="38"/>
        <v>1089.8383252283052</v>
      </c>
      <c r="P89" s="5">
        <v>817</v>
      </c>
      <c r="Q89" s="3">
        <f>P89/365+input!$K$2</f>
        <v>2.2383561643835614</v>
      </c>
      <c r="R89" s="4">
        <f t="shared" si="31"/>
        <v>36.829554045938977</v>
      </c>
      <c r="S89" s="10">
        <f t="shared" si="32"/>
        <v>83.094938557763044</v>
      </c>
      <c r="T89" s="20">
        <f>input!C88</f>
        <v>4.55</v>
      </c>
      <c r="U89" s="19">
        <f t="shared" si="39"/>
        <v>0.99343039148627554</v>
      </c>
      <c r="V89" s="21">
        <f t="shared" si="40"/>
        <v>1663.6376412464535</v>
      </c>
      <c r="W89" s="21">
        <v>1182</v>
      </c>
      <c r="X89" s="3">
        <f>W89/365+input!$K$2</f>
        <v>3.2383561643835614</v>
      </c>
      <c r="Y89" s="4">
        <f t="shared" si="41"/>
        <v>39.469004015014669</v>
      </c>
      <c r="Z89" s="10">
        <f t="shared" si="33"/>
        <v>103.98435971907008</v>
      </c>
      <c r="AA89" s="20">
        <f>input!D88</f>
        <v>0</v>
      </c>
      <c r="AB89" s="19">
        <f t="shared" si="42"/>
        <v>0.99866597068041085</v>
      </c>
      <c r="AC89" s="21">
        <f t="shared" si="43"/>
        <v>1956.3459956959921</v>
      </c>
      <c r="AD89" s="8">
        <f t="shared" si="44"/>
        <v>78543.831747076125</v>
      </c>
      <c r="AE89" s="8">
        <f t="shared" si="45"/>
        <v>90606.73547893326</v>
      </c>
      <c r="AF89" s="8">
        <f t="shared" si="46"/>
        <v>378.08197043782184</v>
      </c>
      <c r="AG89" s="8">
        <f t="shared" si="47"/>
        <v>0</v>
      </c>
      <c r="AH89" s="8">
        <f t="shared" si="48"/>
        <v>665.34068258145055</v>
      </c>
      <c r="AI89" s="8">
        <f t="shared" si="49"/>
        <v>74183.932194028617</v>
      </c>
      <c r="AJ89" s="8">
        <f t="shared" si="50"/>
        <v>375.59811990594778</v>
      </c>
      <c r="AK89" s="8">
        <f t="shared" si="51"/>
        <v>0</v>
      </c>
      <c r="AL89" s="8">
        <f t="shared" si="52"/>
        <v>21.620279581394904</v>
      </c>
      <c r="AM89" s="8">
        <f t="shared" si="53"/>
        <v>80848.492421190298</v>
      </c>
      <c r="AN89" s="8">
        <f t="shared" si="54"/>
        <v>624.85917025693357</v>
      </c>
      <c r="AO89" s="8">
        <f t="shared" si="55"/>
        <v>0</v>
      </c>
    </row>
    <row r="90" spans="1:41">
      <c r="A90" s="1">
        <v>41817</v>
      </c>
      <c r="B90" s="5">
        <v>88</v>
      </c>
      <c r="C90" s="3">
        <f>B90/365+input!$K$2</f>
        <v>0.24109589041095891</v>
      </c>
      <c r="D90" s="4">
        <f t="shared" si="30"/>
        <v>20.726099835475793</v>
      </c>
      <c r="E90" s="10">
        <f t="shared" si="34"/>
        <v>12.900751743118018</v>
      </c>
      <c r="F90" s="20">
        <f>input!A89</f>
        <v>6119.79</v>
      </c>
      <c r="G90" s="19">
        <f t="shared" si="35"/>
        <v>8.6630854888276373E-3</v>
      </c>
      <c r="H90" s="21">
        <f t="shared" si="36"/>
        <v>33.404909808013464</v>
      </c>
      <c r="I90" s="5">
        <v>453</v>
      </c>
      <c r="J90" s="3">
        <f>I90/365+input!$K$2</f>
        <v>1.2410958904109588</v>
      </c>
      <c r="K90" s="4">
        <f t="shared" si="56"/>
        <v>31.057001640963577</v>
      </c>
      <c r="L90" s="10">
        <f t="shared" si="57"/>
        <v>47.82939649386843</v>
      </c>
      <c r="M90" s="20">
        <f>input!B89</f>
        <v>1864.66</v>
      </c>
      <c r="N90" s="19">
        <f t="shared" si="37"/>
        <v>0.82061842536494312</v>
      </c>
      <c r="O90" s="21">
        <f t="shared" si="38"/>
        <v>1091.9642983596118</v>
      </c>
      <c r="P90" s="5">
        <v>818</v>
      </c>
      <c r="Q90" s="3">
        <f>P90/365+input!$K$2</f>
        <v>2.2410958904109588</v>
      </c>
      <c r="R90" s="4">
        <f t="shared" si="31"/>
        <v>36.841256687003749</v>
      </c>
      <c r="S90" s="10">
        <f t="shared" si="32"/>
        <v>83.180516444163345</v>
      </c>
      <c r="T90" s="20">
        <f>input!C89</f>
        <v>4.4000000000000004</v>
      </c>
      <c r="U90" s="19">
        <f t="shared" si="39"/>
        <v>0.9934765141678803</v>
      </c>
      <c r="V90" s="21">
        <f t="shared" si="40"/>
        <v>1664.8764925370206</v>
      </c>
      <c r="W90" s="21">
        <v>1183</v>
      </c>
      <c r="X90" s="3">
        <f>W90/365+input!$K$2</f>
        <v>3.2410958904109588</v>
      </c>
      <c r="Y90" s="4">
        <f t="shared" si="41"/>
        <v>39.469004015014669</v>
      </c>
      <c r="Z90" s="10">
        <f t="shared" si="33"/>
        <v>103.98435971907008</v>
      </c>
      <c r="AA90" s="20">
        <f>input!D89</f>
        <v>0</v>
      </c>
      <c r="AB90" s="19">
        <f t="shared" si="42"/>
        <v>0.99866597068041085</v>
      </c>
      <c r="AC90" s="21">
        <f t="shared" si="43"/>
        <v>1956.3459956959921</v>
      </c>
      <c r="AD90" s="8">
        <f t="shared" si="44"/>
        <v>78949.891510016212</v>
      </c>
      <c r="AE90" s="8">
        <f t="shared" si="45"/>
        <v>89185.562466256713</v>
      </c>
      <c r="AF90" s="8">
        <f t="shared" si="46"/>
        <v>365.99427235431875</v>
      </c>
      <c r="AG90" s="8">
        <f t="shared" si="47"/>
        <v>0</v>
      </c>
      <c r="AH90" s="8">
        <f t="shared" si="48"/>
        <v>683.94965948493768</v>
      </c>
      <c r="AI90" s="8">
        <f t="shared" si="49"/>
        <v>73187.315836346359</v>
      </c>
      <c r="AJ90" s="8">
        <f t="shared" si="50"/>
        <v>363.6067139039784</v>
      </c>
      <c r="AK90" s="8">
        <f t="shared" si="51"/>
        <v>0</v>
      </c>
      <c r="AL90" s="8">
        <f t="shared" si="52"/>
        <v>22.847276688315866</v>
      </c>
      <c r="AM90" s="8">
        <f t="shared" si="53"/>
        <v>79917.935986059267</v>
      </c>
      <c r="AN90" s="8">
        <f t="shared" si="54"/>
        <v>605.36027050736743</v>
      </c>
      <c r="AO90" s="8">
        <f t="shared" si="55"/>
        <v>0</v>
      </c>
    </row>
    <row r="91" spans="1:41">
      <c r="A91" s="1">
        <v>41818</v>
      </c>
      <c r="B91" s="5">
        <v>89</v>
      </c>
      <c r="C91" s="3">
        <f>B91/365+input!$K$2</f>
        <v>0.24383561643835616</v>
      </c>
      <c r="D91" s="4">
        <f t="shared" si="30"/>
        <v>20.763371206805004</v>
      </c>
      <c r="E91" s="10">
        <f t="shared" si="34"/>
        <v>12.976068616980518</v>
      </c>
      <c r="F91" s="20">
        <f>input!A90</f>
        <v>6115.6</v>
      </c>
      <c r="G91" s="19">
        <f t="shared" si="35"/>
        <v>8.8592271077174226E-3</v>
      </c>
      <c r="H91" s="21">
        <f t="shared" si="36"/>
        <v>34.334001763909235</v>
      </c>
      <c r="I91" s="5">
        <v>454</v>
      </c>
      <c r="J91" s="3">
        <f>I91/365+input!$K$2</f>
        <v>1.2438356164383562</v>
      </c>
      <c r="K91" s="4">
        <f t="shared" si="56"/>
        <v>31.077869820890456</v>
      </c>
      <c r="L91" s="10">
        <f t="shared" si="57"/>
        <v>47.933602262350206</v>
      </c>
      <c r="M91" s="20">
        <f>input!B90</f>
        <v>1863.39</v>
      </c>
      <c r="N91" s="19">
        <f t="shared" si="37"/>
        <v>0.82247244021151233</v>
      </c>
      <c r="O91" s="21">
        <f t="shared" si="38"/>
        <v>1094.0840437263294</v>
      </c>
      <c r="P91" s="5">
        <v>819</v>
      </c>
      <c r="Q91" s="3">
        <f>P91/365+input!$K$2</f>
        <v>2.2438356164383562</v>
      </c>
      <c r="R91" s="4">
        <f t="shared" si="31"/>
        <v>36.852940746857996</v>
      </c>
      <c r="S91" s="10">
        <f t="shared" si="32"/>
        <v>83.266019220258741</v>
      </c>
      <c r="T91" s="20">
        <f>input!C90</f>
        <v>4.3600000000000003</v>
      </c>
      <c r="U91" s="19">
        <f t="shared" si="39"/>
        <v>0.99352224268334066</v>
      </c>
      <c r="V91" s="21">
        <f t="shared" si="40"/>
        <v>1666.1138880303681</v>
      </c>
      <c r="W91" s="21">
        <v>1184</v>
      </c>
      <c r="X91" s="3">
        <f>W91/365+input!$K$2</f>
        <v>3.2438356164383562</v>
      </c>
      <c r="Y91" s="4">
        <f t="shared" si="41"/>
        <v>39.469004015014669</v>
      </c>
      <c r="Z91" s="10">
        <f t="shared" si="33"/>
        <v>103.98435971907008</v>
      </c>
      <c r="AA91" s="20">
        <f>input!D90</f>
        <v>0</v>
      </c>
      <c r="AB91" s="19">
        <f t="shared" si="42"/>
        <v>0.99866597068041085</v>
      </c>
      <c r="AC91" s="21">
        <f t="shared" si="43"/>
        <v>1956.3459956959921</v>
      </c>
      <c r="AD91" s="8">
        <f t="shared" si="44"/>
        <v>79356.445234006067</v>
      </c>
      <c r="AE91" s="8">
        <f t="shared" si="45"/>
        <v>89318.995119640749</v>
      </c>
      <c r="AF91" s="8">
        <f t="shared" si="46"/>
        <v>363.03984380032813</v>
      </c>
      <c r="AG91" s="8">
        <f t="shared" si="47"/>
        <v>0</v>
      </c>
      <c r="AH91" s="8">
        <f t="shared" si="48"/>
        <v>703.03677078919964</v>
      </c>
      <c r="AI91" s="8">
        <f t="shared" si="49"/>
        <v>73462.411873291087</v>
      </c>
      <c r="AJ91" s="8">
        <f t="shared" si="50"/>
        <v>360.6881597959117</v>
      </c>
      <c r="AK91" s="8">
        <f t="shared" si="51"/>
        <v>0</v>
      </c>
      <c r="AL91" s="8">
        <f t="shared" si="52"/>
        <v>24.138065728369433</v>
      </c>
      <c r="AM91" s="8">
        <f t="shared" si="53"/>
        <v>80374.052644219424</v>
      </c>
      <c r="AN91" s="8">
        <f t="shared" si="54"/>
        <v>600.94755228408519</v>
      </c>
      <c r="AO91" s="8">
        <f t="shared" si="55"/>
        <v>0</v>
      </c>
    </row>
    <row r="92" spans="1:41">
      <c r="A92" s="1">
        <v>41819</v>
      </c>
      <c r="B92" s="5">
        <v>90</v>
      </c>
      <c r="C92" s="3">
        <f>B92/365+input!$K$2</f>
        <v>0.24657534246575341</v>
      </c>
      <c r="D92" s="4">
        <f t="shared" si="30"/>
        <v>20.800583399424617</v>
      </c>
      <c r="E92" s="10">
        <f t="shared" si="34"/>
        <v>13.051568634414492</v>
      </c>
      <c r="F92" s="20">
        <f>input!A91</f>
        <v>6111.41</v>
      </c>
      <c r="G92" s="19">
        <f t="shared" si="35"/>
        <v>9.0594470452069423E-3</v>
      </c>
      <c r="H92" s="21">
        <f t="shared" si="36"/>
        <v>35.28255209073113</v>
      </c>
      <c r="I92" s="5">
        <v>455</v>
      </c>
      <c r="J92" s="3">
        <f>I92/365+input!$K$2</f>
        <v>1.2465753424657535</v>
      </c>
      <c r="K92" s="4">
        <f t="shared" si="56"/>
        <v>31.098704866754495</v>
      </c>
      <c r="L92" s="10">
        <f t="shared" si="57"/>
        <v>48.037799057130172</v>
      </c>
      <c r="M92" s="20">
        <f>input!B91</f>
        <v>1792.32</v>
      </c>
      <c r="N92" s="19">
        <f t="shared" si="37"/>
        <v>0.82430848730087769</v>
      </c>
      <c r="O92" s="21">
        <f t="shared" si="38"/>
        <v>1096.1976155913542</v>
      </c>
      <c r="P92" s="5">
        <v>820</v>
      </c>
      <c r="Q92" s="3">
        <f>P92/365+input!$K$2</f>
        <v>2.2465753424657535</v>
      </c>
      <c r="R92" s="4">
        <f t="shared" si="31"/>
        <v>36.864606255004595</v>
      </c>
      <c r="S92" s="10">
        <f t="shared" si="32"/>
        <v>83.351446836310004</v>
      </c>
      <c r="T92" s="20">
        <f>input!C91</f>
        <v>4.12</v>
      </c>
      <c r="U92" s="19">
        <f t="shared" si="39"/>
        <v>0.99356758087533437</v>
      </c>
      <c r="V92" s="21">
        <f t="shared" si="40"/>
        <v>1667.3498286720262</v>
      </c>
      <c r="W92" s="21">
        <v>1185</v>
      </c>
      <c r="X92" s="3">
        <f>W92/365+input!$K$2</f>
        <v>3.2465753424657535</v>
      </c>
      <c r="Y92" s="4">
        <f t="shared" si="41"/>
        <v>39.469004015014669</v>
      </c>
      <c r="Z92" s="10">
        <f t="shared" si="33"/>
        <v>103.98435971907008</v>
      </c>
      <c r="AA92" s="20">
        <f>input!D91</f>
        <v>0</v>
      </c>
      <c r="AB92" s="19">
        <f t="shared" si="42"/>
        <v>0.99866597068041085</v>
      </c>
      <c r="AC92" s="21">
        <f t="shared" si="43"/>
        <v>1956.3459956959921</v>
      </c>
      <c r="AD92" s="8">
        <f t="shared" si="44"/>
        <v>79763.487068047063</v>
      </c>
      <c r="AE92" s="8">
        <f t="shared" si="45"/>
        <v>86099.108006075548</v>
      </c>
      <c r="AF92" s="8">
        <f t="shared" si="46"/>
        <v>343.40796096559723</v>
      </c>
      <c r="AG92" s="8">
        <f t="shared" si="47"/>
        <v>0</v>
      </c>
      <c r="AH92" s="8">
        <f t="shared" si="48"/>
        <v>722.61308723402112</v>
      </c>
      <c r="AI92" s="8">
        <f t="shared" si="49"/>
        <v>70972.225478443026</v>
      </c>
      <c r="AJ92" s="8">
        <f t="shared" si="50"/>
        <v>341.19901702991967</v>
      </c>
      <c r="AK92" s="8">
        <f t="shared" si="51"/>
        <v>0</v>
      </c>
      <c r="AL92" s="8">
        <f t="shared" si="52"/>
        <v>25.495633891778386</v>
      </c>
      <c r="AM92" s="8">
        <f t="shared" si="53"/>
        <v>77799.584342681206</v>
      </c>
      <c r="AN92" s="8">
        <f t="shared" si="54"/>
        <v>568.89812258790039</v>
      </c>
      <c r="AO92" s="8">
        <f t="shared" si="55"/>
        <v>0</v>
      </c>
    </row>
    <row r="93" spans="1:41">
      <c r="A93" s="1">
        <v>41820</v>
      </c>
      <c r="B93" s="5">
        <v>91</v>
      </c>
      <c r="C93" s="3">
        <f>B93/365+input!$K$2</f>
        <v>0.24931506849315069</v>
      </c>
      <c r="D93" s="4">
        <f t="shared" si="30"/>
        <v>20.837736507297382</v>
      </c>
      <c r="E93" s="10">
        <f t="shared" si="34"/>
        <v>13.127251214831906</v>
      </c>
      <c r="F93" s="20">
        <f>input!A92</f>
        <v>6107.2</v>
      </c>
      <c r="G93" s="19">
        <f t="shared" si="35"/>
        <v>9.2638210626005899E-3</v>
      </c>
      <c r="H93" s="21">
        <f t="shared" si="36"/>
        <v>36.250783808881771</v>
      </c>
      <c r="I93" s="5">
        <v>456</v>
      </c>
      <c r="J93" s="3">
        <f>I93/365+input!$K$2</f>
        <v>1.2493150684931507</v>
      </c>
      <c r="K93" s="4">
        <f t="shared" si="56"/>
        <v>31.119506831165278</v>
      </c>
      <c r="L93" s="10">
        <f t="shared" si="57"/>
        <v>48.141986525616815</v>
      </c>
      <c r="M93" s="20">
        <f>input!B92</f>
        <v>1791.08</v>
      </c>
      <c r="N93" s="19">
        <f t="shared" si="37"/>
        <v>0.82612668005607626</v>
      </c>
      <c r="O93" s="21">
        <f t="shared" si="38"/>
        <v>1098.3050678513441</v>
      </c>
      <c r="P93" s="5">
        <v>821</v>
      </c>
      <c r="Q93" s="3">
        <f>P93/365+input!$K$2</f>
        <v>2.2493150684931509</v>
      </c>
      <c r="R93" s="4">
        <f t="shared" si="31"/>
        <v>36.876253240899544</v>
      </c>
      <c r="S93" s="10">
        <f t="shared" si="32"/>
        <v>83.436799243081722</v>
      </c>
      <c r="T93" s="20">
        <f>input!C92</f>
        <v>4.09</v>
      </c>
      <c r="U93" s="19">
        <f t="shared" si="39"/>
        <v>0.99361253254515702</v>
      </c>
      <c r="V93" s="21">
        <f t="shared" si="40"/>
        <v>1668.5843154067059</v>
      </c>
      <c r="W93" s="21">
        <v>1186</v>
      </c>
      <c r="X93" s="3">
        <f>W93/365+input!$K$2</f>
        <v>3.2493150684931509</v>
      </c>
      <c r="Y93" s="4">
        <f t="shared" si="41"/>
        <v>39.469004015014669</v>
      </c>
      <c r="Z93" s="10">
        <f t="shared" si="33"/>
        <v>103.98435971907008</v>
      </c>
      <c r="AA93" s="20">
        <f>input!D92</f>
        <v>0</v>
      </c>
      <c r="AB93" s="19">
        <f t="shared" si="42"/>
        <v>0.99866597068041085</v>
      </c>
      <c r="AC93" s="21">
        <f t="shared" si="43"/>
        <v>1956.3459956959921</v>
      </c>
      <c r="AD93" s="8">
        <f t="shared" si="44"/>
        <v>80170.748619221413</v>
      </c>
      <c r="AE93" s="8">
        <f t="shared" si="45"/>
        <v>86226.149226301757</v>
      </c>
      <c r="AF93" s="8">
        <f t="shared" si="46"/>
        <v>341.25650890420422</v>
      </c>
      <c r="AG93" s="8">
        <f t="shared" si="47"/>
        <v>0</v>
      </c>
      <c r="AH93" s="8">
        <f t="shared" si="48"/>
        <v>742.68746966320043</v>
      </c>
      <c r="AI93" s="8">
        <f t="shared" si="49"/>
        <v>71233.722394344484</v>
      </c>
      <c r="AJ93" s="8">
        <f t="shared" si="50"/>
        <v>339.07674405982527</v>
      </c>
      <c r="AK93" s="8">
        <f t="shared" si="51"/>
        <v>0</v>
      </c>
      <c r="AL93" s="8">
        <f t="shared" si="52"/>
        <v>26.923002900326118</v>
      </c>
      <c r="AM93" s="8">
        <f t="shared" si="53"/>
        <v>78236.358307624323</v>
      </c>
      <c r="AN93" s="8">
        <f t="shared" si="54"/>
        <v>565.77813685739829</v>
      </c>
      <c r="AO93" s="8">
        <f t="shared" si="55"/>
        <v>0</v>
      </c>
    </row>
    <row r="94" spans="1:41">
      <c r="A94" s="1">
        <v>41821</v>
      </c>
      <c r="B94" s="5">
        <v>92</v>
      </c>
      <c r="C94" s="3">
        <f>B94/365+input!$K$2</f>
        <v>0.25205479452054796</v>
      </c>
      <c r="D94" s="4">
        <f t="shared" si="30"/>
        <v>20.874830624236804</v>
      </c>
      <c r="E94" s="10">
        <f t="shared" si="34"/>
        <v>13.203115776582466</v>
      </c>
      <c r="F94" s="20">
        <f>input!A93</f>
        <v>6103.01</v>
      </c>
      <c r="G94" s="19">
        <f t="shared" si="35"/>
        <v>9.4724261005033877E-3</v>
      </c>
      <c r="H94" s="21">
        <f t="shared" si="36"/>
        <v>37.238917870260671</v>
      </c>
      <c r="I94" s="5">
        <v>457</v>
      </c>
      <c r="J94" s="3">
        <f>I94/365+input!$K$2</f>
        <v>1.252054794520548</v>
      </c>
      <c r="K94" s="4">
        <f t="shared" si="56"/>
        <v>31.140275766648855</v>
      </c>
      <c r="L94" s="10">
        <f t="shared" si="57"/>
        <v>48.246164316346288</v>
      </c>
      <c r="M94" s="20">
        <f>input!B93</f>
        <v>1762.01</v>
      </c>
      <c r="N94" s="19">
        <f t="shared" si="37"/>
        <v>0.82792713302131471</v>
      </c>
      <c r="O94" s="21">
        <f t="shared" si="38"/>
        <v>1100.4064540328084</v>
      </c>
      <c r="P94" s="5">
        <v>822</v>
      </c>
      <c r="Q94" s="3">
        <f>P94/365+input!$K$2</f>
        <v>2.2520547945205478</v>
      </c>
      <c r="R94" s="4">
        <f t="shared" si="31"/>
        <v>36.887881733952099</v>
      </c>
      <c r="S94" s="10">
        <f t="shared" si="32"/>
        <v>83.522076391840784</v>
      </c>
      <c r="T94" s="20">
        <f>input!C93</f>
        <v>3.97</v>
      </c>
      <c r="U94" s="19">
        <f t="shared" si="39"/>
        <v>0.99365710145320518</v>
      </c>
      <c r="V94" s="21">
        <f t="shared" si="40"/>
        <v>1669.817349178353</v>
      </c>
      <c r="W94" s="21">
        <v>1187</v>
      </c>
      <c r="X94" s="3">
        <f>W94/365+input!$K$2</f>
        <v>3.2520547945205478</v>
      </c>
      <c r="Y94" s="4">
        <f t="shared" si="41"/>
        <v>39.469004015014669</v>
      </c>
      <c r="Z94" s="10">
        <f t="shared" si="33"/>
        <v>103.98435971907008</v>
      </c>
      <c r="AA94" s="20">
        <f>input!D93</f>
        <v>0</v>
      </c>
      <c r="AB94" s="19">
        <f t="shared" si="42"/>
        <v>0.99866597068041085</v>
      </c>
      <c r="AC94" s="21">
        <f t="shared" si="43"/>
        <v>1956.3459956959921</v>
      </c>
      <c r="AD94" s="8">
        <f t="shared" si="44"/>
        <v>80578.747615640561</v>
      </c>
      <c r="AE94" s="8">
        <f t="shared" si="45"/>
        <v>85010.22398704532</v>
      </c>
      <c r="AF94" s="8">
        <f t="shared" si="46"/>
        <v>331.58264327560795</v>
      </c>
      <c r="AG94" s="8">
        <f t="shared" si="47"/>
        <v>0</v>
      </c>
      <c r="AH94" s="8">
        <f t="shared" si="48"/>
        <v>763.27623206026874</v>
      </c>
      <c r="AI94" s="8">
        <f t="shared" si="49"/>
        <v>70382.271023094232</v>
      </c>
      <c r="AJ94" s="8">
        <f t="shared" si="50"/>
        <v>329.47944820943269</v>
      </c>
      <c r="AK94" s="8">
        <f t="shared" si="51"/>
        <v>0</v>
      </c>
      <c r="AL94" s="8">
        <f t="shared" si="52"/>
        <v>28.423580918014373</v>
      </c>
      <c r="AM94" s="8">
        <f t="shared" si="53"/>
        <v>77449.105283299214</v>
      </c>
      <c r="AN94" s="8">
        <f t="shared" si="54"/>
        <v>550.17049881782134</v>
      </c>
      <c r="AO94" s="8">
        <f t="shared" si="55"/>
        <v>0</v>
      </c>
    </row>
    <row r="95" spans="1:41">
      <c r="A95" s="1">
        <v>41822</v>
      </c>
      <c r="B95" s="5">
        <v>93</v>
      </c>
      <c r="C95" s="3">
        <f>B95/365+input!$K$2</f>
        <v>0.25479452054794521</v>
      </c>
      <c r="D95" s="4">
        <f t="shared" si="30"/>
        <v>20.911865843907488</v>
      </c>
      <c r="E95" s="10">
        <f t="shared" si="34"/>
        <v>13.279161736973304</v>
      </c>
      <c r="F95" s="20">
        <f>input!A94</f>
        <v>6098.8</v>
      </c>
      <c r="G95" s="19">
        <f t="shared" si="35"/>
        <v>9.6853402910451782E-3</v>
      </c>
      <c r="H95" s="21">
        <f t="shared" si="36"/>
        <v>38.247173039209734</v>
      </c>
      <c r="I95" s="5">
        <v>458</v>
      </c>
      <c r="J95" s="3">
        <f>I95/365+input!$K$2</f>
        <v>1.2547945205479452</v>
      </c>
      <c r="K95" s="4">
        <f t="shared" si="56"/>
        <v>31.161011725647857</v>
      </c>
      <c r="L95" s="10">
        <f t="shared" si="57"/>
        <v>48.350332078981467</v>
      </c>
      <c r="M95" s="20">
        <f>input!B94</f>
        <v>1734.7</v>
      </c>
      <c r="N95" s="19">
        <f t="shared" si="37"/>
        <v>0.82970996179968415</v>
      </c>
      <c r="O95" s="21">
        <f t="shared" si="38"/>
        <v>1102.5018272884056</v>
      </c>
      <c r="P95" s="5">
        <v>823</v>
      </c>
      <c r="Q95" s="3">
        <f>P95/365+input!$K$2</f>
        <v>2.2547945205479452</v>
      </c>
      <c r="R95" s="4">
        <f t="shared" si="31"/>
        <v>36.899491763524807</v>
      </c>
      <c r="S95" s="10">
        <f t="shared" si="32"/>
        <v>83.607278234354226</v>
      </c>
      <c r="T95" s="20">
        <f>input!C94</f>
        <v>3.9</v>
      </c>
      <c r="U95" s="19">
        <f t="shared" si="39"/>
        <v>0.99370129131944962</v>
      </c>
      <c r="V95" s="21">
        <f t="shared" si="40"/>
        <v>1671.0489309302084</v>
      </c>
      <c r="W95" s="21">
        <v>1188</v>
      </c>
      <c r="X95" s="3">
        <f>W95/365+input!$K$2</f>
        <v>3.2547945205479452</v>
      </c>
      <c r="Y95" s="4">
        <f t="shared" si="41"/>
        <v>39.469004015014669</v>
      </c>
      <c r="Z95" s="10">
        <f t="shared" si="33"/>
        <v>103.98435971907008</v>
      </c>
      <c r="AA95" s="20">
        <f>input!D94</f>
        <v>0</v>
      </c>
      <c r="AB95" s="19">
        <f t="shared" si="42"/>
        <v>0.99866597068041085</v>
      </c>
      <c r="AC95" s="21">
        <f t="shared" si="43"/>
        <v>1956.3459956959921</v>
      </c>
      <c r="AD95" s="8">
        <f t="shared" si="44"/>
        <v>80986.951601452791</v>
      </c>
      <c r="AE95" s="8">
        <f t="shared" si="45"/>
        <v>83873.32105740915</v>
      </c>
      <c r="AF95" s="8">
        <f t="shared" si="46"/>
        <v>326.06838511398149</v>
      </c>
      <c r="AG95" s="8">
        <f t="shared" si="47"/>
        <v>0</v>
      </c>
      <c r="AH95" s="8">
        <f t="shared" si="48"/>
        <v>784.38618539447657</v>
      </c>
      <c r="AI95" s="8">
        <f t="shared" si="49"/>
        <v>69590.530010555594</v>
      </c>
      <c r="AJ95" s="8">
        <f t="shared" si="50"/>
        <v>324.01457534621102</v>
      </c>
      <c r="AK95" s="8">
        <f t="shared" si="51"/>
        <v>0</v>
      </c>
      <c r="AL95" s="8">
        <f t="shared" si="52"/>
        <v>30.000554162348191</v>
      </c>
      <c r="AM95" s="8">
        <f t="shared" si="53"/>
        <v>76723.68649860617</v>
      </c>
      <c r="AN95" s="8">
        <f t="shared" si="54"/>
        <v>541.44420973809133</v>
      </c>
      <c r="AO95" s="8">
        <f t="shared" si="55"/>
        <v>0</v>
      </c>
    </row>
    <row r="96" spans="1:41">
      <c r="A96" s="1">
        <v>41823</v>
      </c>
      <c r="B96" s="5">
        <v>94</v>
      </c>
      <c r="C96" s="3">
        <f>B96/365+input!$K$2</f>
        <v>0.25753424657534246</v>
      </c>
      <c r="D96" s="4">
        <f t="shared" si="30"/>
        <v>20.948842259825277</v>
      </c>
      <c r="E96" s="10">
        <f t="shared" si="34"/>
        <v>13.355388512288322</v>
      </c>
      <c r="F96" s="20">
        <f>input!A95</f>
        <v>6094.59</v>
      </c>
      <c r="G96" s="19">
        <f t="shared" si="35"/>
        <v>9.9026429700396126E-3</v>
      </c>
      <c r="H96" s="21">
        <f t="shared" si="36"/>
        <v>39.275765773656595</v>
      </c>
      <c r="I96" s="5">
        <v>459</v>
      </c>
      <c r="J96" s="3">
        <f>I96/365+input!$K$2</f>
        <v>1.2575342465753425</v>
      </c>
      <c r="K96" s="4">
        <f t="shared" si="56"/>
        <v>31.181714760521672</v>
      </c>
      <c r="L96" s="10">
        <f t="shared" si="57"/>
        <v>48.454489464311621</v>
      </c>
      <c r="M96" s="20">
        <f>input!B95</f>
        <v>1705.92</v>
      </c>
      <c r="N96" s="19">
        <f t="shared" si="37"/>
        <v>0.83147528299211693</v>
      </c>
      <c r="O96" s="21">
        <f t="shared" si="38"/>
        <v>1104.5912403934306</v>
      </c>
      <c r="P96" s="5">
        <v>824</v>
      </c>
      <c r="Q96" s="3">
        <f>P96/365+input!$K$2</f>
        <v>2.2575342465753425</v>
      </c>
      <c r="R96" s="4">
        <f t="shared" si="31"/>
        <v>36.911083358933602</v>
      </c>
      <c r="S96" s="10">
        <f t="shared" si="32"/>
        <v>83.6924047228879</v>
      </c>
      <c r="T96" s="20">
        <f>input!C95</f>
        <v>3.78</v>
      </c>
      <c r="U96" s="19">
        <f t="shared" si="39"/>
        <v>0.99374510582390507</v>
      </c>
      <c r="V96" s="21">
        <f t="shared" si="40"/>
        <v>1672.2790616048578</v>
      </c>
      <c r="W96" s="21">
        <v>1189</v>
      </c>
      <c r="X96" s="3">
        <f>W96/365+input!$K$2</f>
        <v>3.2575342465753425</v>
      </c>
      <c r="Y96" s="4">
        <f t="shared" si="41"/>
        <v>39.469004015014669</v>
      </c>
      <c r="Z96" s="10">
        <f t="shared" si="33"/>
        <v>103.98435971907008</v>
      </c>
      <c r="AA96" s="20">
        <f>input!D95</f>
        <v>0</v>
      </c>
      <c r="AB96" s="19">
        <f t="shared" si="42"/>
        <v>0.99866597068041085</v>
      </c>
      <c r="AC96" s="21">
        <f t="shared" si="43"/>
        <v>1956.3459956959921</v>
      </c>
      <c r="AD96" s="8">
        <f t="shared" si="44"/>
        <v>81395.617273107287</v>
      </c>
      <c r="AE96" s="8">
        <f t="shared" si="45"/>
        <v>82659.482666958487</v>
      </c>
      <c r="AF96" s="8">
        <f t="shared" si="46"/>
        <v>316.35728985251626</v>
      </c>
      <c r="AG96" s="8">
        <f t="shared" si="47"/>
        <v>0</v>
      </c>
      <c r="AH96" s="8">
        <f t="shared" si="48"/>
        <v>806.03173718157075</v>
      </c>
      <c r="AI96" s="8">
        <f t="shared" si="49"/>
        <v>68729.316742491297</v>
      </c>
      <c r="AJ96" s="8">
        <f t="shared" si="50"/>
        <v>314.37850848265259</v>
      </c>
      <c r="AK96" s="8">
        <f t="shared" si="51"/>
        <v>0</v>
      </c>
      <c r="AL96" s="8">
        <f t="shared" si="52"/>
        <v>31.657513715676906</v>
      </c>
      <c r="AM96" s="8">
        <f t="shared" si="53"/>
        <v>75917.801231981444</v>
      </c>
      <c r="AN96" s="8">
        <f t="shared" si="54"/>
        <v>525.72859715410505</v>
      </c>
      <c r="AO96" s="8">
        <f t="shared" si="55"/>
        <v>0</v>
      </c>
    </row>
    <row r="97" spans="1:41">
      <c r="A97" s="1">
        <v>41824</v>
      </c>
      <c r="B97" s="5">
        <v>95</v>
      </c>
      <c r="C97" s="3">
        <f>B97/365+input!$K$2</f>
        <v>0.26027397260273971</v>
      </c>
      <c r="D97" s="4">
        <f t="shared" si="30"/>
        <v>20.985759965357559</v>
      </c>
      <c r="E97" s="10">
        <f t="shared" si="34"/>
        <v>13.431795517807689</v>
      </c>
      <c r="F97" s="20">
        <f>input!A96</f>
        <v>6090.37</v>
      </c>
      <c r="G97" s="19">
        <f t="shared" si="35"/>
        <v>1.0124414689071876E-2</v>
      </c>
      <c r="H97" s="21">
        <f t="shared" si="36"/>
        <v>40.324910106558349</v>
      </c>
      <c r="I97" s="5">
        <v>460</v>
      </c>
      <c r="J97" s="3">
        <f>I97/365+input!$K$2</f>
        <v>1.2602739726027397</v>
      </c>
      <c r="K97" s="4">
        <f t="shared" si="56"/>
        <v>31.202384923546532</v>
      </c>
      <c r="L97" s="10">
        <f t="shared" si="57"/>
        <v>48.558636124250746</v>
      </c>
      <c r="M97" s="20">
        <f>input!B96</f>
        <v>1691.36</v>
      </c>
      <c r="N97" s="19">
        <f t="shared" si="37"/>
        <v>0.8332232141375806</v>
      </c>
      <c r="O97" s="21">
        <f t="shared" si="38"/>
        <v>1106.6747457425033</v>
      </c>
      <c r="P97" s="5">
        <v>825</v>
      </c>
      <c r="Q97" s="3">
        <f>P97/365+input!$K$2</f>
        <v>2.2602739726027399</v>
      </c>
      <c r="R97" s="4">
        <f t="shared" si="31"/>
        <v>36.922656549447865</v>
      </c>
      <c r="S97" s="10">
        <f t="shared" si="32"/>
        <v>83.777455810205183</v>
      </c>
      <c r="T97" s="20">
        <f>input!C96</f>
        <v>3.7</v>
      </c>
      <c r="U97" s="19">
        <f t="shared" si="39"/>
        <v>0.99378854860709342</v>
      </c>
      <c r="V97" s="21">
        <f t="shared" si="40"/>
        <v>1673.5077421442975</v>
      </c>
      <c r="W97" s="21">
        <v>1190</v>
      </c>
      <c r="X97" s="3">
        <f>W97/365+input!$K$2</f>
        <v>3.2602739726027399</v>
      </c>
      <c r="Y97" s="4">
        <f t="shared" si="41"/>
        <v>39.469004015014669</v>
      </c>
      <c r="Z97" s="10">
        <f t="shared" si="33"/>
        <v>103.98435971907008</v>
      </c>
      <c r="AA97" s="20">
        <f>input!D96</f>
        <v>0</v>
      </c>
      <c r="AB97" s="19">
        <f t="shared" si="42"/>
        <v>0.99866597068041085</v>
      </c>
      <c r="AC97" s="21">
        <f t="shared" si="43"/>
        <v>1956.3459956959921</v>
      </c>
      <c r="AD97" s="8">
        <f t="shared" si="44"/>
        <v>81804.604467790414</v>
      </c>
      <c r="AE97" s="8">
        <f t="shared" si="45"/>
        <v>82130.134795112739</v>
      </c>
      <c r="AF97" s="8">
        <f t="shared" si="46"/>
        <v>309.97658649775917</v>
      </c>
      <c r="AG97" s="8">
        <f t="shared" si="47"/>
        <v>0</v>
      </c>
      <c r="AH97" s="8">
        <f t="shared" si="48"/>
        <v>828.22373910741203</v>
      </c>
      <c r="AI97" s="8">
        <f t="shared" si="49"/>
        <v>68432.734891536587</v>
      </c>
      <c r="AJ97" s="8">
        <f t="shared" si="50"/>
        <v>308.05118199778923</v>
      </c>
      <c r="AK97" s="8">
        <f t="shared" si="51"/>
        <v>0</v>
      </c>
      <c r="AL97" s="8">
        <f t="shared" si="52"/>
        <v>33.398047827624026</v>
      </c>
      <c r="AM97" s="8">
        <f t="shared" si="53"/>
        <v>75732.779486555388</v>
      </c>
      <c r="AN97" s="8">
        <f t="shared" si="54"/>
        <v>515.52603805000228</v>
      </c>
      <c r="AO97" s="8">
        <f t="shared" si="55"/>
        <v>0</v>
      </c>
    </row>
    <row r="98" spans="1:41">
      <c r="A98" s="1">
        <v>41825</v>
      </c>
      <c r="B98" s="5">
        <v>96</v>
      </c>
      <c r="C98" s="3">
        <f>B98/365+input!$K$2</f>
        <v>0.26301369863013696</v>
      </c>
      <c r="D98" s="4">
        <f t="shared" si="30"/>
        <v>21.02261905372346</v>
      </c>
      <c r="E98" s="10">
        <f t="shared" si="34"/>
        <v>13.508382167826886</v>
      </c>
      <c r="F98" s="20">
        <f>input!A97</f>
        <v>6086.2</v>
      </c>
      <c r="G98" s="19">
        <f t="shared" si="35"/>
        <v>1.0350737227504814E-2</v>
      </c>
      <c r="H98" s="21">
        <f t="shared" si="36"/>
        <v>41.394817527731306</v>
      </c>
      <c r="I98" s="5">
        <v>461</v>
      </c>
      <c r="J98" s="3">
        <f>I98/365+input!$K$2</f>
        <v>1.263013698630137</v>
      </c>
      <c r="K98" s="4">
        <f t="shared" si="56"/>
        <v>31.223022266915695</v>
      </c>
      <c r="L98" s="10">
        <f t="shared" si="57"/>
        <v>48.662771711837344</v>
      </c>
      <c r="M98" s="20">
        <f>input!B97</f>
        <v>1640.24</v>
      </c>
      <c r="N98" s="19">
        <f t="shared" si="37"/>
        <v>0.83495387365451124</v>
      </c>
      <c r="O98" s="21">
        <f t="shared" si="38"/>
        <v>1108.7523953464447</v>
      </c>
      <c r="P98" s="5">
        <v>826</v>
      </c>
      <c r="Q98" s="3">
        <f>P98/365+input!$K$2</f>
        <v>2.2630136986301368</v>
      </c>
      <c r="R98" s="4">
        <f t="shared" si="31"/>
        <v>36.934211364290505</v>
      </c>
      <c r="S98" s="10">
        <f t="shared" si="32"/>
        <v>83.862431449564866</v>
      </c>
      <c r="T98" s="20">
        <f>input!C97</f>
        <v>3.55</v>
      </c>
      <c r="U98" s="19">
        <f t="shared" si="39"/>
        <v>0.99383162327050112</v>
      </c>
      <c r="V98" s="21">
        <f t="shared" si="40"/>
        <v>1674.734973489976</v>
      </c>
      <c r="W98" s="21">
        <v>1191</v>
      </c>
      <c r="X98" s="3">
        <f>W98/365+input!$K$2</f>
        <v>3.2630136986301368</v>
      </c>
      <c r="Y98" s="4">
        <f t="shared" si="41"/>
        <v>39.469004015014669</v>
      </c>
      <c r="Z98" s="10">
        <f t="shared" si="33"/>
        <v>103.98435971907008</v>
      </c>
      <c r="AA98" s="20">
        <f>input!D97</f>
        <v>0</v>
      </c>
      <c r="AB98" s="19">
        <f t="shared" si="42"/>
        <v>0.99866597068041085</v>
      </c>
      <c r="AC98" s="21">
        <f t="shared" si="43"/>
        <v>1956.3459956959921</v>
      </c>
      <c r="AD98" s="8">
        <f t="shared" si="44"/>
        <v>82214.71554982799</v>
      </c>
      <c r="AE98" s="8">
        <f t="shared" si="45"/>
        <v>79818.624672624079</v>
      </c>
      <c r="AF98" s="8">
        <f t="shared" si="46"/>
        <v>297.71163164595526</v>
      </c>
      <c r="AG98" s="8">
        <f t="shared" si="47"/>
        <v>0</v>
      </c>
      <c r="AH98" s="8">
        <f t="shared" si="48"/>
        <v>850.98291689032351</v>
      </c>
      <c r="AI98" s="8">
        <f t="shared" si="49"/>
        <v>66644.869860183026</v>
      </c>
      <c r="AJ98" s="8">
        <f t="shared" si="50"/>
        <v>295.87523414520922</v>
      </c>
      <c r="AK98" s="8">
        <f t="shared" si="51"/>
        <v>0</v>
      </c>
      <c r="AL98" s="8">
        <f t="shared" si="52"/>
        <v>35.226282563891473</v>
      </c>
      <c r="AM98" s="8">
        <f t="shared" si="53"/>
        <v>73892.659095030016</v>
      </c>
      <c r="AN98" s="8">
        <f t="shared" si="54"/>
        <v>495.51260241251742</v>
      </c>
      <c r="AO98" s="8">
        <f t="shared" si="55"/>
        <v>0</v>
      </c>
    </row>
    <row r="99" spans="1:41">
      <c r="A99" s="1">
        <v>41826</v>
      </c>
      <c r="B99" s="5">
        <v>97</v>
      </c>
      <c r="C99" s="3">
        <f>B99/365+input!$K$2</f>
        <v>0.26575342465753427</v>
      </c>
      <c r="D99" s="4">
        <f t="shared" si="30"/>
        <v>21.059419617994102</v>
      </c>
      <c r="E99" s="10">
        <f t="shared" si="34"/>
        <v>13.585147875675885</v>
      </c>
      <c r="F99" s="20">
        <f>input!A98</f>
        <v>6082.03</v>
      </c>
      <c r="G99" s="19">
        <f t="shared" si="35"/>
        <v>1.058169360439583E-2</v>
      </c>
      <c r="H99" s="21">
        <f t="shared" si="36"/>
        <v>42.485696866165398</v>
      </c>
      <c r="I99" s="5">
        <v>462</v>
      </c>
      <c r="J99" s="3">
        <f>I99/365+input!$K$2</f>
        <v>1.2657534246575342</v>
      </c>
      <c r="K99" s="4">
        <f t="shared" si="56"/>
        <v>31.243626842739509</v>
      </c>
      <c r="L99" s="10">
        <f t="shared" si="57"/>
        <v>48.76689588123287</v>
      </c>
      <c r="M99" s="20">
        <f>input!B98</f>
        <v>1639.11</v>
      </c>
      <c r="N99" s="19">
        <f t="shared" si="37"/>
        <v>0.83666738078347502</v>
      </c>
      <c r="O99" s="21">
        <f t="shared" si="38"/>
        <v>1110.8242408293443</v>
      </c>
      <c r="P99" s="5">
        <v>827</v>
      </c>
      <c r="Q99" s="3">
        <f>P99/365+input!$K$2</f>
        <v>2.2657534246575342</v>
      </c>
      <c r="R99" s="4">
        <f t="shared" si="31"/>
        <v>36.945747832638034</v>
      </c>
      <c r="S99" s="10">
        <f t="shared" si="32"/>
        <v>83.947331594719557</v>
      </c>
      <c r="T99" s="20">
        <f>input!C98</f>
        <v>3.53</v>
      </c>
      <c r="U99" s="19">
        <f t="shared" si="39"/>
        <v>0.99387433337703135</v>
      </c>
      <c r="V99" s="21">
        <f t="shared" si="40"/>
        <v>1675.9607565828542</v>
      </c>
      <c r="W99" s="21">
        <v>1192</v>
      </c>
      <c r="X99" s="3">
        <f>W99/365+input!$K$2</f>
        <v>3.2657534246575342</v>
      </c>
      <c r="Y99" s="4">
        <f t="shared" si="41"/>
        <v>39.469004015014669</v>
      </c>
      <c r="Z99" s="10">
        <f t="shared" si="33"/>
        <v>103.98435971907008</v>
      </c>
      <c r="AA99" s="20">
        <f>input!D98</f>
        <v>0</v>
      </c>
      <c r="AB99" s="19">
        <f t="shared" si="42"/>
        <v>0.99866597068041085</v>
      </c>
      <c r="AC99" s="21">
        <f t="shared" si="43"/>
        <v>1956.3459956959921</v>
      </c>
      <c r="AD99" s="8">
        <f t="shared" si="44"/>
        <v>82625.276934296999</v>
      </c>
      <c r="AE99" s="8">
        <f t="shared" si="45"/>
        <v>79934.306707887605</v>
      </c>
      <c r="AF99" s="8">
        <f t="shared" si="46"/>
        <v>296.33408052935999</v>
      </c>
      <c r="AG99" s="8">
        <f t="shared" si="47"/>
        <v>0</v>
      </c>
      <c r="AH99" s="8">
        <f t="shared" si="48"/>
        <v>874.31536449708483</v>
      </c>
      <c r="AI99" s="8">
        <f t="shared" si="49"/>
        <v>66878.427028031278</v>
      </c>
      <c r="AJ99" s="8">
        <f t="shared" si="50"/>
        <v>294.5188367430132</v>
      </c>
      <c r="AK99" s="8">
        <f t="shared" si="51"/>
        <v>0</v>
      </c>
      <c r="AL99" s="8">
        <f t="shared" si="52"/>
        <v>37.145897541454055</v>
      </c>
      <c r="AM99" s="8">
        <f t="shared" si="53"/>
        <v>74290.177931273545</v>
      </c>
      <c r="AN99" s="8">
        <f t="shared" si="54"/>
        <v>493.6020124557225</v>
      </c>
      <c r="AO99" s="8">
        <f t="shared" si="55"/>
        <v>0</v>
      </c>
    </row>
    <row r="100" spans="1:41">
      <c r="A100" s="1">
        <v>41827</v>
      </c>
      <c r="B100" s="5">
        <v>98</v>
      </c>
      <c r="C100" s="3">
        <f>B100/365+input!$K$2</f>
        <v>0.26849315068493151</v>
      </c>
      <c r="D100" s="4">
        <f t="shared" si="30"/>
        <v>21.096161751092833</v>
      </c>
      <c r="E100" s="10">
        <f t="shared" si="34"/>
        <v>13.662092053738206</v>
      </c>
      <c r="F100" s="20">
        <f>input!A99</f>
        <v>6077.87</v>
      </c>
      <c r="G100" s="19">
        <f t="shared" si="35"/>
        <v>1.0817368090314618E-2</v>
      </c>
      <c r="H100" s="21">
        <f t="shared" si="36"/>
        <v>43.597754172913248</v>
      </c>
      <c r="I100" s="5">
        <v>463</v>
      </c>
      <c r="J100" s="3">
        <f>I100/365+input!$K$2</f>
        <v>1.2684931506849315</v>
      </c>
      <c r="K100" s="4">
        <f t="shared" si="56"/>
        <v>31.264198703045615</v>
      </c>
      <c r="L100" s="10">
        <f t="shared" si="57"/>
        <v>48.87100828772099</v>
      </c>
      <c r="M100" s="20">
        <f>input!B99</f>
        <v>1611.61</v>
      </c>
      <c r="N100" s="19">
        <f t="shared" si="37"/>
        <v>0.83836385553108006</v>
      </c>
      <c r="O100" s="21">
        <f t="shared" si="38"/>
        <v>1112.890333425795</v>
      </c>
      <c r="P100" s="5">
        <v>828</v>
      </c>
      <c r="Q100" s="3">
        <f>P100/365+input!$K$2</f>
        <v>2.2684931506849315</v>
      </c>
      <c r="R100" s="4">
        <f t="shared" si="31"/>
        <v>36.95726598362063</v>
      </c>
      <c r="S100" s="10">
        <f t="shared" si="32"/>
        <v>84.032156199914624</v>
      </c>
      <c r="T100" s="20">
        <f>input!C99</f>
        <v>3.43</v>
      </c>
      <c r="U100" s="19">
        <f t="shared" si="39"/>
        <v>0.99391668245145093</v>
      </c>
      <c r="V100" s="21">
        <f t="shared" si="40"/>
        <v>1677.1850923634427</v>
      </c>
      <c r="W100" s="21">
        <v>1193</v>
      </c>
      <c r="X100" s="3">
        <f>W100/365+input!$K$2</f>
        <v>3.2684931506849315</v>
      </c>
      <c r="Y100" s="4">
        <f t="shared" si="41"/>
        <v>39.469004015014669</v>
      </c>
      <c r="Z100" s="10">
        <f t="shared" si="33"/>
        <v>103.98435971907008</v>
      </c>
      <c r="AA100" s="20">
        <f>input!D99</f>
        <v>0</v>
      </c>
      <c r="AB100" s="19">
        <f t="shared" si="42"/>
        <v>0.99866597068041085</v>
      </c>
      <c r="AC100" s="21">
        <f t="shared" si="43"/>
        <v>1956.3459956959921</v>
      </c>
      <c r="AD100" s="8">
        <f t="shared" si="44"/>
        <v>83036.419430653827</v>
      </c>
      <c r="AE100" s="8">
        <f t="shared" si="45"/>
        <v>78761.005666574027</v>
      </c>
      <c r="AF100" s="8">
        <f t="shared" si="46"/>
        <v>288.23029576570718</v>
      </c>
      <c r="AG100" s="8">
        <f t="shared" si="47"/>
        <v>0</v>
      </c>
      <c r="AH100" s="8">
        <f t="shared" si="48"/>
        <v>898.23551388313535</v>
      </c>
      <c r="AI100" s="8">
        <f t="shared" si="49"/>
        <v>66030.380376134242</v>
      </c>
      <c r="AJ100" s="8">
        <f t="shared" si="50"/>
        <v>286.47689934945214</v>
      </c>
      <c r="AK100" s="8">
        <f t="shared" si="51"/>
        <v>0</v>
      </c>
      <c r="AL100" s="8">
        <f t="shared" si="52"/>
        <v>39.161051123657344</v>
      </c>
      <c r="AM100" s="8">
        <f t="shared" si="53"/>
        <v>73484.572033028104</v>
      </c>
      <c r="AN100" s="8">
        <f t="shared" si="54"/>
        <v>480.47478489540356</v>
      </c>
      <c r="AO100" s="8">
        <f t="shared" si="55"/>
        <v>0</v>
      </c>
    </row>
    <row r="101" spans="1:41">
      <c r="A101" s="1">
        <v>41828</v>
      </c>
      <c r="B101" s="5">
        <v>99</v>
      </c>
      <c r="C101" s="3">
        <f>B101/365+input!$K$2</f>
        <v>0.27123287671232876</v>
      </c>
      <c r="D101" s="4">
        <f t="shared" si="30"/>
        <v>21.132845545795441</v>
      </c>
      <c r="E101" s="10">
        <f t="shared" si="34"/>
        <v>13.739214113469574</v>
      </c>
      <c r="F101" s="20">
        <f>input!A100</f>
        <v>6073.69</v>
      </c>
      <c r="G101" s="19">
        <f t="shared" si="35"/>
        <v>1.1057846219052547E-2</v>
      </c>
      <c r="H101" s="21">
        <f t="shared" si="36"/>
        <v>44.731192604647546</v>
      </c>
      <c r="I101" s="5">
        <v>464</v>
      </c>
      <c r="J101" s="3">
        <f>I101/365+input!$K$2</f>
        <v>1.2712328767123289</v>
      </c>
      <c r="K101" s="4">
        <f t="shared" si="56"/>
        <v>31.284737899779032</v>
      </c>
      <c r="L101" s="10">
        <f t="shared" si="57"/>
        <v>48.975108587706714</v>
      </c>
      <c r="M101" s="20">
        <f>input!B100</f>
        <v>1586.51</v>
      </c>
      <c r="N101" s="19">
        <f t="shared" si="37"/>
        <v>0.84004341861509979</v>
      </c>
      <c r="O101" s="21">
        <f t="shared" si="38"/>
        <v>1114.9507239783338</v>
      </c>
      <c r="P101" s="5">
        <v>829</v>
      </c>
      <c r="Q101" s="3">
        <f>P101/365+input!$K$2</f>
        <v>2.2712328767123289</v>
      </c>
      <c r="R101" s="4">
        <f t="shared" si="31"/>
        <v>36.968765846322235</v>
      </c>
      <c r="S101" s="10">
        <f t="shared" si="32"/>
        <v>84.116905219885993</v>
      </c>
      <c r="T101" s="20">
        <f>input!C100</f>
        <v>3.37</v>
      </c>
      <c r="U101" s="19">
        <f t="shared" si="39"/>
        <v>0.9939586739808306</v>
      </c>
      <c r="V101" s="21">
        <f t="shared" si="40"/>
        <v>1678.4079817718673</v>
      </c>
      <c r="W101" s="21">
        <v>1194</v>
      </c>
      <c r="X101" s="3">
        <f>W101/365+input!$K$2</f>
        <v>3.2712328767123289</v>
      </c>
      <c r="Y101" s="4">
        <f t="shared" si="41"/>
        <v>39.469004015014669</v>
      </c>
      <c r="Z101" s="10">
        <f t="shared" si="33"/>
        <v>103.98435971907008</v>
      </c>
      <c r="AA101" s="20">
        <f>input!D100</f>
        <v>0</v>
      </c>
      <c r="AB101" s="19">
        <f t="shared" si="42"/>
        <v>0.99866597068041085</v>
      </c>
      <c r="AC101" s="21">
        <f t="shared" si="43"/>
        <v>1956.3459956959921</v>
      </c>
      <c r="AD101" s="8">
        <f t="shared" si="44"/>
        <v>83447.727368839012</v>
      </c>
      <c r="AE101" s="8">
        <f t="shared" si="45"/>
        <v>77699.499525482577</v>
      </c>
      <c r="AF101" s="8">
        <f t="shared" si="46"/>
        <v>283.47397059101581</v>
      </c>
      <c r="AG101" s="8">
        <f t="shared" si="47"/>
        <v>0</v>
      </c>
      <c r="AH101" s="8">
        <f t="shared" si="48"/>
        <v>922.75213657404413</v>
      </c>
      <c r="AI101" s="8">
        <f t="shared" si="49"/>
        <v>65270.953206068705</v>
      </c>
      <c r="AJ101" s="8">
        <f t="shared" si="50"/>
        <v>281.76141191672707</v>
      </c>
      <c r="AK101" s="8">
        <f t="shared" si="51"/>
        <v>0</v>
      </c>
      <c r="AL101" s="8">
        <f t="shared" si="52"/>
        <v>41.275803547443601</v>
      </c>
      <c r="AM101" s="8">
        <f t="shared" si="53"/>
        <v>72773.896531862265</v>
      </c>
      <c r="AN101" s="8">
        <f t="shared" si="54"/>
        <v>472.91060271634564</v>
      </c>
      <c r="AO101" s="8">
        <f t="shared" si="55"/>
        <v>0</v>
      </c>
    </row>
    <row r="102" spans="1:41">
      <c r="A102" s="1">
        <v>41829</v>
      </c>
      <c r="B102" s="5">
        <v>100</v>
      </c>
      <c r="C102" s="3">
        <f>B102/365+input!$K$2</f>
        <v>0.27397260273972601</v>
      </c>
      <c r="D102" s="4">
        <f t="shared" si="30"/>
        <v>21.169471094730429</v>
      </c>
      <c r="E102" s="10">
        <f t="shared" si="34"/>
        <v>13.816513465416781</v>
      </c>
      <c r="F102" s="20">
        <f>input!A101</f>
        <v>6069.53</v>
      </c>
      <c r="G102" s="19">
        <f t="shared" si="35"/>
        <v>1.1303214799214215E-2</v>
      </c>
      <c r="H102" s="21">
        <f t="shared" si="36"/>
        <v>45.886212307981666</v>
      </c>
      <c r="I102" s="5">
        <v>465</v>
      </c>
      <c r="J102" s="3">
        <f>I102/365+input!$K$2</f>
        <v>1.273972602739726</v>
      </c>
      <c r="K102" s="4">
        <f t="shared" si="56"/>
        <v>31.305244484802291</v>
      </c>
      <c r="L102" s="10">
        <f t="shared" si="57"/>
        <v>49.079196438715385</v>
      </c>
      <c r="M102" s="20">
        <f>input!B101</f>
        <v>1546.95</v>
      </c>
      <c r="N102" s="19">
        <f t="shared" si="37"/>
        <v>0.84170619141083036</v>
      </c>
      <c r="O102" s="21">
        <f t="shared" si="38"/>
        <v>1117.0054629350286</v>
      </c>
      <c r="P102" s="5">
        <v>830</v>
      </c>
      <c r="Q102" s="3">
        <f>P102/365+input!$K$2</f>
        <v>2.2739726027397262</v>
      </c>
      <c r="R102" s="4">
        <f t="shared" si="31"/>
        <v>36.980247449780599</v>
      </c>
      <c r="S102" s="10">
        <f t="shared" si="32"/>
        <v>84.201578609858743</v>
      </c>
      <c r="T102" s="20">
        <f>input!C101</f>
        <v>3.22</v>
      </c>
      <c r="U102" s="19">
        <f t="shared" si="39"/>
        <v>0.99400031141498102</v>
      </c>
      <c r="V102" s="21">
        <f t="shared" si="40"/>
        <v>1679.629425747914</v>
      </c>
      <c r="W102" s="21">
        <v>1195</v>
      </c>
      <c r="X102" s="3">
        <f>W102/365+input!$K$2</f>
        <v>3.2739726027397262</v>
      </c>
      <c r="Y102" s="4">
        <f t="shared" si="41"/>
        <v>39.469004015014669</v>
      </c>
      <c r="Z102" s="10">
        <f t="shared" si="33"/>
        <v>103.98435971907008</v>
      </c>
      <c r="AA102" s="20">
        <f>input!D101</f>
        <v>0</v>
      </c>
      <c r="AB102" s="19">
        <f t="shared" si="42"/>
        <v>0.99866597068041085</v>
      </c>
      <c r="AC102" s="21">
        <f t="shared" si="43"/>
        <v>1956.3459956959921</v>
      </c>
      <c r="AD102" s="8">
        <f t="shared" si="44"/>
        <v>83859.742973751112</v>
      </c>
      <c r="AE102" s="8">
        <f t="shared" si="45"/>
        <v>75923.062930870772</v>
      </c>
      <c r="AF102" s="8">
        <f t="shared" si="46"/>
        <v>271.12908312374515</v>
      </c>
      <c r="AG102" s="8">
        <f t="shared" si="47"/>
        <v>0</v>
      </c>
      <c r="AH102" s="8">
        <f t="shared" si="48"/>
        <v>947.88468783920382</v>
      </c>
      <c r="AI102" s="8">
        <f t="shared" si="49"/>
        <v>63904.91213978803</v>
      </c>
      <c r="AJ102" s="8">
        <f t="shared" si="50"/>
        <v>269.50239305866097</v>
      </c>
      <c r="AK102" s="8">
        <f t="shared" si="51"/>
        <v>0</v>
      </c>
      <c r="AL102" s="8">
        <f t="shared" si="52"/>
        <v>43.494838029674632</v>
      </c>
      <c r="AM102" s="8">
        <f t="shared" si="53"/>
        <v>71382.135968526258</v>
      </c>
      <c r="AN102" s="8">
        <f t="shared" si="54"/>
        <v>452.66414969080733</v>
      </c>
      <c r="AO102" s="8">
        <f t="shared" si="55"/>
        <v>0</v>
      </c>
    </row>
    <row r="103" spans="1:41">
      <c r="A103" s="1">
        <v>41830</v>
      </c>
      <c r="B103" s="5">
        <v>101</v>
      </c>
      <c r="C103" s="3">
        <f>B103/365+input!$K$2</f>
        <v>0.27671232876712326</v>
      </c>
      <c r="D103" s="4">
        <f t="shared" si="30"/>
        <v>21.206038490379218</v>
      </c>
      <c r="E103" s="10">
        <f t="shared" si="34"/>
        <v>13.893989519236268</v>
      </c>
      <c r="F103" s="20">
        <f>input!A102</f>
        <v>6065.37</v>
      </c>
      <c r="G103" s="19">
        <f t="shared" si="35"/>
        <v>1.155356192568038E-2</v>
      </c>
      <c r="H103" s="21">
        <f t="shared" si="36"/>
        <v>47.06301030464207</v>
      </c>
      <c r="I103" s="5">
        <v>466</v>
      </c>
      <c r="J103" s="3">
        <f>I103/365+input!$K$2</f>
        <v>1.2767123287671234</v>
      </c>
      <c r="K103" s="4">
        <f t="shared" si="56"/>
        <v>31.325718509895601</v>
      </c>
      <c r="L103" s="10">
        <f t="shared" si="57"/>
        <v>49.183271499391481</v>
      </c>
      <c r="M103" s="20">
        <f>input!B102</f>
        <v>1545.89</v>
      </c>
      <c r="N103" s="19">
        <f t="shared" si="37"/>
        <v>0.84335229589866834</v>
      </c>
      <c r="O103" s="21">
        <f t="shared" si="38"/>
        <v>1119.0546003472618</v>
      </c>
      <c r="P103" s="5">
        <v>831</v>
      </c>
      <c r="Q103" s="3">
        <f>P103/365+input!$K$2</f>
        <v>2.2767123287671232</v>
      </c>
      <c r="R103" s="4">
        <f t="shared" si="31"/>
        <v>36.991710822987358</v>
      </c>
      <c r="S103" s="10">
        <f t="shared" si="32"/>
        <v>84.286176325545341</v>
      </c>
      <c r="T103" s="20">
        <f>input!C102</f>
        <v>3.2</v>
      </c>
      <c r="U103" s="19">
        <f t="shared" si="39"/>
        <v>0.99404159816688309</v>
      </c>
      <c r="V103" s="21">
        <f t="shared" si="40"/>
        <v>1680.8494252310618</v>
      </c>
      <c r="W103" s="21">
        <v>1196</v>
      </c>
      <c r="X103" s="3">
        <f>W103/365+input!$K$2</f>
        <v>3.2767123287671232</v>
      </c>
      <c r="Y103" s="4">
        <f t="shared" si="41"/>
        <v>39.469004015014669</v>
      </c>
      <c r="Z103" s="10">
        <f t="shared" si="33"/>
        <v>103.98435971907008</v>
      </c>
      <c r="AA103" s="20">
        <f>input!D102</f>
        <v>0</v>
      </c>
      <c r="AB103" s="19">
        <f t="shared" si="42"/>
        <v>0.99866597068041085</v>
      </c>
      <c r="AC103" s="21">
        <f t="shared" si="43"/>
        <v>1956.3459956959921</v>
      </c>
      <c r="AD103" s="8">
        <f t="shared" si="44"/>
        <v>84272.187210290082</v>
      </c>
      <c r="AE103" s="8">
        <f t="shared" si="45"/>
        <v>76031.9275781943</v>
      </c>
      <c r="AF103" s="8">
        <f t="shared" si="46"/>
        <v>269.71576424174509</v>
      </c>
      <c r="AG103" s="8">
        <f t="shared" si="47"/>
        <v>0</v>
      </c>
      <c r="AH103" s="8">
        <f t="shared" si="48"/>
        <v>973.64393354661661</v>
      </c>
      <c r="AI103" s="8">
        <f t="shared" si="49"/>
        <v>64121.700684671443</v>
      </c>
      <c r="AJ103" s="8">
        <f t="shared" si="50"/>
        <v>268.10868933766653</v>
      </c>
      <c r="AK103" s="8">
        <f t="shared" si="51"/>
        <v>0</v>
      </c>
      <c r="AL103" s="8">
        <f t="shared" si="52"/>
        <v>45.822614477556655</v>
      </c>
      <c r="AM103" s="8">
        <f t="shared" si="53"/>
        <v>71755.684133271759</v>
      </c>
      <c r="AN103" s="8">
        <f t="shared" si="54"/>
        <v>450.6503363726701</v>
      </c>
      <c r="AO103" s="8">
        <f t="shared" si="55"/>
        <v>0</v>
      </c>
    </row>
    <row r="104" spans="1:41">
      <c r="A104" s="1">
        <v>41831</v>
      </c>
      <c r="B104" s="5">
        <v>102</v>
      </c>
      <c r="C104" s="3">
        <f>B104/365+input!$K$2</f>
        <v>0.27945205479452057</v>
      </c>
      <c r="D104" s="4">
        <f t="shared" si="30"/>
        <v>21.242547825076393</v>
      </c>
      <c r="E104" s="10">
        <f t="shared" si="34"/>
        <v>13.971641683712608</v>
      </c>
      <c r="F104" s="20">
        <f>input!A103</f>
        <v>6061.22</v>
      </c>
      <c r="G104" s="19">
        <f t="shared" si="35"/>
        <v>1.180897699093259E-2</v>
      </c>
      <c r="H104" s="21">
        <f t="shared" si="36"/>
        <v>48.261780377588622</v>
      </c>
      <c r="I104" s="5">
        <v>467</v>
      </c>
      <c r="J104" s="3">
        <f>I104/365+input!$K$2</f>
        <v>1.2794520547945205</v>
      </c>
      <c r="K104" s="4">
        <f t="shared" si="56"/>
        <v>31.346160026756941</v>
      </c>
      <c r="L104" s="10">
        <f t="shared" si="57"/>
        <v>49.287333429497721</v>
      </c>
      <c r="M104" s="20">
        <f>input!B103</f>
        <v>1496.62</v>
      </c>
      <c r="N104" s="19">
        <f t="shared" si="37"/>
        <v>0.84498185461289643</v>
      </c>
      <c r="O104" s="21">
        <f t="shared" si="38"/>
        <v>1121.0981858676666</v>
      </c>
      <c r="P104" s="5">
        <v>832</v>
      </c>
      <c r="Q104" s="3">
        <f>P104/365+input!$K$2</f>
        <v>2.2794520547945205</v>
      </c>
      <c r="R104" s="4">
        <f t="shared" si="31"/>
        <v>37.003155994888139</v>
      </c>
      <c r="S104" s="10">
        <f t="shared" si="32"/>
        <v>84.370698323144381</v>
      </c>
      <c r="T104" s="20">
        <f>input!C103</f>
        <v>3.09</v>
      </c>
      <c r="U104" s="19">
        <f t="shared" si="39"/>
        <v>0.99408253761311305</v>
      </c>
      <c r="V104" s="21">
        <f t="shared" si="40"/>
        <v>1682.0679811605467</v>
      </c>
      <c r="W104" s="21">
        <v>1197</v>
      </c>
      <c r="X104" s="3">
        <f>W104/365+input!$K$2</f>
        <v>3.2794520547945205</v>
      </c>
      <c r="Y104" s="4">
        <f t="shared" si="41"/>
        <v>39.469004015014669</v>
      </c>
      <c r="Z104" s="10">
        <f t="shared" si="33"/>
        <v>103.98435971907008</v>
      </c>
      <c r="AA104" s="20">
        <f>input!D103</f>
        <v>0</v>
      </c>
      <c r="AB104" s="19">
        <f t="shared" si="42"/>
        <v>0.99866597068041085</v>
      </c>
      <c r="AC104" s="21">
        <f t="shared" si="43"/>
        <v>1956.3459956959921</v>
      </c>
      <c r="AD104" s="8">
        <f t="shared" si="44"/>
        <v>84685.194006152538</v>
      </c>
      <c r="AE104" s="8">
        <f t="shared" si="45"/>
        <v>73764.408957254869</v>
      </c>
      <c r="AF104" s="8">
        <f t="shared" si="46"/>
        <v>260.70545781851615</v>
      </c>
      <c r="AG104" s="8">
        <f t="shared" si="47"/>
        <v>0</v>
      </c>
      <c r="AH104" s="8">
        <f t="shared" si="48"/>
        <v>1000.0455074913178</v>
      </c>
      <c r="AI104" s="8">
        <f t="shared" si="49"/>
        <v>62329.587085125371</v>
      </c>
      <c r="AJ104" s="8">
        <f t="shared" si="50"/>
        <v>259.16274307781896</v>
      </c>
      <c r="AK104" s="8">
        <f t="shared" si="51"/>
        <v>0</v>
      </c>
      <c r="AL104" s="8">
        <f t="shared" si="52"/>
        <v>48.263976650140137</v>
      </c>
      <c r="AM104" s="8">
        <f t="shared" si="53"/>
        <v>69877.587007014794</v>
      </c>
      <c r="AN104" s="8">
        <f t="shared" si="54"/>
        <v>435.92935204093635</v>
      </c>
      <c r="AO104" s="8">
        <f t="shared" si="55"/>
        <v>0</v>
      </c>
    </row>
    <row r="105" spans="1:41">
      <c r="A105" s="1">
        <v>41832</v>
      </c>
      <c r="B105" s="5">
        <v>103</v>
      </c>
      <c r="C105" s="3">
        <f>B105/365+input!$K$2</f>
        <v>0.28219178082191781</v>
      </c>
      <c r="D105" s="4">
        <f t="shared" si="30"/>
        <v>21.27899919100992</v>
      </c>
      <c r="E105" s="10">
        <f t="shared" si="34"/>
        <v>14.049469366776808</v>
      </c>
      <c r="F105" s="20">
        <f>input!A104</f>
        <v>6057.07</v>
      </c>
      <c r="G105" s="19">
        <f t="shared" si="35"/>
        <v>1.2069550696228245E-2</v>
      </c>
      <c r="H105" s="21">
        <f t="shared" si="36"/>
        <v>49.482712958169529</v>
      </c>
      <c r="I105" s="5">
        <v>468</v>
      </c>
      <c r="J105" s="3">
        <f>I105/365+input!$K$2</f>
        <v>1.2821917808219179</v>
      </c>
      <c r="K105" s="4">
        <f t="shared" si="56"/>
        <v>31.366569087002201</v>
      </c>
      <c r="L105" s="10">
        <f t="shared" si="57"/>
        <v>49.391381889913909</v>
      </c>
      <c r="M105" s="20">
        <f>input!B104</f>
        <v>1495.6</v>
      </c>
      <c r="N105" s="19">
        <f t="shared" si="37"/>
        <v>0.84659499059167431</v>
      </c>
      <c r="O105" s="21">
        <f t="shared" si="38"/>
        <v>1123.1362687482281</v>
      </c>
      <c r="P105" s="5">
        <v>833</v>
      </c>
      <c r="Q105" s="3">
        <f>P105/365+input!$K$2</f>
        <v>2.2821917808219179</v>
      </c>
      <c r="R105" s="4">
        <f t="shared" si="31"/>
        <v>37.0145829943826</v>
      </c>
      <c r="S105" s="10">
        <f t="shared" si="32"/>
        <v>84.455144559339175</v>
      </c>
      <c r="T105" s="20">
        <f>input!C104</f>
        <v>3.07</v>
      </c>
      <c r="U105" s="19">
        <f t="shared" si="39"/>
        <v>0.99412313309426215</v>
      </c>
      <c r="V105" s="21">
        <f t="shared" si="40"/>
        <v>1683.2850944754057</v>
      </c>
      <c r="W105" s="21">
        <v>1198</v>
      </c>
      <c r="X105" s="3">
        <f>W105/365+input!$K$2</f>
        <v>3.2821917808219179</v>
      </c>
      <c r="Y105" s="4">
        <f t="shared" si="41"/>
        <v>39.469004015014669</v>
      </c>
      <c r="Z105" s="10">
        <f t="shared" si="33"/>
        <v>103.98435971907008</v>
      </c>
      <c r="AA105" s="20">
        <f>input!D104</f>
        <v>0</v>
      </c>
      <c r="AB105" s="19">
        <f t="shared" si="42"/>
        <v>0.99866597068041085</v>
      </c>
      <c r="AC105" s="21">
        <f t="shared" si="43"/>
        <v>1956.3459956959921</v>
      </c>
      <c r="AD105" s="8">
        <f t="shared" si="44"/>
        <v>85098.6194174228</v>
      </c>
      <c r="AE105" s="8">
        <f t="shared" si="45"/>
        <v>73869.750754555236</v>
      </c>
      <c r="AF105" s="8">
        <f t="shared" si="46"/>
        <v>259.27729379717124</v>
      </c>
      <c r="AG105" s="8">
        <f t="shared" si="47"/>
        <v>0</v>
      </c>
      <c r="AH105" s="8">
        <f t="shared" si="48"/>
        <v>1027.1021012376179</v>
      </c>
      <c r="AI105" s="8">
        <f t="shared" si="49"/>
        <v>62537.760945062015</v>
      </c>
      <c r="AJ105" s="8">
        <f t="shared" si="50"/>
        <v>257.7535556498454</v>
      </c>
      <c r="AK105" s="8">
        <f t="shared" si="51"/>
        <v>0</v>
      </c>
      <c r="AL105" s="8">
        <f t="shared" si="52"/>
        <v>50.823798454273827</v>
      </c>
      <c r="AM105" s="8">
        <f t="shared" si="53"/>
        <v>70238.427483705615</v>
      </c>
      <c r="AN105" s="8">
        <f t="shared" si="54"/>
        <v>433.87271827342175</v>
      </c>
      <c r="AO105" s="8">
        <f t="shared" si="55"/>
        <v>0</v>
      </c>
    </row>
    <row r="106" spans="1:41">
      <c r="A106" s="1">
        <v>41833</v>
      </c>
      <c r="B106" s="5">
        <v>104</v>
      </c>
      <c r="C106" s="3">
        <f>B106/365+input!$K$2</f>
        <v>0.28493150684931506</v>
      </c>
      <c r="D106" s="4">
        <f t="shared" si="30"/>
        <v>21.3153926802214</v>
      </c>
      <c r="E106" s="10">
        <f t="shared" si="34"/>
        <v>14.127471975524676</v>
      </c>
      <c r="F106" s="20">
        <f>input!A105</f>
        <v>6052.92</v>
      </c>
      <c r="G106" s="19">
        <f t="shared" si="35"/>
        <v>1.2335375062615559E-2</v>
      </c>
      <c r="H106" s="21">
        <f t="shared" si="36"/>
        <v>50.725995014407324</v>
      </c>
      <c r="I106" s="5">
        <v>469</v>
      </c>
      <c r="J106" s="3">
        <f>I106/365+input!$K$2</f>
        <v>1.284931506849315</v>
      </c>
      <c r="K106" s="4">
        <f t="shared" si="56"/>
        <v>31.386945742165313</v>
      </c>
      <c r="L106" s="10">
        <f t="shared" si="57"/>
        <v>49.495416542636498</v>
      </c>
      <c r="M106" s="20">
        <f>input!B105</f>
        <v>1469.74</v>
      </c>
      <c r="N106" s="19">
        <f t="shared" si="37"/>
        <v>0.84819182732823162</v>
      </c>
      <c r="O106" s="21">
        <f t="shared" si="38"/>
        <v>1125.1688978385603</v>
      </c>
      <c r="P106" s="5">
        <v>834</v>
      </c>
      <c r="Q106" s="3">
        <f>P106/365+input!$K$2</f>
        <v>2.2849315068493152</v>
      </c>
      <c r="R106" s="4">
        <f t="shared" si="31"/>
        <v>37.025991850324495</v>
      </c>
      <c r="S106" s="10">
        <f t="shared" si="32"/>
        <v>84.539514991295007</v>
      </c>
      <c r="T106" s="20">
        <f>input!C105</f>
        <v>2.99</v>
      </c>
      <c r="U106" s="19">
        <f t="shared" si="39"/>
        <v>0.99416338791535153</v>
      </c>
      <c r="V106" s="21">
        <f t="shared" si="40"/>
        <v>1684.5007661145044</v>
      </c>
      <c r="W106" s="21">
        <v>1199</v>
      </c>
      <c r="X106" s="3">
        <f>W106/365+input!$K$2</f>
        <v>3.2849315068493152</v>
      </c>
      <c r="Y106" s="4">
        <f t="shared" si="41"/>
        <v>39.469004015014669</v>
      </c>
      <c r="Z106" s="10">
        <f t="shared" si="33"/>
        <v>103.98435971907008</v>
      </c>
      <c r="AA106" s="20">
        <f>input!D105</f>
        <v>0</v>
      </c>
      <c r="AB106" s="19">
        <f t="shared" si="42"/>
        <v>0.99866597068041085</v>
      </c>
      <c r="AC106" s="21">
        <f t="shared" si="43"/>
        <v>1956.3459956959921</v>
      </c>
      <c r="AD106" s="8">
        <f t="shared" si="44"/>
        <v>85512.45767009283</v>
      </c>
      <c r="AE106" s="8">
        <f t="shared" si="45"/>
        <v>72745.393509374568</v>
      </c>
      <c r="AF106" s="8">
        <f t="shared" si="46"/>
        <v>252.77314982397209</v>
      </c>
      <c r="AG106" s="8">
        <f t="shared" si="47"/>
        <v>0</v>
      </c>
      <c r="AH106" s="8">
        <f t="shared" si="48"/>
        <v>1054.8282378866318</v>
      </c>
      <c r="AI106" s="8">
        <f t="shared" si="49"/>
        <v>61702.048250427695</v>
      </c>
      <c r="AJ106" s="8">
        <f t="shared" si="50"/>
        <v>251.29781100303484</v>
      </c>
      <c r="AK106" s="8">
        <f t="shared" si="51"/>
        <v>0</v>
      </c>
      <c r="AL106" s="8">
        <f t="shared" si="52"/>
        <v>53.507211936093341</v>
      </c>
      <c r="AM106" s="8">
        <f t="shared" si="53"/>
        <v>69425.225624315397</v>
      </c>
      <c r="AN106" s="8">
        <f t="shared" si="54"/>
        <v>423.31135515751009</v>
      </c>
      <c r="AO106" s="8">
        <f t="shared" si="55"/>
        <v>0</v>
      </c>
    </row>
    <row r="107" spans="1:41">
      <c r="A107" s="1">
        <v>41834</v>
      </c>
      <c r="B107" s="5">
        <v>105</v>
      </c>
      <c r="C107" s="3">
        <f>B107/365+input!$K$2</f>
        <v>0.28767123287671231</v>
      </c>
      <c r="D107" s="4">
        <f t="shared" si="30"/>
        <v>21.35172838460629</v>
      </c>
      <c r="E107" s="10">
        <f t="shared" si="34"/>
        <v>14.205648916234797</v>
      </c>
      <c r="F107" s="20">
        <f>input!A106</f>
        <v>6048.77</v>
      </c>
      <c r="G107" s="19">
        <f t="shared" si="35"/>
        <v>1.2606543441776499E-2</v>
      </c>
      <c r="H107" s="21">
        <f t="shared" si="36"/>
        <v>51.991809940500175</v>
      </c>
      <c r="I107" s="5">
        <v>470</v>
      </c>
      <c r="J107" s="3">
        <f>I107/365+input!$K$2</f>
        <v>1.2876712328767124</v>
      </c>
      <c r="K107" s="4">
        <f t="shared" si="56"/>
        <v>31.407290043698428</v>
      </c>
      <c r="L107" s="10">
        <f t="shared" si="57"/>
        <v>49.599437050776586</v>
      </c>
      <c r="M107" s="20">
        <f>input!B106</f>
        <v>1433.42</v>
      </c>
      <c r="N107" s="19">
        <f t="shared" si="37"/>
        <v>0.84977248872325062</v>
      </c>
      <c r="O107" s="21">
        <f t="shared" si="38"/>
        <v>1127.1961215843166</v>
      </c>
      <c r="P107" s="5">
        <v>835</v>
      </c>
      <c r="Q107" s="3">
        <f>P107/365+input!$K$2</f>
        <v>2.2876712328767121</v>
      </c>
      <c r="R107" s="4">
        <f t="shared" si="31"/>
        <v>37.037382591521798</v>
      </c>
      <c r="S107" s="10">
        <f t="shared" si="32"/>
        <v>84.623809576658786</v>
      </c>
      <c r="T107" s="20">
        <f>input!C106</f>
        <v>2.9</v>
      </c>
      <c r="U107" s="19">
        <f t="shared" si="39"/>
        <v>0.99420330534624124</v>
      </c>
      <c r="V107" s="21">
        <f t="shared" si="40"/>
        <v>1685.7149970165967</v>
      </c>
      <c r="W107" s="21">
        <v>1200</v>
      </c>
      <c r="X107" s="3">
        <f>W107/365+input!$K$2</f>
        <v>3.2876712328767121</v>
      </c>
      <c r="Y107" s="4">
        <f t="shared" si="41"/>
        <v>39.469004015014669</v>
      </c>
      <c r="Z107" s="10">
        <f t="shared" si="33"/>
        <v>103.98435971907008</v>
      </c>
      <c r="AA107" s="20">
        <f>input!D106</f>
        <v>0</v>
      </c>
      <c r="AB107" s="19">
        <f t="shared" si="42"/>
        <v>0.99866597068041085</v>
      </c>
      <c r="AC107" s="21">
        <f t="shared" si="43"/>
        <v>1956.3459956959921</v>
      </c>
      <c r="AD107" s="8">
        <f t="shared" si="44"/>
        <v>85926.702995053551</v>
      </c>
      <c r="AE107" s="8">
        <f t="shared" si="45"/>
        <v>71096.825057324182</v>
      </c>
      <c r="AF107" s="8">
        <f t="shared" si="46"/>
        <v>245.40904777231046</v>
      </c>
      <c r="AG107" s="8">
        <f t="shared" si="47"/>
        <v>0</v>
      </c>
      <c r="AH107" s="8">
        <f t="shared" si="48"/>
        <v>1083.2387141157694</v>
      </c>
      <c r="AI107" s="8">
        <f t="shared" si="49"/>
        <v>60416.125969283938</v>
      </c>
      <c r="AJ107" s="8">
        <f t="shared" si="50"/>
        <v>243.98648645710469</v>
      </c>
      <c r="AK107" s="8">
        <f t="shared" si="51"/>
        <v>0</v>
      </c>
      <c r="AL107" s="8">
        <f t="shared" si="52"/>
        <v>56.319541344498887</v>
      </c>
      <c r="AM107" s="8">
        <f t="shared" si="53"/>
        <v>68100.822873726371</v>
      </c>
      <c r="AN107" s="8">
        <f t="shared" si="54"/>
        <v>411.29167929012817</v>
      </c>
      <c r="AO107" s="8">
        <f t="shared" si="55"/>
        <v>0</v>
      </c>
    </row>
    <row r="108" spans="1:41">
      <c r="A108" s="1">
        <v>41835</v>
      </c>
      <c r="B108" s="5">
        <v>106</v>
      </c>
      <c r="C108" s="3">
        <f>B108/365+input!$K$2</f>
        <v>0.29041095890410956</v>
      </c>
      <c r="D108" s="4">
        <f t="shared" si="30"/>
        <v>21.388006395914143</v>
      </c>
      <c r="E108" s="10">
        <f t="shared" si="34"/>
        <v>14.283999594386669</v>
      </c>
      <c r="F108" s="20">
        <f>input!A107</f>
        <v>6044.63</v>
      </c>
      <c r="G108" s="19">
        <f t="shared" si="35"/>
        <v>1.288315052668648E-2</v>
      </c>
      <c r="H108" s="21">
        <f t="shared" si="36"/>
        <v>53.280337447631666</v>
      </c>
      <c r="I108" s="5">
        <v>471</v>
      </c>
      <c r="J108" s="3">
        <f>I108/365+input!$K$2</f>
        <v>1.2904109589041095</v>
      </c>
      <c r="K108" s="4">
        <f t="shared" si="56"/>
        <v>31.42760204297193</v>
      </c>
      <c r="L108" s="10">
        <f t="shared" si="57"/>
        <v>49.703443078559587</v>
      </c>
      <c r="M108" s="20">
        <f>input!B107</f>
        <v>1408.62</v>
      </c>
      <c r="N108" s="19">
        <f t="shared" si="37"/>
        <v>0.85133709903841204</v>
      </c>
      <c r="O108" s="21">
        <f t="shared" si="38"/>
        <v>1129.2179880257702</v>
      </c>
      <c r="P108" s="5">
        <v>836</v>
      </c>
      <c r="Q108" s="3">
        <f>P108/365+input!$K$2</f>
        <v>2.2904109589041095</v>
      </c>
      <c r="R108" s="4">
        <f t="shared" si="31"/>
        <v>37.048755246736704</v>
      </c>
      <c r="S108" s="10">
        <f t="shared" si="32"/>
        <v>84.708028273557318</v>
      </c>
      <c r="T108" s="20">
        <f>input!C107</f>
        <v>2.82</v>
      </c>
      <c r="U108" s="19">
        <f t="shared" si="39"/>
        <v>0.99424288862203603</v>
      </c>
      <c r="V108" s="21">
        <f t="shared" si="40"/>
        <v>1686.927788120367</v>
      </c>
      <c r="W108" s="21">
        <v>1201</v>
      </c>
      <c r="X108" s="3">
        <f>W108/365+input!$K$2</f>
        <v>3.2904109589041095</v>
      </c>
      <c r="Y108" s="4">
        <f t="shared" si="41"/>
        <v>39.469004015014669</v>
      </c>
      <c r="Z108" s="10">
        <f t="shared" si="33"/>
        <v>103.98435971907008</v>
      </c>
      <c r="AA108" s="20">
        <f>input!D107</f>
        <v>0</v>
      </c>
      <c r="AB108" s="19">
        <f t="shared" si="42"/>
        <v>0.99866597068041085</v>
      </c>
      <c r="AC108" s="21">
        <f t="shared" si="43"/>
        <v>1956.3459956959921</v>
      </c>
      <c r="AD108" s="8">
        <f t="shared" si="44"/>
        <v>86341.49246821749</v>
      </c>
      <c r="AE108" s="8">
        <f t="shared" si="45"/>
        <v>70013.263989320607</v>
      </c>
      <c r="AF108" s="8">
        <f t="shared" si="46"/>
        <v>238.87663973143162</v>
      </c>
      <c r="AG108" s="8">
        <f t="shared" si="47"/>
        <v>0</v>
      </c>
      <c r="AH108" s="8">
        <f t="shared" si="48"/>
        <v>1112.3504441668128</v>
      </c>
      <c r="AI108" s="8">
        <f t="shared" si="49"/>
        <v>59604.889058878725</v>
      </c>
      <c r="AJ108" s="8">
        <f t="shared" si="50"/>
        <v>237.50140031090399</v>
      </c>
      <c r="AK108" s="8">
        <f t="shared" si="51"/>
        <v>0</v>
      </c>
      <c r="AL108" s="8">
        <f t="shared" si="52"/>
        <v>59.266407025230755</v>
      </c>
      <c r="AM108" s="8">
        <f t="shared" si="53"/>
        <v>67306.912899566276</v>
      </c>
      <c r="AN108" s="8">
        <f t="shared" si="54"/>
        <v>400.64771190196313</v>
      </c>
      <c r="AO108" s="8">
        <f t="shared" si="55"/>
        <v>0</v>
      </c>
    </row>
    <row r="109" spans="1:41">
      <c r="A109" s="1">
        <v>41836</v>
      </c>
      <c r="B109" s="5">
        <v>107</v>
      </c>
      <c r="C109" s="3">
        <f>B109/365+input!$K$2</f>
        <v>0.29315068493150687</v>
      </c>
      <c r="D109" s="4">
        <f t="shared" si="30"/>
        <v>21.424226805748823</v>
      </c>
      <c r="E109" s="10">
        <f t="shared" si="34"/>
        <v>14.36252341467851</v>
      </c>
      <c r="F109" s="20">
        <f>input!A108</f>
        <v>6040.49</v>
      </c>
      <c r="G109" s="19">
        <f t="shared" si="35"/>
        <v>1.3165292362078172E-2</v>
      </c>
      <c r="H109" s="21">
        <f t="shared" si="36"/>
        <v>54.59175345617426</v>
      </c>
      <c r="I109" s="5">
        <v>472</v>
      </c>
      <c r="J109" s="3">
        <f>I109/365+input!$K$2</f>
        <v>1.2931506849315069</v>
      </c>
      <c r="K109" s="4">
        <f t="shared" si="56"/>
        <v>31.447881791274696</v>
      </c>
      <c r="L109" s="10">
        <f t="shared" si="57"/>
        <v>49.807434291323588</v>
      </c>
      <c r="M109" s="20">
        <f>input!B108</f>
        <v>1407.66</v>
      </c>
      <c r="N109" s="19">
        <f t="shared" si="37"/>
        <v>0.85288578285113681</v>
      </c>
      <c r="O109" s="21">
        <f t="shared" si="38"/>
        <v>1131.2345447965454</v>
      </c>
      <c r="P109" s="5">
        <v>837</v>
      </c>
      <c r="Q109" s="3">
        <f>P109/365+input!$K$2</f>
        <v>2.2931506849315069</v>
      </c>
      <c r="R109" s="4">
        <f t="shared" si="31"/>
        <v>37.060109844685783</v>
      </c>
      <c r="S109" s="10">
        <f t="shared" si="32"/>
        <v>84.792171040594653</v>
      </c>
      <c r="T109" s="20">
        <f>input!C108</f>
        <v>2.81</v>
      </c>
      <c r="U109" s="19">
        <f t="shared" si="39"/>
        <v>0.99428214094348466</v>
      </c>
      <c r="V109" s="21">
        <f t="shared" si="40"/>
        <v>1688.1391403644586</v>
      </c>
      <c r="W109" s="21">
        <v>1202</v>
      </c>
      <c r="X109" s="3">
        <f>W109/365+input!$K$2</f>
        <v>3.2931506849315069</v>
      </c>
      <c r="Y109" s="4">
        <f t="shared" si="41"/>
        <v>39.469004015014669</v>
      </c>
      <c r="Z109" s="10">
        <f t="shared" si="33"/>
        <v>103.98435971907008</v>
      </c>
      <c r="AA109" s="20">
        <f>input!D108</f>
        <v>0</v>
      </c>
      <c r="AB109" s="19">
        <f t="shared" si="42"/>
        <v>0.99866597068041085</v>
      </c>
      <c r="AC109" s="21">
        <f t="shared" si="43"/>
        <v>1956.3459956959921</v>
      </c>
      <c r="AD109" s="8">
        <f t="shared" si="44"/>
        <v>86756.679061131392</v>
      </c>
      <c r="AE109" s="8">
        <f t="shared" si="45"/>
        <v>70111.932954524571</v>
      </c>
      <c r="AF109" s="8">
        <f t="shared" si="46"/>
        <v>238.26600062407098</v>
      </c>
      <c r="AG109" s="8">
        <f t="shared" si="47"/>
        <v>0</v>
      </c>
      <c r="AH109" s="8">
        <f t="shared" si="48"/>
        <v>1142.1770442027803</v>
      </c>
      <c r="AI109" s="8">
        <f t="shared" si="49"/>
        <v>59797.470825126104</v>
      </c>
      <c r="AJ109" s="8">
        <f t="shared" si="50"/>
        <v>236.90362921454295</v>
      </c>
      <c r="AK109" s="8">
        <f t="shared" si="51"/>
        <v>0</v>
      </c>
      <c r="AL109" s="8">
        <f t="shared" si="52"/>
        <v>62.353447600420033</v>
      </c>
      <c r="AM109" s="8">
        <f t="shared" si="53"/>
        <v>67644.96468884623</v>
      </c>
      <c r="AN109" s="8">
        <f t="shared" si="54"/>
        <v>399.92628897145897</v>
      </c>
      <c r="AO109" s="8">
        <f t="shared" si="55"/>
        <v>0</v>
      </c>
    </row>
    <row r="110" spans="1:41">
      <c r="A110" s="1">
        <v>41837</v>
      </c>
      <c r="B110" s="5">
        <v>108</v>
      </c>
      <c r="C110" s="3">
        <f>B110/365+input!$K$2</f>
        <v>0.29589041095890412</v>
      </c>
      <c r="D110" s="4">
        <f t="shared" si="30"/>
        <v>21.460389705568751</v>
      </c>
      <c r="E110" s="10">
        <f t="shared" si="34"/>
        <v>14.441219781045032</v>
      </c>
      <c r="F110" s="20">
        <f>input!A109</f>
        <v>6036.24</v>
      </c>
      <c r="G110" s="19">
        <f t="shared" si="35"/>
        <v>1.3453066354697613E-2</v>
      </c>
      <c r="H110" s="21">
        <f t="shared" si="36"/>
        <v>55.926229989375486</v>
      </c>
      <c r="I110" s="5">
        <v>473</v>
      </c>
      <c r="J110" s="3">
        <f>I110/365+input!$K$2</f>
        <v>1.295890410958904</v>
      </c>
      <c r="K110" s="4">
        <f t="shared" si="56"/>
        <v>31.468129339814144</v>
      </c>
      <c r="L110" s="10">
        <f t="shared" si="57"/>
        <v>49.911410355519124</v>
      </c>
      <c r="M110" s="20">
        <f>input!B109</f>
        <v>1358.86</v>
      </c>
      <c r="N110" s="19">
        <f t="shared" si="37"/>
        <v>0.85441866501046215</v>
      </c>
      <c r="O110" s="21">
        <f t="shared" si="38"/>
        <v>1133.2458391224891</v>
      </c>
      <c r="P110" s="5">
        <v>838</v>
      </c>
      <c r="Q110" s="3">
        <f>P110/365+input!$K$2</f>
        <v>2.2958904109589042</v>
      </c>
      <c r="R110" s="4">
        <f t="shared" si="31"/>
        <v>37.071446414039976</v>
      </c>
      <c r="S110" s="10">
        <f t="shared" si="32"/>
        <v>84.876237836851928</v>
      </c>
      <c r="T110" s="20">
        <f>input!C109</f>
        <v>2.72</v>
      </c>
      <c r="U110" s="19">
        <f t="shared" si="39"/>
        <v>0.99432106547737376</v>
      </c>
      <c r="V110" s="21">
        <f t="shared" si="40"/>
        <v>1689.3490546875262</v>
      </c>
      <c r="W110" s="21">
        <v>1203</v>
      </c>
      <c r="X110" s="3">
        <f>W110/365+input!$K$2</f>
        <v>3.2958904109589042</v>
      </c>
      <c r="Y110" s="4">
        <f t="shared" si="41"/>
        <v>39.469004015014669</v>
      </c>
      <c r="Z110" s="10">
        <f t="shared" si="33"/>
        <v>103.98435971907008</v>
      </c>
      <c r="AA110" s="20">
        <f>input!D109</f>
        <v>0</v>
      </c>
      <c r="AB110" s="19">
        <f t="shared" si="42"/>
        <v>0.99866597068041085</v>
      </c>
      <c r="AC110" s="21">
        <f t="shared" si="43"/>
        <v>1956.3459956959921</v>
      </c>
      <c r="AD110" s="8">
        <f t="shared" si="44"/>
        <v>87170.668491135264</v>
      </c>
      <c r="AE110" s="8">
        <f t="shared" si="45"/>
        <v>67822.619075700713</v>
      </c>
      <c r="AF110" s="8">
        <f t="shared" si="46"/>
        <v>230.86336691623725</v>
      </c>
      <c r="AG110" s="8">
        <f t="shared" si="47"/>
        <v>0</v>
      </c>
      <c r="AH110" s="8">
        <f t="shared" si="48"/>
        <v>1172.7127873945913</v>
      </c>
      <c r="AI110" s="8">
        <f t="shared" si="49"/>
        <v>57948.911648173307</v>
      </c>
      <c r="AJ110" s="8">
        <f t="shared" si="50"/>
        <v>229.55230897184691</v>
      </c>
      <c r="AK110" s="8">
        <f t="shared" si="51"/>
        <v>0</v>
      </c>
      <c r="AL110" s="8">
        <f t="shared" si="52"/>
        <v>65.585405059311512</v>
      </c>
      <c r="AM110" s="8">
        <f t="shared" si="53"/>
        <v>65670.363006969143</v>
      </c>
      <c r="AN110" s="8">
        <f t="shared" si="54"/>
        <v>387.79397616292852</v>
      </c>
      <c r="AO110" s="8">
        <f t="shared" si="55"/>
        <v>0</v>
      </c>
    </row>
    <row r="111" spans="1:41">
      <c r="A111" s="1">
        <v>41838</v>
      </c>
      <c r="B111" s="5">
        <v>109</v>
      </c>
      <c r="C111" s="3">
        <f>B111/365+input!$K$2</f>
        <v>0.29863013698630136</v>
      </c>
      <c r="D111" s="4">
        <f t="shared" si="30"/>
        <v>21.496495186687142</v>
      </c>
      <c r="E111" s="10">
        <f t="shared" si="34"/>
        <v>14.520088096675199</v>
      </c>
      <c r="F111" s="20">
        <f>input!A110</f>
        <v>6032.05</v>
      </c>
      <c r="G111" s="19">
        <f t="shared" si="35"/>
        <v>1.3746571283339641E-2</v>
      </c>
      <c r="H111" s="21">
        <f t="shared" si="36"/>
        <v>57.283935068612649</v>
      </c>
      <c r="I111" s="5">
        <v>474</v>
      </c>
      <c r="J111" s="3">
        <f>I111/365+input!$K$2</f>
        <v>1.2986301369863014</v>
      </c>
      <c r="K111" s="4">
        <f t="shared" si="56"/>
        <v>31.488344739716389</v>
      </c>
      <c r="L111" s="10">
        <f t="shared" si="57"/>
        <v>50.015370938706951</v>
      </c>
      <c r="M111" s="20">
        <f>input!B110</f>
        <v>1357.92</v>
      </c>
      <c r="N111" s="19">
        <f t="shared" si="37"/>
        <v>0.85593587059407861</v>
      </c>
      <c r="O111" s="21">
        <f t="shared" si="38"/>
        <v>1135.2519178206753</v>
      </c>
      <c r="P111" s="5">
        <v>839</v>
      </c>
      <c r="Q111" s="3">
        <f>P111/365+input!$K$2</f>
        <v>2.2986301369863016</v>
      </c>
      <c r="R111" s="4">
        <f t="shared" si="31"/>
        <v>37.08276498342471</v>
      </c>
      <c r="S111" s="10">
        <f t="shared" si="32"/>
        <v>84.960228621884625</v>
      </c>
      <c r="T111" s="20">
        <f>input!C110</f>
        <v>2.7</v>
      </c>
      <c r="U111" s="19">
        <f t="shared" si="39"/>
        <v>0.994359665356919</v>
      </c>
      <c r="V111" s="21">
        <f t="shared" si="40"/>
        <v>1690.557532028266</v>
      </c>
      <c r="W111" s="21">
        <v>1204</v>
      </c>
      <c r="X111" s="3">
        <f>W111/365+input!$K$2</f>
        <v>3.2986301369863016</v>
      </c>
      <c r="Y111" s="4">
        <f t="shared" si="41"/>
        <v>39.469004015014669</v>
      </c>
      <c r="Z111" s="10">
        <f t="shared" si="33"/>
        <v>103.98435971907008</v>
      </c>
      <c r="AA111" s="20">
        <f>input!D110</f>
        <v>0</v>
      </c>
      <c r="AB111" s="19">
        <f t="shared" si="42"/>
        <v>0.99866597068041085</v>
      </c>
      <c r="AC111" s="21">
        <f t="shared" si="43"/>
        <v>1956.3459956959921</v>
      </c>
      <c r="AD111" s="8">
        <f t="shared" si="44"/>
        <v>87585.897403549636</v>
      </c>
      <c r="AE111" s="8">
        <f t="shared" si="45"/>
        <v>67916.872505088948</v>
      </c>
      <c r="AF111" s="8">
        <f t="shared" si="46"/>
        <v>229.39261727908851</v>
      </c>
      <c r="AG111" s="8">
        <f t="shared" si="47"/>
        <v>0</v>
      </c>
      <c r="AH111" s="8">
        <f t="shared" si="48"/>
        <v>1204.0057820731674</v>
      </c>
      <c r="AI111" s="8">
        <f t="shared" si="49"/>
        <v>58132.487395670352</v>
      </c>
      <c r="AJ111" s="8">
        <f t="shared" si="50"/>
        <v>228.09876615298225</v>
      </c>
      <c r="AK111" s="8">
        <f t="shared" si="51"/>
        <v>0</v>
      </c>
      <c r="AL111" s="8">
        <f t="shared" si="52"/>
        <v>68.970189042513525</v>
      </c>
      <c r="AM111" s="8">
        <f t="shared" si="53"/>
        <v>65995.017803620998</v>
      </c>
      <c r="AN111" s="8">
        <f t="shared" si="54"/>
        <v>385.6140871662783</v>
      </c>
      <c r="AO111" s="8">
        <f t="shared" si="55"/>
        <v>0</v>
      </c>
    </row>
    <row r="112" spans="1:41">
      <c r="A112" s="1">
        <v>41839</v>
      </c>
      <c r="B112" s="5">
        <v>110</v>
      </c>
      <c r="C112" s="3">
        <f>B112/365+input!$K$2</f>
        <v>0.30136986301369861</v>
      </c>
      <c r="D112" s="4">
        <f t="shared" si="30"/>
        <v>21.532543340272216</v>
      </c>
      <c r="E112" s="10">
        <f t="shared" si="34"/>
        <v>14.59912776402958</v>
      </c>
      <c r="F112" s="20">
        <f>input!A111</f>
        <v>6027.92</v>
      </c>
      <c r="G112" s="19">
        <f t="shared" si="35"/>
        <v>1.4045907308649117E-2</v>
      </c>
      <c r="H112" s="21">
        <f t="shared" si="36"/>
        <v>58.665032610298013</v>
      </c>
      <c r="I112" s="5">
        <v>475</v>
      </c>
      <c r="J112" s="3">
        <f>I112/365+input!$K$2</f>
        <v>1.3013698630136987</v>
      </c>
      <c r="K112" s="4">
        <f t="shared" si="56"/>
        <v>31.50852804202637</v>
      </c>
      <c r="L112" s="10">
        <f t="shared" si="57"/>
        <v>50.119315709557952</v>
      </c>
      <c r="M112" s="20">
        <f>input!B111</f>
        <v>1322.85</v>
      </c>
      <c r="N112" s="19">
        <f t="shared" si="37"/>
        <v>0.8574375248664986</v>
      </c>
      <c r="O112" s="21">
        <f t="shared" si="38"/>
        <v>1137.2528272985801</v>
      </c>
      <c r="P112" s="5">
        <v>840</v>
      </c>
      <c r="Q112" s="3">
        <f>P112/365+input!$K$2</f>
        <v>2.3013698630136985</v>
      </c>
      <c r="R112" s="4">
        <f t="shared" si="31"/>
        <v>37.094065581419962</v>
      </c>
      <c r="S112" s="10">
        <f t="shared" si="32"/>
        <v>85.044143355721673</v>
      </c>
      <c r="T112" s="20">
        <f>input!C111</f>
        <v>2.59</v>
      </c>
      <c r="U112" s="19">
        <f t="shared" si="39"/>
        <v>0.99439794368215062</v>
      </c>
      <c r="V112" s="21">
        <f t="shared" si="40"/>
        <v>1691.7645733254633</v>
      </c>
      <c r="W112" s="21">
        <v>1205</v>
      </c>
      <c r="X112" s="3">
        <f>W112/365+input!$K$2</f>
        <v>3.3013698630136985</v>
      </c>
      <c r="Y112" s="4">
        <f t="shared" si="41"/>
        <v>39.469004015014669</v>
      </c>
      <c r="Z112" s="10">
        <f t="shared" si="33"/>
        <v>103.98435971907008</v>
      </c>
      <c r="AA112" s="20">
        <f>input!D111</f>
        <v>0</v>
      </c>
      <c r="AB112" s="19">
        <f t="shared" si="42"/>
        <v>0.99866597068041085</v>
      </c>
      <c r="AC112" s="21">
        <f t="shared" si="43"/>
        <v>1956.3459956959921</v>
      </c>
      <c r="AD112" s="8">
        <f t="shared" si="44"/>
        <v>88002.374231349182</v>
      </c>
      <c r="AE112" s="8">
        <f t="shared" si="45"/>
        <v>66300.33678638874</v>
      </c>
      <c r="AF112" s="8">
        <f t="shared" si="46"/>
        <v>220.26433129131911</v>
      </c>
      <c r="AG112" s="8">
        <f t="shared" si="47"/>
        <v>0</v>
      </c>
      <c r="AH112" s="8">
        <f t="shared" si="48"/>
        <v>1236.0731913945822</v>
      </c>
      <c r="AI112" s="8">
        <f t="shared" si="49"/>
        <v>56848.396671936425</v>
      </c>
      <c r="AJ112" s="8">
        <f t="shared" si="50"/>
        <v>219.03039810261171</v>
      </c>
      <c r="AK112" s="8">
        <f t="shared" si="51"/>
        <v>0</v>
      </c>
      <c r="AL112" s="8">
        <f t="shared" si="52"/>
        <v>72.514274081878312</v>
      </c>
      <c r="AM112" s="8">
        <f t="shared" si="53"/>
        <v>64650.999842550889</v>
      </c>
      <c r="AN112" s="8">
        <f t="shared" si="54"/>
        <v>370.54786799137128</v>
      </c>
      <c r="AO112" s="8">
        <f t="shared" si="55"/>
        <v>0</v>
      </c>
    </row>
    <row r="113" spans="1:41">
      <c r="A113" s="1">
        <v>41840</v>
      </c>
      <c r="B113" s="5">
        <v>111</v>
      </c>
      <c r="C113" s="3">
        <f>B113/365+input!$K$2</f>
        <v>0.30410958904109592</v>
      </c>
      <c r="D113" s="4">
        <f t="shared" si="30"/>
        <v>21.568534257347444</v>
      </c>
      <c r="E113" s="10">
        <f t="shared" si="34"/>
        <v>14.678338184857902</v>
      </c>
      <c r="F113" s="20">
        <f>input!A112</f>
        <v>6023.79</v>
      </c>
      <c r="G113" s="19">
        <f t="shared" si="35"/>
        <v>1.4351175982675083E-2</v>
      </c>
      <c r="H113" s="21">
        <f t="shared" si="36"/>
        <v>60.069682324521445</v>
      </c>
      <c r="I113" s="5">
        <v>476</v>
      </c>
      <c r="J113" s="3">
        <f>I113/365+input!$K$2</f>
        <v>1.3041095890410959</v>
      </c>
      <c r="K113" s="4">
        <f t="shared" si="56"/>
        <v>31.528679297707985</v>
      </c>
      <c r="L113" s="10">
        <f t="shared" si="57"/>
        <v>50.223244337851362</v>
      </c>
      <c r="M113" s="20">
        <f>input!B112</f>
        <v>1300.26</v>
      </c>
      <c r="N113" s="19">
        <f t="shared" si="37"/>
        <v>0.85892375323834758</v>
      </c>
      <c r="O113" s="21">
        <f t="shared" si="38"/>
        <v>1139.2486135533588</v>
      </c>
      <c r="P113" s="5">
        <v>841</v>
      </c>
      <c r="Q113" s="3">
        <f>P113/365+input!$K$2</f>
        <v>2.3041095890410959</v>
      </c>
      <c r="R113" s="4">
        <f t="shared" si="31"/>
        <v>37.105348236560332</v>
      </c>
      <c r="S113" s="10">
        <f t="shared" si="32"/>
        <v>85.127981998863945</v>
      </c>
      <c r="T113" s="20">
        <f>input!C112</f>
        <v>2.5499999999999998</v>
      </c>
      <c r="U113" s="19">
        <f t="shared" si="39"/>
        <v>0.99443590352029254</v>
      </c>
      <c r="V113" s="21">
        <f t="shared" si="40"/>
        <v>1692.9701795180251</v>
      </c>
      <c r="W113" s="21">
        <v>1206</v>
      </c>
      <c r="X113" s="3">
        <f>W113/365+input!$K$2</f>
        <v>3.3041095890410959</v>
      </c>
      <c r="Y113" s="4">
        <f t="shared" si="41"/>
        <v>39.469004015014669</v>
      </c>
      <c r="Z113" s="10">
        <f t="shared" si="33"/>
        <v>103.98435971907008</v>
      </c>
      <c r="AA113" s="20">
        <f>input!D112</f>
        <v>0</v>
      </c>
      <c r="AB113" s="19">
        <f t="shared" si="42"/>
        <v>0.99866597068041085</v>
      </c>
      <c r="AC113" s="21">
        <f t="shared" si="43"/>
        <v>1956.3459956959921</v>
      </c>
      <c r="AD113" s="8">
        <f t="shared" si="44"/>
        <v>88419.226774565177</v>
      </c>
      <c r="AE113" s="8">
        <f t="shared" si="45"/>
        <v>65303.275682734609</v>
      </c>
      <c r="AF113" s="8">
        <f t="shared" si="46"/>
        <v>217.07635409710304</v>
      </c>
      <c r="AG113" s="8">
        <f t="shared" si="47"/>
        <v>0</v>
      </c>
      <c r="AH113" s="8">
        <f t="shared" si="48"/>
        <v>1268.9198836938415</v>
      </c>
      <c r="AI113" s="8">
        <f t="shared" si="49"/>
        <v>56090.534648172928</v>
      </c>
      <c r="AJ113" s="8">
        <f t="shared" si="50"/>
        <v>215.8685203194436</v>
      </c>
      <c r="AK113" s="8">
        <f t="shared" si="51"/>
        <v>0</v>
      </c>
      <c r="AL113" s="8">
        <f t="shared" si="52"/>
        <v>76.223614308757746</v>
      </c>
      <c r="AM113" s="8">
        <f t="shared" si="53"/>
        <v>63901.063831397645</v>
      </c>
      <c r="AN113" s="8">
        <f t="shared" si="54"/>
        <v>365.45896759749888</v>
      </c>
      <c r="AO113" s="8">
        <f t="shared" si="55"/>
        <v>0</v>
      </c>
    </row>
    <row r="114" spans="1:41">
      <c r="A114" s="1">
        <v>41841</v>
      </c>
      <c r="B114" s="5">
        <v>112</v>
      </c>
      <c r="C114" s="3">
        <f>B114/365+input!$K$2</f>
        <v>0.30684931506849317</v>
      </c>
      <c r="D114" s="4">
        <f t="shared" si="30"/>
        <v>21.604468028791757</v>
      </c>
      <c r="E114" s="10">
        <f t="shared" si="34"/>
        <v>14.757718760216351</v>
      </c>
      <c r="F114" s="20">
        <f>input!A113</f>
        <v>6019.66</v>
      </c>
      <c r="G114" s="19">
        <f t="shared" si="35"/>
        <v>1.4662480258163395E-2</v>
      </c>
      <c r="H114" s="21">
        <f t="shared" si="36"/>
        <v>61.498039615509036</v>
      </c>
      <c r="I114" s="5">
        <v>477</v>
      </c>
      <c r="J114" s="3">
        <f>I114/365+input!$K$2</f>
        <v>1.3068493150684932</v>
      </c>
      <c r="K114" s="4">
        <f t="shared" si="56"/>
        <v>31.548798557644187</v>
      </c>
      <c r="L114" s="10">
        <f t="shared" si="57"/>
        <v>50.327156494473734</v>
      </c>
      <c r="M114" s="20">
        <f>input!B113</f>
        <v>1276.3</v>
      </c>
      <c r="N114" s="19">
        <f t="shared" si="37"/>
        <v>0.86039468122676566</v>
      </c>
      <c r="O114" s="21">
        <f t="shared" si="38"/>
        <v>1141.239322171278</v>
      </c>
      <c r="P114" s="5">
        <v>842</v>
      </c>
      <c r="Q114" s="3">
        <f>P114/365+input!$K$2</f>
        <v>2.3068493150684932</v>
      </c>
      <c r="R114" s="4">
        <f t="shared" si="31"/>
        <v>37.116612977335123</v>
      </c>
      <c r="S114" s="10">
        <f t="shared" si="32"/>
        <v>85.211744512281982</v>
      </c>
      <c r="T114" s="20">
        <f>input!C113</f>
        <v>2.48</v>
      </c>
      <c r="U114" s="19">
        <f t="shared" si="39"/>
        <v>0.99447354790613962</v>
      </c>
      <c r="V114" s="21">
        <f t="shared" si="40"/>
        <v>1694.1743515450198</v>
      </c>
      <c r="W114" s="21">
        <v>1207</v>
      </c>
      <c r="X114" s="3">
        <f>W114/365+input!$K$2</f>
        <v>3.3068493150684932</v>
      </c>
      <c r="Y114" s="4">
        <f t="shared" si="41"/>
        <v>39.469004015014669</v>
      </c>
      <c r="Z114" s="10">
        <f t="shared" si="33"/>
        <v>103.98435971907008</v>
      </c>
      <c r="AA114" s="20">
        <f>input!D113</f>
        <v>0</v>
      </c>
      <c r="AB114" s="19">
        <f t="shared" si="42"/>
        <v>0.99866597068041085</v>
      </c>
      <c r="AC114" s="21">
        <f t="shared" si="43"/>
        <v>1956.3459956959921</v>
      </c>
      <c r="AD114" s="8">
        <f t="shared" si="44"/>
        <v>88836.44931212395</v>
      </c>
      <c r="AE114" s="8">
        <f t="shared" si="45"/>
        <v>64232.549833896825</v>
      </c>
      <c r="AF114" s="8">
        <f t="shared" si="46"/>
        <v>211.3251263904593</v>
      </c>
      <c r="AG114" s="8">
        <f t="shared" si="47"/>
        <v>0</v>
      </c>
      <c r="AH114" s="8">
        <f t="shared" si="48"/>
        <v>1302.5626842443505</v>
      </c>
      <c r="AI114" s="8">
        <f t="shared" si="49"/>
        <v>55265.344238717997</v>
      </c>
      <c r="AJ114" s="8">
        <f t="shared" si="50"/>
        <v>210.15724820323345</v>
      </c>
      <c r="AK114" s="8">
        <f t="shared" si="51"/>
        <v>0</v>
      </c>
      <c r="AL114" s="8">
        <f t="shared" si="52"/>
        <v>80.105051557342861</v>
      </c>
      <c r="AM114" s="8">
        <f t="shared" si="53"/>
        <v>63070.983998556869</v>
      </c>
      <c r="AN114" s="8">
        <f t="shared" si="54"/>
        <v>356.04301969719882</v>
      </c>
      <c r="AO114" s="8">
        <f t="shared" si="55"/>
        <v>0</v>
      </c>
    </row>
    <row r="115" spans="1:41">
      <c r="A115" s="1">
        <v>41842</v>
      </c>
      <c r="B115" s="5">
        <v>113</v>
      </c>
      <c r="C115" s="3">
        <f>B115/365+input!$K$2</f>
        <v>0.30958904109589042</v>
      </c>
      <c r="D115" s="4">
        <f t="shared" si="30"/>
        <v>21.64034474533981</v>
      </c>
      <c r="E115" s="10">
        <f t="shared" si="34"/>
        <v>14.837268890484621</v>
      </c>
      <c r="F115" s="20">
        <f>input!A114</f>
        <v>6015.54</v>
      </c>
      <c r="G115" s="19">
        <f t="shared" si="35"/>
        <v>1.4979924497574562E-2</v>
      </c>
      <c r="H115" s="21">
        <f t="shared" si="36"/>
        <v>62.950255483981223</v>
      </c>
      <c r="I115" s="5">
        <v>478</v>
      </c>
      <c r="J115" s="3">
        <f>I115/365+input!$K$2</f>
        <v>1.3095890410958904</v>
      </c>
      <c r="K115" s="4">
        <f t="shared" si="56"/>
        <v>31.568885872637168</v>
      </c>
      <c r="L115" s="10">
        <f t="shared" si="57"/>
        <v>50.431051851418381</v>
      </c>
      <c r="M115" s="20">
        <f>input!B114</f>
        <v>1275.42</v>
      </c>
      <c r="N115" s="19">
        <f t="shared" si="37"/>
        <v>0.86185043441691389</v>
      </c>
      <c r="O115" s="21">
        <f t="shared" si="38"/>
        <v>1143.2249983272688</v>
      </c>
      <c r="P115" s="5">
        <v>843</v>
      </c>
      <c r="Q115" s="3">
        <f>P115/365+input!$K$2</f>
        <v>2.3095890410958906</v>
      </c>
      <c r="R115" s="4">
        <f t="shared" si="31"/>
        <v>37.127859832188385</v>
      </c>
      <c r="S115" s="10">
        <f t="shared" si="32"/>
        <v>85.295430857415141</v>
      </c>
      <c r="T115" s="20">
        <f>input!C114</f>
        <v>2.4700000000000002</v>
      </c>
      <c r="U115" s="19">
        <f t="shared" si="39"/>
        <v>0.99451087984242881</v>
      </c>
      <c r="V115" s="21">
        <f t="shared" si="40"/>
        <v>1695.3770903457041</v>
      </c>
      <c r="W115" s="21">
        <v>1208</v>
      </c>
      <c r="X115" s="3">
        <f>W115/365+input!$K$2</f>
        <v>3.3095890410958906</v>
      </c>
      <c r="Y115" s="4">
        <f t="shared" si="41"/>
        <v>39.469004015014669</v>
      </c>
      <c r="Z115" s="10">
        <f t="shared" si="33"/>
        <v>103.98435971907008</v>
      </c>
      <c r="AA115" s="20">
        <f>input!D114</f>
        <v>0</v>
      </c>
      <c r="AB115" s="19">
        <f t="shared" si="42"/>
        <v>0.99866597068041085</v>
      </c>
      <c r="AC115" s="21">
        <f t="shared" si="43"/>
        <v>1956.3459956959921</v>
      </c>
      <c r="AD115" s="8">
        <f t="shared" si="44"/>
        <v>89254.184501465861</v>
      </c>
      <c r="AE115" s="8">
        <f t="shared" si="45"/>
        <v>64320.772152336038</v>
      </c>
      <c r="AF115" s="8">
        <f t="shared" si="46"/>
        <v>210.67971421781542</v>
      </c>
      <c r="AG115" s="8">
        <f t="shared" si="47"/>
        <v>0</v>
      </c>
      <c r="AH115" s="8">
        <f t="shared" si="48"/>
        <v>1337.0209449245483</v>
      </c>
      <c r="AI115" s="8">
        <f t="shared" si="49"/>
        <v>55434.885421522151</v>
      </c>
      <c r="AJ115" s="8">
        <f t="shared" si="50"/>
        <v>209.52326795171106</v>
      </c>
      <c r="AK115" s="8">
        <f t="shared" si="51"/>
        <v>0</v>
      </c>
      <c r="AL115" s="8">
        <f t="shared" si="52"/>
        <v>84.165810070434304</v>
      </c>
      <c r="AM115" s="8">
        <f t="shared" si="53"/>
        <v>63374.546793292</v>
      </c>
      <c r="AN115" s="8">
        <f t="shared" si="54"/>
        <v>355.22094837969524</v>
      </c>
      <c r="AO115" s="8">
        <f t="shared" si="55"/>
        <v>0</v>
      </c>
    </row>
    <row r="116" spans="1:41">
      <c r="A116" s="1">
        <v>41843</v>
      </c>
      <c r="B116" s="5">
        <v>114</v>
      </c>
      <c r="C116" s="3">
        <f>B116/365+input!$K$2</f>
        <v>0.31232876712328766</v>
      </c>
      <c r="D116" s="4">
        <f t="shared" si="30"/>
        <v>21.676164497582178</v>
      </c>
      <c r="E116" s="10">
        <f t="shared" si="34"/>
        <v>14.916987975383245</v>
      </c>
      <c r="F116" s="20">
        <f>input!A115</f>
        <v>6011.38</v>
      </c>
      <c r="G116" s="19">
        <f t="shared" si="35"/>
        <v>1.5303614481810552E-2</v>
      </c>
      <c r="H116" s="21">
        <f t="shared" si="36"/>
        <v>64.426476431485582</v>
      </c>
      <c r="I116" s="5">
        <v>479</v>
      </c>
      <c r="J116" s="3">
        <f>I116/365+input!$K$2</f>
        <v>1.3123287671232877</v>
      </c>
      <c r="K116" s="4">
        <f t="shared" si="56"/>
        <v>31.58894129340845</v>
      </c>
      <c r="L116" s="10">
        <f t="shared" si="57"/>
        <v>50.534930081783202</v>
      </c>
      <c r="M116" s="20">
        <f>input!B115</f>
        <v>1229.5999999999999</v>
      </c>
      <c r="N116" s="19">
        <f t="shared" si="37"/>
        <v>0.86329113842455185</v>
      </c>
      <c r="O116" s="21">
        <f t="shared" si="38"/>
        <v>1145.2056867846043</v>
      </c>
      <c r="P116" s="5">
        <v>844</v>
      </c>
      <c r="Q116" s="3">
        <f>P116/365+input!$K$2</f>
        <v>2.3123287671232875</v>
      </c>
      <c r="R116" s="4">
        <f t="shared" si="31"/>
        <v>37.139088829519004</v>
      </c>
      <c r="S116" s="10">
        <f t="shared" si="32"/>
        <v>85.379040996169309</v>
      </c>
      <c r="T116" s="20">
        <f>input!C115</f>
        <v>2.4</v>
      </c>
      <c r="U116" s="19">
        <f t="shared" si="39"/>
        <v>0.99454790230020529</v>
      </c>
      <c r="V116" s="21">
        <f t="shared" si="40"/>
        <v>1696.5783968595665</v>
      </c>
      <c r="W116" s="21">
        <v>1209</v>
      </c>
      <c r="X116" s="3">
        <f>W116/365+input!$K$2</f>
        <v>3.3123287671232875</v>
      </c>
      <c r="Y116" s="4">
        <f t="shared" si="41"/>
        <v>39.469004015014669</v>
      </c>
      <c r="Z116" s="10">
        <f t="shared" si="33"/>
        <v>103.98435971907008</v>
      </c>
      <c r="AA116" s="20">
        <f>input!D115</f>
        <v>0</v>
      </c>
      <c r="AB116" s="19">
        <f t="shared" si="42"/>
        <v>0.99866597068041085</v>
      </c>
      <c r="AC116" s="21">
        <f t="shared" si="43"/>
        <v>1956.3459956959921</v>
      </c>
      <c r="AD116" s="8">
        <f t="shared" si="44"/>
        <v>89671.68317545933</v>
      </c>
      <c r="AE116" s="8">
        <f t="shared" si="45"/>
        <v>62137.750028560622</v>
      </c>
      <c r="AF116" s="8">
        <f t="shared" si="46"/>
        <v>204.90969839080634</v>
      </c>
      <c r="AG116" s="8">
        <f t="shared" si="47"/>
        <v>0</v>
      </c>
      <c r="AH116" s="8">
        <f t="shared" si="48"/>
        <v>1372.3008692522869</v>
      </c>
      <c r="AI116" s="8">
        <f t="shared" si="49"/>
        <v>53642.968961296327</v>
      </c>
      <c r="AJ116" s="8">
        <f t="shared" si="50"/>
        <v>203.79251069554419</v>
      </c>
      <c r="AK116" s="8">
        <f t="shared" si="51"/>
        <v>0</v>
      </c>
      <c r="AL116" s="8">
        <f t="shared" si="52"/>
        <v>88.412509609789652</v>
      </c>
      <c r="AM116" s="8">
        <f t="shared" si="53"/>
        <v>61432.233110486566</v>
      </c>
      <c r="AN116" s="8">
        <f t="shared" si="54"/>
        <v>345.74997108783242</v>
      </c>
      <c r="AO116" s="8">
        <f t="shared" si="55"/>
        <v>0</v>
      </c>
    </row>
    <row r="117" spans="1:41">
      <c r="A117" s="1">
        <v>41844</v>
      </c>
      <c r="B117" s="5">
        <v>115</v>
      </c>
      <c r="C117" s="3">
        <f>B117/365+input!$K$2</f>
        <v>0.31506849315068491</v>
      </c>
      <c r="D117" s="4">
        <f t="shared" si="30"/>
        <v>21.711927375965605</v>
      </c>
      <c r="E117" s="10">
        <f t="shared" si="34"/>
        <v>14.996875413990264</v>
      </c>
      <c r="F117" s="20">
        <f>input!A116</f>
        <v>6007.25</v>
      </c>
      <c r="G117" s="19">
        <f t="shared" si="35"/>
        <v>1.5633657418637408E-2</v>
      </c>
      <c r="H117" s="21">
        <f t="shared" si="36"/>
        <v>65.926844366783726</v>
      </c>
      <c r="I117" s="5">
        <v>480</v>
      </c>
      <c r="J117" s="3">
        <f>I117/365+input!$K$2</f>
        <v>1.3150684931506849</v>
      </c>
      <c r="K117" s="4">
        <f t="shared" si="56"/>
        <v>31.608964870599014</v>
      </c>
      <c r="L117" s="10">
        <f t="shared" si="57"/>
        <v>50.638790859770531</v>
      </c>
      <c r="M117" s="20">
        <f>input!B116</f>
        <v>1217.8399999999999</v>
      </c>
      <c r="N117" s="19">
        <f t="shared" si="37"/>
        <v>0.86471691885969793</v>
      </c>
      <c r="O117" s="21">
        <f t="shared" si="38"/>
        <v>1147.1814318947113</v>
      </c>
      <c r="P117" s="5">
        <v>845</v>
      </c>
      <c r="Q117" s="3">
        <f>P117/365+input!$K$2</f>
        <v>2.3150684931506849</v>
      </c>
      <c r="R117" s="4">
        <f t="shared" si="31"/>
        <v>37.15029999768079</v>
      </c>
      <c r="S117" s="10">
        <f t="shared" si="32"/>
        <v>85.462574890916628</v>
      </c>
      <c r="T117" s="20">
        <f>input!C116</f>
        <v>2.34</v>
      </c>
      <c r="U117" s="19">
        <f t="shared" si="39"/>
        <v>0.99458461821918609</v>
      </c>
      <c r="V117" s="21">
        <f t="shared" si="40"/>
        <v>1697.7782720263683</v>
      </c>
      <c r="W117" s="21">
        <v>1210</v>
      </c>
      <c r="X117" s="3">
        <f>W117/365+input!$K$2</f>
        <v>3.3150684931506849</v>
      </c>
      <c r="Y117" s="4">
        <f t="shared" si="41"/>
        <v>39.469004015014669</v>
      </c>
      <c r="Z117" s="10">
        <f t="shared" si="33"/>
        <v>103.98435971907008</v>
      </c>
      <c r="AA117" s="20">
        <f>input!D116</f>
        <v>0</v>
      </c>
      <c r="AB117" s="19">
        <f t="shared" si="42"/>
        <v>0.99866597068041085</v>
      </c>
      <c r="AC117" s="21">
        <f t="shared" si="43"/>
        <v>1956.3459956959921</v>
      </c>
      <c r="AD117" s="8">
        <f t="shared" si="44"/>
        <v>90089.979830693017</v>
      </c>
      <c r="AE117" s="8">
        <f t="shared" si="45"/>
        <v>61669.94506066294</v>
      </c>
      <c r="AF117" s="8">
        <f t="shared" si="46"/>
        <v>199.98242524474489</v>
      </c>
      <c r="AG117" s="8">
        <f t="shared" si="47"/>
        <v>0</v>
      </c>
      <c r="AH117" s="8">
        <f t="shared" si="48"/>
        <v>1408.4358815250084</v>
      </c>
      <c r="AI117" s="8">
        <f t="shared" si="49"/>
        <v>53327.044879103305</v>
      </c>
      <c r="AJ117" s="8">
        <f t="shared" si="50"/>
        <v>198.89944406259153</v>
      </c>
      <c r="AK117" s="8">
        <f t="shared" si="51"/>
        <v>0</v>
      </c>
      <c r="AL117" s="8">
        <f t="shared" si="52"/>
        <v>92.853733161893075</v>
      </c>
      <c r="AM117" s="8">
        <f t="shared" si="53"/>
        <v>61175.795703123265</v>
      </c>
      <c r="AN117" s="8">
        <f t="shared" si="54"/>
        <v>337.68715444759192</v>
      </c>
      <c r="AO117" s="8">
        <f t="shared" si="55"/>
        <v>0</v>
      </c>
    </row>
    <row r="118" spans="1:41">
      <c r="A118" s="1">
        <v>41845</v>
      </c>
      <c r="B118" s="5">
        <v>116</v>
      </c>
      <c r="C118" s="3">
        <f>B118/365+input!$K$2</f>
        <v>0.31780821917808222</v>
      </c>
      <c r="D118" s="4">
        <f t="shared" si="30"/>
        <v>21.747633470793229</v>
      </c>
      <c r="E118" s="10">
        <f t="shared" si="34"/>
        <v>15.076930604758253</v>
      </c>
      <c r="F118" s="20">
        <f>input!A117</f>
        <v>6003.09</v>
      </c>
      <c r="G118" s="19">
        <f t="shared" si="35"/>
        <v>1.5970161950787081E-2</v>
      </c>
      <c r="H118" s="21">
        <f t="shared" si="36"/>
        <v>67.451496514367051</v>
      </c>
      <c r="I118" s="5">
        <v>481</v>
      </c>
      <c r="J118" s="3">
        <f>I118/365+input!$K$2</f>
        <v>1.3178082191780822</v>
      </c>
      <c r="K118" s="4">
        <f t="shared" si="56"/>
        <v>31.628956654769425</v>
      </c>
      <c r="L118" s="10">
        <f t="shared" si="57"/>
        <v>50.742633860685096</v>
      </c>
      <c r="M118" s="20">
        <f>input!B117</f>
        <v>1193.1300000000001</v>
      </c>
      <c r="N118" s="19">
        <f t="shared" si="37"/>
        <v>0.86612790129133743</v>
      </c>
      <c r="O118" s="21">
        <f t="shared" si="38"/>
        <v>1149.1522775970841</v>
      </c>
      <c r="P118" s="5">
        <v>846</v>
      </c>
      <c r="Q118" s="3">
        <f>P118/365+input!$K$2</f>
        <v>2.3178082191780822</v>
      </c>
      <c r="R118" s="4">
        <f t="shared" si="31"/>
        <v>37.161493364982533</v>
      </c>
      <c r="S118" s="10">
        <f t="shared" si="32"/>
        <v>85.54603250449226</v>
      </c>
      <c r="T118" s="20">
        <f>input!C117</f>
        <v>2.2799999999999998</v>
      </c>
      <c r="U118" s="19">
        <f t="shared" si="39"/>
        <v>0.99462103050811679</v>
      </c>
      <c r="V118" s="21">
        <f t="shared" si="40"/>
        <v>1698.9767167861528</v>
      </c>
      <c r="W118" s="21">
        <v>1211</v>
      </c>
      <c r="X118" s="3">
        <f>W118/365+input!$K$2</f>
        <v>3.3178082191780822</v>
      </c>
      <c r="Y118" s="4">
        <f t="shared" si="41"/>
        <v>39.469004015014669</v>
      </c>
      <c r="Z118" s="10">
        <f t="shared" si="33"/>
        <v>103.98435971907008</v>
      </c>
      <c r="AA118" s="20">
        <f>input!D117</f>
        <v>0</v>
      </c>
      <c r="AB118" s="19">
        <f t="shared" si="42"/>
        <v>0.99866597068041085</v>
      </c>
      <c r="AC118" s="21">
        <f t="shared" si="43"/>
        <v>1956.3459956959921</v>
      </c>
      <c r="AD118" s="8">
        <f t="shared" si="44"/>
        <v>90508.171344118222</v>
      </c>
      <c r="AE118" s="8">
        <f t="shared" si="45"/>
        <v>60542.558738199215</v>
      </c>
      <c r="AF118" s="8">
        <f t="shared" si="46"/>
        <v>195.04495411024234</v>
      </c>
      <c r="AG118" s="8">
        <f t="shared" si="47"/>
        <v>0</v>
      </c>
      <c r="AH118" s="8">
        <f t="shared" si="48"/>
        <v>1445.4301542351545</v>
      </c>
      <c r="AI118" s="8">
        <f t="shared" si="49"/>
        <v>52437.599338724009</v>
      </c>
      <c r="AJ118" s="8">
        <f t="shared" si="50"/>
        <v>193.9958132525376</v>
      </c>
      <c r="AK118" s="8">
        <f t="shared" si="51"/>
        <v>0</v>
      </c>
      <c r="AL118" s="8">
        <f t="shared" si="52"/>
        <v>97.496427010153553</v>
      </c>
      <c r="AM118" s="8">
        <f t="shared" si="53"/>
        <v>60258.786711818044</v>
      </c>
      <c r="AN118" s="8">
        <f t="shared" si="54"/>
        <v>329.59436987005597</v>
      </c>
      <c r="AO118" s="8">
        <f t="shared" si="55"/>
        <v>0</v>
      </c>
    </row>
    <row r="119" spans="1:41">
      <c r="A119" s="1">
        <v>41846</v>
      </c>
      <c r="B119" s="5">
        <v>117</v>
      </c>
      <c r="C119" s="3">
        <f>B119/365+input!$K$2</f>
        <v>0.32054794520547947</v>
      </c>
      <c r="D119" s="4">
        <f t="shared" si="30"/>
        <v>21.783282872224788</v>
      </c>
      <c r="E119" s="10">
        <f t="shared" si="34"/>
        <v>15.157152945530962</v>
      </c>
      <c r="F119" s="20">
        <f>input!A118</f>
        <v>5998.86</v>
      </c>
      <c r="G119" s="19">
        <f t="shared" si="35"/>
        <v>1.6313238163722876E-2</v>
      </c>
      <c r="H119" s="21">
        <f t="shared" si="36"/>
        <v>69.000565325173099</v>
      </c>
      <c r="I119" s="5">
        <v>482</v>
      </c>
      <c r="J119" s="3">
        <f>I119/365+input!$K$2</f>
        <v>1.3205479452054794</v>
      </c>
      <c r="K119" s="4">
        <f t="shared" si="56"/>
        <v>31.64891669639999</v>
      </c>
      <c r="L119" s="10">
        <f t="shared" si="57"/>
        <v>50.846458760933608</v>
      </c>
      <c r="M119" s="20">
        <f>input!B118</f>
        <v>1169.55</v>
      </c>
      <c r="N119" s="19">
        <f t="shared" si="37"/>
        <v>0.86752421121317858</v>
      </c>
      <c r="O119" s="21">
        <f t="shared" si="38"/>
        <v>1151.1182674193353</v>
      </c>
      <c r="P119" s="5">
        <v>847</v>
      </c>
      <c r="Q119" s="3">
        <f>P119/365+input!$K$2</f>
        <v>2.3205479452054796</v>
      </c>
      <c r="R119" s="4">
        <f t="shared" si="31"/>
        <v>37.172668959688068</v>
      </c>
      <c r="S119" s="10">
        <f t="shared" si="32"/>
        <v>85.629413800194143</v>
      </c>
      <c r="T119" s="20">
        <f>input!C118</f>
        <v>2.2400000000000002</v>
      </c>
      <c r="U119" s="19">
        <f t="shared" si="39"/>
        <v>0.99465714204512645</v>
      </c>
      <c r="V119" s="21">
        <f t="shared" si="40"/>
        <v>1700.1737320793031</v>
      </c>
      <c r="W119" s="21">
        <v>1212</v>
      </c>
      <c r="X119" s="3">
        <f>W119/365+input!$K$2</f>
        <v>3.3205479452054796</v>
      </c>
      <c r="Y119" s="4">
        <f t="shared" si="41"/>
        <v>39.469004015014669</v>
      </c>
      <c r="Z119" s="10">
        <f t="shared" si="33"/>
        <v>103.98435971907008</v>
      </c>
      <c r="AA119" s="20">
        <f>input!D118</f>
        <v>0</v>
      </c>
      <c r="AB119" s="19">
        <f t="shared" si="42"/>
        <v>0.99866597068041085</v>
      </c>
      <c r="AC119" s="21">
        <f t="shared" si="43"/>
        <v>1956.3459956959921</v>
      </c>
      <c r="AD119" s="8">
        <f t="shared" si="44"/>
        <v>90925.638518827865</v>
      </c>
      <c r="AE119" s="8">
        <f t="shared" si="45"/>
        <v>59467.475843849898</v>
      </c>
      <c r="AF119" s="8">
        <f t="shared" si="46"/>
        <v>191.80988691243491</v>
      </c>
      <c r="AG119" s="8">
        <f t="shared" si="47"/>
        <v>0</v>
      </c>
      <c r="AH119" s="8">
        <f t="shared" si="48"/>
        <v>1483.2915963462135</v>
      </c>
      <c r="AI119" s="8">
        <f t="shared" si="49"/>
        <v>51589.475074274633</v>
      </c>
      <c r="AJ119" s="8">
        <f t="shared" si="50"/>
        <v>190.78507393232141</v>
      </c>
      <c r="AK119" s="8">
        <f t="shared" si="51"/>
        <v>0</v>
      </c>
      <c r="AL119" s="8">
        <f t="shared" si="52"/>
        <v>102.3479586899672</v>
      </c>
      <c r="AM119" s="8">
        <f t="shared" si="53"/>
        <v>59385.587164572004</v>
      </c>
      <c r="AN119" s="8">
        <f t="shared" si="54"/>
        <v>324.36777117254064</v>
      </c>
      <c r="AO119" s="8">
        <f t="shared" si="55"/>
        <v>0</v>
      </c>
    </row>
    <row r="120" spans="1:41">
      <c r="A120" s="1">
        <v>41847</v>
      </c>
      <c r="B120" s="5">
        <v>118</v>
      </c>
      <c r="C120" s="3">
        <f>B120/365+input!$K$2</f>
        <v>0.32328767123287672</v>
      </c>
      <c r="D120" s="4">
        <f t="shared" si="30"/>
        <v>21.818875670276892</v>
      </c>
      <c r="E120" s="10">
        <f t="shared" si="34"/>
        <v>15.237541833560106</v>
      </c>
      <c r="F120" s="20">
        <f>input!A119</f>
        <v>5994.76</v>
      </c>
      <c r="G120" s="19">
        <f t="shared" si="35"/>
        <v>1.6662997593053248E-2</v>
      </c>
      <c r="H120" s="21">
        <f t="shared" si="36"/>
        <v>70.574178389577611</v>
      </c>
      <c r="I120" s="5">
        <v>483</v>
      </c>
      <c r="J120" s="3">
        <f>I120/365+input!$K$2</f>
        <v>1.3232876712328767</v>
      </c>
      <c r="K120" s="4">
        <f t="shared" si="56"/>
        <v>31.668845045890855</v>
      </c>
      <c r="L120" s="10">
        <f t="shared" si="57"/>
        <v>50.950265238023064</v>
      </c>
      <c r="M120" s="20">
        <f>input!B119</f>
        <v>1147.25</v>
      </c>
      <c r="N120" s="19">
        <f t="shared" si="37"/>
        <v>0.8689059740104309</v>
      </c>
      <c r="O120" s="21">
        <f t="shared" si="38"/>
        <v>1153.079444477348</v>
      </c>
      <c r="P120" s="5">
        <v>848</v>
      </c>
      <c r="Q120" s="3">
        <f>P120/365+input!$K$2</f>
        <v>2.3232876712328765</v>
      </c>
      <c r="R120" s="4">
        <f t="shared" si="31"/>
        <v>37.183826810016342</v>
      </c>
      <c r="S120" s="10">
        <f t="shared" si="32"/>
        <v>85.712718741780662</v>
      </c>
      <c r="T120" s="20">
        <f>input!C119</f>
        <v>2.1800000000000002</v>
      </c>
      <c r="U120" s="19">
        <f t="shared" si="39"/>
        <v>0.99469295567807614</v>
      </c>
      <c r="V120" s="21">
        <f t="shared" si="40"/>
        <v>1701.3693188465627</v>
      </c>
      <c r="W120" s="21">
        <v>1213</v>
      </c>
      <c r="X120" s="3">
        <f>W120/365+input!$K$2</f>
        <v>3.3232876712328765</v>
      </c>
      <c r="Y120" s="4">
        <f t="shared" si="41"/>
        <v>39.469004015014669</v>
      </c>
      <c r="Z120" s="10">
        <f t="shared" si="33"/>
        <v>103.98435971907008</v>
      </c>
      <c r="AA120" s="20">
        <f>input!D119</f>
        <v>0</v>
      </c>
      <c r="AB120" s="19">
        <f t="shared" si="42"/>
        <v>0.99866597068041085</v>
      </c>
      <c r="AC120" s="21">
        <f t="shared" si="43"/>
        <v>1956.3459956959921</v>
      </c>
      <c r="AD120" s="8">
        <f t="shared" si="44"/>
        <v>91345.406282152791</v>
      </c>
      <c r="AE120" s="8">
        <f t="shared" si="45"/>
        <v>58452.69179432196</v>
      </c>
      <c r="AF120" s="8">
        <f t="shared" si="46"/>
        <v>186.85372685708185</v>
      </c>
      <c r="AG120" s="8">
        <f t="shared" si="47"/>
        <v>0</v>
      </c>
      <c r="AH120" s="8">
        <f t="shared" si="48"/>
        <v>1522.088285015983</v>
      </c>
      <c r="AI120" s="8">
        <f t="shared" si="49"/>
        <v>50789.893097076842</v>
      </c>
      <c r="AJ120" s="8">
        <f t="shared" si="50"/>
        <v>185.86208584693466</v>
      </c>
      <c r="AK120" s="8">
        <f t="shared" si="51"/>
        <v>0</v>
      </c>
      <c r="AL120" s="8">
        <f t="shared" si="52"/>
        <v>107.42013015140424</v>
      </c>
      <c r="AM120" s="8">
        <f t="shared" si="53"/>
        <v>58564.781717441263</v>
      </c>
      <c r="AN120" s="8">
        <f t="shared" si="54"/>
        <v>316.22005039680056</v>
      </c>
      <c r="AO120" s="8">
        <f t="shared" si="55"/>
        <v>0</v>
      </c>
    </row>
    <row r="121" spans="1:41">
      <c r="A121" s="1">
        <v>41848</v>
      </c>
      <c r="B121" s="5">
        <v>119</v>
      </c>
      <c r="C121" s="3">
        <f>B121/365+input!$K$2</f>
        <v>0.32602739726027397</v>
      </c>
      <c r="D121" s="4">
        <f t="shared" si="30"/>
        <v>21.85441195482321</v>
      </c>
      <c r="E121" s="10">
        <f t="shared" si="34"/>
        <v>15.318096665521605</v>
      </c>
      <c r="F121" s="20">
        <f>input!A120</f>
        <v>5990.63</v>
      </c>
      <c r="G121" s="19">
        <f t="shared" si="35"/>
        <v>1.7019553231576019E-2</v>
      </c>
      <c r="H121" s="21">
        <f t="shared" si="36"/>
        <v>72.172458352726508</v>
      </c>
      <c r="I121" s="5">
        <v>484</v>
      </c>
      <c r="J121" s="3">
        <f>I121/365+input!$K$2</f>
        <v>1.3260273972602741</v>
      </c>
      <c r="K121" s="4">
        <f t="shared" si="56"/>
        <v>31.688741753562137</v>
      </c>
      <c r="L121" s="10">
        <f t="shared" si="57"/>
        <v>51.054052970559439</v>
      </c>
      <c r="M121" s="20">
        <f>input!B120</f>
        <v>1146.46</v>
      </c>
      <c r="N121" s="19">
        <f t="shared" si="37"/>
        <v>0.87027331492759707</v>
      </c>
      <c r="O121" s="21">
        <f t="shared" si="38"/>
        <v>1155.0358514755342</v>
      </c>
      <c r="P121" s="5">
        <v>849</v>
      </c>
      <c r="Q121" s="3">
        <f>P121/365+input!$K$2</f>
        <v>2.3260273972602739</v>
      </c>
      <c r="R121" s="4">
        <f t="shared" si="31"/>
        <v>37.194966944141527</v>
      </c>
      <c r="S121" s="10">
        <f t="shared" si="32"/>
        <v>85.795947293469794</v>
      </c>
      <c r="T121" s="20">
        <f>input!C120</f>
        <v>2.17</v>
      </c>
      <c r="U121" s="19">
        <f t="shared" si="39"/>
        <v>0.99472847422490396</v>
      </c>
      <c r="V121" s="21">
        <f t="shared" si="40"/>
        <v>1702.5634780290638</v>
      </c>
      <c r="W121" s="21">
        <v>1214</v>
      </c>
      <c r="X121" s="3">
        <f>W121/365+input!$K$2</f>
        <v>3.3260273972602739</v>
      </c>
      <c r="Y121" s="4">
        <f t="shared" si="41"/>
        <v>39.469004015014669</v>
      </c>
      <c r="Z121" s="10">
        <f t="shared" si="33"/>
        <v>103.98435971907008</v>
      </c>
      <c r="AA121" s="20">
        <f>input!D120</f>
        <v>0</v>
      </c>
      <c r="AB121" s="19">
        <f t="shared" si="42"/>
        <v>0.99866597068041085</v>
      </c>
      <c r="AC121" s="21">
        <f t="shared" si="43"/>
        <v>1956.3459956959921</v>
      </c>
      <c r="AD121" s="8">
        <f t="shared" si="44"/>
        <v>91765.049427373699</v>
      </c>
      <c r="AE121" s="8">
        <f t="shared" si="45"/>
        <v>58531.42956862758</v>
      </c>
      <c r="AF121" s="8">
        <f t="shared" si="46"/>
        <v>186.17720562682945</v>
      </c>
      <c r="AG121" s="8">
        <f t="shared" si="47"/>
        <v>0</v>
      </c>
      <c r="AH121" s="8">
        <f t="shared" si="48"/>
        <v>1561.8001435273911</v>
      </c>
      <c r="AI121" s="8">
        <f t="shared" si="49"/>
        <v>50938.341238140696</v>
      </c>
      <c r="AJ121" s="8">
        <f t="shared" si="50"/>
        <v>185.19576768863226</v>
      </c>
      <c r="AK121" s="8">
        <f t="shared" si="51"/>
        <v>0</v>
      </c>
      <c r="AL121" s="8">
        <f t="shared" si="52"/>
        <v>112.71895581401293</v>
      </c>
      <c r="AM121" s="8">
        <f t="shared" si="53"/>
        <v>58835.610344747154</v>
      </c>
      <c r="AN121" s="8">
        <f t="shared" si="54"/>
        <v>315.30755035222023</v>
      </c>
      <c r="AO121" s="8">
        <f t="shared" si="55"/>
        <v>0</v>
      </c>
    </row>
    <row r="122" spans="1:41">
      <c r="A122" s="1">
        <v>41849</v>
      </c>
      <c r="B122" s="5">
        <v>120</v>
      </c>
      <c r="C122" s="3">
        <f>B122/365+input!$K$2</f>
        <v>0.32876712328767121</v>
      </c>
      <c r="D122" s="4">
        <f t="shared" si="30"/>
        <v>21.889891815594705</v>
      </c>
      <c r="E122" s="10">
        <f t="shared" si="34"/>
        <v>15.398816837532161</v>
      </c>
      <c r="F122" s="20">
        <f>input!A121</f>
        <v>5986.52</v>
      </c>
      <c r="G122" s="19">
        <f t="shared" si="35"/>
        <v>1.73830195359372E-2</v>
      </c>
      <c r="H122" s="21">
        <f t="shared" si="36"/>
        <v>73.795522832279659</v>
      </c>
      <c r="I122" s="5">
        <v>485</v>
      </c>
      <c r="J122" s="3">
        <f>I122/365+input!$K$2</f>
        <v>1.3287671232876712</v>
      </c>
      <c r="K122" s="4">
        <f t="shared" si="56"/>
        <v>31.708606869654069</v>
      </c>
      <c r="L122" s="10">
        <f t="shared" si="57"/>
        <v>51.157821638247064</v>
      </c>
      <c r="M122" s="20">
        <f>input!B121</f>
        <v>1091.98</v>
      </c>
      <c r="N122" s="19">
        <f t="shared" si="37"/>
        <v>0.8716263590372636</v>
      </c>
      <c r="O122" s="21">
        <f t="shared" si="38"/>
        <v>1156.9875307072166</v>
      </c>
      <c r="P122" s="5">
        <v>850</v>
      </c>
      <c r="Q122" s="3">
        <f>P122/365+input!$K$2</f>
        <v>2.3287671232876712</v>
      </c>
      <c r="R122" s="4">
        <f t="shared" si="31"/>
        <v>37.206089390193029</v>
      </c>
      <c r="S122" s="10">
        <f t="shared" si="32"/>
        <v>85.879099419936495</v>
      </c>
      <c r="T122" s="20">
        <f>input!C121</f>
        <v>2.0499999999999998</v>
      </c>
      <c r="U122" s="19">
        <f t="shared" si="39"/>
        <v>0.99476370047396667</v>
      </c>
      <c r="V122" s="21">
        <f t="shared" si="40"/>
        <v>1703.7562105683628</v>
      </c>
      <c r="W122" s="21">
        <v>1215</v>
      </c>
      <c r="X122" s="3">
        <f>W122/365+input!$K$2</f>
        <v>3.3287671232876712</v>
      </c>
      <c r="Y122" s="4">
        <f t="shared" si="41"/>
        <v>39.469004015014669</v>
      </c>
      <c r="Z122" s="10">
        <f t="shared" si="33"/>
        <v>103.98435971907008</v>
      </c>
      <c r="AA122" s="20">
        <f>input!D121</f>
        <v>0</v>
      </c>
      <c r="AB122" s="19">
        <f t="shared" si="42"/>
        <v>0.99866597068041085</v>
      </c>
      <c r="AC122" s="21">
        <f t="shared" si="43"/>
        <v>1956.3459956959921</v>
      </c>
      <c r="AD122" s="8">
        <f t="shared" si="44"/>
        <v>92185.32497422304</v>
      </c>
      <c r="AE122" s="8">
        <f t="shared" si="45"/>
        <v>55863.318072533031</v>
      </c>
      <c r="AF122" s="8">
        <f t="shared" si="46"/>
        <v>176.05215381086981</v>
      </c>
      <c r="AG122" s="8">
        <f t="shared" si="47"/>
        <v>0</v>
      </c>
      <c r="AH122" s="8">
        <f t="shared" si="48"/>
        <v>1602.4593049536386</v>
      </c>
      <c r="AI122" s="8">
        <f t="shared" si="49"/>
        <v>48691.940535302529</v>
      </c>
      <c r="AJ122" s="8">
        <f t="shared" si="50"/>
        <v>175.1302920013128</v>
      </c>
      <c r="AK122" s="8">
        <f t="shared" si="51"/>
        <v>0</v>
      </c>
      <c r="AL122" s="8">
        <f t="shared" si="52"/>
        <v>118.25432222650524</v>
      </c>
      <c r="AM122" s="8">
        <f t="shared" si="53"/>
        <v>56335.968045282294</v>
      </c>
      <c r="AN122" s="8">
        <f t="shared" si="54"/>
        <v>298.37932265588756</v>
      </c>
      <c r="AO122" s="8">
        <f t="shared" si="55"/>
        <v>0</v>
      </c>
    </row>
    <row r="123" spans="1:41">
      <c r="A123" s="1">
        <v>41850</v>
      </c>
      <c r="B123" s="5">
        <v>121</v>
      </c>
      <c r="C123" s="3">
        <f>B123/365+input!$K$2</f>
        <v>0.33150684931506852</v>
      </c>
      <c r="D123" s="4">
        <f t="shared" si="30"/>
        <v>21.925315342179882</v>
      </c>
      <c r="E123" s="10">
        <f t="shared" si="34"/>
        <v>15.479701745165505</v>
      </c>
      <c r="F123" s="20">
        <f>input!A122</f>
        <v>5982.42</v>
      </c>
      <c r="G123" s="19">
        <f t="shared" si="35"/>
        <v>1.7753512432886812E-2</v>
      </c>
      <c r="H123" s="21">
        <f t="shared" si="36"/>
        <v>75.443484338629659</v>
      </c>
      <c r="I123" s="5">
        <v>486</v>
      </c>
      <c r="J123" s="3">
        <f>I123/365+input!$K$2</f>
        <v>1.3315068493150686</v>
      </c>
      <c r="K123" s="4">
        <f t="shared" si="56"/>
        <v>31.728440444327095</v>
      </c>
      <c r="L123" s="10">
        <f t="shared" si="57"/>
        <v>51.2615709218869</v>
      </c>
      <c r="M123" s="20">
        <f>input!B122</f>
        <v>1091.24</v>
      </c>
      <c r="N123" s="19">
        <f t="shared" si="37"/>
        <v>0.87296523120986858</v>
      </c>
      <c r="O123" s="21">
        <f t="shared" si="38"/>
        <v>1158.9345240550997</v>
      </c>
      <c r="P123" s="5">
        <v>851</v>
      </c>
      <c r="Q123" s="3">
        <f>P123/365+input!$K$2</f>
        <v>2.3315068493150686</v>
      </c>
      <c r="R123" s="4">
        <f t="shared" si="31"/>
        <v>37.21719417625561</v>
      </c>
      <c r="S123" s="10">
        <f t="shared" si="32"/>
        <v>85.962175086312655</v>
      </c>
      <c r="T123" s="20">
        <f>input!C122</f>
        <v>2.04</v>
      </c>
      <c r="U123" s="19">
        <f t="shared" si="39"/>
        <v>0.99479863718437611</v>
      </c>
      <c r="V123" s="21">
        <f t="shared" si="40"/>
        <v>1704.9475174064694</v>
      </c>
      <c r="W123" s="21">
        <v>1216</v>
      </c>
      <c r="X123" s="3">
        <f>W123/365+input!$K$2</f>
        <v>3.3315068493150686</v>
      </c>
      <c r="Y123" s="4">
        <f t="shared" si="41"/>
        <v>39.469004015014669</v>
      </c>
      <c r="Z123" s="10">
        <f t="shared" si="33"/>
        <v>103.98435971907008</v>
      </c>
      <c r="AA123" s="20">
        <f>input!D122</f>
        <v>0</v>
      </c>
      <c r="AB123" s="19">
        <f t="shared" si="42"/>
        <v>0.99866597068041085</v>
      </c>
      <c r="AC123" s="21">
        <f t="shared" si="43"/>
        <v>1956.3459956959921</v>
      </c>
      <c r="AD123" s="8">
        <f t="shared" si="44"/>
        <v>92606.077314313021</v>
      </c>
      <c r="AE123" s="8">
        <f t="shared" si="45"/>
        <v>55938.676652799862</v>
      </c>
      <c r="AF123" s="8">
        <f t="shared" si="46"/>
        <v>175.36283717607782</v>
      </c>
      <c r="AG123" s="8">
        <f t="shared" si="47"/>
        <v>0</v>
      </c>
      <c r="AH123" s="8">
        <f t="shared" si="48"/>
        <v>1644.0831449605337</v>
      </c>
      <c r="AI123" s="8">
        <f t="shared" si="49"/>
        <v>48832.519797785506</v>
      </c>
      <c r="AJ123" s="8">
        <f t="shared" si="50"/>
        <v>174.45071143554787</v>
      </c>
      <c r="AK123" s="8">
        <f t="shared" si="51"/>
        <v>0</v>
      </c>
      <c r="AL123" s="8">
        <f t="shared" si="52"/>
        <v>124.03536099823502</v>
      </c>
      <c r="AM123" s="8">
        <f t="shared" si="53"/>
        <v>56593.693090257781</v>
      </c>
      <c r="AN123" s="8">
        <f t="shared" si="54"/>
        <v>297.42930737182974</v>
      </c>
      <c r="AO123" s="8">
        <f t="shared" si="55"/>
        <v>0</v>
      </c>
    </row>
    <row r="124" spans="1:41">
      <c r="A124" s="1">
        <v>41851</v>
      </c>
      <c r="B124" s="5">
        <v>122</v>
      </c>
      <c r="C124" s="3">
        <f>B124/365+input!$K$2</f>
        <v>0.33424657534246577</v>
      </c>
      <c r="D124" s="4">
        <f t="shared" si="30"/>
        <v>21.96068262402499</v>
      </c>
      <c r="E124" s="10">
        <f t="shared" si="34"/>
        <v>15.560750783468521</v>
      </c>
      <c r="F124" s="20">
        <f>input!A123</f>
        <v>5978.32</v>
      </c>
      <c r="G124" s="19">
        <f t="shared" si="35"/>
        <v>1.8131149325113578E-2</v>
      </c>
      <c r="H124" s="21">
        <f t="shared" si="36"/>
        <v>77.116450197658736</v>
      </c>
      <c r="I124" s="5">
        <v>487</v>
      </c>
      <c r="J124" s="3">
        <f>I124/365+input!$K$2</f>
        <v>1.3342465753424657</v>
      </c>
      <c r="K124" s="4">
        <f t="shared" si="56"/>
        <v>31.748242527662029</v>
      </c>
      <c r="L124" s="10">
        <f t="shared" si="57"/>
        <v>51.365300503375316</v>
      </c>
      <c r="M124" s="20">
        <f>input!B123</f>
        <v>1069.3</v>
      </c>
      <c r="N124" s="19">
        <f t="shared" si="37"/>
        <v>0.87429005608444121</v>
      </c>
      <c r="O124" s="21">
        <f t="shared" si="38"/>
        <v>1160.8768729918602</v>
      </c>
      <c r="P124" s="5">
        <v>852</v>
      </c>
      <c r="Q124" s="3">
        <f>P124/365+input!$K$2</f>
        <v>2.3342465753424659</v>
      </c>
      <c r="R124" s="4">
        <f t="shared" si="31"/>
        <v>37.228281330369434</v>
      </c>
      <c r="S124" s="10">
        <f t="shared" si="32"/>
        <v>86.045174258183891</v>
      </c>
      <c r="T124" s="20">
        <f>input!C123</f>
        <v>1.99</v>
      </c>
      <c r="U124" s="19">
        <f t="shared" si="39"/>
        <v>0.99483328708633201</v>
      </c>
      <c r="V124" s="21">
        <f t="shared" si="40"/>
        <v>1706.1373994858693</v>
      </c>
      <c r="W124" s="21">
        <v>1217</v>
      </c>
      <c r="X124" s="3">
        <f>W124/365+input!$K$2</f>
        <v>3.3342465753424659</v>
      </c>
      <c r="Y124" s="4">
        <f t="shared" si="41"/>
        <v>39.469004015014669</v>
      </c>
      <c r="Z124" s="10">
        <f t="shared" si="33"/>
        <v>103.98435971907008</v>
      </c>
      <c r="AA124" s="20">
        <f>input!D123</f>
        <v>0</v>
      </c>
      <c r="AB124" s="19">
        <f t="shared" si="42"/>
        <v>0.99866597068041085</v>
      </c>
      <c r="AC124" s="21">
        <f t="shared" si="43"/>
        <v>1956.3459956959921</v>
      </c>
      <c r="AD124" s="8">
        <f t="shared" si="44"/>
        <v>93027.147623825527</v>
      </c>
      <c r="AE124" s="8">
        <f t="shared" si="45"/>
        <v>54924.915828259225</v>
      </c>
      <c r="AF124" s="8">
        <f t="shared" si="46"/>
        <v>171.22989677378595</v>
      </c>
      <c r="AG124" s="8">
        <f t="shared" si="47"/>
        <v>0</v>
      </c>
      <c r="AH124" s="8">
        <f t="shared" si="48"/>
        <v>1686.6891048569653</v>
      </c>
      <c r="AI124" s="8">
        <f t="shared" si="49"/>
        <v>48020.307739921969</v>
      </c>
      <c r="AJ124" s="8">
        <f t="shared" si="50"/>
        <v>170.34520105491879</v>
      </c>
      <c r="AK124" s="8">
        <f t="shared" si="51"/>
        <v>0</v>
      </c>
      <c r="AL124" s="8">
        <f t="shared" si="52"/>
        <v>130.07147635363577</v>
      </c>
      <c r="AM124" s="8">
        <f t="shared" si="53"/>
        <v>55745.664689227437</v>
      </c>
      <c r="AN124" s="8">
        <f t="shared" si="54"/>
        <v>290.63231834273671</v>
      </c>
      <c r="AO124" s="8">
        <f t="shared" si="55"/>
        <v>0</v>
      </c>
    </row>
    <row r="125" spans="1:41">
      <c r="A125" s="1">
        <v>41852</v>
      </c>
      <c r="B125" s="5">
        <v>123</v>
      </c>
      <c r="C125" s="3">
        <f>B125/365+input!$K$2</f>
        <v>0.33698630136986302</v>
      </c>
      <c r="D125" s="4">
        <f t="shared" si="30"/>
        <v>21.995993750434256</v>
      </c>
      <c r="E125" s="10">
        <f t="shared" si="34"/>
        <v>15.641963346977372</v>
      </c>
      <c r="F125" s="20">
        <f>input!A124</f>
        <v>5974.23</v>
      </c>
      <c r="G125" s="19">
        <f t="shared" si="35"/>
        <v>1.8516049096640695E-2</v>
      </c>
      <c r="H125" s="21">
        <f t="shared" si="36"/>
        <v>78.81452247609414</v>
      </c>
      <c r="I125" s="5">
        <v>488</v>
      </c>
      <c r="J125" s="3">
        <f>I125/365+input!$K$2</f>
        <v>1.3369863013698631</v>
      </c>
      <c r="K125" s="4">
        <f t="shared" si="56"/>
        <v>31.768013169660165</v>
      </c>
      <c r="L125" s="10">
        <f t="shared" si="57"/>
        <v>51.469010065703081</v>
      </c>
      <c r="M125" s="20">
        <f>input!B124</f>
        <v>1054.82</v>
      </c>
      <c r="N125" s="19">
        <f t="shared" si="37"/>
        <v>0.87560095804028526</v>
      </c>
      <c r="O125" s="21">
        <f t="shared" si="38"/>
        <v>1162.8146185808027</v>
      </c>
      <c r="P125" s="5">
        <v>853</v>
      </c>
      <c r="Q125" s="3">
        <f>P125/365+input!$K$2</f>
        <v>2.3369863013698629</v>
      </c>
      <c r="R125" s="4">
        <f t="shared" si="31"/>
        <v>37.239350880530139</v>
      </c>
      <c r="S125" s="10">
        <f t="shared" si="32"/>
        <v>86.128096901589302</v>
      </c>
      <c r="T125" s="20">
        <f>input!C124</f>
        <v>1.95</v>
      </c>
      <c r="U125" s="19">
        <f t="shared" si="39"/>
        <v>0.99486765288145063</v>
      </c>
      <c r="V125" s="21">
        <f t="shared" si="40"/>
        <v>1707.3258577495615</v>
      </c>
      <c r="W125" s="21">
        <v>1218</v>
      </c>
      <c r="X125" s="3">
        <f>W125/365+input!$K$2</f>
        <v>3.3369863013698629</v>
      </c>
      <c r="Y125" s="4">
        <f t="shared" si="41"/>
        <v>39.469004015014669</v>
      </c>
      <c r="Z125" s="10">
        <f t="shared" si="33"/>
        <v>103.98435971907008</v>
      </c>
      <c r="AA125" s="20">
        <f>input!D124</f>
        <v>0</v>
      </c>
      <c r="AB125" s="19">
        <f t="shared" si="42"/>
        <v>0.99866597068041085</v>
      </c>
      <c r="AC125" s="21">
        <f t="shared" si="43"/>
        <v>1956.3459956959921</v>
      </c>
      <c r="AD125" s="8">
        <f t="shared" si="44"/>
        <v>93448.68668641262</v>
      </c>
      <c r="AE125" s="8">
        <f t="shared" si="45"/>
        <v>54290.541197504921</v>
      </c>
      <c r="AF125" s="8">
        <f t="shared" si="46"/>
        <v>167.94978895809913</v>
      </c>
      <c r="AG125" s="8">
        <f t="shared" si="47"/>
        <v>0</v>
      </c>
      <c r="AH125" s="8">
        <f t="shared" si="48"/>
        <v>1730.3004707022099</v>
      </c>
      <c r="AI125" s="8">
        <f t="shared" si="49"/>
        <v>47536.849885060881</v>
      </c>
      <c r="AJ125" s="8">
        <f t="shared" si="50"/>
        <v>167.08781234267906</v>
      </c>
      <c r="AK125" s="8">
        <f t="shared" si="51"/>
        <v>0</v>
      </c>
      <c r="AL125" s="8">
        <f t="shared" si="52"/>
        <v>136.37280533855559</v>
      </c>
      <c r="AM125" s="8">
        <f t="shared" si="53"/>
        <v>55276.54396762995</v>
      </c>
      <c r="AN125" s="8">
        <f t="shared" si="54"/>
        <v>285.27334252746226</v>
      </c>
      <c r="AO125" s="8">
        <f t="shared" si="55"/>
        <v>0</v>
      </c>
    </row>
    <row r="126" spans="1:41">
      <c r="A126" s="1">
        <v>41853</v>
      </c>
      <c r="B126" s="5">
        <v>124</v>
      </c>
      <c r="C126" s="3">
        <f>B126/365+input!$K$2</f>
        <v>0.33972602739726027</v>
      </c>
      <c r="D126" s="4">
        <f t="shared" si="30"/>
        <v>22.031248810570126</v>
      </c>
      <c r="E126" s="10">
        <f t="shared" si="34"/>
        <v>15.723338829733489</v>
      </c>
      <c r="F126" s="20">
        <f>input!A125</f>
        <v>5970.1</v>
      </c>
      <c r="G126" s="19">
        <f t="shared" si="35"/>
        <v>1.8908332117764642E-2</v>
      </c>
      <c r="H126" s="21">
        <f t="shared" si="36"/>
        <v>80.53779790952251</v>
      </c>
      <c r="I126" s="5">
        <v>489</v>
      </c>
      <c r="J126" s="3">
        <f>I126/365+input!$K$2</f>
        <v>1.3397260273972602</v>
      </c>
      <c r="K126" s="4">
        <f t="shared" si="56"/>
        <v>31.7877524202434</v>
      </c>
      <c r="L126" s="10">
        <f t="shared" si="57"/>
        <v>51.57269929295397</v>
      </c>
      <c r="M126" s="20">
        <f>input!B125</f>
        <v>1032.49</v>
      </c>
      <c r="N126" s="19">
        <f t="shared" si="37"/>
        <v>0.87689806116960123</v>
      </c>
      <c r="O126" s="21">
        <f t="shared" si="38"/>
        <v>1164.7478014766584</v>
      </c>
      <c r="P126" s="5">
        <v>854</v>
      </c>
      <c r="Q126" s="3">
        <f>P126/365+input!$K$2</f>
        <v>2.3397260273972602</v>
      </c>
      <c r="R126" s="4">
        <f t="shared" si="31"/>
        <v>37.250402854688915</v>
      </c>
      <c r="S126" s="10">
        <f t="shared" si="32"/>
        <v>86.210942983019592</v>
      </c>
      <c r="T126" s="20">
        <f>input!C125</f>
        <v>1.9</v>
      </c>
      <c r="U126" s="19">
        <f t="shared" si="39"/>
        <v>0.99490173724308961</v>
      </c>
      <c r="V126" s="21">
        <f t="shared" si="40"/>
        <v>1708.5128931410786</v>
      </c>
      <c r="W126" s="21">
        <v>1219</v>
      </c>
      <c r="X126" s="3">
        <f>W126/365+input!$K$2</f>
        <v>3.3397260273972602</v>
      </c>
      <c r="Y126" s="4">
        <f t="shared" si="41"/>
        <v>39.469004015014669</v>
      </c>
      <c r="Z126" s="10">
        <f t="shared" si="33"/>
        <v>103.98435971907008</v>
      </c>
      <c r="AA126" s="20">
        <f>input!D125</f>
        <v>0</v>
      </c>
      <c r="AB126" s="19">
        <f t="shared" si="42"/>
        <v>0.99866597068041085</v>
      </c>
      <c r="AC126" s="21">
        <f t="shared" si="43"/>
        <v>1956.3459956959921</v>
      </c>
      <c r="AD126" s="8">
        <f t="shared" si="44"/>
        <v>93869.90514739191</v>
      </c>
      <c r="AE126" s="8">
        <f t="shared" si="45"/>
        <v>53248.296292982042</v>
      </c>
      <c r="AF126" s="8">
        <f t="shared" si="46"/>
        <v>163.80079166773723</v>
      </c>
      <c r="AG126" s="8">
        <f t="shared" si="47"/>
        <v>0</v>
      </c>
      <c r="AH126" s="8">
        <f t="shared" si="48"/>
        <v>1774.9233423899509</v>
      </c>
      <c r="AI126" s="8">
        <f t="shared" si="49"/>
        <v>46693.327779900421</v>
      </c>
      <c r="AJ126" s="8">
        <f t="shared" si="50"/>
        <v>162.96569219202516</v>
      </c>
      <c r="AK126" s="8">
        <f t="shared" si="51"/>
        <v>0</v>
      </c>
      <c r="AL126" s="8">
        <f t="shared" si="52"/>
        <v>142.94841745429608</v>
      </c>
      <c r="AM126" s="8">
        <f t="shared" si="53"/>
        <v>54385.950875267998</v>
      </c>
      <c r="AN126" s="8">
        <f t="shared" si="54"/>
        <v>278.42898624973543</v>
      </c>
      <c r="AO126" s="8">
        <f t="shared" si="55"/>
        <v>0</v>
      </c>
    </row>
    <row r="127" spans="1:41">
      <c r="A127" s="1">
        <v>41854</v>
      </c>
      <c r="B127" s="5">
        <v>125</v>
      </c>
      <c r="C127" s="3">
        <f>B127/365+input!$K$2</f>
        <v>0.34246575342465752</v>
      </c>
      <c r="D127" s="4">
        <f t="shared" si="30"/>
        <v>22.066447893453454</v>
      </c>
      <c r="E127" s="10">
        <f t="shared" si="34"/>
        <v>15.804876625299197</v>
      </c>
      <c r="F127" s="20">
        <f>input!A126</f>
        <v>5966.01</v>
      </c>
      <c r="G127" s="19">
        <f t="shared" si="35"/>
        <v>1.9308120249516621E-2</v>
      </c>
      <c r="H127" s="21">
        <f t="shared" si="36"/>
        <v>82.286367833114653</v>
      </c>
      <c r="I127" s="5">
        <v>490</v>
      </c>
      <c r="J127" s="3">
        <f>I127/365+input!$K$2</f>
        <v>1.3424657534246576</v>
      </c>
      <c r="K127" s="4">
        <f t="shared" si="56"/>
        <v>31.807460329254376</v>
      </c>
      <c r="L127" s="10">
        <f t="shared" si="57"/>
        <v>51.676367870303459</v>
      </c>
      <c r="M127" s="20">
        <f>input!B126</f>
        <v>1023.83</v>
      </c>
      <c r="N127" s="19">
        <f t="shared" si="37"/>
        <v>0.87818148925102457</v>
      </c>
      <c r="O127" s="21">
        <f t="shared" si="38"/>
        <v>1166.67646192644</v>
      </c>
      <c r="P127" s="5">
        <v>855</v>
      </c>
      <c r="Q127" s="3">
        <f>P127/365+input!$K$2</f>
        <v>2.3424657534246576</v>
      </c>
      <c r="R127" s="4">
        <f t="shared" si="31"/>
        <v>37.261437280752581</v>
      </c>
      <c r="S127" s="10">
        <f t="shared" si="32"/>
        <v>86.293712469414999</v>
      </c>
      <c r="T127" s="20">
        <f>input!C126</f>
        <v>1.86</v>
      </c>
      <c r="U127" s="19">
        <f t="shared" si="39"/>
        <v>0.99493554281666874</v>
      </c>
      <c r="V127" s="21">
        <f t="shared" si="40"/>
        <v>1709.6985066045104</v>
      </c>
      <c r="W127" s="21">
        <v>1220</v>
      </c>
      <c r="X127" s="3">
        <f>W127/365+input!$K$2</f>
        <v>3.3424657534246576</v>
      </c>
      <c r="Y127" s="4">
        <f t="shared" si="41"/>
        <v>39.469004015014669</v>
      </c>
      <c r="Z127" s="10">
        <f t="shared" si="33"/>
        <v>103.98435971907008</v>
      </c>
      <c r="AA127" s="20">
        <f>input!D126</f>
        <v>0</v>
      </c>
      <c r="AB127" s="19">
        <f t="shared" si="42"/>
        <v>0.99866597068041085</v>
      </c>
      <c r="AC127" s="21">
        <f t="shared" si="43"/>
        <v>1956.3459956959921</v>
      </c>
      <c r="AD127" s="8">
        <f t="shared" si="44"/>
        <v>94292.05199530127</v>
      </c>
      <c r="AE127" s="8">
        <f t="shared" si="45"/>
        <v>52907.815716652789</v>
      </c>
      <c r="AF127" s="8">
        <f t="shared" si="46"/>
        <v>160.5063051931119</v>
      </c>
      <c r="AG127" s="8">
        <f t="shared" si="47"/>
        <v>0</v>
      </c>
      <c r="AH127" s="8">
        <f t="shared" si="48"/>
        <v>1820.6022784989505</v>
      </c>
      <c r="AI127" s="8">
        <f t="shared" si="49"/>
        <v>46462.664399068912</v>
      </c>
      <c r="AJ127" s="8">
        <f t="shared" si="50"/>
        <v>159.69342788280667</v>
      </c>
      <c r="AK127" s="8">
        <f t="shared" si="51"/>
        <v>0</v>
      </c>
      <c r="AL127" s="8">
        <f t="shared" si="52"/>
        <v>149.81074876637129</v>
      </c>
      <c r="AM127" s="8">
        <f t="shared" si="53"/>
        <v>54206.896912781274</v>
      </c>
      <c r="AN127" s="8">
        <f t="shared" si="54"/>
        <v>273.02761516578965</v>
      </c>
      <c r="AO127" s="8">
        <f t="shared" si="55"/>
        <v>0</v>
      </c>
    </row>
    <row r="128" spans="1:41">
      <c r="A128" s="1">
        <v>41855</v>
      </c>
      <c r="B128" s="5">
        <v>126</v>
      </c>
      <c r="C128" s="3">
        <f>B128/365+input!$K$2</f>
        <v>0.34520547945205482</v>
      </c>
      <c r="D128" s="4">
        <f t="shared" si="30"/>
        <v>22.101591087963765</v>
      </c>
      <c r="E128" s="10">
        <f t="shared" si="34"/>
        <v>15.886576126773704</v>
      </c>
      <c r="F128" s="20">
        <f>input!A127</f>
        <v>5961.92</v>
      </c>
      <c r="G128" s="19">
        <f t="shared" si="35"/>
        <v>1.9715536847629337E-2</v>
      </c>
      <c r="H128" s="21">
        <f t="shared" si="36"/>
        <v>84.060318115121149</v>
      </c>
      <c r="I128" s="5">
        <v>491</v>
      </c>
      <c r="J128" s="3">
        <f>I128/365+input!$K$2</f>
        <v>1.3452054794520547</v>
      </c>
      <c r="K128" s="4">
        <f t="shared" si="56"/>
        <v>31.827136946456587</v>
      </c>
      <c r="L128" s="10">
        <f t="shared" si="57"/>
        <v>51.780015484017554</v>
      </c>
      <c r="M128" s="20">
        <f>input!B127</f>
        <v>992.29</v>
      </c>
      <c r="N128" s="19">
        <f t="shared" si="37"/>
        <v>0.8794513657240679</v>
      </c>
      <c r="O128" s="21">
        <f t="shared" si="38"/>
        <v>1168.6006397703984</v>
      </c>
      <c r="P128" s="5">
        <v>856</v>
      </c>
      <c r="Q128" s="3">
        <f>P128/365+input!$K$2</f>
        <v>2.3452054794520549</v>
      </c>
      <c r="R128" s="4">
        <f t="shared" si="31"/>
        <v>37.272454186583637</v>
      </c>
      <c r="S128" s="10">
        <f t="shared" si="32"/>
        <v>86.376405328164495</v>
      </c>
      <c r="T128" s="20">
        <f>input!C127</f>
        <v>1.81</v>
      </c>
      <c r="U128" s="19">
        <f t="shared" si="39"/>
        <v>0.99496907221998665</v>
      </c>
      <c r="V128" s="21">
        <f t="shared" si="40"/>
        <v>1710.8826990845396</v>
      </c>
      <c r="W128" s="21">
        <v>1221</v>
      </c>
      <c r="X128" s="3">
        <f>W128/365+input!$K$2</f>
        <v>3.3452054794520549</v>
      </c>
      <c r="Y128" s="4">
        <f t="shared" si="41"/>
        <v>39.469004015014669</v>
      </c>
      <c r="Z128" s="10">
        <f t="shared" si="33"/>
        <v>103.98435971907008</v>
      </c>
      <c r="AA128" s="20">
        <f>input!D127</f>
        <v>0</v>
      </c>
      <c r="AB128" s="19">
        <f t="shared" si="42"/>
        <v>0.99866597068041085</v>
      </c>
      <c r="AC128" s="21">
        <f t="shared" si="43"/>
        <v>1956.3459956959921</v>
      </c>
      <c r="AD128" s="8">
        <f t="shared" si="44"/>
        <v>94714.495941734684</v>
      </c>
      <c r="AE128" s="8">
        <f t="shared" si="45"/>
        <v>51380.79156463578</v>
      </c>
      <c r="AF128" s="8">
        <f t="shared" si="46"/>
        <v>156.34129364397774</v>
      </c>
      <c r="AG128" s="8">
        <f t="shared" si="47"/>
        <v>0</v>
      </c>
      <c r="AH128" s="8">
        <f t="shared" si="48"/>
        <v>1867.3471347439095</v>
      </c>
      <c r="AI128" s="8">
        <f t="shared" si="49"/>
        <v>45186.907313502605</v>
      </c>
      <c r="AJ128" s="8">
        <f t="shared" si="50"/>
        <v>155.55475188662103</v>
      </c>
      <c r="AK128" s="8">
        <f t="shared" si="51"/>
        <v>0</v>
      </c>
      <c r="AL128" s="8">
        <f t="shared" si="52"/>
        <v>156.96979417793301</v>
      </c>
      <c r="AM128" s="8">
        <f t="shared" si="53"/>
        <v>52805.448795804834</v>
      </c>
      <c r="AN128" s="8">
        <f t="shared" si="54"/>
        <v>266.13593376320802</v>
      </c>
      <c r="AO128" s="8">
        <f t="shared" si="55"/>
        <v>0</v>
      </c>
    </row>
    <row r="129" spans="1:41">
      <c r="A129" s="1">
        <v>41856</v>
      </c>
      <c r="B129" s="5">
        <v>127</v>
      </c>
      <c r="C129" s="3">
        <f>B129/365+input!$K$2</f>
        <v>0.34794520547945207</v>
      </c>
      <c r="D129" s="4">
        <f t="shared" si="30"/>
        <v>22.13667848283945</v>
      </c>
      <c r="E129" s="10">
        <f t="shared" si="34"/>
        <v>15.968436726808601</v>
      </c>
      <c r="F129" s="20">
        <f>input!A128</f>
        <v>5957.1</v>
      </c>
      <c r="G129" s="19">
        <f t="shared" si="35"/>
        <v>2.0130706765987383E-2</v>
      </c>
      <c r="H129" s="21">
        <f t="shared" si="36"/>
        <v>85.85972909318258</v>
      </c>
      <c r="I129" s="5">
        <v>492</v>
      </c>
      <c r="J129" s="3">
        <f>I129/365+input!$K$2</f>
        <v>1.3479452054794521</v>
      </c>
      <c r="K129" s="4">
        <f t="shared" si="56"/>
        <v>31.846782321534523</v>
      </c>
      <c r="L129" s="10">
        <f t="shared" si="57"/>
        <v>51.883641821451398</v>
      </c>
      <c r="M129" s="20">
        <f>input!B128</f>
        <v>991.48</v>
      </c>
      <c r="N129" s="19">
        <f t="shared" si="37"/>
        <v>0.88070781366444817</v>
      </c>
      <c r="O129" s="21">
        <f t="shared" si="38"/>
        <v>1170.520374443071</v>
      </c>
      <c r="P129" s="5">
        <v>857</v>
      </c>
      <c r="Q129" s="3">
        <f>P129/365+input!$K$2</f>
        <v>2.3479452054794518</v>
      </c>
      <c r="R129" s="4">
        <f t="shared" si="31"/>
        <v>37.283453600000335</v>
      </c>
      <c r="S129" s="10">
        <f t="shared" si="32"/>
        <v>86.459021527103602</v>
      </c>
      <c r="T129" s="20">
        <f>input!C128</f>
        <v>1.79</v>
      </c>
      <c r="U129" s="19">
        <f t="shared" si="39"/>
        <v>0.99500232804353406</v>
      </c>
      <c r="V129" s="21">
        <f t="shared" si="40"/>
        <v>1712.0654715264577</v>
      </c>
      <c r="W129" s="21">
        <v>1222</v>
      </c>
      <c r="X129" s="3">
        <f>W129/365+input!$K$2</f>
        <v>3.3479452054794518</v>
      </c>
      <c r="Y129" s="4">
        <f t="shared" si="41"/>
        <v>39.469004015014669</v>
      </c>
      <c r="Z129" s="10">
        <f t="shared" si="33"/>
        <v>103.98435971907008</v>
      </c>
      <c r="AA129" s="20">
        <f>input!D128</f>
        <v>0</v>
      </c>
      <c r="AB129" s="19">
        <f t="shared" si="42"/>
        <v>0.99866597068041085</v>
      </c>
      <c r="AC129" s="21">
        <f t="shared" si="43"/>
        <v>1956.3459956959921</v>
      </c>
      <c r="AD129" s="8">
        <f t="shared" si="44"/>
        <v>95125.574425271523</v>
      </c>
      <c r="AE129" s="8">
        <f t="shared" si="45"/>
        <v>51441.593193132634</v>
      </c>
      <c r="AF129" s="8">
        <f t="shared" si="46"/>
        <v>154.76164853351546</v>
      </c>
      <c r="AG129" s="8">
        <f t="shared" si="47"/>
        <v>0</v>
      </c>
      <c r="AH129" s="8">
        <f t="shared" si="48"/>
        <v>1914.9450447012498</v>
      </c>
      <c r="AI129" s="8">
        <f t="shared" si="49"/>
        <v>45305.013072539798</v>
      </c>
      <c r="AJ129" s="8">
        <f t="shared" si="50"/>
        <v>153.98820058270306</v>
      </c>
      <c r="AK129" s="8">
        <f t="shared" si="51"/>
        <v>0</v>
      </c>
      <c r="AL129" s="8">
        <f t="shared" si="52"/>
        <v>164.41666276638173</v>
      </c>
      <c r="AM129" s="8">
        <f t="shared" si="53"/>
        <v>53030.440865817509</v>
      </c>
      <c r="AN129" s="8">
        <f t="shared" si="54"/>
        <v>263.63788124013627</v>
      </c>
      <c r="AO129" s="8">
        <f t="shared" si="55"/>
        <v>0</v>
      </c>
    </row>
    <row r="130" spans="1:41">
      <c r="A130" s="1">
        <v>41857</v>
      </c>
      <c r="B130" s="5">
        <v>128</v>
      </c>
      <c r="C130" s="3">
        <f>B130/365+input!$K$2</f>
        <v>0.35068493150684932</v>
      </c>
      <c r="D130" s="4">
        <f t="shared" si="30"/>
        <v>22.171710166678029</v>
      </c>
      <c r="E130" s="10">
        <f t="shared" si="34"/>
        <v>16.050457817623418</v>
      </c>
      <c r="F130" s="20">
        <f>input!A129</f>
        <v>5952.57</v>
      </c>
      <c r="G130" s="19">
        <f t="shared" si="35"/>
        <v>2.0553756359543072E-2</v>
      </c>
      <c r="H130" s="21">
        <f t="shared" si="36"/>
        <v>87.684675513510001</v>
      </c>
      <c r="I130" s="5">
        <v>493</v>
      </c>
      <c r="J130" s="3">
        <f>I130/365+input!$K$2</f>
        <v>1.3506849315068492</v>
      </c>
      <c r="K130" s="4">
        <f t="shared" si="56"/>
        <v>31.866396504093775</v>
      </c>
      <c r="L130" s="10">
        <f t="shared" si="57"/>
        <v>51.987246571047983</v>
      </c>
      <c r="M130" s="20">
        <f>input!B129</f>
        <v>972.32</v>
      </c>
      <c r="N130" s="19">
        <f t="shared" si="37"/>
        <v>0.88195095576028248</v>
      </c>
      <c r="O130" s="21">
        <f t="shared" si="38"/>
        <v>1172.4357049744106</v>
      </c>
      <c r="P130" s="5">
        <v>858</v>
      </c>
      <c r="Q130" s="3">
        <f>P130/365+input!$K$2</f>
        <v>2.3506849315068492</v>
      </c>
      <c r="R130" s="4">
        <f t="shared" si="31"/>
        <v>37.294435548776775</v>
      </c>
      <c r="S130" s="10">
        <f t="shared" si="32"/>
        <v>86.541561034513705</v>
      </c>
      <c r="T130" s="20">
        <f>input!C129</f>
        <v>1.76</v>
      </c>
      <c r="U130" s="19">
        <f t="shared" si="39"/>
        <v>0.99503531285080371</v>
      </c>
      <c r="V130" s="21">
        <f t="shared" si="40"/>
        <v>1713.2468248761977</v>
      </c>
      <c r="W130" s="21">
        <v>1223</v>
      </c>
      <c r="X130" s="3">
        <f>W130/365+input!$K$2</f>
        <v>3.3506849315068492</v>
      </c>
      <c r="Y130" s="4">
        <f t="shared" si="41"/>
        <v>39.469004015014669</v>
      </c>
      <c r="Z130" s="10">
        <f t="shared" si="33"/>
        <v>103.98435971907008</v>
      </c>
      <c r="AA130" s="20">
        <f>input!D129</f>
        <v>0</v>
      </c>
      <c r="AB130" s="19">
        <f t="shared" si="42"/>
        <v>0.99866597068041085</v>
      </c>
      <c r="AC130" s="21">
        <f t="shared" si="43"/>
        <v>1956.3459956959921</v>
      </c>
      <c r="AD130" s="8">
        <f t="shared" si="44"/>
        <v>95541.473691450621</v>
      </c>
      <c r="AE130" s="8">
        <f t="shared" si="45"/>
        <v>50548.239585961375</v>
      </c>
      <c r="AF130" s="8">
        <f t="shared" si="46"/>
        <v>152.31314742074412</v>
      </c>
      <c r="AG130" s="8">
        <f t="shared" si="47"/>
        <v>0</v>
      </c>
      <c r="AH130" s="8">
        <f t="shared" si="48"/>
        <v>1963.7361724857703</v>
      </c>
      <c r="AI130" s="8">
        <f t="shared" si="49"/>
        <v>44581.068214838378</v>
      </c>
      <c r="AJ130" s="8">
        <f t="shared" si="50"/>
        <v>151.5569602950907</v>
      </c>
      <c r="AK130" s="8">
        <f t="shared" si="51"/>
        <v>0</v>
      </c>
      <c r="AL130" s="8">
        <f t="shared" si="52"/>
        <v>172.18956907855687</v>
      </c>
      <c r="AM130" s="8">
        <f t="shared" si="53"/>
        <v>52268.436140976322</v>
      </c>
      <c r="AN130" s="8">
        <f t="shared" si="54"/>
        <v>259.65448101345208</v>
      </c>
      <c r="AO130" s="8">
        <f t="shared" si="55"/>
        <v>0</v>
      </c>
    </row>
    <row r="131" spans="1:41">
      <c r="A131" s="1">
        <v>41858</v>
      </c>
      <c r="B131" s="5">
        <v>129</v>
      </c>
      <c r="C131" s="3">
        <f>B131/365+input!$K$2</f>
        <v>0.35342465753424657</v>
      </c>
      <c r="D131" s="4">
        <f t="shared" ref="D131:D194" si="58">44.2*(1-EXP(-0.58*(C131+0.85)))</f>
        <v>22.206686227936313</v>
      </c>
      <c r="E131" s="10">
        <f t="shared" si="34"/>
        <v>16.132638791020955</v>
      </c>
      <c r="F131" s="20">
        <f>input!A130</f>
        <v>5948.4</v>
      </c>
      <c r="G131" s="19">
        <f t="shared" si="35"/>
        <v>2.0984813486674806E-2</v>
      </c>
      <c r="H131" s="21">
        <f t="shared" si="36"/>
        <v>89.535226472973108</v>
      </c>
      <c r="I131" s="5">
        <v>494</v>
      </c>
      <c r="J131" s="3">
        <f>I131/365+input!$K$2</f>
        <v>1.3534246575342466</v>
      </c>
      <c r="K131" s="4">
        <f t="shared" si="56"/>
        <v>31.885979543661175</v>
      </c>
      <c r="L131" s="10">
        <f t="shared" si="57"/>
        <v>52.090829422337023</v>
      </c>
      <c r="M131" s="20">
        <f>input!B130</f>
        <v>957.35</v>
      </c>
      <c r="N131" s="19">
        <f t="shared" si="37"/>
        <v>0.88318091428914136</v>
      </c>
      <c r="O131" s="21">
        <f t="shared" si="38"/>
        <v>1174.3466699909998</v>
      </c>
      <c r="P131" s="5">
        <v>859</v>
      </c>
      <c r="Q131" s="3">
        <f>P131/365+input!$K$2</f>
        <v>2.3534246575342466</v>
      </c>
      <c r="R131" s="4">
        <f t="shared" ref="R131:R194" si="59">44.2*(1-EXP(-0.58*(Q131+0.85)))</f>
        <v>37.305400060642945</v>
      </c>
      <c r="S131" s="10">
        <f t="shared" ref="S131:S194" si="60">0.0007*R131^3.24</f>
        <v>86.624023819119486</v>
      </c>
      <c r="T131" s="20">
        <f>input!C130</f>
        <v>1.72</v>
      </c>
      <c r="U131" s="19">
        <f t="shared" si="39"/>
        <v>0.99506802917859516</v>
      </c>
      <c r="V131" s="21">
        <f t="shared" si="40"/>
        <v>1714.4267600803512</v>
      </c>
      <c r="W131" s="21">
        <v>1224</v>
      </c>
      <c r="X131" s="3">
        <f>W131/365+input!$K$2</f>
        <v>3.3534246575342466</v>
      </c>
      <c r="Y131" s="4">
        <f t="shared" si="41"/>
        <v>39.469004015014669</v>
      </c>
      <c r="Z131" s="10">
        <f t="shared" ref="Z131:Z194" si="61">0.0007*Y131^3.24</f>
        <v>103.98435971907008</v>
      </c>
      <c r="AA131" s="20">
        <f>input!D130</f>
        <v>0</v>
      </c>
      <c r="AB131" s="19">
        <f t="shared" si="42"/>
        <v>0.99866597068041085</v>
      </c>
      <c r="AC131" s="21">
        <f t="shared" si="43"/>
        <v>1956.3459956959921</v>
      </c>
      <c r="AD131" s="8">
        <f t="shared" si="44"/>
        <v>95963.388584509041</v>
      </c>
      <c r="AE131" s="8">
        <f t="shared" si="45"/>
        <v>49869.155547474351</v>
      </c>
      <c r="AF131" s="8">
        <f t="shared" si="46"/>
        <v>148.99332096888551</v>
      </c>
      <c r="AG131" s="8">
        <f t="shared" si="47"/>
        <v>0</v>
      </c>
      <c r="AH131" s="8">
        <f t="shared" si="48"/>
        <v>2013.7738109952204</v>
      </c>
      <c r="AI131" s="8">
        <f t="shared" si="49"/>
        <v>44043.486391245802</v>
      </c>
      <c r="AJ131" s="8">
        <f t="shared" si="50"/>
        <v>148.25849025728277</v>
      </c>
      <c r="AK131" s="8">
        <f t="shared" si="51"/>
        <v>0</v>
      </c>
      <c r="AL131" s="8">
        <f t="shared" si="52"/>
        <v>180.30369423279919</v>
      </c>
      <c r="AM131" s="8">
        <f t="shared" si="53"/>
        <v>51722.321578353418</v>
      </c>
      <c r="AN131" s="8">
        <f t="shared" si="54"/>
        <v>254.17832310619761</v>
      </c>
      <c r="AO131" s="8">
        <f t="shared" si="55"/>
        <v>0</v>
      </c>
    </row>
    <row r="132" spans="1:41">
      <c r="A132" s="1">
        <v>41859</v>
      </c>
      <c r="B132" s="5">
        <v>130</v>
      </c>
      <c r="C132" s="3">
        <f>B132/365+input!$K$2</f>
        <v>0.35616438356164382</v>
      </c>
      <c r="D132" s="4">
        <f t="shared" si="58"/>
        <v>22.241606754930679</v>
      </c>
      <c r="E132" s="10">
        <f t="shared" ref="E132:E195" si="62">0.0007*D132^3.24</f>
        <v>16.214979038402692</v>
      </c>
      <c r="F132" s="20">
        <f>input!A131</f>
        <v>5944.31</v>
      </c>
      <c r="G132" s="19">
        <f t="shared" ref="G132:G195" si="63">1/(1+EXP(-0.606*D132+17.3))</f>
        <v>2.1424007510969876E-2</v>
      </c>
      <c r="H132" s="21">
        <f t="shared" ref="H132:H195" si="64">0.3586*D132^2.341*_xlfn.NORM.DIST(D132,25,3,TRUE)</f>
        <v>91.41144536415058</v>
      </c>
      <c r="I132" s="5">
        <v>495</v>
      </c>
      <c r="J132" s="3">
        <f>I132/365+input!$K$2</f>
        <v>1.3561643835616439</v>
      </c>
      <c r="K132" s="4">
        <f t="shared" si="56"/>
        <v>31.905531489684932</v>
      </c>
      <c r="L132" s="10">
        <f t="shared" si="57"/>
        <v>52.194390065933298</v>
      </c>
      <c r="M132" s="20">
        <f>input!B131</f>
        <v>929.07</v>
      </c>
      <c r="N132" s="19">
        <f t="shared" ref="N132:N195" si="65">1/(1+EXP(-0.606*K132+17.3))</f>
        <v>0.88439781109593751</v>
      </c>
      <c r="O132" s="21">
        <f t="shared" ref="O132:O195" si="66">0.3586*K132^2.341*_xlfn.NORM.DIST(K132,25,3,TRUE)</f>
        <v>1176.2533077173377</v>
      </c>
      <c r="P132" s="5">
        <v>860</v>
      </c>
      <c r="Q132" s="3">
        <f>P132/365+input!$K$2</f>
        <v>2.3561643835616439</v>
      </c>
      <c r="R132" s="4">
        <f t="shared" si="59"/>
        <v>37.316347163284824</v>
      </c>
      <c r="S132" s="10">
        <f t="shared" si="60"/>
        <v>86.706409850088448</v>
      </c>
      <c r="T132" s="20">
        <f>input!C131</f>
        <v>1.65</v>
      </c>
      <c r="U132" s="19">
        <f t="shared" ref="U132:U195" si="67">1/(1+EXP(-0.606*R132+17.3))</f>
        <v>0.99510047953731662</v>
      </c>
      <c r="V132" s="21">
        <f t="shared" ref="V132:V195" si="68">0.3586*R132^2.341*_xlfn.NORM.DIST(R132,25,3,TRUE)</f>
        <v>1715.6052780861999</v>
      </c>
      <c r="W132" s="21">
        <v>1225</v>
      </c>
      <c r="X132" s="3">
        <f>W132/365+input!$K$2</f>
        <v>3.3561643835616439</v>
      </c>
      <c r="Y132" s="4">
        <f t="shared" ref="Y132:Y195" si="69">44.2*(1-EXP(-0.58*(X$3+0.85)))</f>
        <v>39.469004015014669</v>
      </c>
      <c r="Z132" s="10">
        <f t="shared" si="61"/>
        <v>103.98435971907008</v>
      </c>
      <c r="AA132" s="20">
        <f>input!D131</f>
        <v>0</v>
      </c>
      <c r="AB132" s="19">
        <f t="shared" ref="AB132:AB195" si="70">1/(1+EXP(-0.606*Y132+17.3))</f>
        <v>0.99866597068041085</v>
      </c>
      <c r="AC132" s="21">
        <f t="shared" ref="AC132:AC195" si="71">0.3586*Y132^2.341*_xlfn.NORM.DIST(Y132,25,3,TRUE)</f>
        <v>1956.3459956959921</v>
      </c>
      <c r="AD132" s="8">
        <f t="shared" ref="AD132:AD195" si="72">E132*F132</f>
        <v>96386.862047767514</v>
      </c>
      <c r="AE132" s="8">
        <f t="shared" ref="AE132:AE195" si="73">L132*M132</f>
        <v>48492.241978556653</v>
      </c>
      <c r="AF132" s="8">
        <f t="shared" ref="AF132:AF195" si="74">S132*T132</f>
        <v>143.06557625264594</v>
      </c>
      <c r="AG132" s="8">
        <f t="shared" ref="AG132:AG195" si="75">Z132*AA132</f>
        <v>0</v>
      </c>
      <c r="AH132" s="8">
        <f t="shared" ref="AH132:AH195" si="76">E132*F132*G132</f>
        <v>2064.9928564701886</v>
      </c>
      <c r="AI132" s="8">
        <f t="shared" ref="AI132:AI195" si="77">L132*M132*N132</f>
        <v>42886.432660970037</v>
      </c>
      <c r="AJ132" s="8">
        <f t="shared" ref="AJ132:AJ195" si="78">S132*T132*U132</f>
        <v>142.3646235342905</v>
      </c>
      <c r="AK132" s="8">
        <f t="shared" ref="AK132:AK195" si="79">Z132*AA132*AB132</f>
        <v>0</v>
      </c>
      <c r="AL132" s="8">
        <f t="shared" ref="AL132:AL195" si="80">AH132*H132/1000</f>
        <v>188.76398167658587</v>
      </c>
      <c r="AM132" s="8">
        <f t="shared" ref="AM132:AM195" si="81">AI132*O132/1000</f>
        <v>50445.308273662871</v>
      </c>
      <c r="AN132" s="8">
        <f t="shared" ref="AN132:AN195" si="82">AJ132*V132/1000</f>
        <v>244.24149954818361</v>
      </c>
      <c r="AO132" s="8">
        <f t="shared" ref="AO132:AO195" si="83">AK132*AC132/1000</f>
        <v>0</v>
      </c>
    </row>
    <row r="133" spans="1:41">
      <c r="A133" s="1">
        <v>41860</v>
      </c>
      <c r="B133" s="5">
        <v>131</v>
      </c>
      <c r="C133" s="3">
        <f>B133/365+input!$K$2</f>
        <v>0.35890410958904112</v>
      </c>
      <c r="D133" s="4">
        <f t="shared" si="58"/>
        <v>22.276471835837288</v>
      </c>
      <c r="E133" s="10">
        <f t="shared" si="62"/>
        <v>16.297477950783893</v>
      </c>
      <c r="F133" s="20">
        <f>input!A132</f>
        <v>5940.24</v>
      </c>
      <c r="G133" s="19">
        <f t="shared" si="63"/>
        <v>2.1871469302408186E-2</v>
      </c>
      <c r="H133" s="21">
        <f t="shared" si="64"/>
        <v>93.313389823373186</v>
      </c>
      <c r="I133" s="5">
        <v>496</v>
      </c>
      <c r="J133" s="3">
        <f>I133/365+input!$K$2</f>
        <v>1.3589041095890411</v>
      </c>
      <c r="K133" s="4">
        <f t="shared" si="56"/>
        <v>31.92505239153471</v>
      </c>
      <c r="L133" s="10">
        <f t="shared" si="57"/>
        <v>52.297928193535718</v>
      </c>
      <c r="M133" s="20">
        <f>input!B132</f>
        <v>928.43</v>
      </c>
      <c r="N133" s="19">
        <f t="shared" si="65"/>
        <v>0.88560176757163434</v>
      </c>
      <c r="O133" s="21">
        <f t="shared" si="66"/>
        <v>1178.15565597722</v>
      </c>
      <c r="P133" s="5">
        <v>861</v>
      </c>
      <c r="Q133" s="3">
        <f>P133/365+input!$K$2</f>
        <v>2.3589041095890413</v>
      </c>
      <c r="R133" s="4">
        <f t="shared" si="59"/>
        <v>37.327276884344393</v>
      </c>
      <c r="S133" s="10">
        <f t="shared" si="60"/>
        <v>86.788719097028334</v>
      </c>
      <c r="T133" s="20">
        <f>input!C132</f>
        <v>1.64</v>
      </c>
      <c r="U133" s="19">
        <f t="shared" si="67"/>
        <v>0.99513266641128406</v>
      </c>
      <c r="V133" s="21">
        <f t="shared" si="68"/>
        <v>1716.7823798417141</v>
      </c>
      <c r="W133" s="21">
        <v>1226</v>
      </c>
      <c r="X133" s="3">
        <f>W133/365+input!$K$2</f>
        <v>3.3589041095890413</v>
      </c>
      <c r="Y133" s="4">
        <f t="shared" si="69"/>
        <v>39.469004015014669</v>
      </c>
      <c r="Z133" s="10">
        <f t="shared" si="61"/>
        <v>103.98435971907008</v>
      </c>
      <c r="AA133" s="20">
        <f>input!D132</f>
        <v>0</v>
      </c>
      <c r="AB133" s="19">
        <f t="shared" si="70"/>
        <v>0.99866597068041085</v>
      </c>
      <c r="AC133" s="21">
        <f t="shared" si="71"/>
        <v>1956.3459956959921</v>
      </c>
      <c r="AD133" s="8">
        <f t="shared" si="72"/>
        <v>96810.930422364516</v>
      </c>
      <c r="AE133" s="8">
        <f t="shared" si="73"/>
        <v>48554.965472724361</v>
      </c>
      <c r="AF133" s="8">
        <f t="shared" si="74"/>
        <v>142.33349931912645</v>
      </c>
      <c r="AG133" s="8">
        <f t="shared" si="75"/>
        <v>0</v>
      </c>
      <c r="AH133" s="8">
        <f t="shared" si="76"/>
        <v>2117.3972928703201</v>
      </c>
      <c r="AI133" s="8">
        <f t="shared" si="77"/>
        <v>43000.363247024368</v>
      </c>
      <c r="AJ133" s="8">
        <f t="shared" si="78"/>
        <v>141.64071469709097</v>
      </c>
      <c r="AK133" s="8">
        <f t="shared" si="79"/>
        <v>0</v>
      </c>
      <c r="AL133" s="8">
        <f t="shared" si="80"/>
        <v>197.58151900056328</v>
      </c>
      <c r="AM133" s="8">
        <f t="shared" si="81"/>
        <v>50661.121168556732</v>
      </c>
      <c r="AN133" s="8">
        <f t="shared" si="82"/>
        <v>243.16628326015308</v>
      </c>
      <c r="AO133" s="8">
        <f t="shared" si="83"/>
        <v>0</v>
      </c>
    </row>
    <row r="134" spans="1:41">
      <c r="A134" s="1">
        <v>41861</v>
      </c>
      <c r="B134" s="5">
        <v>132</v>
      </c>
      <c r="C134" s="3">
        <f>B134/365+input!$K$2</f>
        <v>0.36164383561643837</v>
      </c>
      <c r="D134" s="4">
        <f t="shared" si="58"/>
        <v>22.311281558692279</v>
      </c>
      <c r="E134" s="10">
        <f t="shared" si="62"/>
        <v>16.380134918808778</v>
      </c>
      <c r="F134" s="20">
        <f>input!A133</f>
        <v>5936.16</v>
      </c>
      <c r="G134" s="19">
        <f t="shared" si="63"/>
        <v>2.2327331237925754E-2</v>
      </c>
      <c r="H134" s="21">
        <f t="shared" si="64"/>
        <v>95.241111681802721</v>
      </c>
      <c r="I134" s="5">
        <v>497</v>
      </c>
      <c r="J134" s="3">
        <f>I134/365+input!$K$2</f>
        <v>1.3616438356164384</v>
      </c>
      <c r="K134" s="4">
        <f t="shared" si="56"/>
        <v>31.944542298501812</v>
      </c>
      <c r="L134" s="10">
        <f t="shared" si="57"/>
        <v>52.401443497925634</v>
      </c>
      <c r="M134" s="20">
        <f>input!B133</f>
        <v>896.33</v>
      </c>
      <c r="N134" s="19">
        <f t="shared" si="65"/>
        <v>0.88679290463276517</v>
      </c>
      <c r="O134" s="21">
        <f t="shared" si="66"/>
        <v>1180.0537521951658</v>
      </c>
      <c r="P134" s="5">
        <v>862</v>
      </c>
      <c r="Q134" s="3">
        <f>P134/365+input!$K$2</f>
        <v>2.3616438356164382</v>
      </c>
      <c r="R134" s="4">
        <f t="shared" si="59"/>
        <v>37.338189251419792</v>
      </c>
      <c r="S134" s="10">
        <f t="shared" si="60"/>
        <v>86.870951529986812</v>
      </c>
      <c r="T134" s="20">
        <f>input!C133</f>
        <v>1.57</v>
      </c>
      <c r="U134" s="19">
        <f t="shared" si="67"/>
        <v>0.99516459225901488</v>
      </c>
      <c r="V134" s="21">
        <f t="shared" si="68"/>
        <v>1717.9580662956139</v>
      </c>
      <c r="W134" s="21">
        <v>1227</v>
      </c>
      <c r="X134" s="3">
        <f>W134/365+input!$K$2</f>
        <v>3.3616438356164382</v>
      </c>
      <c r="Y134" s="4">
        <f t="shared" si="69"/>
        <v>39.469004015014669</v>
      </c>
      <c r="Z134" s="10">
        <f t="shared" si="61"/>
        <v>103.98435971907008</v>
      </c>
      <c r="AA134" s="20">
        <f>input!D133</f>
        <v>0</v>
      </c>
      <c r="AB134" s="19">
        <f t="shared" si="70"/>
        <v>0.99866597068041085</v>
      </c>
      <c r="AC134" s="21">
        <f t="shared" si="71"/>
        <v>1956.3459956959921</v>
      </c>
      <c r="AD134" s="8">
        <f t="shared" si="72"/>
        <v>97235.10169963591</v>
      </c>
      <c r="AE134" s="8">
        <f t="shared" si="73"/>
        <v>46968.985850495686</v>
      </c>
      <c r="AF134" s="8">
        <f t="shared" si="74"/>
        <v>136.38739390207931</v>
      </c>
      <c r="AG134" s="8">
        <f t="shared" si="75"/>
        <v>0</v>
      </c>
      <c r="AH134" s="8">
        <f t="shared" si="76"/>
        <v>2171.0003236011685</v>
      </c>
      <c r="AI134" s="8">
        <f t="shared" si="77"/>
        <v>41651.76339001632</v>
      </c>
      <c r="AJ134" s="8">
        <f t="shared" si="78"/>
        <v>135.72790524183242</v>
      </c>
      <c r="AK134" s="8">
        <f t="shared" si="79"/>
        <v>0</v>
      </c>
      <c r="AL134" s="8">
        <f t="shared" si="80"/>
        <v>206.76848428132874</v>
      </c>
      <c r="AM134" s="8">
        <f t="shared" si="81"/>
        <v>49151.319673933998</v>
      </c>
      <c r="AN134" s="8">
        <f t="shared" si="82"/>
        <v>233.17484963161274</v>
      </c>
      <c r="AO134" s="8">
        <f t="shared" si="83"/>
        <v>0</v>
      </c>
    </row>
    <row r="135" spans="1:41">
      <c r="A135" s="1">
        <v>41862</v>
      </c>
      <c r="B135" s="5">
        <v>133</v>
      </c>
      <c r="C135" s="3">
        <f>B135/365+input!$K$2</f>
        <v>0.36438356164383562</v>
      </c>
      <c r="D135" s="4">
        <f t="shared" si="58"/>
        <v>22.346036011392027</v>
      </c>
      <c r="E135" s="10">
        <f t="shared" si="62"/>
        <v>16.462949332765461</v>
      </c>
      <c r="F135" s="20">
        <f>input!A134</f>
        <v>5932.09</v>
      </c>
      <c r="G135" s="19">
        <f t="shared" si="63"/>
        <v>2.2791727201336848E-2</v>
      </c>
      <c r="H135" s="21">
        <f t="shared" si="64"/>
        <v>97.194656919582812</v>
      </c>
      <c r="I135" s="5">
        <v>498</v>
      </c>
      <c r="J135" s="3">
        <f>I135/365+input!$K$2</f>
        <v>1.3643835616438356</v>
      </c>
      <c r="K135" s="4">
        <f t="shared" si="56"/>
        <v>31.964001259799279</v>
      </c>
      <c r="L135" s="10">
        <f t="shared" si="57"/>
        <v>52.504935672965885</v>
      </c>
      <c r="M135" s="20">
        <f>input!B134</f>
        <v>895.72</v>
      </c>
      <c r="N135" s="19">
        <f t="shared" si="65"/>
        <v>0.88797134270173483</v>
      </c>
      <c r="O135" s="21">
        <f t="shared" si="66"/>
        <v>1181.947633397948</v>
      </c>
      <c r="P135" s="5">
        <v>863</v>
      </c>
      <c r="Q135" s="3">
        <f>P135/365+input!$K$2</f>
        <v>2.3643835616438356</v>
      </c>
      <c r="R135" s="4">
        <f t="shared" si="59"/>
        <v>37.349084292065299</v>
      </c>
      <c r="S135" s="10">
        <f t="shared" si="60"/>
        <v>86.953107119449015</v>
      </c>
      <c r="T135" s="20">
        <f>input!C134</f>
        <v>1.55</v>
      </c>
      <c r="U135" s="19">
        <f t="shared" si="67"/>
        <v>0.99519625951351975</v>
      </c>
      <c r="V135" s="21">
        <f t="shared" si="68"/>
        <v>1719.1323383973556</v>
      </c>
      <c r="W135" s="21">
        <v>1228</v>
      </c>
      <c r="X135" s="3">
        <f>W135/365+input!$K$2</f>
        <v>3.3643835616438356</v>
      </c>
      <c r="Y135" s="4">
        <f t="shared" si="69"/>
        <v>39.469004015014669</v>
      </c>
      <c r="Z135" s="10">
        <f t="shared" si="61"/>
        <v>103.98435971907008</v>
      </c>
      <c r="AA135" s="20">
        <f>input!D134</f>
        <v>0</v>
      </c>
      <c r="AB135" s="19">
        <f t="shared" si="70"/>
        <v>0.99866597068041085</v>
      </c>
      <c r="AC135" s="21">
        <f t="shared" si="71"/>
        <v>1956.3459956959921</v>
      </c>
      <c r="AD135" s="8">
        <f t="shared" si="72"/>
        <v>97659.697107404674</v>
      </c>
      <c r="AE135" s="8">
        <f t="shared" si="73"/>
        <v>47029.720980989005</v>
      </c>
      <c r="AF135" s="8">
        <f t="shared" si="74"/>
        <v>134.77731603514599</v>
      </c>
      <c r="AG135" s="8">
        <f t="shared" si="75"/>
        <v>0</v>
      </c>
      <c r="AH135" s="8">
        <f t="shared" si="76"/>
        <v>2225.8331750371526</v>
      </c>
      <c r="AI135" s="8">
        <f t="shared" si="77"/>
        <v>41761.044486376755</v>
      </c>
      <c r="AJ135" s="8">
        <f t="shared" si="78"/>
        <v>134.12988078544882</v>
      </c>
      <c r="AK135" s="8">
        <f t="shared" si="79"/>
        <v>0</v>
      </c>
      <c r="AL135" s="8">
        <f t="shared" si="80"/>
        <v>216.33909180796175</v>
      </c>
      <c r="AM135" s="8">
        <f t="shared" si="81"/>
        <v>49359.367698899434</v>
      </c>
      <c r="AN135" s="8">
        <f t="shared" si="82"/>
        <v>230.58701560364716</v>
      </c>
      <c r="AO135" s="8">
        <f t="shared" si="83"/>
        <v>0</v>
      </c>
    </row>
    <row r="136" spans="1:41">
      <c r="A136" s="1">
        <v>41863</v>
      </c>
      <c r="B136" s="5">
        <v>134</v>
      </c>
      <c r="C136" s="3">
        <f>B136/365+input!$K$2</f>
        <v>0.36712328767123287</v>
      </c>
      <c r="D136" s="4">
        <f t="shared" si="58"/>
        <v>22.380735281693319</v>
      </c>
      <c r="E136" s="10">
        <f t="shared" si="62"/>
        <v>16.5459205826008</v>
      </c>
      <c r="F136" s="20">
        <f>input!A135</f>
        <v>5928</v>
      </c>
      <c r="G136" s="19">
        <f t="shared" si="63"/>
        <v>2.3264792582590548E-2</v>
      </c>
      <c r="H136" s="21">
        <f t="shared" si="64"/>
        <v>99.174065623089561</v>
      </c>
      <c r="I136" s="5">
        <v>499</v>
      </c>
      <c r="J136" s="3">
        <f>I136/365+input!$K$2</f>
        <v>1.3671232876712329</v>
      </c>
      <c r="K136" s="4">
        <f t="shared" si="56"/>
        <v>31.983429324561989</v>
      </c>
      <c r="L136" s="10">
        <f t="shared" si="57"/>
        <v>52.608404413598841</v>
      </c>
      <c r="M136" s="20">
        <f>input!B135</f>
        <v>876.83</v>
      </c>
      <c r="N136" s="19">
        <f t="shared" si="65"/>
        <v>0.88913720168789834</v>
      </c>
      <c r="O136" s="21">
        <f t="shared" si="66"/>
        <v>1183.8373362161776</v>
      </c>
      <c r="P136" s="5">
        <v>864</v>
      </c>
      <c r="Q136" s="3">
        <f>P136/365+input!$K$2</f>
        <v>2.3671232876712329</v>
      </c>
      <c r="R136" s="4">
        <f t="shared" si="59"/>
        <v>37.359962033791469</v>
      </c>
      <c r="S136" s="10">
        <f t="shared" si="60"/>
        <v>87.035185836336154</v>
      </c>
      <c r="T136" s="20">
        <f>input!C135</f>
        <v>1.51</v>
      </c>
      <c r="U136" s="19">
        <f t="shared" si="67"/>
        <v>0.99522767058259043</v>
      </c>
      <c r="V136" s="21">
        <f t="shared" si="68"/>
        <v>1720.3051970971767</v>
      </c>
      <c r="W136" s="21">
        <v>1229</v>
      </c>
      <c r="X136" s="3">
        <f>W136/365+input!$K$2</f>
        <v>3.3671232876712329</v>
      </c>
      <c r="Y136" s="4">
        <f t="shared" si="69"/>
        <v>39.469004015014669</v>
      </c>
      <c r="Z136" s="10">
        <f t="shared" si="61"/>
        <v>103.98435971907008</v>
      </c>
      <c r="AA136" s="20">
        <f>input!D135</f>
        <v>0</v>
      </c>
      <c r="AB136" s="19">
        <f t="shared" si="70"/>
        <v>0.99866597068041085</v>
      </c>
      <c r="AC136" s="21">
        <f t="shared" si="71"/>
        <v>1956.3459956959921</v>
      </c>
      <c r="AD136" s="8">
        <f t="shared" si="72"/>
        <v>98084.217213657539</v>
      </c>
      <c r="AE136" s="8">
        <f t="shared" si="73"/>
        <v>46128.627241975875</v>
      </c>
      <c r="AF136" s="8">
        <f t="shared" si="74"/>
        <v>131.4231306128676</v>
      </c>
      <c r="AG136" s="8">
        <f t="shared" si="75"/>
        <v>0</v>
      </c>
      <c r="AH136" s="8">
        <f t="shared" si="76"/>
        <v>2281.9089691015001</v>
      </c>
      <c r="AI136" s="8">
        <f t="shared" si="77"/>
        <v>41014.678543634589</v>
      </c>
      <c r="AJ136" s="8">
        <f t="shared" si="78"/>
        <v>130.79593614051575</v>
      </c>
      <c r="AK136" s="8">
        <f t="shared" si="79"/>
        <v>0</v>
      </c>
      <c r="AL136" s="8">
        <f t="shared" si="80"/>
        <v>226.30618984758883</v>
      </c>
      <c r="AM136" s="8">
        <f t="shared" si="81"/>
        <v>48554.70779285919</v>
      </c>
      <c r="AN136" s="8">
        <f t="shared" si="82"/>
        <v>225.00892870171967</v>
      </c>
      <c r="AO136" s="8">
        <f t="shared" si="83"/>
        <v>0</v>
      </c>
    </row>
    <row r="137" spans="1:41">
      <c r="A137" s="1">
        <v>41864</v>
      </c>
      <c r="B137" s="5">
        <v>135</v>
      </c>
      <c r="C137" s="3">
        <f>B137/365+input!$K$2</f>
        <v>0.36986301369863012</v>
      </c>
      <c r="D137" s="4">
        <f t="shared" si="58"/>
        <v>22.41537945721365</v>
      </c>
      <c r="E137" s="10">
        <f t="shared" si="62"/>
        <v>16.629048057935233</v>
      </c>
      <c r="F137" s="20">
        <f>input!A136</f>
        <v>5923.94</v>
      </c>
      <c r="G137" s="19">
        <f t="shared" si="63"/>
        <v>2.3746664276341641E-2</v>
      </c>
      <c r="H137" s="21">
        <f t="shared" si="64"/>
        <v>101.17937194532124</v>
      </c>
      <c r="I137" s="5">
        <v>500</v>
      </c>
      <c r="J137" s="3">
        <f>I137/365+input!$K$2</f>
        <v>1.3698630136986301</v>
      </c>
      <c r="K137" s="4">
        <f t="shared" si="56"/>
        <v>32.002826541846822</v>
      </c>
      <c r="L137" s="10">
        <f t="shared" si="57"/>
        <v>52.711849415845776</v>
      </c>
      <c r="M137" s="20">
        <f>input!B136</f>
        <v>852.44</v>
      </c>
      <c r="N137" s="19">
        <f t="shared" si="65"/>
        <v>0.89029060096939694</v>
      </c>
      <c r="O137" s="21">
        <f t="shared" si="66"/>
        <v>1185.7228968859463</v>
      </c>
      <c r="P137" s="5">
        <v>865</v>
      </c>
      <c r="Q137" s="3">
        <f>P137/365+input!$K$2</f>
        <v>2.3698630136986303</v>
      </c>
      <c r="R137" s="4">
        <f t="shared" si="59"/>
        <v>37.37082250406516</v>
      </c>
      <c r="S137" s="10">
        <f t="shared" si="60"/>
        <v>87.11718765200466</v>
      </c>
      <c r="T137" s="20">
        <f>input!C136</f>
        <v>1.44</v>
      </c>
      <c r="U137" s="19">
        <f t="shared" si="67"/>
        <v>0.99525882784908271</v>
      </c>
      <c r="V137" s="21">
        <f t="shared" si="68"/>
        <v>1721.4766433460929</v>
      </c>
      <c r="W137" s="21">
        <v>1230</v>
      </c>
      <c r="X137" s="3">
        <f>W137/365+input!$K$2</f>
        <v>3.3698630136986303</v>
      </c>
      <c r="Y137" s="4">
        <f t="shared" si="69"/>
        <v>39.469004015014669</v>
      </c>
      <c r="Z137" s="10">
        <f t="shared" si="61"/>
        <v>103.98435971907008</v>
      </c>
      <c r="AA137" s="20">
        <f>input!D136</f>
        <v>0</v>
      </c>
      <c r="AB137" s="19">
        <f t="shared" si="70"/>
        <v>0.99866597068041085</v>
      </c>
      <c r="AC137" s="21">
        <f t="shared" si="71"/>
        <v>1956.3459956959921</v>
      </c>
      <c r="AD137" s="8">
        <f t="shared" si="72"/>
        <v>98509.482952324834</v>
      </c>
      <c r="AE137" s="8">
        <f t="shared" si="73"/>
        <v>44933.688916043575</v>
      </c>
      <c r="AF137" s="8">
        <f t="shared" si="74"/>
        <v>125.4487502188867</v>
      </c>
      <c r="AG137" s="8">
        <f t="shared" si="75"/>
        <v>0</v>
      </c>
      <c r="AH137" s="8">
        <f t="shared" si="76"/>
        <v>2339.271619704858</v>
      </c>
      <c r="AI137" s="8">
        <f t="shared" si="77"/>
        <v>40004.040908836367</v>
      </c>
      <c r="AJ137" s="8">
        <f t="shared" si="78"/>
        <v>124.85397609798153</v>
      </c>
      <c r="AK137" s="8">
        <f t="shared" si="79"/>
        <v>0</v>
      </c>
      <c r="AL137" s="8">
        <f t="shared" si="80"/>
        <v>236.6860332912519</v>
      </c>
      <c r="AM137" s="8">
        <f t="shared" si="81"/>
        <v>47433.707273569358</v>
      </c>
      <c r="AN137" s="8">
        <f t="shared" si="82"/>
        <v>214.93320368156654</v>
      </c>
      <c r="AO137" s="8">
        <f t="shared" si="83"/>
        <v>0</v>
      </c>
    </row>
    <row r="138" spans="1:41">
      <c r="A138" s="1">
        <v>41865</v>
      </c>
      <c r="B138" s="5">
        <v>136</v>
      </c>
      <c r="C138" s="3">
        <f>B138/365+input!$K$2</f>
        <v>0.37260273972602742</v>
      </c>
      <c r="D138" s="4">
        <f t="shared" si="58"/>
        <v>22.449968625431339</v>
      </c>
      <c r="E138" s="10">
        <f t="shared" si="62"/>
        <v>16.712331148077457</v>
      </c>
      <c r="F138" s="20">
        <f>input!A137</f>
        <v>5919.81</v>
      </c>
      <c r="G138" s="19">
        <f t="shared" si="63"/>
        <v>2.4237480679808156E-2</v>
      </c>
      <c r="H138" s="21">
        <f t="shared" si="64"/>
        <v>103.21060406943853</v>
      </c>
      <c r="I138" s="5">
        <v>501</v>
      </c>
      <c r="J138" s="3">
        <f>I138/365+input!$K$2</f>
        <v>1.3726027397260274</v>
      </c>
      <c r="K138" s="4">
        <f t="shared" si="56"/>
        <v>32.022192960632758</v>
      </c>
      <c r="L138" s="10">
        <f t="shared" si="57"/>
        <v>52.81527037680479</v>
      </c>
      <c r="M138" s="20">
        <f>input!B137</f>
        <v>838.3</v>
      </c>
      <c r="N138" s="19">
        <f t="shared" si="65"/>
        <v>0.89143165937573288</v>
      </c>
      <c r="O138" s="21">
        <f t="shared" si="66"/>
        <v>1187.6043512505526</v>
      </c>
      <c r="P138" s="5">
        <v>866</v>
      </c>
      <c r="Q138" s="3">
        <f>P138/365+input!$K$2</f>
        <v>2.3726027397260272</v>
      </c>
      <c r="R138" s="4">
        <f t="shared" si="59"/>
        <v>37.381665730309635</v>
      </c>
      <c r="S138" s="10">
        <f t="shared" si="60"/>
        <v>87.199112538243796</v>
      </c>
      <c r="T138" s="20">
        <f>input!C137</f>
        <v>1.41</v>
      </c>
      <c r="U138" s="19">
        <f t="shared" si="67"/>
        <v>0.99528973367119866</v>
      </c>
      <c r="V138" s="21">
        <f t="shared" si="68"/>
        <v>1722.6466780959408</v>
      </c>
      <c r="W138" s="21">
        <v>1231</v>
      </c>
      <c r="X138" s="3">
        <f>W138/365+input!$K$2</f>
        <v>3.3726027397260272</v>
      </c>
      <c r="Y138" s="4">
        <f t="shared" si="69"/>
        <v>39.469004015014669</v>
      </c>
      <c r="Z138" s="10">
        <f t="shared" si="61"/>
        <v>103.98435971907008</v>
      </c>
      <c r="AA138" s="20">
        <f>input!D137</f>
        <v>0</v>
      </c>
      <c r="AB138" s="19">
        <f t="shared" si="70"/>
        <v>0.99866597068041085</v>
      </c>
      <c r="AC138" s="21">
        <f t="shared" si="71"/>
        <v>1956.3459956959921</v>
      </c>
      <c r="AD138" s="8">
        <f t="shared" si="72"/>
        <v>98933.825053700421</v>
      </c>
      <c r="AE138" s="8">
        <f t="shared" si="73"/>
        <v>44275.04115687545</v>
      </c>
      <c r="AF138" s="8">
        <f t="shared" si="74"/>
        <v>122.95074867892374</v>
      </c>
      <c r="AG138" s="8">
        <f t="shared" si="75"/>
        <v>0</v>
      </c>
      <c r="AH138" s="8">
        <f t="shared" si="76"/>
        <v>2397.9066733185841</v>
      </c>
      <c r="AI138" s="8">
        <f t="shared" si="77"/>
        <v>39468.173407402348</v>
      </c>
      <c r="AJ138" s="8">
        <f t="shared" si="78"/>
        <v>122.3716179073205</v>
      </c>
      <c r="AK138" s="8">
        <f t="shared" si="79"/>
        <v>0</v>
      </c>
      <c r="AL138" s="8">
        <f t="shared" si="80"/>
        <v>247.48939625534888</v>
      </c>
      <c r="AM138" s="8">
        <f t="shared" si="81"/>
        <v>46872.57447454238</v>
      </c>
      <c r="AN138" s="8">
        <f t="shared" si="82"/>
        <v>210.80306108127141</v>
      </c>
      <c r="AO138" s="8">
        <f t="shared" si="83"/>
        <v>0</v>
      </c>
    </row>
    <row r="139" spans="1:41">
      <c r="A139" s="1">
        <v>41866</v>
      </c>
      <c r="B139" s="5">
        <v>137</v>
      </c>
      <c r="C139" s="3">
        <f>B139/365+input!$K$2</f>
        <v>0.37534246575342467</v>
      </c>
      <c r="D139" s="4">
        <f t="shared" si="58"/>
        <v>22.484502873685862</v>
      </c>
      <c r="E139" s="10">
        <f t="shared" si="62"/>
        <v>16.795769242038894</v>
      </c>
      <c r="F139" s="20">
        <f>input!A138</f>
        <v>5915.66</v>
      </c>
      <c r="G139" s="19">
        <f t="shared" si="63"/>
        <v>2.4737381689897898E-2</v>
      </c>
      <c r="H139" s="21">
        <f t="shared" si="64"/>
        <v>105.26778417550067</v>
      </c>
      <c r="I139" s="5">
        <v>502</v>
      </c>
      <c r="J139" s="3">
        <f>I139/365+input!$K$2</f>
        <v>1.3753424657534246</v>
      </c>
      <c r="K139" s="4">
        <f t="shared" si="56"/>
        <v>32.04152862982103</v>
      </c>
      <c r="L139" s="10">
        <f t="shared" si="57"/>
        <v>52.91866699465028</v>
      </c>
      <c r="M139" s="20">
        <f>input!B138</f>
        <v>837.72</v>
      </c>
      <c r="N139" s="19">
        <f t="shared" si="65"/>
        <v>0.89256049517107305</v>
      </c>
      <c r="O139" s="21">
        <f t="shared" si="66"/>
        <v>1189.4817347622843</v>
      </c>
      <c r="P139" s="5">
        <v>867</v>
      </c>
      <c r="Q139" s="3">
        <f>P139/365+input!$K$2</f>
        <v>2.3753424657534246</v>
      </c>
      <c r="R139" s="4">
        <f t="shared" si="59"/>
        <v>37.392491739904592</v>
      </c>
      <c r="S139" s="10">
        <f t="shared" si="60"/>
        <v>87.280960467274895</v>
      </c>
      <c r="T139" s="20">
        <f>input!C138</f>
        <v>1.4</v>
      </c>
      <c r="U139" s="19">
        <f t="shared" si="67"/>
        <v>0.99532039038276265</v>
      </c>
      <c r="V139" s="21">
        <f t="shared" si="68"/>
        <v>1723.815302299377</v>
      </c>
      <c r="W139" s="21">
        <v>1232</v>
      </c>
      <c r="X139" s="3">
        <f>W139/365+input!$K$2</f>
        <v>3.3753424657534246</v>
      </c>
      <c r="Y139" s="4">
        <f t="shared" si="69"/>
        <v>39.469004015014669</v>
      </c>
      <c r="Z139" s="10">
        <f t="shared" si="61"/>
        <v>103.98435971907008</v>
      </c>
      <c r="AA139" s="20">
        <f>input!D138</f>
        <v>0</v>
      </c>
      <c r="AB139" s="19">
        <f t="shared" si="70"/>
        <v>0.99866597068041085</v>
      </c>
      <c r="AC139" s="21">
        <f t="shared" si="71"/>
        <v>1956.3459956959921</v>
      </c>
      <c r="AD139" s="8">
        <f t="shared" si="72"/>
        <v>99358.060274359799</v>
      </c>
      <c r="AE139" s="8">
        <f t="shared" si="73"/>
        <v>44331.025714758434</v>
      </c>
      <c r="AF139" s="8">
        <f t="shared" si="74"/>
        <v>122.19334465418484</v>
      </c>
      <c r="AG139" s="8">
        <f t="shared" si="75"/>
        <v>0</v>
      </c>
      <c r="AH139" s="8">
        <f t="shared" si="76"/>
        <v>2457.85826097472</v>
      </c>
      <c r="AI139" s="8">
        <f t="shared" si="77"/>
        <v>39568.12226340636</v>
      </c>
      <c r="AJ139" s="8">
        <f t="shared" si="78"/>
        <v>121.62152750337872</v>
      </c>
      <c r="AK139" s="8">
        <f t="shared" si="79"/>
        <v>0</v>
      </c>
      <c r="AL139" s="8">
        <f t="shared" si="80"/>
        <v>258.7332929502582</v>
      </c>
      <c r="AM139" s="8">
        <f t="shared" si="81"/>
        <v>47065.558711162761</v>
      </c>
      <c r="AN139" s="8">
        <f t="shared" si="82"/>
        <v>209.65305019934877</v>
      </c>
      <c r="AO139" s="8">
        <f t="shared" si="83"/>
        <v>0</v>
      </c>
    </row>
    <row r="140" spans="1:41">
      <c r="A140" s="1">
        <v>41867</v>
      </c>
      <c r="B140" s="5">
        <v>138</v>
      </c>
      <c r="C140" s="3">
        <f>B140/365+input!$K$2</f>
        <v>0.37808219178082192</v>
      </c>
      <c r="D140" s="4">
        <f t="shared" si="58"/>
        <v>22.518982289177984</v>
      </c>
      <c r="E140" s="10">
        <f t="shared" si="62"/>
        <v>16.879361728548265</v>
      </c>
      <c r="F140" s="20">
        <f>input!A139</f>
        <v>5911.61</v>
      </c>
      <c r="G140" s="19">
        <f t="shared" si="63"/>
        <v>2.5246508699574281E-2</v>
      </c>
      <c r="H140" s="21">
        <f t="shared" si="64"/>
        <v>107.35092841039736</v>
      </c>
      <c r="I140" s="5">
        <v>503</v>
      </c>
      <c r="J140" s="3">
        <f>I140/365+input!$K$2</f>
        <v>1.3780821917808219</v>
      </c>
      <c r="K140" s="4">
        <f t="shared" si="56"/>
        <v>32.060833598235199</v>
      </c>
      <c r="L140" s="10">
        <f t="shared" si="57"/>
        <v>53.022038968630504</v>
      </c>
      <c r="M140" s="20">
        <f>input!B139</f>
        <v>807.18</v>
      </c>
      <c r="N140" s="19">
        <f t="shared" si="65"/>
        <v>0.89367722603825583</v>
      </c>
      <c r="O140" s="21">
        <f t="shared" si="66"/>
        <v>1191.355082484248</v>
      </c>
      <c r="P140" s="5">
        <v>868</v>
      </c>
      <c r="Q140" s="3">
        <f>P140/365+input!$K$2</f>
        <v>2.3780821917808219</v>
      </c>
      <c r="R140" s="4">
        <f t="shared" si="59"/>
        <v>37.403300560186281</v>
      </c>
      <c r="S140" s="10">
        <f t="shared" si="60"/>
        <v>87.36273141174982</v>
      </c>
      <c r="T140" s="20">
        <f>input!C139</f>
        <v>1.35</v>
      </c>
      <c r="U140" s="19">
        <f t="shared" si="67"/>
        <v>0.99535080029349676</v>
      </c>
      <c r="V140" s="21">
        <f t="shared" si="68"/>
        <v>1724.9825169099192</v>
      </c>
      <c r="W140" s="21">
        <v>1233</v>
      </c>
      <c r="X140" s="3">
        <f>W140/365+input!$K$2</f>
        <v>3.3780821917808219</v>
      </c>
      <c r="Y140" s="4">
        <f t="shared" si="69"/>
        <v>39.469004015014669</v>
      </c>
      <c r="Z140" s="10">
        <f t="shared" si="61"/>
        <v>103.98435971907008</v>
      </c>
      <c r="AA140" s="20">
        <f>input!D139</f>
        <v>0</v>
      </c>
      <c r="AB140" s="19">
        <f t="shared" si="70"/>
        <v>0.99866597068041085</v>
      </c>
      <c r="AC140" s="21">
        <f t="shared" si="71"/>
        <v>1956.3459956959921</v>
      </c>
      <c r="AD140" s="8">
        <f t="shared" si="72"/>
        <v>99784.203588103206</v>
      </c>
      <c r="AE140" s="8">
        <f t="shared" si="73"/>
        <v>42798.329414699168</v>
      </c>
      <c r="AF140" s="8">
        <f t="shared" si="74"/>
        <v>117.93968740586226</v>
      </c>
      <c r="AG140" s="8">
        <f t="shared" si="75"/>
        <v>0</v>
      </c>
      <c r="AH140" s="8">
        <f t="shared" si="76"/>
        <v>2519.2027639671387</v>
      </c>
      <c r="AI140" s="8">
        <f t="shared" si="77"/>
        <v>38247.892310399839</v>
      </c>
      <c r="AJ140" s="8">
        <f t="shared" si="78"/>
        <v>117.39136224578984</v>
      </c>
      <c r="AK140" s="8">
        <f t="shared" si="79"/>
        <v>0</v>
      </c>
      <c r="AL140" s="8">
        <f t="shared" si="80"/>
        <v>270.43875556591149</v>
      </c>
      <c r="AM140" s="8">
        <f t="shared" si="81"/>
        <v>45566.820898305035</v>
      </c>
      <c r="AN140" s="8">
        <f t="shared" si="82"/>
        <v>202.4980475102266</v>
      </c>
      <c r="AO140" s="8">
        <f t="shared" si="83"/>
        <v>0</v>
      </c>
    </row>
    <row r="141" spans="1:41">
      <c r="A141" s="1">
        <v>41868</v>
      </c>
      <c r="B141" s="5">
        <v>139</v>
      </c>
      <c r="C141" s="3">
        <f>B141/365+input!$K$2</f>
        <v>0.38082191780821917</v>
      </c>
      <c r="D141" s="4">
        <f t="shared" si="58"/>
        <v>22.553406958970029</v>
      </c>
      <c r="E141" s="10">
        <f t="shared" si="62"/>
        <v>16.963107996065897</v>
      </c>
      <c r="F141" s="20">
        <f>input!A140</f>
        <v>5907.56</v>
      </c>
      <c r="G141" s="19">
        <f t="shared" si="63"/>
        <v>2.5765004593441408E-2</v>
      </c>
      <c r="H141" s="21">
        <f t="shared" si="64"/>
        <v>109.4600468610122</v>
      </c>
      <c r="I141" s="5">
        <v>504</v>
      </c>
      <c r="J141" s="3">
        <f>I141/365+input!$K$2</f>
        <v>1.3808219178082193</v>
      </c>
      <c r="K141" s="4">
        <f t="shared" si="56"/>
        <v>32.080107914621323</v>
      </c>
      <c r="L141" s="10">
        <f t="shared" si="57"/>
        <v>53.125385999067028</v>
      </c>
      <c r="M141" s="20">
        <f>input!B140</f>
        <v>806.63</v>
      </c>
      <c r="N141" s="19">
        <f t="shared" si="65"/>
        <v>0.89478196906349738</v>
      </c>
      <c r="O141" s="21">
        <f t="shared" si="66"/>
        <v>1193.2244290922872</v>
      </c>
      <c r="P141" s="5">
        <v>869</v>
      </c>
      <c r="Q141" s="3">
        <f>P141/365+input!$K$2</f>
        <v>2.3808219178082193</v>
      </c>
      <c r="R141" s="4">
        <f t="shared" si="59"/>
        <v>37.414092218447536</v>
      </c>
      <c r="S141" s="10">
        <f t="shared" si="60"/>
        <v>87.444425344748311</v>
      </c>
      <c r="T141" s="20">
        <f>input!C140</f>
        <v>1.34</v>
      </c>
      <c r="U141" s="19">
        <f t="shared" si="67"/>
        <v>0.99538096568929024</v>
      </c>
      <c r="V141" s="21">
        <f t="shared" si="68"/>
        <v>1726.148322881932</v>
      </c>
      <c r="W141" s="21">
        <v>1234</v>
      </c>
      <c r="X141" s="3">
        <f>W141/365+input!$K$2</f>
        <v>3.3808219178082193</v>
      </c>
      <c r="Y141" s="4">
        <f t="shared" si="69"/>
        <v>39.469004015014669</v>
      </c>
      <c r="Z141" s="10">
        <f t="shared" si="61"/>
        <v>103.98435971907008</v>
      </c>
      <c r="AA141" s="20">
        <f>input!D140</f>
        <v>0</v>
      </c>
      <c r="AB141" s="19">
        <f t="shared" si="70"/>
        <v>0.99866597068041085</v>
      </c>
      <c r="AC141" s="21">
        <f t="shared" si="71"/>
        <v>1956.3459956959921</v>
      </c>
      <c r="AD141" s="8">
        <f t="shared" si="72"/>
        <v>100210.57827323907</v>
      </c>
      <c r="AE141" s="8">
        <f t="shared" si="73"/>
        <v>42852.53010842744</v>
      </c>
      <c r="AF141" s="8">
        <f t="shared" si="74"/>
        <v>117.17552996196274</v>
      </c>
      <c r="AG141" s="8">
        <f t="shared" si="75"/>
        <v>0</v>
      </c>
      <c r="AH141" s="8">
        <f t="shared" si="76"/>
        <v>2581.9260095214245</v>
      </c>
      <c r="AI141" s="8">
        <f t="shared" si="77"/>
        <v>38343.671269771512</v>
      </c>
      <c r="AJ141" s="8">
        <f t="shared" si="78"/>
        <v>116.63429216869284</v>
      </c>
      <c r="AK141" s="8">
        <f t="shared" si="79"/>
        <v>0</v>
      </c>
      <c r="AL141" s="8">
        <f t="shared" si="80"/>
        <v>282.61774199388134</v>
      </c>
      <c r="AM141" s="8">
        <f t="shared" si="81"/>
        <v>45752.605260175442</v>
      </c>
      <c r="AN141" s="8">
        <f t="shared" si="82"/>
        <v>201.32808781751038</v>
      </c>
      <c r="AO141" s="8">
        <f t="shared" si="83"/>
        <v>0</v>
      </c>
    </row>
    <row r="142" spans="1:41">
      <c r="A142" s="1">
        <v>41869</v>
      </c>
      <c r="B142" s="5">
        <v>140</v>
      </c>
      <c r="C142" s="3">
        <f>B142/365+input!$K$2</f>
        <v>0.38356164383561642</v>
      </c>
      <c r="D142" s="4">
        <f t="shared" si="58"/>
        <v>22.587776969986084</v>
      </c>
      <c r="E142" s="10">
        <f t="shared" si="62"/>
        <v>17.047007432798001</v>
      </c>
      <c r="F142" s="20">
        <f>input!A141</f>
        <v>5903.52</v>
      </c>
      <c r="G142" s="19">
        <f t="shared" si="63"/>
        <v>2.62930137425215E-2</v>
      </c>
      <c r="H142" s="21">
        <f t="shared" si="64"/>
        <v>111.59514353062401</v>
      </c>
      <c r="I142" s="5">
        <v>505</v>
      </c>
      <c r="J142" s="3">
        <f>I142/365+input!$K$2</f>
        <v>1.3835616438356164</v>
      </c>
      <c r="K142" s="4">
        <f t="shared" si="56"/>
        <v>32.099351627648041</v>
      </c>
      <c r="L142" s="10">
        <f t="shared" si="57"/>
        <v>53.228707787352882</v>
      </c>
      <c r="M142" s="20">
        <f>input!B141</f>
        <v>780.59</v>
      </c>
      <c r="N142" s="19">
        <f t="shared" si="65"/>
        <v>0.89587484072177426</v>
      </c>
      <c r="O142" s="21">
        <f t="shared" si="66"/>
        <v>1195.0898088769127</v>
      </c>
      <c r="P142" s="5">
        <v>870</v>
      </c>
      <c r="Q142" s="3">
        <f>P142/365+input!$K$2</f>
        <v>2.3835616438356166</v>
      </c>
      <c r="R142" s="4">
        <f t="shared" si="59"/>
        <v>37.424866741937855</v>
      </c>
      <c r="S142" s="10">
        <f t="shared" si="60"/>
        <v>87.526042239778576</v>
      </c>
      <c r="T142" s="20">
        <f>input!C141</f>
        <v>1.27</v>
      </c>
      <c r="U142" s="19">
        <f t="shared" si="67"/>
        <v>0.99541088883246809</v>
      </c>
      <c r="V142" s="21">
        <f t="shared" si="68"/>
        <v>1727.3127211706803</v>
      </c>
      <c r="W142" s="21">
        <v>1235</v>
      </c>
      <c r="X142" s="3">
        <f>W142/365+input!$K$2</f>
        <v>3.3835616438356166</v>
      </c>
      <c r="Y142" s="4">
        <f t="shared" si="69"/>
        <v>39.469004015014669</v>
      </c>
      <c r="Z142" s="10">
        <f t="shared" si="61"/>
        <v>103.98435971907008</v>
      </c>
      <c r="AA142" s="20">
        <f>input!D141</f>
        <v>0</v>
      </c>
      <c r="AB142" s="19">
        <f t="shared" si="70"/>
        <v>0.99866597068041085</v>
      </c>
      <c r="AC142" s="21">
        <f t="shared" si="71"/>
        <v>1956.3459956959921</v>
      </c>
      <c r="AD142" s="8">
        <f t="shared" si="72"/>
        <v>100637.34931967166</v>
      </c>
      <c r="AE142" s="8">
        <f t="shared" si="73"/>
        <v>41549.797011729788</v>
      </c>
      <c r="AF142" s="8">
        <f t="shared" si="74"/>
        <v>111.15807364451879</v>
      </c>
      <c r="AG142" s="8">
        <f t="shared" si="75"/>
        <v>0</v>
      </c>
      <c r="AH142" s="8">
        <f t="shared" si="76"/>
        <v>2646.0592086730635</v>
      </c>
      <c r="AI142" s="8">
        <f t="shared" si="77"/>
        <v>37223.417779905474</v>
      </c>
      <c r="AJ142" s="8">
        <f t="shared" si="78"/>
        <v>110.6479568873954</v>
      </c>
      <c r="AK142" s="8">
        <f t="shared" si="79"/>
        <v>0</v>
      </c>
      <c r="AL142" s="8">
        <f t="shared" si="80"/>
        <v>295.28735718239989</v>
      </c>
      <c r="AM142" s="8">
        <f t="shared" si="81"/>
        <v>44485.327240332706</v>
      </c>
      <c r="AN142" s="8">
        <f t="shared" si="82"/>
        <v>191.12362350314305</v>
      </c>
      <c r="AO142" s="8">
        <f t="shared" si="83"/>
        <v>0</v>
      </c>
    </row>
    <row r="143" spans="1:41">
      <c r="A143" s="1">
        <v>41870</v>
      </c>
      <c r="B143" s="5">
        <v>141</v>
      </c>
      <c r="C143" s="3">
        <f>B143/365+input!$K$2</f>
        <v>0.38630136986301372</v>
      </c>
      <c r="D143" s="4">
        <f t="shared" si="58"/>
        <v>22.622092409012222</v>
      </c>
      <c r="E143" s="10">
        <f t="shared" si="62"/>
        <v>17.131059426710792</v>
      </c>
      <c r="F143" s="20">
        <f>input!A142</f>
        <v>5894.32</v>
      </c>
      <c r="G143" s="19">
        <f t="shared" si="63"/>
        <v>2.6830681998200438E-2</v>
      </c>
      <c r="H143" s="21">
        <f t="shared" si="64"/>
        <v>113.75621631856291</v>
      </c>
      <c r="I143" s="5">
        <v>506</v>
      </c>
      <c r="J143" s="3">
        <f>I143/365+input!$K$2</f>
        <v>1.3863013698630138</v>
      </c>
      <c r="K143" s="4">
        <f t="shared" si="56"/>
        <v>32.118564785906756</v>
      </c>
      <c r="L143" s="10">
        <f t="shared" si="57"/>
        <v>53.332004035951563</v>
      </c>
      <c r="M143" s="20">
        <f>input!B142</f>
        <v>760.37</v>
      </c>
      <c r="N143" s="19">
        <f t="shared" si="65"/>
        <v>0.89695595686287066</v>
      </c>
      <c r="O143" s="21">
        <f t="shared" si="66"/>
        <v>1196.9512557453324</v>
      </c>
      <c r="P143" s="5">
        <v>871</v>
      </c>
      <c r="Q143" s="3">
        <f>P143/365+input!$K$2</f>
        <v>2.3863013698630136</v>
      </c>
      <c r="R143" s="4">
        <f t="shared" si="59"/>
        <v>37.435624157863465</v>
      </c>
      <c r="S143" s="10">
        <f t="shared" si="60"/>
        <v>87.607582070773603</v>
      </c>
      <c r="T143" s="20">
        <f>input!C142</f>
        <v>1.23</v>
      </c>
      <c r="U143" s="19">
        <f t="shared" si="67"/>
        <v>0.99544057196205482</v>
      </c>
      <c r="V143" s="21">
        <f t="shared" si="68"/>
        <v>1728.4757127323178</v>
      </c>
      <c r="W143" s="21">
        <v>1236</v>
      </c>
      <c r="X143" s="3">
        <f>W143/365+input!$K$2</f>
        <v>3.3863013698630136</v>
      </c>
      <c r="Y143" s="4">
        <f t="shared" si="69"/>
        <v>39.469004015014669</v>
      </c>
      <c r="Z143" s="10">
        <f t="shared" si="61"/>
        <v>103.98435971907008</v>
      </c>
      <c r="AA143" s="20">
        <f>input!D142</f>
        <v>0</v>
      </c>
      <c r="AB143" s="19">
        <f t="shared" si="70"/>
        <v>0.99866597068041085</v>
      </c>
      <c r="AC143" s="21">
        <f t="shared" si="71"/>
        <v>1956.3459956959921</v>
      </c>
      <c r="AD143" s="8">
        <f t="shared" si="72"/>
        <v>100975.94620004995</v>
      </c>
      <c r="AE143" s="8">
        <f t="shared" si="73"/>
        <v>40552.055908816488</v>
      </c>
      <c r="AF143" s="8">
        <f t="shared" si="74"/>
        <v>107.75732594705153</v>
      </c>
      <c r="AG143" s="8">
        <f t="shared" si="75"/>
        <v>0</v>
      </c>
      <c r="AH143" s="8">
        <f t="shared" si="76"/>
        <v>2709.2535019609359</v>
      </c>
      <c r="AI143" s="8">
        <f t="shared" si="77"/>
        <v>36373.40811044912</v>
      </c>
      <c r="AJ143" s="8">
        <f t="shared" si="78"/>
        <v>107.26601417383455</v>
      </c>
      <c r="AK143" s="8">
        <f t="shared" si="79"/>
        <v>0</v>
      </c>
      <c r="AL143" s="8">
        <f t="shared" si="80"/>
        <v>308.19442743089229</v>
      </c>
      <c r="AM143" s="8">
        <f t="shared" si="81"/>
        <v>43537.196513539529</v>
      </c>
      <c r="AN143" s="8">
        <f t="shared" si="82"/>
        <v>185.40670030107358</v>
      </c>
      <c r="AO143" s="8">
        <f t="shared" si="83"/>
        <v>0</v>
      </c>
    </row>
    <row r="144" spans="1:41">
      <c r="A144" s="1">
        <v>41871</v>
      </c>
      <c r="B144" s="5">
        <v>142</v>
      </c>
      <c r="C144" s="3">
        <f>B144/365+input!$K$2</f>
        <v>0.38904109589041097</v>
      </c>
      <c r="D144" s="4">
        <f t="shared" si="58"/>
        <v>22.656353362696706</v>
      </c>
      <c r="E144" s="10">
        <f t="shared" si="62"/>
        <v>17.215263365544558</v>
      </c>
      <c r="F144" s="20">
        <f>input!A143</f>
        <v>5889.25</v>
      </c>
      <c r="G144" s="19">
        <f t="shared" si="63"/>
        <v>2.7378156685316259E-2</v>
      </c>
      <c r="H144" s="21">
        <f t="shared" si="64"/>
        <v>115.94325700312885</v>
      </c>
      <c r="I144" s="5">
        <v>507</v>
      </c>
      <c r="J144" s="3">
        <f>I144/365+input!$K$2</f>
        <v>1.3890410958904109</v>
      </c>
      <c r="K144" s="4">
        <f t="shared" si="56"/>
        <v>32.137747437911671</v>
      </c>
      <c r="L144" s="10">
        <f t="shared" si="57"/>
        <v>53.435274448394814</v>
      </c>
      <c r="M144" s="20">
        <f>input!B143</f>
        <v>747.06</v>
      </c>
      <c r="N144" s="19">
        <f t="shared" si="65"/>
        <v>0.89802543269806512</v>
      </c>
      <c r="O144" s="21">
        <f t="shared" si="66"/>
        <v>1198.8088032235</v>
      </c>
      <c r="P144" s="5">
        <v>872</v>
      </c>
      <c r="Q144" s="3">
        <f>P144/365+input!$K$2</f>
        <v>2.3890410958904109</v>
      </c>
      <c r="R144" s="4">
        <f t="shared" si="59"/>
        <v>37.446364493387414</v>
      </c>
      <c r="S144" s="10">
        <f t="shared" si="60"/>
        <v>87.68904481209168</v>
      </c>
      <c r="T144" s="20">
        <f>input!C143</f>
        <v>1.2</v>
      </c>
      <c r="U144" s="19">
        <f t="shared" si="67"/>
        <v>0.99547001729403506</v>
      </c>
      <c r="V144" s="21">
        <f t="shared" si="68"/>
        <v>1729.6372985239202</v>
      </c>
      <c r="W144" s="21">
        <v>1237</v>
      </c>
      <c r="X144" s="3">
        <f>W144/365+input!$K$2</f>
        <v>3.3890410958904109</v>
      </c>
      <c r="Y144" s="4">
        <f t="shared" si="69"/>
        <v>39.469004015014669</v>
      </c>
      <c r="Z144" s="10">
        <f t="shared" si="61"/>
        <v>103.98435971907008</v>
      </c>
      <c r="AA144" s="20">
        <f>input!D143</f>
        <v>0</v>
      </c>
      <c r="AB144" s="19">
        <f t="shared" si="70"/>
        <v>0.99866597068041085</v>
      </c>
      <c r="AC144" s="21">
        <f t="shared" si="71"/>
        <v>1956.3459956959921</v>
      </c>
      <c r="AD144" s="8">
        <f t="shared" si="72"/>
        <v>101384.98977553329</v>
      </c>
      <c r="AE144" s="8">
        <f t="shared" si="73"/>
        <v>39919.356129417829</v>
      </c>
      <c r="AF144" s="8">
        <f t="shared" si="74"/>
        <v>105.22685377451002</v>
      </c>
      <c r="AG144" s="8">
        <f t="shared" si="75"/>
        <v>0</v>
      </c>
      <c r="AH144" s="8">
        <f t="shared" si="76"/>
        <v>2775.7341356137376</v>
      </c>
      <c r="AI144" s="8">
        <f t="shared" si="77"/>
        <v>35848.597061148605</v>
      </c>
      <c r="AJ144" s="8">
        <f t="shared" si="78"/>
        <v>104.75017794670839</v>
      </c>
      <c r="AK144" s="8">
        <f t="shared" si="79"/>
        <v>0</v>
      </c>
      <c r="AL144" s="8">
        <f t="shared" si="80"/>
        <v>321.82765625782133</v>
      </c>
      <c r="AM144" s="8">
        <f t="shared" si="81"/>
        <v>42975.613740117034</v>
      </c>
      <c r="AN144" s="8">
        <f t="shared" si="82"/>
        <v>181.17981480364463</v>
      </c>
      <c r="AO144" s="8">
        <f t="shared" si="83"/>
        <v>0</v>
      </c>
    </row>
    <row r="145" spans="1:41">
      <c r="A145" s="1">
        <v>41872</v>
      </c>
      <c r="B145" s="5">
        <v>143</v>
      </c>
      <c r="C145" s="3">
        <f>B145/365+input!$K$2</f>
        <v>0.39178082191780822</v>
      </c>
      <c r="D145" s="4">
        <f t="shared" si="58"/>
        <v>22.690559917550246</v>
      </c>
      <c r="E145" s="10">
        <f t="shared" si="62"/>
        <v>17.299618636827791</v>
      </c>
      <c r="F145" s="20">
        <f>input!A144</f>
        <v>5885.2</v>
      </c>
      <c r="G145" s="19">
        <f t="shared" si="63"/>
        <v>2.7935586594365472E-2</v>
      </c>
      <c r="H145" s="21">
        <f t="shared" si="64"/>
        <v>118.1562512277859</v>
      </c>
      <c r="I145" s="5">
        <v>508</v>
      </c>
      <c r="J145" s="3">
        <f>I145/365+input!$K$2</f>
        <v>1.3917808219178083</v>
      </c>
      <c r="K145" s="4">
        <f t="shared" si="56"/>
        <v>32.1568996321</v>
      </c>
      <c r="L145" s="10">
        <f t="shared" si="57"/>
        <v>53.538518729282181</v>
      </c>
      <c r="M145" s="20">
        <f>input!B144</f>
        <v>746.55</v>
      </c>
      <c r="N145" s="19">
        <f t="shared" si="65"/>
        <v>0.89908338278746258</v>
      </c>
      <c r="O145" s="21">
        <f t="shared" si="66"/>
        <v>1200.6624844582279</v>
      </c>
      <c r="P145" s="5">
        <v>873</v>
      </c>
      <c r="Q145" s="3">
        <f>P145/365+input!$K$2</f>
        <v>2.3917808219178083</v>
      </c>
      <c r="R145" s="4">
        <f t="shared" si="59"/>
        <v>37.457087775629596</v>
      </c>
      <c r="S145" s="10">
        <f t="shared" si="60"/>
        <v>87.770430438512875</v>
      </c>
      <c r="T145" s="20">
        <f>input!C144</f>
        <v>1.19</v>
      </c>
      <c r="U145" s="19">
        <f t="shared" si="67"/>
        <v>0.99549922702161298</v>
      </c>
      <c r="V145" s="21">
        <f t="shared" si="68"/>
        <v>1730.7974795034884</v>
      </c>
      <c r="W145" s="21">
        <v>1238</v>
      </c>
      <c r="X145" s="3">
        <f>W145/365+input!$K$2</f>
        <v>3.3917808219178083</v>
      </c>
      <c r="Y145" s="4">
        <f t="shared" si="69"/>
        <v>39.469004015014669</v>
      </c>
      <c r="Z145" s="10">
        <f t="shared" si="61"/>
        <v>103.98435971907008</v>
      </c>
      <c r="AA145" s="20">
        <f>input!D144</f>
        <v>0</v>
      </c>
      <c r="AB145" s="19">
        <f t="shared" si="70"/>
        <v>0.99866597068041085</v>
      </c>
      <c r="AC145" s="21">
        <f t="shared" si="71"/>
        <v>1956.3459956959921</v>
      </c>
      <c r="AD145" s="8">
        <f t="shared" si="72"/>
        <v>101811.71560145891</v>
      </c>
      <c r="AE145" s="8">
        <f t="shared" si="73"/>
        <v>39969.181157345607</v>
      </c>
      <c r="AF145" s="8">
        <f t="shared" si="74"/>
        <v>104.44681222183031</v>
      </c>
      <c r="AG145" s="8">
        <f t="shared" si="75"/>
        <v>0</v>
      </c>
      <c r="AH145" s="8">
        <f t="shared" si="76"/>
        <v>2844.1699975054657</v>
      </c>
      <c r="AI145" s="8">
        <f t="shared" si="77"/>
        <v>35935.626602191194</v>
      </c>
      <c r="AJ145" s="8">
        <f t="shared" si="78"/>
        <v>103.97672083170363</v>
      </c>
      <c r="AK145" s="8">
        <f t="shared" si="79"/>
        <v>0</v>
      </c>
      <c r="AL145" s="8">
        <f t="shared" si="80"/>
        <v>336.05646475978705</v>
      </c>
      <c r="AM145" s="8">
        <f t="shared" si="81"/>
        <v>43146.558716750071</v>
      </c>
      <c r="AN145" s="8">
        <f t="shared" si="82"/>
        <v>179.9626463425505</v>
      </c>
      <c r="AO145" s="8">
        <f t="shared" si="83"/>
        <v>0</v>
      </c>
    </row>
    <row r="146" spans="1:41">
      <c r="A146" s="1">
        <v>41873</v>
      </c>
      <c r="B146" s="5">
        <v>144</v>
      </c>
      <c r="C146" s="3">
        <f>B146/365+input!$K$2</f>
        <v>0.39452054794520547</v>
      </c>
      <c r="D146" s="4">
        <f t="shared" si="58"/>
        <v>22.724712159946154</v>
      </c>
      <c r="E146" s="10">
        <f t="shared" si="62"/>
        <v>17.38412462789065</v>
      </c>
      <c r="F146" s="20">
        <f>input!A145</f>
        <v>5881.17</v>
      </c>
      <c r="G146" s="19">
        <f t="shared" si="63"/>
        <v>2.8503121972799417E-2</v>
      </c>
      <c r="H146" s="21">
        <f t="shared" si="64"/>
        <v>120.39517849062621</v>
      </c>
      <c r="I146" s="5">
        <v>509</v>
      </c>
      <c r="J146" s="3">
        <f>I146/365+input!$K$2</f>
        <v>1.3945205479452054</v>
      </c>
      <c r="K146" s="4">
        <f t="shared" si="56"/>
        <v>32.176021416832015</v>
      </c>
      <c r="L146" s="10">
        <f t="shared" si="57"/>
        <v>53.641736584278902</v>
      </c>
      <c r="M146" s="20">
        <f>input!B145</f>
        <v>717.19</v>
      </c>
      <c r="N146" s="19">
        <f t="shared" si="65"/>
        <v>0.90012992102793166</v>
      </c>
      <c r="O146" s="21">
        <f t="shared" si="66"/>
        <v>1202.5123322193451</v>
      </c>
      <c r="P146" s="5">
        <v>874</v>
      </c>
      <c r="Q146" s="3">
        <f>P146/365+input!$K$2</f>
        <v>2.3945205479452056</v>
      </c>
      <c r="R146" s="4">
        <f t="shared" si="59"/>
        <v>37.46779403166687</v>
      </c>
      <c r="S146" s="10">
        <f t="shared" si="60"/>
        <v>87.851738925239687</v>
      </c>
      <c r="T146" s="20">
        <f>input!C145</f>
        <v>1.1499999999999999</v>
      </c>
      <c r="U146" s="19">
        <f t="shared" si="67"/>
        <v>0.99552820331546588</v>
      </c>
      <c r="V146" s="21">
        <f t="shared" si="68"/>
        <v>1731.9562566299817</v>
      </c>
      <c r="W146" s="21">
        <v>1239</v>
      </c>
      <c r="X146" s="3">
        <f>W146/365+input!$K$2</f>
        <v>3.3945205479452056</v>
      </c>
      <c r="Y146" s="4">
        <f t="shared" si="69"/>
        <v>39.469004015014669</v>
      </c>
      <c r="Z146" s="10">
        <f t="shared" si="61"/>
        <v>103.98435971907008</v>
      </c>
      <c r="AA146" s="20">
        <f>input!D145</f>
        <v>0</v>
      </c>
      <c r="AB146" s="19">
        <f t="shared" si="70"/>
        <v>0.99866597068041085</v>
      </c>
      <c r="AC146" s="21">
        <f t="shared" si="71"/>
        <v>1956.3459956959921</v>
      </c>
      <c r="AD146" s="8">
        <f t="shared" si="72"/>
        <v>102238.99223781165</v>
      </c>
      <c r="AE146" s="8">
        <f t="shared" si="73"/>
        <v>38471.317060878988</v>
      </c>
      <c r="AF146" s="8">
        <f t="shared" si="74"/>
        <v>101.02949976402563</v>
      </c>
      <c r="AG146" s="8">
        <f t="shared" si="75"/>
        <v>0</v>
      </c>
      <c r="AH146" s="8">
        <f t="shared" si="76"/>
        <v>2914.130466130438</v>
      </c>
      <c r="AI146" s="8">
        <f t="shared" si="77"/>
        <v>34629.183587849526</v>
      </c>
      <c r="AJ146" s="8">
        <f t="shared" si="78"/>
        <v>100.57771638194072</v>
      </c>
      <c r="AK146" s="8">
        <f t="shared" si="79"/>
        <v>0</v>
      </c>
      <c r="AL146" s="8">
        <f t="shared" si="80"/>
        <v>350.84725761474584</v>
      </c>
      <c r="AM146" s="8">
        <f t="shared" si="81"/>
        <v>41642.020319076808</v>
      </c>
      <c r="AN146" s="8">
        <f t="shared" si="82"/>
        <v>174.19620516525802</v>
      </c>
      <c r="AO146" s="8">
        <f t="shared" si="83"/>
        <v>0</v>
      </c>
    </row>
    <row r="147" spans="1:41">
      <c r="A147" s="1">
        <v>41874</v>
      </c>
      <c r="B147" s="5">
        <v>145</v>
      </c>
      <c r="C147" s="3">
        <f>B147/365+input!$K$2</f>
        <v>0.39726027397260272</v>
      </c>
      <c r="D147" s="4">
        <f t="shared" si="58"/>
        <v>22.758810176120647</v>
      </c>
      <c r="E147" s="10">
        <f t="shared" si="62"/>
        <v>17.468780725879121</v>
      </c>
      <c r="F147" s="20">
        <f>input!A146</f>
        <v>5877.14</v>
      </c>
      <c r="G147" s="19">
        <f t="shared" si="63"/>
        <v>2.9080914515388238E-2</v>
      </c>
      <c r="H147" s="21">
        <f t="shared" si="64"/>
        <v>122.66001213712191</v>
      </c>
      <c r="I147" s="5">
        <v>510</v>
      </c>
      <c r="J147" s="3">
        <f>I147/365+input!$K$2</f>
        <v>1.3972602739726028</v>
      </c>
      <c r="K147" s="4">
        <f t="shared" si="56"/>
        <v>32.195112840391232</v>
      </c>
      <c r="L147" s="10">
        <f t="shared" si="57"/>
        <v>53.744927720114696</v>
      </c>
      <c r="M147" s="20">
        <f>input!B146</f>
        <v>707.91</v>
      </c>
      <c r="N147" s="19">
        <f t="shared" si="65"/>
        <v>0.90116516064165209</v>
      </c>
      <c r="O147" s="21">
        <f t="shared" si="66"/>
        <v>1204.3583789019028</v>
      </c>
      <c r="P147" s="5">
        <v>875</v>
      </c>
      <c r="Q147" s="3">
        <f>P147/365+input!$K$2</f>
        <v>2.3972602739726026</v>
      </c>
      <c r="R147" s="4">
        <f t="shared" si="59"/>
        <v>37.478483288533084</v>
      </c>
      <c r="S147" s="10">
        <f t="shared" si="60"/>
        <v>87.932970247893863</v>
      </c>
      <c r="T147" s="20">
        <f>input!C146</f>
        <v>1.1100000000000001</v>
      </c>
      <c r="U147" s="19">
        <f t="shared" si="67"/>
        <v>0.99555694832399666</v>
      </c>
      <c r="V147" s="21">
        <f t="shared" si="68"/>
        <v>1733.1136308633081</v>
      </c>
      <c r="W147" s="21">
        <v>1240</v>
      </c>
      <c r="X147" s="3">
        <f>W147/365+input!$K$2</f>
        <v>3.3972602739726026</v>
      </c>
      <c r="Y147" s="4">
        <f t="shared" si="69"/>
        <v>39.469004015014669</v>
      </c>
      <c r="Z147" s="10">
        <f t="shared" si="61"/>
        <v>103.98435971907008</v>
      </c>
      <c r="AA147" s="20">
        <f>input!D146</f>
        <v>0</v>
      </c>
      <c r="AB147" s="19">
        <f t="shared" si="70"/>
        <v>0.99866597068041085</v>
      </c>
      <c r="AC147" s="21">
        <f t="shared" si="71"/>
        <v>1956.3459956959921</v>
      </c>
      <c r="AD147" s="8">
        <f t="shared" si="72"/>
        <v>102666.46995529323</v>
      </c>
      <c r="AE147" s="8">
        <f t="shared" si="73"/>
        <v>38046.571782346393</v>
      </c>
      <c r="AF147" s="8">
        <f t="shared" si="74"/>
        <v>97.6055969751622</v>
      </c>
      <c r="AG147" s="8">
        <f t="shared" si="75"/>
        <v>0</v>
      </c>
      <c r="AH147" s="8">
        <f t="shared" si="76"/>
        <v>2985.6348363665575</v>
      </c>
      <c r="AI147" s="8">
        <f t="shared" si="77"/>
        <v>34286.244972102337</v>
      </c>
      <c r="AJ147" s="8">
        <f t="shared" si="78"/>
        <v>97.171930263934399</v>
      </c>
      <c r="AK147" s="8">
        <f t="shared" si="79"/>
        <v>0</v>
      </c>
      <c r="AL147" s="8">
        <f t="shared" si="80"/>
        <v>366.21800526573588</v>
      </c>
      <c r="AM147" s="8">
        <f t="shared" si="81"/>
        <v>41292.926413234687</v>
      </c>
      <c r="AN147" s="8">
        <f t="shared" si="82"/>
        <v>168.40999687772353</v>
      </c>
      <c r="AO147" s="8">
        <f t="shared" si="83"/>
        <v>0</v>
      </c>
    </row>
    <row r="148" spans="1:41">
      <c r="A148" s="1">
        <v>41875</v>
      </c>
      <c r="B148" s="5">
        <v>146</v>
      </c>
      <c r="C148" s="3">
        <f>B148/365+input!$K$2</f>
        <v>0.4</v>
      </c>
      <c r="D148" s="4">
        <f t="shared" si="58"/>
        <v>22.792854052172981</v>
      </c>
      <c r="E148" s="10">
        <f t="shared" si="62"/>
        <v>17.553586317768431</v>
      </c>
      <c r="F148" s="20">
        <f>input!A147</f>
        <v>5873.11</v>
      </c>
      <c r="G148" s="19">
        <f t="shared" si="63"/>
        <v>2.9669117353621273E-2</v>
      </c>
      <c r="H148" s="21">
        <f t="shared" si="64"/>
        <v>124.95071935614345</v>
      </c>
      <c r="I148" s="5">
        <v>511</v>
      </c>
      <c r="J148" s="3">
        <f>I148/365+input!$K$2</f>
        <v>1.4</v>
      </c>
      <c r="K148" s="4">
        <f t="shared" si="56"/>
        <v>32.214173950984488</v>
      </c>
      <c r="L148" s="10">
        <f t="shared" si="57"/>
        <v>53.848091844582292</v>
      </c>
      <c r="M148" s="20">
        <f>input!B147</f>
        <v>694.95</v>
      </c>
      <c r="N148" s="19">
        <f t="shared" si="65"/>
        <v>0.90218921416524478</v>
      </c>
      <c r="O148" s="21">
        <f t="shared" si="66"/>
        <v>1206.2006565284132</v>
      </c>
      <c r="P148" s="5">
        <v>876</v>
      </c>
      <c r="Q148" s="3">
        <f>P148/365+input!$K$2</f>
        <v>2.4</v>
      </c>
      <c r="R148" s="4">
        <f t="shared" si="59"/>
        <v>37.489155573219165</v>
      </c>
      <c r="S148" s="10">
        <f t="shared" si="60"/>
        <v>88.014124382515647</v>
      </c>
      <c r="T148" s="20">
        <f>input!C147</f>
        <v>1.0900000000000001</v>
      </c>
      <c r="U148" s="19">
        <f t="shared" si="67"/>
        <v>0.99558546417358329</v>
      </c>
      <c r="V148" s="21">
        <f t="shared" si="68"/>
        <v>1734.2696031643609</v>
      </c>
      <c r="W148" s="21">
        <v>1241</v>
      </c>
      <c r="X148" s="3">
        <f>W148/365+input!$K$2</f>
        <v>3.4</v>
      </c>
      <c r="Y148" s="4">
        <f t="shared" si="69"/>
        <v>39.469004015014669</v>
      </c>
      <c r="Z148" s="10">
        <f t="shared" si="61"/>
        <v>103.98435971907008</v>
      </c>
      <c r="AA148" s="20">
        <f>input!D147</f>
        <v>0</v>
      </c>
      <c r="AB148" s="19">
        <f t="shared" si="70"/>
        <v>0.99866597068041085</v>
      </c>
      <c r="AC148" s="21">
        <f t="shared" si="71"/>
        <v>1956.3459956959921</v>
      </c>
      <c r="AD148" s="8">
        <f t="shared" si="72"/>
        <v>103094.14333874895</v>
      </c>
      <c r="AE148" s="8">
        <f t="shared" si="73"/>
        <v>37421.731427392464</v>
      </c>
      <c r="AF148" s="8">
        <f t="shared" si="74"/>
        <v>95.935395576942057</v>
      </c>
      <c r="AG148" s="8">
        <f t="shared" si="75"/>
        <v>0</v>
      </c>
      <c r="AH148" s="8">
        <f t="shared" si="76"/>
        <v>3058.7122371883956</v>
      </c>
      <c r="AI148" s="8">
        <f t="shared" si="77"/>
        <v>33761.482469182054</v>
      </c>
      <c r="AJ148" s="8">
        <f t="shared" si="78"/>
        <v>95.511885336146193</v>
      </c>
      <c r="AK148" s="8">
        <f t="shared" si="79"/>
        <v>0</v>
      </c>
      <c r="AL148" s="8">
        <f t="shared" si="80"/>
        <v>382.18829434012889</v>
      </c>
      <c r="AM148" s="8">
        <f t="shared" si="81"/>
        <v>40723.122319699905</v>
      </c>
      <c r="AN148" s="8">
        <f t="shared" si="82"/>
        <v>165.64335947939821</v>
      </c>
      <c r="AO148" s="8">
        <f t="shared" si="83"/>
        <v>0</v>
      </c>
    </row>
    <row r="149" spans="1:41">
      <c r="A149" s="1">
        <v>41876</v>
      </c>
      <c r="B149" s="5">
        <v>147</v>
      </c>
      <c r="C149" s="3">
        <f>B149/365+input!$K$2</f>
        <v>0.40273972602739727</v>
      </c>
      <c r="D149" s="4">
        <f t="shared" si="58"/>
        <v>22.82684387406572</v>
      </c>
      <c r="E149" s="10">
        <f t="shared" si="62"/>
        <v>17.638540790376727</v>
      </c>
      <c r="F149" s="20">
        <f>input!A148</f>
        <v>5869.07</v>
      </c>
      <c r="G149" s="19">
        <f t="shared" si="63"/>
        <v>3.0267885044121992E-2</v>
      </c>
      <c r="H149" s="21">
        <f t="shared" si="64"/>
        <v>127.26726117926169</v>
      </c>
      <c r="I149" s="5">
        <v>512</v>
      </c>
      <c r="J149" s="3">
        <f>I149/365+input!$K$2</f>
        <v>1.4027397260273973</v>
      </c>
      <c r="K149" s="4">
        <f t="shared" si="56"/>
        <v>32.233204796742079</v>
      </c>
      <c r="L149" s="10">
        <f t="shared" si="57"/>
        <v>53.95122866653584</v>
      </c>
      <c r="M149" s="20">
        <f>input!B148</f>
        <v>677.74</v>
      </c>
      <c r="N149" s="19">
        <f t="shared" si="65"/>
        <v>0.90320219343947983</v>
      </c>
      <c r="O149" s="21">
        <f t="shared" si="66"/>
        <v>1208.0391967511475</v>
      </c>
      <c r="P149" s="5">
        <v>877</v>
      </c>
      <c r="Q149" s="3">
        <f>P149/365+input!$K$2</f>
        <v>2.4027397260273973</v>
      </c>
      <c r="R149" s="4">
        <f t="shared" si="59"/>
        <v>37.499810912673205</v>
      </c>
      <c r="S149" s="10">
        <f t="shared" si="60"/>
        <v>88.095201305562824</v>
      </c>
      <c r="T149" s="20">
        <f>input!C148</f>
        <v>1.07</v>
      </c>
      <c r="U149" s="19">
        <f t="shared" si="67"/>
        <v>0.99561375296882304</v>
      </c>
      <c r="V149" s="21">
        <f t="shared" si="68"/>
        <v>1735.4241744950248</v>
      </c>
      <c r="W149" s="21">
        <v>1242</v>
      </c>
      <c r="X149" s="3">
        <f>W149/365+input!$K$2</f>
        <v>3.4027397260273973</v>
      </c>
      <c r="Y149" s="4">
        <f t="shared" si="69"/>
        <v>39.469004015014669</v>
      </c>
      <c r="Z149" s="10">
        <f t="shared" si="61"/>
        <v>103.98435971907008</v>
      </c>
      <c r="AA149" s="20">
        <f>input!D148</f>
        <v>0</v>
      </c>
      <c r="AB149" s="19">
        <f t="shared" si="70"/>
        <v>0.99866597068041085</v>
      </c>
      <c r="AC149" s="21">
        <f t="shared" si="71"/>
        <v>1956.3459956959921</v>
      </c>
      <c r="AD149" s="8">
        <f t="shared" si="72"/>
        <v>103521.83059657633</v>
      </c>
      <c r="AE149" s="8">
        <f t="shared" si="73"/>
        <v>36564.905716458001</v>
      </c>
      <c r="AF149" s="8">
        <f t="shared" si="74"/>
        <v>94.261865396952231</v>
      </c>
      <c r="AG149" s="8">
        <f t="shared" si="75"/>
        <v>0</v>
      </c>
      <c r="AH149" s="8">
        <f t="shared" si="76"/>
        <v>3133.3868680542432</v>
      </c>
      <c r="AI149" s="8">
        <f t="shared" si="77"/>
        <v>33025.503046012644</v>
      </c>
      <c r="AJ149" s="8">
        <f t="shared" si="78"/>
        <v>93.848409569701644</v>
      </c>
      <c r="AK149" s="8">
        <f t="shared" si="79"/>
        <v>0</v>
      </c>
      <c r="AL149" s="8">
        <f t="shared" si="80"/>
        <v>398.77756491232816</v>
      </c>
      <c r="AM149" s="8">
        <f t="shared" si="81"/>
        <v>39896.10217200769</v>
      </c>
      <c r="AN149" s="8">
        <f t="shared" si="82"/>
        <v>162.86679870517045</v>
      </c>
      <c r="AO149" s="8">
        <f t="shared" si="83"/>
        <v>0</v>
      </c>
    </row>
    <row r="150" spans="1:41">
      <c r="A150" s="1">
        <v>41877</v>
      </c>
      <c r="B150" s="5">
        <v>148</v>
      </c>
      <c r="C150" s="3">
        <f>B150/365+input!$K$2</f>
        <v>0.40547945205479452</v>
      </c>
      <c r="D150" s="4">
        <f t="shared" si="58"/>
        <v>22.860779727624926</v>
      </c>
      <c r="E150" s="10">
        <f t="shared" si="62"/>
        <v>17.723643530378414</v>
      </c>
      <c r="F150" s="20">
        <f>input!A149</f>
        <v>5865.05</v>
      </c>
      <c r="G150" s="19">
        <f t="shared" si="63"/>
        <v>3.0877373556047003E-2</v>
      </c>
      <c r="H150" s="21">
        <f t="shared" si="64"/>
        <v>129.60959248331059</v>
      </c>
      <c r="I150" s="5">
        <v>513</v>
      </c>
      <c r="J150" s="3">
        <f>I150/365+input!$K$2</f>
        <v>1.4054794520547946</v>
      </c>
      <c r="K150" s="4">
        <f t="shared" ref="K150:K213" si="84">44.2*(1-EXP(-0.58*(J150+0.85)))</f>
        <v>32.252205425717882</v>
      </c>
      <c r="L150" s="10">
        <f t="shared" si="57"/>
        <v>54.054337895889795</v>
      </c>
      <c r="M150" s="20">
        <f>input!B149</f>
        <v>665.69</v>
      </c>
      <c r="N150" s="19">
        <f t="shared" si="65"/>
        <v>0.90420420959953873</v>
      </c>
      <c r="O150" s="21">
        <f t="shared" si="66"/>
        <v>1209.8740308544611</v>
      </c>
      <c r="P150" s="5">
        <v>878</v>
      </c>
      <c r="Q150" s="3">
        <f>P150/365+input!$K$2</f>
        <v>2.4054794520547946</v>
      </c>
      <c r="R150" s="4">
        <f t="shared" si="59"/>
        <v>37.510449333800473</v>
      </c>
      <c r="S150" s="10">
        <f t="shared" si="60"/>
        <v>88.176200993907869</v>
      </c>
      <c r="T150" s="20">
        <f>input!C149</f>
        <v>1.05</v>
      </c>
      <c r="U150" s="19">
        <f t="shared" si="67"/>
        <v>0.99564181679277708</v>
      </c>
      <c r="V150" s="21">
        <f t="shared" si="68"/>
        <v>1736.5773458181834</v>
      </c>
      <c r="W150" s="21">
        <v>1243</v>
      </c>
      <c r="X150" s="3">
        <f>W150/365+input!$K$2</f>
        <v>3.4054794520547946</v>
      </c>
      <c r="Y150" s="4">
        <f t="shared" si="69"/>
        <v>39.469004015014669</v>
      </c>
      <c r="Z150" s="10">
        <f t="shared" si="61"/>
        <v>103.98435971907008</v>
      </c>
      <c r="AA150" s="20">
        <f>input!D149</f>
        <v>0</v>
      </c>
      <c r="AB150" s="19">
        <f t="shared" si="70"/>
        <v>0.99866597068041085</v>
      </c>
      <c r="AC150" s="21">
        <f t="shared" si="71"/>
        <v>1956.3459956959921</v>
      </c>
      <c r="AD150" s="8">
        <f t="shared" si="72"/>
        <v>103950.05548784592</v>
      </c>
      <c r="AE150" s="8">
        <f t="shared" si="73"/>
        <v>35983.432193914879</v>
      </c>
      <c r="AF150" s="8">
        <f t="shared" si="74"/>
        <v>92.585011043603274</v>
      </c>
      <c r="AG150" s="8">
        <f t="shared" si="75"/>
        <v>0</v>
      </c>
      <c r="AH150" s="8">
        <f t="shared" si="76"/>
        <v>3209.7046944700323</v>
      </c>
      <c r="AI150" s="8">
        <f t="shared" si="77"/>
        <v>32536.370865577399</v>
      </c>
      <c r="AJ150" s="8">
        <f t="shared" si="78"/>
        <v>92.181508603232487</v>
      </c>
      <c r="AK150" s="8">
        <f t="shared" si="79"/>
        <v>0</v>
      </c>
      <c r="AL150" s="8">
        <f t="shared" si="80"/>
        <v>416.00851744202987</v>
      </c>
      <c r="AM150" s="8">
        <f t="shared" si="81"/>
        <v>39364.910168511778</v>
      </c>
      <c r="AN150" s="8">
        <f t="shared" si="82"/>
        <v>160.08031954371751</v>
      </c>
      <c r="AO150" s="8">
        <f t="shared" si="83"/>
        <v>0</v>
      </c>
    </row>
    <row r="151" spans="1:41">
      <c r="A151" s="1">
        <v>41878</v>
      </c>
      <c r="B151" s="5">
        <v>149</v>
      </c>
      <c r="C151" s="3">
        <f>B151/365+input!$K$2</f>
        <v>0.40821917808219177</v>
      </c>
      <c r="D151" s="4">
        <f t="shared" si="58"/>
        <v>22.894661698540414</v>
      </c>
      <c r="E151" s="10">
        <f t="shared" si="62"/>
        <v>17.80889392431769</v>
      </c>
      <c r="F151" s="20">
        <f>input!A150</f>
        <v>5860.71</v>
      </c>
      <c r="G151" s="19">
        <f t="shared" si="63"/>
        <v>3.1497740257445166E-2</v>
      </c>
      <c r="H151" s="21">
        <f t="shared" si="64"/>
        <v>131.97766199621472</v>
      </c>
      <c r="I151" s="5">
        <v>514</v>
      </c>
      <c r="J151" s="3">
        <f>I151/365+input!$K$2</f>
        <v>1.4082191780821918</v>
      </c>
      <c r="K151" s="4">
        <f t="shared" si="84"/>
        <v>32.271175885889484</v>
      </c>
      <c r="L151" s="10">
        <f t="shared" ref="L151:L214" si="85">0.0007*K151^3.24</f>
        <v>54.157419243616943</v>
      </c>
      <c r="M151" s="20">
        <f>input!B150</f>
        <v>665.21</v>
      </c>
      <c r="N151" s="19">
        <f t="shared" si="65"/>
        <v>0.90519537306582509</v>
      </c>
      <c r="O151" s="21">
        <f t="shared" si="66"/>
        <v>1211.7051897571548</v>
      </c>
      <c r="P151" s="5">
        <v>879</v>
      </c>
      <c r="Q151" s="3">
        <f>P151/365+input!$K$2</f>
        <v>2.408219178082192</v>
      </c>
      <c r="R151" s="4">
        <f t="shared" si="59"/>
        <v>37.521070863463542</v>
      </c>
      <c r="S151" s="10">
        <f t="shared" si="60"/>
        <v>88.257123424837729</v>
      </c>
      <c r="T151" s="20">
        <f>input!C150</f>
        <v>1.04</v>
      </c>
      <c r="U151" s="19">
        <f t="shared" si="67"/>
        <v>0.99566965770720983</v>
      </c>
      <c r="V151" s="21">
        <f t="shared" si="68"/>
        <v>1737.7291180977315</v>
      </c>
      <c r="W151" s="21">
        <v>1244</v>
      </c>
      <c r="X151" s="3">
        <f>W151/365+input!$K$2</f>
        <v>3.408219178082192</v>
      </c>
      <c r="Y151" s="4">
        <f t="shared" si="69"/>
        <v>39.469004015014669</v>
      </c>
      <c r="Z151" s="10">
        <f t="shared" si="61"/>
        <v>103.98435971907008</v>
      </c>
      <c r="AA151" s="20">
        <f>input!D150</f>
        <v>0</v>
      </c>
      <c r="AB151" s="19">
        <f t="shared" si="70"/>
        <v>0.99866597068041085</v>
      </c>
      <c r="AC151" s="21">
        <f t="shared" si="71"/>
        <v>1956.3459956959921</v>
      </c>
      <c r="AD151" s="8">
        <f t="shared" si="72"/>
        <v>104372.76271118793</v>
      </c>
      <c r="AE151" s="8">
        <f t="shared" si="73"/>
        <v>36026.05685504643</v>
      </c>
      <c r="AF151" s="8">
        <f t="shared" si="74"/>
        <v>91.78740836183124</v>
      </c>
      <c r="AG151" s="8">
        <f t="shared" si="75"/>
        <v>0</v>
      </c>
      <c r="AH151" s="8">
        <f t="shared" si="76"/>
        <v>3287.5061698289555</v>
      </c>
      <c r="AI151" s="8">
        <f t="shared" si="77"/>
        <v>32610.619974994381</v>
      </c>
      <c r="AJ151" s="8">
        <f t="shared" si="78"/>
        <v>91.389937465456399</v>
      </c>
      <c r="AK151" s="8">
        <f t="shared" si="79"/>
        <v>0</v>
      </c>
      <c r="AL151" s="8">
        <f t="shared" si="80"/>
        <v>433.87737809215639</v>
      </c>
      <c r="AM151" s="8">
        <f t="shared" si="81"/>
        <v>39514.457464899024</v>
      </c>
      <c r="AN151" s="8">
        <f t="shared" si="82"/>
        <v>158.81095543485438</v>
      </c>
      <c r="AO151" s="8">
        <f t="shared" si="83"/>
        <v>0</v>
      </c>
    </row>
    <row r="152" spans="1:41">
      <c r="A152" s="1">
        <v>41879</v>
      </c>
      <c r="B152" s="5">
        <v>150</v>
      </c>
      <c r="C152" s="3">
        <f>B152/365+input!$K$2</f>
        <v>0.41095890410958902</v>
      </c>
      <c r="D152" s="4">
        <f t="shared" si="58"/>
        <v>22.928489872365915</v>
      </c>
      <c r="E152" s="10">
        <f t="shared" si="62"/>
        <v>17.894291358621558</v>
      </c>
      <c r="F152" s="20">
        <f>input!A151</f>
        <v>5856.69</v>
      </c>
      <c r="G152" s="19">
        <f t="shared" si="63"/>
        <v>3.2129143900545831E-2</v>
      </c>
      <c r="H152" s="21">
        <f t="shared" si="64"/>
        <v>134.3714123060565</v>
      </c>
      <c r="I152" s="5">
        <v>515</v>
      </c>
      <c r="J152" s="3">
        <f>I152/365+input!$K$2</f>
        <v>1.4109589041095891</v>
      </c>
      <c r="K152" s="4">
        <f t="shared" si="84"/>
        <v>32.290116225158272</v>
      </c>
      <c r="L152" s="10">
        <f t="shared" si="85"/>
        <v>54.260472421747245</v>
      </c>
      <c r="M152" s="20">
        <f>input!B151</f>
        <v>632.45000000000005</v>
      </c>
      <c r="N152" s="19">
        <f t="shared" si="65"/>
        <v>0.90617579353530253</v>
      </c>
      <c r="O152" s="21">
        <f t="shared" si="66"/>
        <v>1213.5327040148861</v>
      </c>
      <c r="P152" s="5">
        <v>880</v>
      </c>
      <c r="Q152" s="3">
        <f>P152/365+input!$K$2</f>
        <v>2.4109589041095889</v>
      </c>
      <c r="R152" s="4">
        <f t="shared" si="59"/>
        <v>37.531675528482332</v>
      </c>
      <c r="S152" s="10">
        <f t="shared" si="60"/>
        <v>88.337968576051935</v>
      </c>
      <c r="T152" s="20">
        <f>input!C151</f>
        <v>0.99</v>
      </c>
      <c r="U152" s="19">
        <f t="shared" si="67"/>
        <v>0.9956972777528259</v>
      </c>
      <c r="V152" s="21">
        <f t="shared" si="68"/>
        <v>1738.8794922986092</v>
      </c>
      <c r="W152" s="21">
        <v>1245</v>
      </c>
      <c r="X152" s="3">
        <f>W152/365+input!$K$2</f>
        <v>3.4109589041095889</v>
      </c>
      <c r="Y152" s="4">
        <f t="shared" si="69"/>
        <v>39.469004015014669</v>
      </c>
      <c r="Z152" s="10">
        <f t="shared" si="61"/>
        <v>103.98435971907008</v>
      </c>
      <c r="AA152" s="20">
        <f>input!D151</f>
        <v>0</v>
      </c>
      <c r="AB152" s="19">
        <f t="shared" si="70"/>
        <v>0.99866597068041085</v>
      </c>
      <c r="AC152" s="21">
        <f t="shared" si="71"/>
        <v>1956.3459956959921</v>
      </c>
      <c r="AD152" s="8">
        <f t="shared" si="72"/>
        <v>104801.31725712528</v>
      </c>
      <c r="AE152" s="8">
        <f t="shared" si="73"/>
        <v>34317.035783134044</v>
      </c>
      <c r="AF152" s="8">
        <f t="shared" si="74"/>
        <v>87.454588890291419</v>
      </c>
      <c r="AG152" s="8">
        <f t="shared" si="75"/>
        <v>0</v>
      </c>
      <c r="AH152" s="8">
        <f t="shared" si="76"/>
        <v>3367.1766031209354</v>
      </c>
      <c r="AI152" s="8">
        <f t="shared" si="77"/>
        <v>31097.267132560864</v>
      </c>
      <c r="AJ152" s="8">
        <f t="shared" si="78"/>
        <v>87.078296085055698</v>
      </c>
      <c r="AK152" s="8">
        <f t="shared" si="79"/>
        <v>0</v>
      </c>
      <c r="AL152" s="8">
        <f t="shared" si="80"/>
        <v>452.45227564526994</v>
      </c>
      <c r="AM152" s="8">
        <f t="shared" si="81"/>
        <v>37737.550670849829</v>
      </c>
      <c r="AN152" s="8">
        <f t="shared" si="82"/>
        <v>151.41866328660964</v>
      </c>
      <c r="AO152" s="8">
        <f t="shared" si="83"/>
        <v>0</v>
      </c>
    </row>
    <row r="153" spans="1:41">
      <c r="A153" s="1">
        <v>41880</v>
      </c>
      <c r="B153" s="5">
        <v>151</v>
      </c>
      <c r="C153" s="3">
        <f>B153/365+input!$K$2</f>
        <v>0.41369863013698632</v>
      </c>
      <c r="D153" s="4">
        <f t="shared" si="58"/>
        <v>22.96226433451935</v>
      </c>
      <c r="E153" s="10">
        <f t="shared" si="62"/>
        <v>17.979835219613314</v>
      </c>
      <c r="F153" s="20">
        <f>input!A152</f>
        <v>5852.65</v>
      </c>
      <c r="G153" s="19">
        <f t="shared" si="63"/>
        <v>3.2771744605953293E-2</v>
      </c>
      <c r="H153" s="21">
        <f t="shared" si="64"/>
        <v>136.79077987338391</v>
      </c>
      <c r="I153" s="5">
        <v>516</v>
      </c>
      <c r="J153" s="3">
        <f>I153/365+input!$K$2</f>
        <v>1.4136986301369863</v>
      </c>
      <c r="K153" s="4">
        <f t="shared" si="84"/>
        <v>32.309026491349599</v>
      </c>
      <c r="L153" s="10">
        <f t="shared" si="85"/>
        <v>54.363497143366288</v>
      </c>
      <c r="M153" s="20">
        <f>input!B152</f>
        <v>632.02</v>
      </c>
      <c r="N153" s="19">
        <f t="shared" si="65"/>
        <v>0.9071455799733531</v>
      </c>
      <c r="O153" s="21">
        <f t="shared" si="66"/>
        <v>1215.3566038225972</v>
      </c>
      <c r="P153" s="5">
        <v>881</v>
      </c>
      <c r="Q153" s="3">
        <f>P153/365+input!$K$2</f>
        <v>2.4136986301369863</v>
      </c>
      <c r="R153" s="4">
        <f t="shared" si="59"/>
        <v>37.542263355634176</v>
      </c>
      <c r="S153" s="10">
        <f t="shared" si="60"/>
        <v>88.418736425661095</v>
      </c>
      <c r="T153" s="20">
        <f>input!C152</f>
        <v>0.98</v>
      </c>
      <c r="U153" s="19">
        <f t="shared" si="67"/>
        <v>0.99572467894950523</v>
      </c>
      <c r="V153" s="21">
        <f t="shared" si="68"/>
        <v>1740.028469386785</v>
      </c>
      <c r="W153" s="21">
        <v>1246</v>
      </c>
      <c r="X153" s="3">
        <f>W153/365+input!$K$2</f>
        <v>3.4136986301369863</v>
      </c>
      <c r="Y153" s="4">
        <f t="shared" si="69"/>
        <v>39.469004015014669</v>
      </c>
      <c r="Z153" s="10">
        <f t="shared" si="61"/>
        <v>103.98435971907008</v>
      </c>
      <c r="AA153" s="20">
        <f>input!D152</f>
        <v>0</v>
      </c>
      <c r="AB153" s="19">
        <f t="shared" si="70"/>
        <v>0.99866597068041085</v>
      </c>
      <c r="AC153" s="21">
        <f t="shared" si="71"/>
        <v>1956.3459956959921</v>
      </c>
      <c r="AD153" s="8">
        <f t="shared" si="72"/>
        <v>105229.68259806985</v>
      </c>
      <c r="AE153" s="8">
        <f t="shared" si="73"/>
        <v>34358.81746455036</v>
      </c>
      <c r="AF153" s="8">
        <f t="shared" si="74"/>
        <v>86.650361697147872</v>
      </c>
      <c r="AG153" s="8">
        <f t="shared" si="75"/>
        <v>0</v>
      </c>
      <c r="AH153" s="8">
        <f t="shared" si="76"/>
        <v>3448.5602830694725</v>
      </c>
      <c r="AI153" s="8">
        <f t="shared" si="77"/>
        <v>31168.449396078111</v>
      </c>
      <c r="AJ153" s="8">
        <f t="shared" si="78"/>
        <v>86.279903581751071</v>
      </c>
      <c r="AK153" s="8">
        <f t="shared" si="79"/>
        <v>0</v>
      </c>
      <c r="AL153" s="8">
        <f t="shared" si="80"/>
        <v>471.73125056145074</v>
      </c>
      <c r="AM153" s="8">
        <f t="shared" si="81"/>
        <v>37880.780804433969</v>
      </c>
      <c r="AN153" s="8">
        <f t="shared" si="82"/>
        <v>150.12948856819372</v>
      </c>
      <c r="AO153" s="8">
        <f t="shared" si="83"/>
        <v>0</v>
      </c>
    </row>
    <row r="154" spans="1:41">
      <c r="A154" s="1">
        <v>41881</v>
      </c>
      <c r="B154" s="5">
        <v>152</v>
      </c>
      <c r="C154" s="3">
        <f>B154/365+input!$K$2</f>
        <v>0.41643835616438357</v>
      </c>
      <c r="D154" s="4">
        <f t="shared" si="58"/>
        <v>22.995985170282975</v>
      </c>
      <c r="E154" s="10">
        <f t="shared" si="62"/>
        <v>18.0655248935253</v>
      </c>
      <c r="F154" s="20">
        <f>input!A153</f>
        <v>5848.59</v>
      </c>
      <c r="G154" s="19">
        <f t="shared" si="63"/>
        <v>3.3425703845715304E-2</v>
      </c>
      <c r="H154" s="21">
        <f t="shared" si="64"/>
        <v>139.23569504672525</v>
      </c>
      <c r="I154" s="5">
        <v>517</v>
      </c>
      <c r="J154" s="3">
        <f>I154/365+input!$K$2</f>
        <v>1.4164383561643836</v>
      </c>
      <c r="K154" s="4">
        <f t="shared" si="84"/>
        <v>32.327906732212881</v>
      </c>
      <c r="L154" s="10">
        <f t="shared" si="85"/>
        <v>54.466493122613933</v>
      </c>
      <c r="M154" s="20">
        <f>input!B153</f>
        <v>620.12</v>
      </c>
      <c r="N154" s="19">
        <f t="shared" si="65"/>
        <v>0.90810484060613683</v>
      </c>
      <c r="O154" s="21">
        <f t="shared" si="66"/>
        <v>1217.176919016996</v>
      </c>
      <c r="P154" s="5">
        <v>882</v>
      </c>
      <c r="Q154" s="3">
        <f>P154/365+input!$K$2</f>
        <v>2.4164383561643836</v>
      </c>
      <c r="R154" s="4">
        <f t="shared" si="59"/>
        <v>37.552834371653887</v>
      </c>
      <c r="S154" s="10">
        <f t="shared" si="60"/>
        <v>88.499426952185544</v>
      </c>
      <c r="T154" s="20">
        <f>input!C153</f>
        <v>0.96</v>
      </c>
      <c r="U154" s="19">
        <f t="shared" si="67"/>
        <v>0.99575186329653409</v>
      </c>
      <c r="V154" s="21">
        <f t="shared" si="68"/>
        <v>1741.1760503292855</v>
      </c>
      <c r="W154" s="21">
        <v>1247</v>
      </c>
      <c r="X154" s="3">
        <f>W154/365+input!$K$2</f>
        <v>3.4164383561643836</v>
      </c>
      <c r="Y154" s="4">
        <f t="shared" si="69"/>
        <v>39.469004015014669</v>
      </c>
      <c r="Z154" s="10">
        <f t="shared" si="61"/>
        <v>103.98435971907008</v>
      </c>
      <c r="AA154" s="20">
        <f>input!D153</f>
        <v>0</v>
      </c>
      <c r="AB154" s="19">
        <f t="shared" si="70"/>
        <v>0.99866597068041085</v>
      </c>
      <c r="AC154" s="21">
        <f t="shared" si="71"/>
        <v>1956.3459956959921</v>
      </c>
      <c r="AD154" s="8">
        <f t="shared" si="72"/>
        <v>105657.84823702314</v>
      </c>
      <c r="AE154" s="8">
        <f t="shared" si="73"/>
        <v>33775.761715195353</v>
      </c>
      <c r="AF154" s="8">
        <f t="shared" si="74"/>
        <v>84.959449874098112</v>
      </c>
      <c r="AG154" s="8">
        <f t="shared" si="75"/>
        <v>0</v>
      </c>
      <c r="AH154" s="8">
        <f t="shared" si="76"/>
        <v>3531.6879441462684</v>
      </c>
      <c r="AI154" s="8">
        <f t="shared" si="77"/>
        <v>30671.932708728335</v>
      </c>
      <c r="AJ154" s="8">
        <f t="shared" si="78"/>
        <v>84.598530516781679</v>
      </c>
      <c r="AK154" s="8">
        <f t="shared" si="79"/>
        <v>0</v>
      </c>
      <c r="AL154" s="8">
        <f t="shared" si="80"/>
        <v>491.73702559134585</v>
      </c>
      <c r="AM154" s="8">
        <f t="shared" si="81"/>
        <v>37333.168554706579</v>
      </c>
      <c r="AN154" s="8">
        <f t="shared" si="82"/>
        <v>147.30093522887145</v>
      </c>
      <c r="AO154" s="8">
        <f t="shared" si="83"/>
        <v>0</v>
      </c>
    </row>
    <row r="155" spans="1:41">
      <c r="A155" s="1">
        <v>41882</v>
      </c>
      <c r="B155" s="5">
        <v>153</v>
      </c>
      <c r="C155" s="3">
        <f>B155/365+input!$K$2</f>
        <v>0.41917808219178082</v>
      </c>
      <c r="D155" s="4">
        <f t="shared" si="58"/>
        <v>23.029652464803672</v>
      </c>
      <c r="E155" s="10">
        <f t="shared" si="62"/>
        <v>18.151359766512144</v>
      </c>
      <c r="F155" s="20">
        <f>input!A154</f>
        <v>5844.52</v>
      </c>
      <c r="G155" s="19">
        <f t="shared" si="63"/>
        <v>3.4091184425242782E-2</v>
      </c>
      <c r="H155" s="21">
        <f t="shared" si="64"/>
        <v>141.70608208130957</v>
      </c>
      <c r="I155" s="5">
        <v>518</v>
      </c>
      <c r="J155" s="3">
        <f>I155/365+input!$K$2</f>
        <v>1.4191780821917808</v>
      </c>
      <c r="K155" s="4">
        <f t="shared" si="84"/>
        <v>32.346756995421693</v>
      </c>
      <c r="L155" s="10">
        <f t="shared" si="85"/>
        <v>54.569460074682212</v>
      </c>
      <c r="M155" s="20">
        <f>input!B154</f>
        <v>605.21</v>
      </c>
      <c r="N155" s="19">
        <f t="shared" si="65"/>
        <v>0.90905368291343902</v>
      </c>
      <c r="O155" s="21">
        <f t="shared" si="66"/>
        <v>1218.9936790790468</v>
      </c>
      <c r="P155" s="5">
        <v>883</v>
      </c>
      <c r="Q155" s="3">
        <f>P155/365+input!$K$2</f>
        <v>2.419178082191781</v>
      </c>
      <c r="R155" s="4">
        <f t="shared" si="59"/>
        <v>37.563388603233832</v>
      </c>
      <c r="S155" s="10">
        <f t="shared" si="60"/>
        <v>88.580040134553812</v>
      </c>
      <c r="T155" s="20">
        <f>input!C154</f>
        <v>0.94</v>
      </c>
      <c r="U155" s="19">
        <f t="shared" si="67"/>
        <v>0.99577883277283408</v>
      </c>
      <c r="V155" s="21">
        <f t="shared" si="68"/>
        <v>1742.3222360942004</v>
      </c>
      <c r="W155" s="21">
        <v>1248</v>
      </c>
      <c r="X155" s="3">
        <f>W155/365+input!$K$2</f>
        <v>3.419178082191781</v>
      </c>
      <c r="Y155" s="4">
        <f t="shared" si="69"/>
        <v>39.469004015014669</v>
      </c>
      <c r="Z155" s="10">
        <f t="shared" si="61"/>
        <v>103.98435971907008</v>
      </c>
      <c r="AA155" s="20">
        <f>input!D154</f>
        <v>0</v>
      </c>
      <c r="AB155" s="19">
        <f t="shared" si="70"/>
        <v>0.99866597068041085</v>
      </c>
      <c r="AC155" s="21">
        <f t="shared" si="71"/>
        <v>1956.3459956959921</v>
      </c>
      <c r="AD155" s="8">
        <f t="shared" si="72"/>
        <v>106085.98518257556</v>
      </c>
      <c r="AE155" s="8">
        <f t="shared" si="73"/>
        <v>33025.982931798426</v>
      </c>
      <c r="AF155" s="8">
        <f t="shared" si="74"/>
        <v>83.265237726480578</v>
      </c>
      <c r="AG155" s="8">
        <f t="shared" si="75"/>
        <v>0</v>
      </c>
      <c r="AH155" s="8">
        <f t="shared" si="76"/>
        <v>3616.5968857927564</v>
      </c>
      <c r="AI155" s="8">
        <f t="shared" si="77"/>
        <v>30022.391415987735</v>
      </c>
      <c r="AJ155" s="8">
        <f t="shared" si="78"/>
        <v>82.913761233827373</v>
      </c>
      <c r="AK155" s="8">
        <f t="shared" si="79"/>
        <v>0</v>
      </c>
      <c r="AL155" s="8">
        <f t="shared" si="80"/>
        <v>512.493775153157</v>
      </c>
      <c r="AM155" s="8">
        <f t="shared" si="81"/>
        <v>36597.10536692608</v>
      </c>
      <c r="AN155" s="8">
        <f t="shared" si="82"/>
        <v>144.46248987590275</v>
      </c>
      <c r="AO155" s="8">
        <f t="shared" si="83"/>
        <v>0</v>
      </c>
    </row>
    <row r="156" spans="1:41">
      <c r="A156" s="1">
        <v>41883</v>
      </c>
      <c r="B156" s="5">
        <v>154</v>
      </c>
      <c r="C156" s="3">
        <f>B156/365+input!$K$2</f>
        <v>0.42191780821917807</v>
      </c>
      <c r="D156" s="4">
        <f t="shared" si="58"/>
        <v>23.063266303093108</v>
      </c>
      <c r="E156" s="10">
        <f t="shared" si="62"/>
        <v>18.237339224663433</v>
      </c>
      <c r="F156" s="20">
        <f>input!A155</f>
        <v>5840.52</v>
      </c>
      <c r="G156" s="19">
        <f t="shared" si="63"/>
        <v>3.4768350464048275E-2</v>
      </c>
      <c r="H156" s="21">
        <f t="shared" si="64"/>
        <v>144.20185916095139</v>
      </c>
      <c r="I156" s="5">
        <v>519</v>
      </c>
      <c r="J156" s="3">
        <f>I156/365+input!$K$2</f>
        <v>1.4219178082191781</v>
      </c>
      <c r="K156" s="4">
        <f t="shared" si="84"/>
        <v>32.365577328573941</v>
      </c>
      <c r="L156" s="10">
        <f t="shared" si="85"/>
        <v>54.672397715814505</v>
      </c>
      <c r="M156" s="20">
        <f>input!B155</f>
        <v>532.14</v>
      </c>
      <c r="N156" s="19">
        <f t="shared" si="65"/>
        <v>0.90999221362200011</v>
      </c>
      <c r="O156" s="21">
        <f t="shared" si="66"/>
        <v>1220.8069131365044</v>
      </c>
      <c r="P156" s="5">
        <v>884</v>
      </c>
      <c r="Q156" s="3">
        <f>P156/365+input!$K$2</f>
        <v>2.4219178082191779</v>
      </c>
      <c r="R156" s="4">
        <f t="shared" si="59"/>
        <v>37.573926077023991</v>
      </c>
      <c r="S156" s="10">
        <f t="shared" si="60"/>
        <v>88.660575952101127</v>
      </c>
      <c r="T156" s="20">
        <f>input!C155</f>
        <v>0.93</v>
      </c>
      <c r="U156" s="19">
        <f t="shared" si="67"/>
        <v>0.99580558933718821</v>
      </c>
      <c r="V156" s="21">
        <f t="shared" si="68"/>
        <v>1743.4670276506961</v>
      </c>
      <c r="W156" s="21">
        <v>1249</v>
      </c>
      <c r="X156" s="3">
        <f>W156/365+input!$K$2</f>
        <v>3.4219178082191779</v>
      </c>
      <c r="Y156" s="4">
        <f t="shared" si="69"/>
        <v>39.469004015014669</v>
      </c>
      <c r="Z156" s="10">
        <f t="shared" si="61"/>
        <v>103.98435971907008</v>
      </c>
      <c r="AA156" s="20">
        <f>input!D155</f>
        <v>0</v>
      </c>
      <c r="AB156" s="19">
        <f t="shared" si="70"/>
        <v>0.99866597068041085</v>
      </c>
      <c r="AC156" s="21">
        <f t="shared" si="71"/>
        <v>1956.3459956959921</v>
      </c>
      <c r="AD156" s="8">
        <f t="shared" si="72"/>
        <v>106515.54448843129</v>
      </c>
      <c r="AE156" s="8">
        <f t="shared" si="73"/>
        <v>29093.369720493531</v>
      </c>
      <c r="AF156" s="8">
        <f t="shared" si="74"/>
        <v>82.454335635454058</v>
      </c>
      <c r="AG156" s="8">
        <f t="shared" si="75"/>
        <v>0</v>
      </c>
      <c r="AH156" s="8">
        <f t="shared" si="76"/>
        <v>3703.3697806427049</v>
      </c>
      <c r="AI156" s="8">
        <f t="shared" si="77"/>
        <v>26474.739913675177</v>
      </c>
      <c r="AJ156" s="8">
        <f t="shared" si="78"/>
        <v>82.108488290869644</v>
      </c>
      <c r="AK156" s="8">
        <f t="shared" si="79"/>
        <v>0</v>
      </c>
      <c r="AL156" s="8">
        <f t="shared" si="80"/>
        <v>534.03280752916271</v>
      </c>
      <c r="AM156" s="8">
        <f t="shared" si="81"/>
        <v>32320.5455101056</v>
      </c>
      <c r="AN156" s="8">
        <f t="shared" si="82"/>
        <v>143.15344202537449</v>
      </c>
      <c r="AO156" s="8">
        <f t="shared" si="83"/>
        <v>0</v>
      </c>
    </row>
    <row r="157" spans="1:41">
      <c r="A157" s="1">
        <v>41884</v>
      </c>
      <c r="B157" s="5">
        <v>155</v>
      </c>
      <c r="C157" s="3">
        <f>B157/365+input!$K$2</f>
        <v>0.42465753424657532</v>
      </c>
      <c r="D157" s="4">
        <f t="shared" si="58"/>
        <v>23.096826770027981</v>
      </c>
      <c r="E157" s="10">
        <f t="shared" si="62"/>
        <v>18.323462654016641</v>
      </c>
      <c r="F157" s="20">
        <f>input!A156</f>
        <v>5836.51</v>
      </c>
      <c r="G157" s="19">
        <f t="shared" si="63"/>
        <v>3.5457367375279013E-2</v>
      </c>
      <c r="H157" s="21">
        <f t="shared" si="64"/>
        <v>146.72293842309307</v>
      </c>
      <c r="I157" s="5">
        <v>520</v>
      </c>
      <c r="J157" s="3">
        <f>I157/365+input!$K$2</f>
        <v>1.4246575342465753</v>
      </c>
      <c r="K157" s="4">
        <f t="shared" si="84"/>
        <v>32.384367779191948</v>
      </c>
      <c r="L157" s="10">
        <f t="shared" si="85"/>
        <v>54.775305763303905</v>
      </c>
      <c r="M157" s="20">
        <f>input!B156</f>
        <v>502.6</v>
      </c>
      <c r="N157" s="19">
        <f t="shared" si="65"/>
        <v>0.91092053869930278</v>
      </c>
      <c r="O157" s="21">
        <f t="shared" si="66"/>
        <v>1222.6166499664751</v>
      </c>
      <c r="P157" s="5">
        <v>885</v>
      </c>
      <c r="Q157" s="3">
        <f>P157/365+input!$K$2</f>
        <v>2.4246575342465753</v>
      </c>
      <c r="R157" s="4">
        <f t="shared" si="59"/>
        <v>37.584446819632035</v>
      </c>
      <c r="S157" s="10">
        <f t="shared" si="60"/>
        <v>88.741034384567996</v>
      </c>
      <c r="T157" s="20">
        <f>input!C156</f>
        <v>0.9</v>
      </c>
      <c r="U157" s="19">
        <f t="shared" si="67"/>
        <v>0.99583213492846434</v>
      </c>
      <c r="V157" s="21">
        <f t="shared" si="68"/>
        <v>1744.6104259690228</v>
      </c>
      <c r="W157" s="21">
        <v>1250</v>
      </c>
      <c r="X157" s="3">
        <f>W157/365+input!$K$2</f>
        <v>3.4246575342465753</v>
      </c>
      <c r="Y157" s="4">
        <f t="shared" si="69"/>
        <v>39.469004015014669</v>
      </c>
      <c r="Z157" s="10">
        <f t="shared" si="61"/>
        <v>103.98435971907008</v>
      </c>
      <c r="AA157" s="20">
        <f>input!D156</f>
        <v>0</v>
      </c>
      <c r="AB157" s="19">
        <f t="shared" si="70"/>
        <v>0.99866597068041085</v>
      </c>
      <c r="AC157" s="21">
        <f t="shared" si="71"/>
        <v>1956.3459956959921</v>
      </c>
      <c r="AD157" s="8">
        <f t="shared" si="72"/>
        <v>106945.07301479467</v>
      </c>
      <c r="AE157" s="8">
        <f t="shared" si="73"/>
        <v>27530.068676636543</v>
      </c>
      <c r="AF157" s="8">
        <f t="shared" si="74"/>
        <v>79.866930946111196</v>
      </c>
      <c r="AG157" s="8">
        <f t="shared" si="75"/>
        <v>0</v>
      </c>
      <c r="AH157" s="8">
        <f t="shared" si="76"/>
        <v>3791.9907428616125</v>
      </c>
      <c r="AI157" s="8">
        <f t="shared" si="77"/>
        <v>25077.704989350561</v>
      </c>
      <c r="AJ157" s="8">
        <f t="shared" si="78"/>
        <v>79.534056354250154</v>
      </c>
      <c r="AK157" s="8">
        <f t="shared" si="79"/>
        <v>0</v>
      </c>
      <c r="AL157" s="8">
        <f t="shared" si="80"/>
        <v>556.37202426582326</v>
      </c>
      <c r="AM157" s="8">
        <f t="shared" si="81"/>
        <v>30660.419662927339</v>
      </c>
      <c r="AN157" s="8">
        <f t="shared" si="82"/>
        <v>138.75594393523261</v>
      </c>
      <c r="AO157" s="8">
        <f t="shared" si="83"/>
        <v>0</v>
      </c>
    </row>
    <row r="158" spans="1:41">
      <c r="A158" s="1">
        <v>41885</v>
      </c>
      <c r="B158" s="5">
        <v>156</v>
      </c>
      <c r="C158" s="3">
        <f>B158/365+input!$K$2</f>
        <v>0.42739726027397262</v>
      </c>
      <c r="D158" s="4">
        <f t="shared" si="58"/>
        <v>23.13033395035022</v>
      </c>
      <c r="E158" s="10">
        <f t="shared" si="62"/>
        <v>18.40972944056977</v>
      </c>
      <c r="F158" s="20">
        <f>input!A157</f>
        <v>5832.51</v>
      </c>
      <c r="G158" s="19">
        <f t="shared" si="63"/>
        <v>3.6158401844014768E-2</v>
      </c>
      <c r="H158" s="21">
        <f t="shared" si="64"/>
        <v>149.26922598696356</v>
      </c>
      <c r="I158" s="5">
        <v>521</v>
      </c>
      <c r="J158" s="3">
        <f>I158/365+input!$K$2</f>
        <v>1.4273972602739726</v>
      </c>
      <c r="K158" s="4">
        <f t="shared" si="84"/>
        <v>32.403128394722586</v>
      </c>
      <c r="L158" s="10">
        <f t="shared" si="85"/>
        <v>54.878183935491215</v>
      </c>
      <c r="M158" s="20">
        <f>input!B157</f>
        <v>472.6</v>
      </c>
      <c r="N158" s="19">
        <f t="shared" si="65"/>
        <v>0.911838763347814</v>
      </c>
      <c r="O158" s="21">
        <f t="shared" si="66"/>
        <v>1224.4229179979982</v>
      </c>
      <c r="P158" s="5">
        <v>886</v>
      </c>
      <c r="Q158" s="3">
        <f>P158/365+input!$K$2</f>
        <v>2.4273972602739726</v>
      </c>
      <c r="R158" s="4">
        <f t="shared" si="59"/>
        <v>37.594950857623402</v>
      </c>
      <c r="S158" s="10">
        <f t="shared" si="60"/>
        <v>88.821415412099299</v>
      </c>
      <c r="T158" s="20">
        <f>input!C157</f>
        <v>0.88</v>
      </c>
      <c r="U158" s="19">
        <f t="shared" si="67"/>
        <v>0.99585847146583617</v>
      </c>
      <c r="V158" s="21">
        <f t="shared" si="68"/>
        <v>1745.75243202053</v>
      </c>
      <c r="W158" s="21">
        <v>1251</v>
      </c>
      <c r="X158" s="3">
        <f>W158/365+input!$K$2</f>
        <v>3.4273972602739726</v>
      </c>
      <c r="Y158" s="4">
        <f t="shared" si="69"/>
        <v>39.469004015014669</v>
      </c>
      <c r="Z158" s="10">
        <f t="shared" si="61"/>
        <v>103.98435971907008</v>
      </c>
      <c r="AA158" s="20">
        <f>input!D157</f>
        <v>0</v>
      </c>
      <c r="AB158" s="19">
        <f t="shared" si="70"/>
        <v>0.99866597068041085</v>
      </c>
      <c r="AC158" s="21">
        <f t="shared" si="71"/>
        <v>1956.3459956959921</v>
      </c>
      <c r="AD158" s="8">
        <f t="shared" si="72"/>
        <v>107374.93105941759</v>
      </c>
      <c r="AE158" s="8">
        <f t="shared" si="73"/>
        <v>25935.42972791315</v>
      </c>
      <c r="AF158" s="8">
        <f t="shared" si="74"/>
        <v>78.162845562647377</v>
      </c>
      <c r="AG158" s="8">
        <f t="shared" si="75"/>
        <v>0</v>
      </c>
      <c r="AH158" s="8">
        <f t="shared" si="76"/>
        <v>3882.5059052198035</v>
      </c>
      <c r="AI158" s="8">
        <f t="shared" si="77"/>
        <v>23648.930169994459</v>
      </c>
      <c r="AJ158" s="8">
        <f t="shared" si="78"/>
        <v>77.83913190743823</v>
      </c>
      <c r="AK158" s="8">
        <f t="shared" si="79"/>
        <v>0</v>
      </c>
      <c r="AL158" s="8">
        <f t="shared" si="80"/>
        <v>579.53865136197533</v>
      </c>
      <c r="AM158" s="8">
        <f t="shared" si="81"/>
        <v>28956.292086275509</v>
      </c>
      <c r="AN158" s="8">
        <f t="shared" si="82"/>
        <v>135.88785383377714</v>
      </c>
      <c r="AO158" s="8">
        <f t="shared" si="83"/>
        <v>0</v>
      </c>
    </row>
    <row r="159" spans="1:41">
      <c r="A159" s="1">
        <v>41886</v>
      </c>
      <c r="B159" s="5">
        <v>157</v>
      </c>
      <c r="C159" s="3">
        <f>B159/365+input!$K$2</f>
        <v>0.43013698630136987</v>
      </c>
      <c r="D159" s="4">
        <f t="shared" si="58"/>
        <v>23.163787928667197</v>
      </c>
      <c r="E159" s="10">
        <f t="shared" si="62"/>
        <v>18.496138970293803</v>
      </c>
      <c r="F159" s="20">
        <f>input!A158</f>
        <v>5828.52</v>
      </c>
      <c r="G159" s="19">
        <f t="shared" si="63"/>
        <v>3.6871621804302937E-2</v>
      </c>
      <c r="H159" s="21">
        <f t="shared" si="64"/>
        <v>151.84062198483227</v>
      </c>
      <c r="I159" s="5">
        <v>522</v>
      </c>
      <c r="J159" s="3">
        <f>I159/365+input!$K$2</f>
        <v>1.4301369863013698</v>
      </c>
      <c r="K159" s="4">
        <f t="shared" si="84"/>
        <v>32.421859222537371</v>
      </c>
      <c r="L159" s="10">
        <f t="shared" si="85"/>
        <v>54.981031951763825</v>
      </c>
      <c r="M159" s="20">
        <f>input!B158</f>
        <v>456.22</v>
      </c>
      <c r="N159" s="19">
        <f t="shared" si="65"/>
        <v>0.91274699199966247</v>
      </c>
      <c r="O159" s="21">
        <f t="shared" si="66"/>
        <v>1226.2257453146578</v>
      </c>
      <c r="P159" s="5">
        <v>887</v>
      </c>
      <c r="Q159" s="3">
        <f>P159/365+input!$K$2</f>
        <v>2.43013698630137</v>
      </c>
      <c r="R159" s="4">
        <f t="shared" si="59"/>
        <v>37.605438217521325</v>
      </c>
      <c r="S159" s="10">
        <f t="shared" si="60"/>
        <v>88.901719015241909</v>
      </c>
      <c r="T159" s="20">
        <f>input!C158</f>
        <v>0.87</v>
      </c>
      <c r="U159" s="19">
        <f t="shared" si="67"/>
        <v>0.99588460084900077</v>
      </c>
      <c r="V159" s="21">
        <f t="shared" si="68"/>
        <v>1746.8930467776675</v>
      </c>
      <c r="W159" s="21">
        <v>1252</v>
      </c>
      <c r="X159" s="3">
        <f>W159/365+input!$K$2</f>
        <v>3.43013698630137</v>
      </c>
      <c r="Y159" s="4">
        <f t="shared" si="69"/>
        <v>39.469004015014669</v>
      </c>
      <c r="Z159" s="10">
        <f t="shared" si="61"/>
        <v>103.98435971907008</v>
      </c>
      <c r="AA159" s="20">
        <f>input!D158</f>
        <v>0</v>
      </c>
      <c r="AB159" s="19">
        <f t="shared" si="70"/>
        <v>0.99866597068041085</v>
      </c>
      <c r="AC159" s="21">
        <f t="shared" si="71"/>
        <v>1956.3459956959921</v>
      </c>
      <c r="AD159" s="8">
        <f t="shared" si="72"/>
        <v>107805.11591113685</v>
      </c>
      <c r="AE159" s="8">
        <f t="shared" si="73"/>
        <v>25083.446397033695</v>
      </c>
      <c r="AF159" s="8">
        <f t="shared" si="74"/>
        <v>77.344495543260464</v>
      </c>
      <c r="AG159" s="8">
        <f t="shared" si="75"/>
        <v>0</v>
      </c>
      <c r="AH159" s="8">
        <f t="shared" si="76"/>
        <v>3974.9494624444787</v>
      </c>
      <c r="AI159" s="8">
        <f t="shared" si="77"/>
        <v>22894.840247877277</v>
      </c>
      <c r="AJ159" s="8">
        <f t="shared" si="78"/>
        <v>77.026192071967273</v>
      </c>
      <c r="AK159" s="8">
        <f t="shared" si="79"/>
        <v>0</v>
      </c>
      <c r="AL159" s="8">
        <f t="shared" si="80"/>
        <v>603.55879873584433</v>
      </c>
      <c r="AM159" s="8">
        <f t="shared" si="81"/>
        <v>28074.242546813341</v>
      </c>
      <c r="AN159" s="8">
        <f t="shared" si="82"/>
        <v>134.55651935028072</v>
      </c>
      <c r="AO159" s="8">
        <f t="shared" si="83"/>
        <v>0</v>
      </c>
    </row>
    <row r="160" spans="1:41">
      <c r="A160" s="1">
        <v>41887</v>
      </c>
      <c r="B160" s="5">
        <v>158</v>
      </c>
      <c r="C160" s="3">
        <f>B160/365+input!$K$2</f>
        <v>0.43287671232876712</v>
      </c>
      <c r="D160" s="4">
        <f t="shared" si="58"/>
        <v>23.197188789451957</v>
      </c>
      <c r="E160" s="10">
        <f t="shared" si="62"/>
        <v>18.582690629145517</v>
      </c>
      <c r="F160" s="20">
        <f>input!A159</f>
        <v>5824.51</v>
      </c>
      <c r="G160" s="19">
        <f t="shared" si="63"/>
        <v>3.759719641490411E-2</v>
      </c>
      <c r="H160" s="21">
        <f t="shared" si="64"/>
        <v>154.43702059632517</v>
      </c>
      <c r="I160" s="5">
        <v>523</v>
      </c>
      <c r="J160" s="3">
        <f>I160/365+input!$K$2</f>
        <v>1.4328767123287671</v>
      </c>
      <c r="K160" s="4">
        <f t="shared" si="84"/>
        <v>32.440560309932636</v>
      </c>
      <c r="L160" s="10">
        <f t="shared" si="85"/>
        <v>55.08384953255419</v>
      </c>
      <c r="M160" s="20">
        <f>input!B159</f>
        <v>435.36</v>
      </c>
      <c r="N160" s="19">
        <f t="shared" si="65"/>
        <v>0.91364532831174539</v>
      </c>
      <c r="O160" s="21">
        <f t="shared" si="66"/>
        <v>1228.0251596572125</v>
      </c>
      <c r="P160" s="5">
        <v>888</v>
      </c>
      <c r="Q160" s="3">
        <f>P160/365+input!$K$2</f>
        <v>2.4328767123287673</v>
      </c>
      <c r="R160" s="4">
        <f t="shared" si="59"/>
        <v>37.615908925806927</v>
      </c>
      <c r="S160" s="10">
        <f t="shared" si="60"/>
        <v>88.981945174943661</v>
      </c>
      <c r="T160" s="20">
        <f>input!C159</f>
        <v>0.86</v>
      </c>
      <c r="U160" s="19">
        <f t="shared" si="67"/>
        <v>0.99591052495839494</v>
      </c>
      <c r="V160" s="21">
        <f t="shared" si="68"/>
        <v>1748.0322712140014</v>
      </c>
      <c r="W160" s="21">
        <v>1253</v>
      </c>
      <c r="X160" s="3">
        <f>W160/365+input!$K$2</f>
        <v>3.4328767123287673</v>
      </c>
      <c r="Y160" s="4">
        <f t="shared" si="69"/>
        <v>39.469004015014669</v>
      </c>
      <c r="Z160" s="10">
        <f t="shared" si="61"/>
        <v>103.98435971907008</v>
      </c>
      <c r="AA160" s="20">
        <f>input!D159</f>
        <v>0</v>
      </c>
      <c r="AB160" s="19">
        <f t="shared" si="70"/>
        <v>0.99866597068041085</v>
      </c>
      <c r="AC160" s="21">
        <f t="shared" si="71"/>
        <v>1956.3459956959921</v>
      </c>
      <c r="AD160" s="8">
        <f t="shared" si="72"/>
        <v>108235.06739636436</v>
      </c>
      <c r="AE160" s="8">
        <f t="shared" si="73"/>
        <v>23981.304732492794</v>
      </c>
      <c r="AF160" s="8">
        <f t="shared" si="74"/>
        <v>76.524472850451545</v>
      </c>
      <c r="AG160" s="8">
        <f t="shared" si="75"/>
        <v>0</v>
      </c>
      <c r="AH160" s="8">
        <f t="shared" si="76"/>
        <v>4069.3350878814949</v>
      </c>
      <c r="AI160" s="8">
        <f t="shared" si="77"/>
        <v>21910.407035662392</v>
      </c>
      <c r="AJ160" s="8">
        <f t="shared" si="78"/>
        <v>76.211527928657645</v>
      </c>
      <c r="AK160" s="8">
        <f t="shared" si="79"/>
        <v>0</v>
      </c>
      <c r="AL160" s="8">
        <f t="shared" si="80"/>
        <v>628.45598678050317</v>
      </c>
      <c r="AM160" s="8">
        <f t="shared" si="81"/>
        <v>26906.531098123822</v>
      </c>
      <c r="AN160" s="8">
        <f t="shared" si="82"/>
        <v>133.22021025782072</v>
      </c>
      <c r="AO160" s="8">
        <f t="shared" si="83"/>
        <v>0</v>
      </c>
    </row>
    <row r="161" spans="1:41">
      <c r="A161" s="1">
        <v>41888</v>
      </c>
      <c r="B161" s="5">
        <v>159</v>
      </c>
      <c r="C161" s="3">
        <f>B161/365+input!$K$2</f>
        <v>0.43561643835616437</v>
      </c>
      <c r="D161" s="4">
        <f t="shared" si="58"/>
        <v>23.230536617043409</v>
      </c>
      <c r="E161" s="10">
        <f t="shared" si="62"/>
        <v>18.66938380307959</v>
      </c>
      <c r="F161" s="20">
        <f>input!A160</f>
        <v>5820.48</v>
      </c>
      <c r="G161" s="19">
        <f t="shared" si="63"/>
        <v>3.8335296033718644E-2</v>
      </c>
      <c r="H161" s="21">
        <f t="shared" si="64"/>
        <v>157.0583100857649</v>
      </c>
      <c r="I161" s="5">
        <v>524</v>
      </c>
      <c r="J161" s="3">
        <f>I161/365+input!$K$2</f>
        <v>1.4356164383561645</v>
      </c>
      <c r="K161" s="4">
        <f t="shared" si="84"/>
        <v>32.4592317041296</v>
      </c>
      <c r="L161" s="10">
        <f t="shared" si="85"/>
        <v>55.186636399338056</v>
      </c>
      <c r="M161" s="20">
        <f>input!B160</f>
        <v>415.63</v>
      </c>
      <c r="N161" s="19">
        <f t="shared" si="65"/>
        <v>0.9145338751612444</v>
      </c>
      <c r="O161" s="21">
        <f t="shared" si="66"/>
        <v>1229.8211884262485</v>
      </c>
      <c r="P161" s="5">
        <v>889</v>
      </c>
      <c r="Q161" s="3">
        <f>P161/365+input!$K$2</f>
        <v>2.4356164383561643</v>
      </c>
      <c r="R161" s="4">
        <f t="shared" si="59"/>
        <v>37.626363008919306</v>
      </c>
      <c r="S161" s="10">
        <f t="shared" si="60"/>
        <v>89.062093872552452</v>
      </c>
      <c r="T161" s="20">
        <f>input!C160</f>
        <v>0.83</v>
      </c>
      <c r="U161" s="19">
        <f t="shared" si="67"/>
        <v>0.99593624565540739</v>
      </c>
      <c r="V161" s="21">
        <f t="shared" si="68"/>
        <v>1749.1701063042283</v>
      </c>
      <c r="W161" s="21">
        <v>1254</v>
      </c>
      <c r="X161" s="3">
        <f>W161/365+input!$K$2</f>
        <v>3.4356164383561643</v>
      </c>
      <c r="Y161" s="4">
        <f t="shared" si="69"/>
        <v>39.469004015014669</v>
      </c>
      <c r="Z161" s="10">
        <f t="shared" si="61"/>
        <v>103.98435971907008</v>
      </c>
      <c r="AA161" s="20">
        <f>input!D160</f>
        <v>0</v>
      </c>
      <c r="AB161" s="19">
        <f t="shared" si="70"/>
        <v>0.99866597068041085</v>
      </c>
      <c r="AC161" s="21">
        <f t="shared" si="71"/>
        <v>1956.3459956959921</v>
      </c>
      <c r="AD161" s="8">
        <f t="shared" si="72"/>
        <v>108664.77503814868</v>
      </c>
      <c r="AE161" s="8">
        <f t="shared" si="73"/>
        <v>22937.221686656874</v>
      </c>
      <c r="AF161" s="8">
        <f t="shared" si="74"/>
        <v>73.921537914218533</v>
      </c>
      <c r="AG161" s="8">
        <f t="shared" si="75"/>
        <v>0</v>
      </c>
      <c r="AH161" s="8">
        <f t="shared" si="76"/>
        <v>4165.69631952487</v>
      </c>
      <c r="AI161" s="8">
        <f t="shared" si="77"/>
        <v>20976.866234530844</v>
      </c>
      <c r="AJ161" s="8">
        <f t="shared" si="78"/>
        <v>73.621138943360663</v>
      </c>
      <c r="AK161" s="8">
        <f t="shared" si="79"/>
        <v>0</v>
      </c>
      <c r="AL161" s="8">
        <f t="shared" si="80"/>
        <v>654.25722427506662</v>
      </c>
      <c r="AM161" s="8">
        <f t="shared" si="81"/>
        <v>25797.794562009167</v>
      </c>
      <c r="AN161" s="8">
        <f t="shared" si="82"/>
        <v>128.77589543179653</v>
      </c>
      <c r="AO161" s="8">
        <f t="shared" si="83"/>
        <v>0</v>
      </c>
    </row>
    <row r="162" spans="1:41">
      <c r="A162" s="1">
        <v>41889</v>
      </c>
      <c r="B162" s="5">
        <v>160</v>
      </c>
      <c r="C162" s="3">
        <f>B162/365+input!$K$2</f>
        <v>0.43835616438356162</v>
      </c>
      <c r="D162" s="4">
        <f t="shared" si="58"/>
        <v>23.263831495646571</v>
      </c>
      <c r="E162" s="10">
        <f t="shared" si="62"/>
        <v>18.75621787806115</v>
      </c>
      <c r="F162" s="20">
        <f>input!A161</f>
        <v>5816.36</v>
      </c>
      <c r="G162" s="19">
        <f t="shared" si="63"/>
        <v>3.9086092190868213E-2</v>
      </c>
      <c r="H162" s="21">
        <f t="shared" si="64"/>
        <v>159.70437284250445</v>
      </c>
      <c r="I162" s="5">
        <v>525</v>
      </c>
      <c r="J162" s="3">
        <f>I162/365+input!$K$2</f>
        <v>1.4383561643835616</v>
      </c>
      <c r="K162" s="4">
        <f t="shared" si="84"/>
        <v>32.477873452274501</v>
      </c>
      <c r="L162" s="10">
        <f t="shared" si="85"/>
        <v>55.289392274632966</v>
      </c>
      <c r="M162" s="20">
        <f>input!B161</f>
        <v>392.91</v>
      </c>
      <c r="N162" s="19">
        <f t="shared" si="65"/>
        <v>0.91541273464154527</v>
      </c>
      <c r="O162" s="21">
        <f t="shared" si="66"/>
        <v>1231.6138586848645</v>
      </c>
      <c r="P162" s="5">
        <v>890</v>
      </c>
      <c r="Q162" s="3">
        <f>P162/365+input!$K$2</f>
        <v>2.4383561643835616</v>
      </c>
      <c r="R162" s="4">
        <f t="shared" si="59"/>
        <v>37.636800493255556</v>
      </c>
      <c r="S162" s="10">
        <f t="shared" si="60"/>
        <v>89.142165089813986</v>
      </c>
      <c r="T162" s="20">
        <f>input!C161</f>
        <v>0.8</v>
      </c>
      <c r="U162" s="19">
        <f t="shared" si="67"/>
        <v>0.99596176478259024</v>
      </c>
      <c r="V162" s="21">
        <f t="shared" si="68"/>
        <v>1750.306553024169</v>
      </c>
      <c r="W162" s="21">
        <v>1255</v>
      </c>
      <c r="X162" s="3">
        <f>W162/365+input!$K$2</f>
        <v>3.4383561643835616</v>
      </c>
      <c r="Y162" s="4">
        <f t="shared" si="69"/>
        <v>39.469004015014669</v>
      </c>
      <c r="Z162" s="10">
        <f t="shared" si="61"/>
        <v>103.98435971907008</v>
      </c>
      <c r="AA162" s="20">
        <f>input!D161</f>
        <v>0</v>
      </c>
      <c r="AB162" s="19">
        <f t="shared" si="70"/>
        <v>0.99866597068041085</v>
      </c>
      <c r="AC162" s="21">
        <f t="shared" si="71"/>
        <v>1956.3459956959921</v>
      </c>
      <c r="AD162" s="8">
        <f t="shared" si="72"/>
        <v>109092.91541723974</v>
      </c>
      <c r="AE162" s="8">
        <f t="shared" si="73"/>
        <v>21723.755118626039</v>
      </c>
      <c r="AF162" s="8">
        <f t="shared" si="74"/>
        <v>71.313732071851192</v>
      </c>
      <c r="AG162" s="8">
        <f t="shared" si="75"/>
        <v>0</v>
      </c>
      <c r="AH162" s="8">
        <f t="shared" si="76"/>
        <v>4264.0157493688203</v>
      </c>
      <c r="AI162" s="8">
        <f t="shared" si="77"/>
        <v>19886.202079824729</v>
      </c>
      <c r="AJ162" s="8">
        <f t="shared" si="78"/>
        <v>71.025750447513715</v>
      </c>
      <c r="AK162" s="8">
        <f t="shared" si="79"/>
        <v>0</v>
      </c>
      <c r="AL162" s="8">
        <f t="shared" si="80"/>
        <v>680.98196104350905</v>
      </c>
      <c r="AM162" s="8">
        <f t="shared" si="81"/>
        <v>24492.122078119912</v>
      </c>
      <c r="AN162" s="8">
        <f t="shared" si="82"/>
        <v>124.31683644174257</v>
      </c>
      <c r="AO162" s="8">
        <f t="shared" si="83"/>
        <v>0</v>
      </c>
    </row>
    <row r="163" spans="1:41">
      <c r="A163" s="1">
        <v>41890</v>
      </c>
      <c r="B163" s="5">
        <v>161</v>
      </c>
      <c r="C163" s="3">
        <f>B163/365+input!$K$2</f>
        <v>0.44109589041095892</v>
      </c>
      <c r="D163" s="4">
        <f t="shared" si="58"/>
        <v>23.297073509332726</v>
      </c>
      <c r="E163" s="10">
        <f t="shared" si="62"/>
        <v>18.843192240077705</v>
      </c>
      <c r="F163" s="20">
        <f>input!A162</f>
        <v>5808.83</v>
      </c>
      <c r="G163" s="19">
        <f t="shared" si="63"/>
        <v>3.9849757560402516E-2</v>
      </c>
      <c r="H163" s="21">
        <f t="shared" si="64"/>
        <v>162.37508542420653</v>
      </c>
      <c r="I163" s="5">
        <v>526</v>
      </c>
      <c r="J163" s="3">
        <f>I163/365+input!$K$2</f>
        <v>1.441095890410959</v>
      </c>
      <c r="K163" s="4">
        <f t="shared" si="84"/>
        <v>32.496485601438721</v>
      </c>
      <c r="L163" s="10">
        <f t="shared" si="85"/>
        <v>55.392116881996756</v>
      </c>
      <c r="M163" s="20">
        <f>input!B162</f>
        <v>379.71</v>
      </c>
      <c r="N163" s="19">
        <f t="shared" si="65"/>
        <v>0.91628200805854876</v>
      </c>
      <c r="O163" s="21">
        <f t="shared" si="66"/>
        <v>1233.4031971613483</v>
      </c>
      <c r="P163" s="5">
        <v>891</v>
      </c>
      <c r="Q163" s="3">
        <f>P163/365+input!$K$2</f>
        <v>2.441095890410959</v>
      </c>
      <c r="R163" s="4">
        <f t="shared" si="59"/>
        <v>37.647221405170882</v>
      </c>
      <c r="S163" s="10">
        <f t="shared" si="60"/>
        <v>89.222158808870759</v>
      </c>
      <c r="T163" s="20">
        <f>input!C162</f>
        <v>0.79</v>
      </c>
      <c r="U163" s="19">
        <f t="shared" si="67"/>
        <v>0.99598708416386594</v>
      </c>
      <c r="V163" s="21">
        <f t="shared" si="68"/>
        <v>1751.441612350789</v>
      </c>
      <c r="W163" s="21">
        <v>1256</v>
      </c>
      <c r="X163" s="3">
        <f>W163/365+input!$K$2</f>
        <v>3.441095890410959</v>
      </c>
      <c r="Y163" s="4">
        <f t="shared" si="69"/>
        <v>39.469004015014669</v>
      </c>
      <c r="Z163" s="10">
        <f t="shared" si="61"/>
        <v>103.98435971907008</v>
      </c>
      <c r="AA163" s="20">
        <f>input!D162</f>
        <v>0</v>
      </c>
      <c r="AB163" s="19">
        <f t="shared" si="70"/>
        <v>0.99866597068041085</v>
      </c>
      <c r="AC163" s="21">
        <f t="shared" si="71"/>
        <v>1956.3459956959921</v>
      </c>
      <c r="AD163" s="8">
        <f t="shared" si="72"/>
        <v>109456.90037993058</v>
      </c>
      <c r="AE163" s="8">
        <f t="shared" si="73"/>
        <v>21032.940701262985</v>
      </c>
      <c r="AF163" s="8">
        <f t="shared" si="74"/>
        <v>70.485505459007896</v>
      </c>
      <c r="AG163" s="8">
        <f t="shared" si="75"/>
        <v>0</v>
      </c>
      <c r="AH163" s="8">
        <f t="shared" si="76"/>
        <v>4361.8309434533639</v>
      </c>
      <c r="AI163" s="8">
        <f t="shared" si="77"/>
        <v>19272.105141129628</v>
      </c>
      <c r="AJ163" s="8">
        <f t="shared" si="78"/>
        <v>70.202653057933531</v>
      </c>
      <c r="AK163" s="8">
        <f t="shared" si="79"/>
        <v>0</v>
      </c>
      <c r="AL163" s="8">
        <f t="shared" si="80"/>
        <v>708.25267204918737</v>
      </c>
      <c r="AM163" s="8">
        <f t="shared" si="81"/>
        <v>23770.276097098944</v>
      </c>
      <c r="AN163" s="8">
        <f t="shared" si="82"/>
        <v>122.95584786309016</v>
      </c>
      <c r="AO163" s="8">
        <f t="shared" si="83"/>
        <v>0</v>
      </c>
    </row>
    <row r="164" spans="1:41">
      <c r="A164" s="1">
        <v>41891</v>
      </c>
      <c r="B164" s="5">
        <v>162</v>
      </c>
      <c r="C164" s="3">
        <f>B164/365+input!$K$2</f>
        <v>0.44383561643835617</v>
      </c>
      <c r="D164" s="4">
        <f t="shared" si="58"/>
        <v>23.330262742039711</v>
      </c>
      <c r="E164" s="10">
        <f t="shared" si="62"/>
        <v>18.93030627515164</v>
      </c>
      <c r="F164" s="20">
        <f>input!A163</f>
        <v>5802.85</v>
      </c>
      <c r="G164" s="19">
        <f t="shared" si="63"/>
        <v>4.062646593060816E-2</v>
      </c>
      <c r="H164" s="21">
        <f t="shared" si="64"/>
        <v>165.07031860304372</v>
      </c>
      <c r="I164" s="5">
        <v>527</v>
      </c>
      <c r="J164" s="3">
        <f>I164/365+input!$K$2</f>
        <v>1.4438356164383561</v>
      </c>
      <c r="K164" s="4">
        <f t="shared" si="84"/>
        <v>32.515068198618927</v>
      </c>
      <c r="L164" s="10">
        <f t="shared" si="85"/>
        <v>55.494809946026237</v>
      </c>
      <c r="M164" s="20">
        <f>input!B163</f>
        <v>356.87</v>
      </c>
      <c r="N164" s="19">
        <f t="shared" si="65"/>
        <v>0.91714179592735745</v>
      </c>
      <c r="O164" s="21">
        <f t="shared" si="66"/>
        <v>1235.1892302519057</v>
      </c>
      <c r="P164" s="5">
        <v>892</v>
      </c>
      <c r="Q164" s="3">
        <f>P164/365+input!$K$2</f>
        <v>2.4438356164383563</v>
      </c>
      <c r="R164" s="4">
        <f t="shared" si="59"/>
        <v>37.657625770978612</v>
      </c>
      <c r="S164" s="10">
        <f t="shared" si="60"/>
        <v>89.302075012260815</v>
      </c>
      <c r="T164" s="20">
        <f>input!C163</f>
        <v>0.75</v>
      </c>
      <c r="U164" s="19">
        <f t="shared" si="67"/>
        <v>0.99601220560473325</v>
      </c>
      <c r="V164" s="21">
        <f t="shared" si="68"/>
        <v>1752.5752852621956</v>
      </c>
      <c r="W164" s="21">
        <v>1257</v>
      </c>
      <c r="X164" s="3">
        <f>W164/365+input!$K$2</f>
        <v>3.4438356164383563</v>
      </c>
      <c r="Y164" s="4">
        <f t="shared" si="69"/>
        <v>39.469004015014669</v>
      </c>
      <c r="Z164" s="10">
        <f t="shared" si="61"/>
        <v>103.98435971907008</v>
      </c>
      <c r="AA164" s="20">
        <f>input!D163</f>
        <v>0</v>
      </c>
      <c r="AB164" s="19">
        <f t="shared" si="70"/>
        <v>0.99866597068041085</v>
      </c>
      <c r="AC164" s="21">
        <f t="shared" si="71"/>
        <v>1956.3459956959921</v>
      </c>
      <c r="AD164" s="8">
        <f t="shared" si="72"/>
        <v>109849.7277687637</v>
      </c>
      <c r="AE164" s="8">
        <f t="shared" si="73"/>
        <v>19804.432825438384</v>
      </c>
      <c r="AF164" s="8">
        <f t="shared" si="74"/>
        <v>66.976556259195604</v>
      </c>
      <c r="AG164" s="8">
        <f t="shared" si="75"/>
        <v>0</v>
      </c>
      <c r="AH164" s="8">
        <f t="shared" si="76"/>
        <v>4462.8062226842594</v>
      </c>
      <c r="AI164" s="8">
        <f t="shared" si="77"/>
        <v>18163.473088845269</v>
      </c>
      <c r="AJ164" s="8">
        <f t="shared" si="78"/>
        <v>66.709467523530918</v>
      </c>
      <c r="AK164" s="8">
        <f t="shared" si="79"/>
        <v>0</v>
      </c>
      <c r="AL164" s="8">
        <f t="shared" si="80"/>
        <v>736.67684504213673</v>
      </c>
      <c r="AM164" s="8">
        <f t="shared" si="81"/>
        <v>22435.32634331199</v>
      </c>
      <c r="AN164" s="8">
        <f t="shared" si="82"/>
        <v>116.91336407474138</v>
      </c>
      <c r="AO164" s="8">
        <f t="shared" si="83"/>
        <v>0</v>
      </c>
    </row>
    <row r="165" spans="1:41">
      <c r="A165" s="1">
        <v>41892</v>
      </c>
      <c r="B165" s="5">
        <v>163</v>
      </c>
      <c r="C165" s="3">
        <f>B165/365+input!$K$2</f>
        <v>0.44657534246575342</v>
      </c>
      <c r="D165" s="4">
        <f t="shared" si="58"/>
        <v>23.363399277572054</v>
      </c>
      <c r="E165" s="10">
        <f t="shared" si="62"/>
        <v>19.017559369351975</v>
      </c>
      <c r="F165" s="20">
        <f>input!A164</f>
        <v>5798.83</v>
      </c>
      <c r="G165" s="19">
        <f t="shared" si="63"/>
        <v>4.1416392172885716E-2</v>
      </c>
      <c r="H165" s="21">
        <f t="shared" si="64"/>
        <v>167.78993741475566</v>
      </c>
      <c r="I165" s="5">
        <v>528</v>
      </c>
      <c r="J165" s="3">
        <f>I165/365+input!$K$2</f>
        <v>1.4465753424657535</v>
      </c>
      <c r="K165" s="4">
        <f t="shared" si="84"/>
        <v>32.533621290737116</v>
      </c>
      <c r="L165" s="10">
        <f t="shared" si="85"/>
        <v>55.597471192354902</v>
      </c>
      <c r="M165" s="20">
        <f>input!B164</f>
        <v>347.29</v>
      </c>
      <c r="N165" s="19">
        <f t="shared" si="65"/>
        <v>0.91799219796932852</v>
      </c>
      <c r="O165" s="21">
        <f t="shared" si="66"/>
        <v>1236.9719840233718</v>
      </c>
      <c r="P165" s="5">
        <v>893</v>
      </c>
      <c r="Q165" s="3">
        <f>P165/365+input!$K$2</f>
        <v>2.4465753424657533</v>
      </c>
      <c r="R165" s="4">
        <f t="shared" si="59"/>
        <v>37.668013616950326</v>
      </c>
      <c r="S165" s="10">
        <f t="shared" si="60"/>
        <v>89.381913682915638</v>
      </c>
      <c r="T165" s="20">
        <f>input!C164</f>
        <v>0.75</v>
      </c>
      <c r="U165" s="19">
        <f t="shared" si="67"/>
        <v>0.9960371308924707</v>
      </c>
      <c r="V165" s="21">
        <f t="shared" si="68"/>
        <v>1753.7075727376673</v>
      </c>
      <c r="W165" s="21">
        <v>1258</v>
      </c>
      <c r="X165" s="3">
        <f>W165/365+input!$K$2</f>
        <v>3.4465753424657533</v>
      </c>
      <c r="Y165" s="4">
        <f t="shared" si="69"/>
        <v>39.469004015014669</v>
      </c>
      <c r="Z165" s="10">
        <f t="shared" si="61"/>
        <v>103.98435971907008</v>
      </c>
      <c r="AA165" s="20">
        <f>input!D164</f>
        <v>0</v>
      </c>
      <c r="AB165" s="19">
        <f t="shared" si="70"/>
        <v>0.99866597068041085</v>
      </c>
      <c r="AC165" s="21">
        <f t="shared" si="71"/>
        <v>1956.3459956959921</v>
      </c>
      <c r="AD165" s="8">
        <f t="shared" si="72"/>
        <v>110279.59379777931</v>
      </c>
      <c r="AE165" s="8">
        <f t="shared" si="73"/>
        <v>19308.445770392937</v>
      </c>
      <c r="AF165" s="8">
        <f t="shared" si="74"/>
        <v>67.036435262186728</v>
      </c>
      <c r="AG165" s="8">
        <f t="shared" si="75"/>
        <v>0</v>
      </c>
      <c r="AH165" s="8">
        <f t="shared" si="76"/>
        <v>4567.3829053953632</v>
      </c>
      <c r="AI165" s="8">
        <f t="shared" si="77"/>
        <v>17725.002572134596</v>
      </c>
      <c r="AJ165" s="8">
        <f t="shared" si="78"/>
        <v>66.770778643807319</v>
      </c>
      <c r="AK165" s="8">
        <f t="shared" si="79"/>
        <v>0</v>
      </c>
      <c r="AL165" s="8">
        <f t="shared" si="80"/>
        <v>766.36089184551281</v>
      </c>
      <c r="AM165" s="8">
        <f t="shared" si="81"/>
        <v>21925.331598472698</v>
      </c>
      <c r="AN165" s="8">
        <f t="shared" si="82"/>
        <v>117.0964201452354</v>
      </c>
      <c r="AO165" s="8">
        <f t="shared" si="83"/>
        <v>0</v>
      </c>
    </row>
    <row r="166" spans="1:41">
      <c r="A166" s="1">
        <v>41893</v>
      </c>
      <c r="B166" s="5">
        <v>164</v>
      </c>
      <c r="C166" s="3">
        <f>B166/365+input!$K$2</f>
        <v>0.44931506849315067</v>
      </c>
      <c r="D166" s="4">
        <f t="shared" si="58"/>
        <v>23.396483199601242</v>
      </c>
      <c r="E166" s="10">
        <f t="shared" si="62"/>
        <v>19.104950908806405</v>
      </c>
      <c r="F166" s="20">
        <f>input!A165</f>
        <v>5794.83</v>
      </c>
      <c r="G166" s="19">
        <f t="shared" si="63"/>
        <v>4.2219712209175697E-2</v>
      </c>
      <c r="H166" s="21">
        <f t="shared" si="64"/>
        <v>170.53380121053723</v>
      </c>
      <c r="I166" s="5">
        <v>529</v>
      </c>
      <c r="J166" s="3">
        <f>I166/365+input!$K$2</f>
        <v>1.4493150684931506</v>
      </c>
      <c r="K166" s="4">
        <f t="shared" si="84"/>
        <v>32.552144924640835</v>
      </c>
      <c r="L166" s="10">
        <f t="shared" si="85"/>
        <v>55.700100347651926</v>
      </c>
      <c r="M166" s="20">
        <f>input!B165</f>
        <v>334.92</v>
      </c>
      <c r="N166" s="19">
        <f t="shared" si="65"/>
        <v>0.91883331310948746</v>
      </c>
      <c r="O166" s="21">
        <f t="shared" si="66"/>
        <v>1238.7514842159644</v>
      </c>
      <c r="P166" s="5">
        <v>894</v>
      </c>
      <c r="Q166" s="3">
        <f>P166/365+input!$K$2</f>
        <v>2.4493150684931506</v>
      </c>
      <c r="R166" s="4">
        <f t="shared" si="59"/>
        <v>37.678384969315879</v>
      </c>
      <c r="S166" s="10">
        <f t="shared" si="60"/>
        <v>89.461674804159856</v>
      </c>
      <c r="T166" s="20">
        <f>input!C165</f>
        <v>0.74</v>
      </c>
      <c r="U166" s="19">
        <f t="shared" si="67"/>
        <v>0.99606186179633671</v>
      </c>
      <c r="V166" s="21">
        <f t="shared" si="68"/>
        <v>1754.8384757576318</v>
      </c>
      <c r="W166" s="21">
        <v>1259</v>
      </c>
      <c r="X166" s="3">
        <f>W166/365+input!$K$2</f>
        <v>3.4493150684931506</v>
      </c>
      <c r="Y166" s="4">
        <f t="shared" si="69"/>
        <v>39.469004015014669</v>
      </c>
      <c r="Z166" s="10">
        <f t="shared" si="61"/>
        <v>103.98435971907008</v>
      </c>
      <c r="AA166" s="20">
        <f>input!D165</f>
        <v>0</v>
      </c>
      <c r="AB166" s="19">
        <f t="shared" si="70"/>
        <v>0.99866597068041085</v>
      </c>
      <c r="AC166" s="21">
        <f t="shared" si="71"/>
        <v>1956.3459956959921</v>
      </c>
      <c r="AD166" s="8">
        <f t="shared" si="72"/>
        <v>110709.94267487862</v>
      </c>
      <c r="AE166" s="8">
        <f t="shared" si="73"/>
        <v>18655.077608435582</v>
      </c>
      <c r="AF166" s="8">
        <f t="shared" si="74"/>
        <v>66.201639355078299</v>
      </c>
      <c r="AG166" s="8">
        <f t="shared" si="75"/>
        <v>0</v>
      </c>
      <c r="AH166" s="8">
        <f t="shared" si="76"/>
        <v>4674.1419184277147</v>
      </c>
      <c r="AI166" s="8">
        <f t="shared" si="77"/>
        <v>17140.906765273481</v>
      </c>
      <c r="AJ166" s="8">
        <f t="shared" si="78"/>
        <v>65.94092814998892</v>
      </c>
      <c r="AK166" s="8">
        <f t="shared" si="79"/>
        <v>0</v>
      </c>
      <c r="AL166" s="8">
        <f t="shared" si="80"/>
        <v>797.0991887469911</v>
      </c>
      <c r="AM166" s="8">
        <f t="shared" si="81"/>
        <v>21233.32369628999</v>
      </c>
      <c r="AN166" s="8">
        <f t="shared" si="82"/>
        <v>115.71567784477008</v>
      </c>
      <c r="AO166" s="8">
        <f t="shared" si="83"/>
        <v>0</v>
      </c>
    </row>
    <row r="167" spans="1:41">
      <c r="A167" s="1">
        <v>41894</v>
      </c>
      <c r="B167" s="5">
        <v>165</v>
      </c>
      <c r="C167" s="3">
        <f>B167/365+input!$K$2</f>
        <v>0.45205479452054792</v>
      </c>
      <c r="D167" s="4">
        <f t="shared" si="58"/>
        <v>23.429514591665903</v>
      </c>
      <c r="E167" s="10">
        <f t="shared" si="62"/>
        <v>19.192480279713248</v>
      </c>
      <c r="F167" s="20">
        <f>input!A166</f>
        <v>5790.46</v>
      </c>
      <c r="G167" s="19">
        <f t="shared" si="63"/>
        <v>4.3036602977900011E-2</v>
      </c>
      <c r="H167" s="21">
        <f t="shared" si="64"/>
        <v>173.30176371169949</v>
      </c>
      <c r="I167" s="5">
        <v>530</v>
      </c>
      <c r="J167" s="3">
        <f>I167/365+input!$K$2</f>
        <v>1.452054794520548</v>
      </c>
      <c r="K167" s="4">
        <f t="shared" si="84"/>
        <v>32.570639147103222</v>
      </c>
      <c r="L167" s="10">
        <f t="shared" si="85"/>
        <v>55.802697139620705</v>
      </c>
      <c r="M167" s="20">
        <f>input!B166</f>
        <v>318.97000000000003</v>
      </c>
      <c r="N167" s="19">
        <f t="shared" si="65"/>
        <v>0.91966523947427881</v>
      </c>
      <c r="O167" s="21">
        <f t="shared" si="66"/>
        <v>1240.5277562460396</v>
      </c>
      <c r="P167" s="5">
        <v>895</v>
      </c>
      <c r="Q167" s="3">
        <f>P167/365+input!$K$2</f>
        <v>2.452054794520548</v>
      </c>
      <c r="R167" s="4">
        <f t="shared" si="59"/>
        <v>37.68873985426346</v>
      </c>
      <c r="S167" s="10">
        <f t="shared" si="60"/>
        <v>89.541358359708553</v>
      </c>
      <c r="T167" s="20">
        <f>input!C166</f>
        <v>0.7</v>
      </c>
      <c r="U167" s="19">
        <f t="shared" si="67"/>
        <v>0.99608640006776827</v>
      </c>
      <c r="V167" s="21">
        <f t="shared" si="68"/>
        <v>1755.9679953036907</v>
      </c>
      <c r="W167" s="21">
        <v>1260</v>
      </c>
      <c r="X167" s="3">
        <f>W167/365+input!$K$2</f>
        <v>3.452054794520548</v>
      </c>
      <c r="Y167" s="4">
        <f t="shared" si="69"/>
        <v>39.469004015014669</v>
      </c>
      <c r="Z167" s="10">
        <f t="shared" si="61"/>
        <v>103.98435971907008</v>
      </c>
      <c r="AA167" s="20">
        <f>input!D166</f>
        <v>0</v>
      </c>
      <c r="AB167" s="19">
        <f t="shared" si="70"/>
        <v>0.99866597068041085</v>
      </c>
      <c r="AC167" s="21">
        <f t="shared" si="71"/>
        <v>1956.3459956959921</v>
      </c>
      <c r="AD167" s="8">
        <f t="shared" si="72"/>
        <v>111133.28936046838</v>
      </c>
      <c r="AE167" s="8">
        <f t="shared" si="73"/>
        <v>17799.386306624816</v>
      </c>
      <c r="AF167" s="8">
        <f t="shared" si="74"/>
        <v>62.678950851795982</v>
      </c>
      <c r="AG167" s="8">
        <f t="shared" si="75"/>
        <v>0</v>
      </c>
      <c r="AH167" s="8">
        <f t="shared" si="76"/>
        <v>4782.7992518345573</v>
      </c>
      <c r="AI167" s="8">
        <f t="shared" si="77"/>
        <v>16369.47687017731</v>
      </c>
      <c r="AJ167" s="8">
        <f t="shared" si="78"/>
        <v>62.433650513990038</v>
      </c>
      <c r="AK167" s="8">
        <f t="shared" si="79"/>
        <v>0</v>
      </c>
      <c r="AL167" s="8">
        <f t="shared" si="80"/>
        <v>828.86754582192555</v>
      </c>
      <c r="AM167" s="8">
        <f t="shared" si="81"/>
        <v>20306.790412682505</v>
      </c>
      <c r="AN167" s="8">
        <f t="shared" si="82"/>
        <v>109.63149213254232</v>
      </c>
      <c r="AO167" s="8">
        <f t="shared" si="83"/>
        <v>0</v>
      </c>
    </row>
    <row r="168" spans="1:41">
      <c r="A168" s="1">
        <v>41895</v>
      </c>
      <c r="B168" s="5">
        <v>166</v>
      </c>
      <c r="C168" s="3">
        <f>B168/365+input!$K$2</f>
        <v>0.45479452054794522</v>
      </c>
      <c r="D168" s="4">
        <f t="shared" si="58"/>
        <v>23.462493537172019</v>
      </c>
      <c r="E168" s="10">
        <f t="shared" si="62"/>
        <v>19.280146868352965</v>
      </c>
      <c r="F168" s="20">
        <f>input!A167</f>
        <v>5786.5</v>
      </c>
      <c r="G168" s="19">
        <f t="shared" si="63"/>
        <v>4.3867242398397448E-2</v>
      </c>
      <c r="H168" s="21">
        <f t="shared" si="64"/>
        <v>176.09367306705619</v>
      </c>
      <c r="I168" s="5">
        <v>531</v>
      </c>
      <c r="J168" s="3">
        <f>I168/365+input!$K$2</f>
        <v>1.4547945205479451</v>
      </c>
      <c r="K168" s="4">
        <f t="shared" si="84"/>
        <v>32.589104004823149</v>
      </c>
      <c r="L168" s="10">
        <f t="shared" si="85"/>
        <v>55.905261296996692</v>
      </c>
      <c r="M168" s="20">
        <f>input!B167</f>
        <v>306.68</v>
      </c>
      <c r="N168" s="19">
        <f t="shared" si="65"/>
        <v>0.92048807438965774</v>
      </c>
      <c r="O168" s="21">
        <f t="shared" si="66"/>
        <v>1242.3008252088489</v>
      </c>
      <c r="P168" s="5">
        <v>896</v>
      </c>
      <c r="Q168" s="3">
        <f>P168/365+input!$K$2</f>
        <v>2.4547945205479453</v>
      </c>
      <c r="R168" s="4">
        <f t="shared" si="59"/>
        <v>37.699078297939714</v>
      </c>
      <c r="S168" s="10">
        <f t="shared" si="60"/>
        <v>89.620964333666976</v>
      </c>
      <c r="T168" s="20">
        <f>input!C167</f>
        <v>0.69</v>
      </c>
      <c r="U168" s="19">
        <f t="shared" si="67"/>
        <v>0.99611074744057682</v>
      </c>
      <c r="V168" s="21">
        <f t="shared" si="68"/>
        <v>1757.0961323586243</v>
      </c>
      <c r="W168" s="21">
        <v>1261</v>
      </c>
      <c r="X168" s="3">
        <f>W168/365+input!$K$2</f>
        <v>3.4547945205479453</v>
      </c>
      <c r="Y168" s="4">
        <f t="shared" si="69"/>
        <v>39.469004015014669</v>
      </c>
      <c r="Z168" s="10">
        <f t="shared" si="61"/>
        <v>103.98435971907008</v>
      </c>
      <c r="AA168" s="20">
        <f>input!D167</f>
        <v>0</v>
      </c>
      <c r="AB168" s="19">
        <f t="shared" si="70"/>
        <v>0.99866597068041085</v>
      </c>
      <c r="AC168" s="21">
        <f t="shared" si="71"/>
        <v>1956.3459956959921</v>
      </c>
      <c r="AD168" s="8">
        <f t="shared" si="72"/>
        <v>111564.56985372443</v>
      </c>
      <c r="AE168" s="8">
        <f t="shared" si="73"/>
        <v>17145.025534562945</v>
      </c>
      <c r="AF168" s="8">
        <f t="shared" si="74"/>
        <v>61.838465390230212</v>
      </c>
      <c r="AG168" s="8">
        <f t="shared" si="75"/>
        <v>0</v>
      </c>
      <c r="AH168" s="8">
        <f t="shared" si="76"/>
        <v>4894.030028846274</v>
      </c>
      <c r="AI168" s="8">
        <f t="shared" si="77"/>
        <v>15781.791539671358</v>
      </c>
      <c r="AJ168" s="8">
        <f t="shared" si="78"/>
        <v>61.597959980440457</v>
      </c>
      <c r="AK168" s="8">
        <f t="shared" si="79"/>
        <v>0</v>
      </c>
      <c r="AL168" s="8">
        <f t="shared" si="80"/>
        <v>861.80772388001139</v>
      </c>
      <c r="AM168" s="8">
        <f t="shared" si="81"/>
        <v>19605.732653007755</v>
      </c>
      <c r="AN168" s="8">
        <f t="shared" si="82"/>
        <v>108.23353724281326</v>
      </c>
      <c r="AO168" s="8">
        <f t="shared" si="83"/>
        <v>0</v>
      </c>
    </row>
    <row r="169" spans="1:41">
      <c r="A169" s="1">
        <v>41896</v>
      </c>
      <c r="B169" s="5">
        <v>167</v>
      </c>
      <c r="C169" s="3">
        <f>B169/365+input!$K$2</f>
        <v>0.45753424657534247</v>
      </c>
      <c r="D169" s="4">
        <f t="shared" si="58"/>
        <v>23.495420119393156</v>
      </c>
      <c r="E169" s="10">
        <f t="shared" si="62"/>
        <v>19.367950061100156</v>
      </c>
      <c r="F169" s="20">
        <f>input!A168</f>
        <v>5782.32</v>
      </c>
      <c r="G169" s="19">
        <f t="shared" si="63"/>
        <v>4.4711809333824404E-2</v>
      </c>
      <c r="H169" s="21">
        <f t="shared" si="64"/>
        <v>178.90937191299287</v>
      </c>
      <c r="I169" s="5">
        <v>532</v>
      </c>
      <c r="J169" s="3">
        <f>I169/365+input!$K$2</f>
        <v>1.4575342465753425</v>
      </c>
      <c r="K169" s="4">
        <f t="shared" si="84"/>
        <v>32.607539544425343</v>
      </c>
      <c r="L169" s="10">
        <f t="shared" si="85"/>
        <v>56.007792549546082</v>
      </c>
      <c r="M169" s="20">
        <f>input!B168</f>
        <v>299.72000000000003</v>
      </c>
      <c r="N169" s="19">
        <f t="shared" si="65"/>
        <v>0.92130191437950071</v>
      </c>
      <c r="O169" s="21">
        <f t="shared" si="66"/>
        <v>1244.0707158813323</v>
      </c>
      <c r="P169" s="5">
        <v>897</v>
      </c>
      <c r="Q169" s="3">
        <f>P169/365+input!$K$2</f>
        <v>2.4575342465753423</v>
      </c>
      <c r="R169" s="4">
        <f t="shared" si="59"/>
        <v>37.709400326449739</v>
      </c>
      <c r="S169" s="10">
        <f t="shared" si="60"/>
        <v>89.700492710528081</v>
      </c>
      <c r="T169" s="20">
        <f>input!C168</f>
        <v>0.69</v>
      </c>
      <c r="U169" s="19">
        <f t="shared" si="67"/>
        <v>0.99613490563114193</v>
      </c>
      <c r="V169" s="21">
        <f t="shared" si="68"/>
        <v>1758.222887906393</v>
      </c>
      <c r="W169" s="21">
        <v>1262</v>
      </c>
      <c r="X169" s="3">
        <f>W169/365+input!$K$2</f>
        <v>3.4575342465753423</v>
      </c>
      <c r="Y169" s="4">
        <f t="shared" si="69"/>
        <v>39.469004015014669</v>
      </c>
      <c r="Z169" s="10">
        <f t="shared" si="61"/>
        <v>103.98435971907008</v>
      </c>
      <c r="AA169" s="20">
        <f>input!D168</f>
        <v>0</v>
      </c>
      <c r="AB169" s="19">
        <f t="shared" si="70"/>
        <v>0.99866597068041085</v>
      </c>
      <c r="AC169" s="21">
        <f t="shared" si="71"/>
        <v>1956.3459956959921</v>
      </c>
      <c r="AD169" s="8">
        <f t="shared" si="72"/>
        <v>111991.68499730065</v>
      </c>
      <c r="AE169" s="8">
        <f t="shared" si="73"/>
        <v>16786.655582949952</v>
      </c>
      <c r="AF169" s="8">
        <f t="shared" si="74"/>
        <v>61.893339970264371</v>
      </c>
      <c r="AG169" s="8">
        <f t="shared" si="75"/>
        <v>0</v>
      </c>
      <c r="AH169" s="8">
        <f t="shared" si="76"/>
        <v>5007.3508665730296</v>
      </c>
      <c r="AI169" s="8">
        <f t="shared" si="77"/>
        <v>15465.577924601124</v>
      </c>
      <c r="AJ169" s="8">
        <f t="shared" si="78"/>
        <v>61.654116370475485</v>
      </c>
      <c r="AK169" s="8">
        <f t="shared" si="79"/>
        <v>0</v>
      </c>
      <c r="AL169" s="8">
        <f t="shared" si="80"/>
        <v>895.86199848656122</v>
      </c>
      <c r="AM169" s="8">
        <f t="shared" si="81"/>
        <v>19240.27260017705</v>
      </c>
      <c r="AN169" s="8">
        <f t="shared" si="82"/>
        <v>108.40167853621422</v>
      </c>
      <c r="AO169" s="8">
        <f t="shared" si="83"/>
        <v>0</v>
      </c>
    </row>
    <row r="170" spans="1:41">
      <c r="A170" s="1">
        <v>41897</v>
      </c>
      <c r="B170" s="5">
        <v>168</v>
      </c>
      <c r="C170" s="3">
        <f>B170/365+input!$K$2</f>
        <v>0.46027397260273972</v>
      </c>
      <c r="D170" s="4">
        <f t="shared" si="58"/>
        <v>23.528294421470648</v>
      </c>
      <c r="E170" s="10">
        <f t="shared" si="62"/>
        <v>19.455889244434953</v>
      </c>
      <c r="F170" s="20">
        <f>input!A169</f>
        <v>5778.36</v>
      </c>
      <c r="G170" s="19">
        <f t="shared" si="63"/>
        <v>4.5570483552496432E-2</v>
      </c>
      <c r="H170" s="21">
        <f t="shared" si="64"/>
        <v>181.74869743615088</v>
      </c>
      <c r="I170" s="5">
        <v>533</v>
      </c>
      <c r="J170" s="3">
        <f>I170/365+input!$K$2</f>
        <v>1.4602739726027398</v>
      </c>
      <c r="K170" s="4">
        <f t="shared" si="84"/>
        <v>32.625945812460508</v>
      </c>
      <c r="L170" s="10">
        <f t="shared" si="85"/>
        <v>56.110290628064377</v>
      </c>
      <c r="M170" s="20">
        <f>input!B169</f>
        <v>285.56</v>
      </c>
      <c r="N170" s="19">
        <f t="shared" si="65"/>
        <v>0.92210685516433188</v>
      </c>
      <c r="O170" s="21">
        <f t="shared" si="66"/>
        <v>1245.8374527249021</v>
      </c>
      <c r="P170" s="5">
        <v>898</v>
      </c>
      <c r="Q170" s="3">
        <f>P170/365+input!$K$2</f>
        <v>2.4602739726027396</v>
      </c>
      <c r="R170" s="4">
        <f t="shared" si="59"/>
        <v>37.719705965857187</v>
      </c>
      <c r="S170" s="10">
        <f t="shared" si="60"/>
        <v>89.77994347517226</v>
      </c>
      <c r="T170" s="20">
        <f>input!C169</f>
        <v>0.66</v>
      </c>
      <c r="U170" s="19">
        <f t="shared" si="67"/>
        <v>0.99615887633860267</v>
      </c>
      <c r="V170" s="21">
        <f t="shared" si="68"/>
        <v>1759.3482629321511</v>
      </c>
      <c r="W170" s="21">
        <v>1263</v>
      </c>
      <c r="X170" s="3">
        <f>W170/365+input!$K$2</f>
        <v>3.4602739726027396</v>
      </c>
      <c r="Y170" s="4">
        <f t="shared" si="69"/>
        <v>39.469004015014669</v>
      </c>
      <c r="Z170" s="10">
        <f t="shared" si="61"/>
        <v>103.98435971907008</v>
      </c>
      <c r="AA170" s="20">
        <f>input!D169</f>
        <v>0</v>
      </c>
      <c r="AB170" s="19">
        <f t="shared" si="70"/>
        <v>0.99866597068041085</v>
      </c>
      <c r="AC170" s="21">
        <f t="shared" si="71"/>
        <v>1956.3459956959921</v>
      </c>
      <c r="AD170" s="8">
        <f t="shared" si="72"/>
        <v>112423.13217447315</v>
      </c>
      <c r="AE170" s="8">
        <f t="shared" si="73"/>
        <v>16022.854591750063</v>
      </c>
      <c r="AF170" s="8">
        <f t="shared" si="74"/>
        <v>59.254762693613692</v>
      </c>
      <c r="AG170" s="8">
        <f t="shared" si="75"/>
        <v>0</v>
      </c>
      <c r="AH170" s="8">
        <f t="shared" si="76"/>
        <v>5123.1764956769612</v>
      </c>
      <c r="AI170" s="8">
        <f t="shared" si="77"/>
        <v>14774.784058354026</v>
      </c>
      <c r="AJ170" s="8">
        <f t="shared" si="78"/>
        <v>59.027157822580769</v>
      </c>
      <c r="AK170" s="8">
        <f t="shared" si="79"/>
        <v>0</v>
      </c>
      <c r="AL170" s="8">
        <f t="shared" si="80"/>
        <v>931.13065482479169</v>
      </c>
      <c r="AM170" s="8">
        <f t="shared" si="81"/>
        <v>18406.97933582027</v>
      </c>
      <c r="AN170" s="8">
        <f t="shared" si="82"/>
        <v>103.84932758097942</v>
      </c>
      <c r="AO170" s="8">
        <f t="shared" si="83"/>
        <v>0</v>
      </c>
    </row>
    <row r="171" spans="1:41">
      <c r="A171" s="1">
        <v>41898</v>
      </c>
      <c r="B171" s="5">
        <v>169</v>
      </c>
      <c r="C171" s="3">
        <f>B171/365+input!$K$2</f>
        <v>0.46301369863013697</v>
      </c>
      <c r="D171" s="4">
        <f t="shared" si="58"/>
        <v>23.561116526413812</v>
      </c>
      <c r="E171" s="10">
        <f t="shared" si="62"/>
        <v>19.543963804954497</v>
      </c>
      <c r="F171" s="20">
        <f>input!A170</f>
        <v>5774.4</v>
      </c>
      <c r="G171" s="19">
        <f t="shared" si="63"/>
        <v>4.6443445687645003E-2</v>
      </c>
      <c r="H171" s="21">
        <f t="shared" si="64"/>
        <v>184.61148143868883</v>
      </c>
      <c r="I171" s="5">
        <v>534</v>
      </c>
      <c r="J171" s="3">
        <f>I171/365+input!$K$2</f>
        <v>1.463013698630137</v>
      </c>
      <c r="K171" s="4">
        <f t="shared" si="84"/>
        <v>32.64432285540542</v>
      </c>
      <c r="L171" s="10">
        <f t="shared" si="85"/>
        <v>56.212755264374458</v>
      </c>
      <c r="M171" s="20">
        <f>input!B170</f>
        <v>279.97000000000003</v>
      </c>
      <c r="N171" s="19">
        <f t="shared" si="65"/>
        <v>0.9229029916603505</v>
      </c>
      <c r="O171" s="21">
        <f t="shared" si="66"/>
        <v>1247.6010598882385</v>
      </c>
      <c r="P171" s="5">
        <v>899</v>
      </c>
      <c r="Q171" s="3">
        <f>P171/365+input!$K$2</f>
        <v>2.463013698630137</v>
      </c>
      <c r="R171" s="4">
        <f t="shared" si="59"/>
        <v>37.729995242184351</v>
      </c>
      <c r="S171" s="10">
        <f t="shared" si="60"/>
        <v>89.859316612865058</v>
      </c>
      <c r="T171" s="20">
        <f>input!C170</f>
        <v>0.66</v>
      </c>
      <c r="U171" s="19">
        <f t="shared" si="67"/>
        <v>0.99618266124504673</v>
      </c>
      <c r="V171" s="21">
        <f t="shared" si="68"/>
        <v>1760.4722584222386</v>
      </c>
      <c r="W171" s="21">
        <v>1264</v>
      </c>
      <c r="X171" s="3">
        <f>W171/365+input!$K$2</f>
        <v>3.463013698630137</v>
      </c>
      <c r="Y171" s="4">
        <f t="shared" si="69"/>
        <v>39.469004015014669</v>
      </c>
      <c r="Z171" s="10">
        <f t="shared" si="61"/>
        <v>103.98435971907008</v>
      </c>
      <c r="AA171" s="20">
        <f>input!D170</f>
        <v>0</v>
      </c>
      <c r="AB171" s="19">
        <f t="shared" si="70"/>
        <v>0.99866597068041085</v>
      </c>
      <c r="AC171" s="21">
        <f t="shared" si="71"/>
        <v>1956.3459956959921</v>
      </c>
      <c r="AD171" s="8">
        <f t="shared" si="72"/>
        <v>112854.66459532925</v>
      </c>
      <c r="AE171" s="8">
        <f t="shared" si="73"/>
        <v>15737.885091366919</v>
      </c>
      <c r="AF171" s="8">
        <f t="shared" si="74"/>
        <v>59.307148964490942</v>
      </c>
      <c r="AG171" s="8">
        <f t="shared" si="75"/>
        <v>0</v>
      </c>
      <c r="AH171" s="8">
        <f t="shared" si="76"/>
        <v>5241.359485730567</v>
      </c>
      <c r="AI171" s="8">
        <f t="shared" si="77"/>
        <v>14524.541233229358</v>
      </c>
      <c r="AJ171" s="8">
        <f t="shared" si="78"/>
        <v>59.080753486303003</v>
      </c>
      <c r="AK171" s="8">
        <f t="shared" si="79"/>
        <v>0</v>
      </c>
      <c r="AL171" s="8">
        <f t="shared" si="80"/>
        <v>967.61513941344424</v>
      </c>
      <c r="AM171" s="8">
        <f t="shared" si="81"/>
        <v>18120.833036967371</v>
      </c>
      <c r="AN171" s="8">
        <f t="shared" si="82"/>
        <v>104.01002751931939</v>
      </c>
      <c r="AO171" s="8">
        <f t="shared" si="83"/>
        <v>0</v>
      </c>
    </row>
    <row r="172" spans="1:41">
      <c r="A172" s="1">
        <v>41899</v>
      </c>
      <c r="B172" s="5">
        <v>170</v>
      </c>
      <c r="C172" s="3">
        <f>B172/365+input!$K$2</f>
        <v>0.46575342465753422</v>
      </c>
      <c r="D172" s="4">
        <f t="shared" si="58"/>
        <v>23.593886517100184</v>
      </c>
      <c r="E172" s="10">
        <f t="shared" si="62"/>
        <v>19.632173129384451</v>
      </c>
      <c r="F172" s="20">
        <f>input!A171</f>
        <v>5770.41</v>
      </c>
      <c r="G172" s="19">
        <f t="shared" si="63"/>
        <v>4.733087719556639E-2</v>
      </c>
      <c r="H172" s="21">
        <f t="shared" si="64"/>
        <v>187.49755040605535</v>
      </c>
      <c r="I172" s="5">
        <v>535</v>
      </c>
      <c r="J172" s="3">
        <f>I172/365+input!$K$2</f>
        <v>1.4657534246575343</v>
      </c>
      <c r="K172" s="4">
        <f t="shared" si="84"/>
        <v>32.662670719663083</v>
      </c>
      <c r="L172" s="10">
        <f t="shared" si="85"/>
        <v>56.315186191325274</v>
      </c>
      <c r="M172" s="20">
        <f>input!B171</f>
        <v>268.74</v>
      </c>
      <c r="N172" s="19">
        <f t="shared" si="65"/>
        <v>0.92369041797875329</v>
      </c>
      <c r="O172" s="21">
        <f t="shared" si="66"/>
        <v>1249.3615612101023</v>
      </c>
      <c r="P172" s="5">
        <v>900</v>
      </c>
      <c r="Q172" s="3">
        <f>P172/365+input!$K$2</f>
        <v>2.4657534246575343</v>
      </c>
      <c r="R172" s="4">
        <f t="shared" si="59"/>
        <v>37.740268181412176</v>
      </c>
      <c r="S172" s="10">
        <f t="shared" si="60"/>
        <v>89.938612109255928</v>
      </c>
      <c r="T172" s="20">
        <f>input!C171</f>
        <v>0.64</v>
      </c>
      <c r="U172" s="19">
        <f t="shared" si="67"/>
        <v>0.99620626201569729</v>
      </c>
      <c r="V172" s="21">
        <f t="shared" si="68"/>
        <v>1761.5948753642031</v>
      </c>
      <c r="W172" s="21">
        <v>1265</v>
      </c>
      <c r="X172" s="3">
        <f>W172/365+input!$K$2</f>
        <v>3.4657534246575343</v>
      </c>
      <c r="Y172" s="4">
        <f t="shared" si="69"/>
        <v>39.469004015014669</v>
      </c>
      <c r="Z172" s="10">
        <f t="shared" si="61"/>
        <v>103.98435971907008</v>
      </c>
      <c r="AA172" s="20">
        <f>input!D171</f>
        <v>0</v>
      </c>
      <c r="AB172" s="19">
        <f t="shared" si="70"/>
        <v>0.99866597068041085</v>
      </c>
      <c r="AC172" s="21">
        <f t="shared" si="71"/>
        <v>1956.3459956959921</v>
      </c>
      <c r="AD172" s="8">
        <f t="shared" si="72"/>
        <v>113285.68814753133</v>
      </c>
      <c r="AE172" s="8">
        <f t="shared" si="73"/>
        <v>15134.143137056755</v>
      </c>
      <c r="AF172" s="8">
        <f t="shared" si="74"/>
        <v>57.560711749923797</v>
      </c>
      <c r="AG172" s="8">
        <f t="shared" si="75"/>
        <v>0</v>
      </c>
      <c r="AH172" s="8">
        <f t="shared" si="76"/>
        <v>5361.9109937260364</v>
      </c>
      <c r="AI172" s="8">
        <f t="shared" si="77"/>
        <v>13979.263000018234</v>
      </c>
      <c r="AJ172" s="8">
        <f t="shared" si="78"/>
        <v>57.34234149135461</v>
      </c>
      <c r="AK172" s="8">
        <f t="shared" si="79"/>
        <v>0</v>
      </c>
      <c r="AL172" s="8">
        <f t="shared" si="80"/>
        <v>1005.3451768189299</v>
      </c>
      <c r="AM172" s="8">
        <f t="shared" si="81"/>
        <v>17465.153846269401</v>
      </c>
      <c r="AN172" s="8">
        <f t="shared" si="82"/>
        <v>101.01397491255439</v>
      </c>
      <c r="AO172" s="8">
        <f t="shared" si="83"/>
        <v>0</v>
      </c>
    </row>
    <row r="173" spans="1:41">
      <c r="A173" s="1">
        <v>41900</v>
      </c>
      <c r="B173" s="5">
        <v>171</v>
      </c>
      <c r="C173" s="3">
        <f>B173/365+input!$K$2</f>
        <v>0.46849315068493153</v>
      </c>
      <c r="D173" s="4">
        <f t="shared" si="58"/>
        <v>23.626604476275698</v>
      </c>
      <c r="E173" s="10">
        <f t="shared" si="62"/>
        <v>19.72051660459028</v>
      </c>
      <c r="F173" s="20">
        <f>input!A172</f>
        <v>5766.46</v>
      </c>
      <c r="G173" s="19">
        <f t="shared" si="63"/>
        <v>4.8232960312135996E-2</v>
      </c>
      <c r="H173" s="21">
        <f t="shared" si="64"/>
        <v>190.40672557721734</v>
      </c>
      <c r="I173" s="5">
        <v>536</v>
      </c>
      <c r="J173" s="3">
        <f>I173/365+input!$K$2</f>
        <v>1.4684931506849315</v>
      </c>
      <c r="K173" s="4">
        <f t="shared" si="84"/>
        <v>32.680989451562809</v>
      </c>
      <c r="L173" s="10">
        <f t="shared" si="85"/>
        <v>56.417583142789958</v>
      </c>
      <c r="M173" s="20">
        <f>input!B172</f>
        <v>260.36</v>
      </c>
      <c r="N173" s="19">
        <f t="shared" si="65"/>
        <v>0.92446922742533899</v>
      </c>
      <c r="O173" s="21">
        <f t="shared" si="66"/>
        <v>1251.118980222144</v>
      </c>
      <c r="P173" s="5">
        <v>901</v>
      </c>
      <c r="Q173" s="3">
        <f>P173/365+input!$K$2</f>
        <v>2.4684931506849317</v>
      </c>
      <c r="R173" s="4">
        <f t="shared" si="59"/>
        <v>37.750524809480382</v>
      </c>
      <c r="S173" s="10">
        <f t="shared" si="60"/>
        <v>90.017829950377475</v>
      </c>
      <c r="T173" s="20">
        <f>input!C172</f>
        <v>0.62</v>
      </c>
      <c r="U173" s="19">
        <f t="shared" si="67"/>
        <v>0.9962296802990982</v>
      </c>
      <c r="V173" s="21">
        <f t="shared" si="68"/>
        <v>1762.7161147467968</v>
      </c>
      <c r="W173" s="21">
        <v>1266</v>
      </c>
      <c r="X173" s="3">
        <f>W173/365+input!$K$2</f>
        <v>3.4684931506849317</v>
      </c>
      <c r="Y173" s="4">
        <f t="shared" si="69"/>
        <v>39.469004015014669</v>
      </c>
      <c r="Z173" s="10">
        <f t="shared" si="61"/>
        <v>103.98435971907008</v>
      </c>
      <c r="AA173" s="20">
        <f>input!D172</f>
        <v>0</v>
      </c>
      <c r="AB173" s="19">
        <f t="shared" si="70"/>
        <v>0.99866597068041085</v>
      </c>
      <c r="AC173" s="21">
        <f t="shared" si="71"/>
        <v>1956.3459956959921</v>
      </c>
      <c r="AD173" s="8">
        <f t="shared" si="72"/>
        <v>113717.57017970567</v>
      </c>
      <c r="AE173" s="8">
        <f t="shared" si="73"/>
        <v>14688.881947056794</v>
      </c>
      <c r="AF173" s="8">
        <f t="shared" si="74"/>
        <v>55.811054569234031</v>
      </c>
      <c r="AG173" s="8">
        <f t="shared" si="75"/>
        <v>0</v>
      </c>
      <c r="AH173" s="8">
        <f t="shared" si="76"/>
        <v>5484.9350492702833</v>
      </c>
      <c r="AI173" s="8">
        <f t="shared" si="77"/>
        <v>13579.419345337603</v>
      </c>
      <c r="AJ173" s="8">
        <f t="shared" si="78"/>
        <v>55.600629050663542</v>
      </c>
      <c r="AK173" s="8">
        <f t="shared" si="79"/>
        <v>0</v>
      </c>
      <c r="AL173" s="8">
        <f t="shared" si="80"/>
        <v>1044.3685227352678</v>
      </c>
      <c r="AM173" s="8">
        <f t="shared" si="81"/>
        <v>16989.469283347637</v>
      </c>
      <c r="AN173" s="8">
        <f t="shared" si="82"/>
        <v>98.008124817663528</v>
      </c>
      <c r="AO173" s="8">
        <f t="shared" si="83"/>
        <v>0</v>
      </c>
    </row>
    <row r="174" spans="1:41">
      <c r="A174" s="1">
        <v>41901</v>
      </c>
      <c r="B174" s="5">
        <v>172</v>
      </c>
      <c r="C174" s="3">
        <f>B174/365+input!$K$2</f>
        <v>0.47123287671232877</v>
      </c>
      <c r="D174" s="4">
        <f t="shared" si="58"/>
        <v>23.659270486554899</v>
      </c>
      <c r="E174" s="10">
        <f t="shared" si="62"/>
        <v>19.808993617588484</v>
      </c>
      <c r="F174" s="20">
        <f>input!A173</f>
        <v>5761.8</v>
      </c>
      <c r="G174" s="19">
        <f t="shared" si="63"/>
        <v>4.9149878007667083E-2</v>
      </c>
      <c r="H174" s="21">
        <f t="shared" si="64"/>
        <v>193.33882301728534</v>
      </c>
      <c r="I174" s="5">
        <v>537</v>
      </c>
      <c r="J174" s="3">
        <f>I174/365+input!$K$2</f>
        <v>1.4712328767123288</v>
      </c>
      <c r="K174" s="4">
        <f t="shared" si="84"/>
        <v>32.699279097360346</v>
      </c>
      <c r="L174" s="10">
        <f t="shared" si="85"/>
        <v>56.519945853664211</v>
      </c>
      <c r="M174" s="20">
        <f>input!B173</f>
        <v>251.3</v>
      </c>
      <c r="N174" s="19">
        <f t="shared" si="65"/>
        <v>0.92523951250038761</v>
      </c>
      <c r="O174" s="21">
        <f t="shared" si="66"/>
        <v>1252.8733401517213</v>
      </c>
      <c r="P174" s="5">
        <v>902</v>
      </c>
      <c r="Q174" s="3">
        <f>P174/365+input!$K$2</f>
        <v>2.4712328767123286</v>
      </c>
      <c r="R174" s="4">
        <f t="shared" si="59"/>
        <v>37.760765152287483</v>
      </c>
      <c r="S174" s="10">
        <f t="shared" si="60"/>
        <v>90.096970122643</v>
      </c>
      <c r="T174" s="20">
        <f>input!C173</f>
        <v>0.61</v>
      </c>
      <c r="U174" s="19">
        <f t="shared" si="67"/>
        <v>0.99625291772729574</v>
      </c>
      <c r="V174" s="21">
        <f t="shared" si="68"/>
        <v>1763.8359775599731</v>
      </c>
      <c r="W174" s="21">
        <v>1267</v>
      </c>
      <c r="X174" s="3">
        <f>W174/365+input!$K$2</f>
        <v>3.4712328767123286</v>
      </c>
      <c r="Y174" s="4">
        <f t="shared" si="69"/>
        <v>39.469004015014669</v>
      </c>
      <c r="Z174" s="10">
        <f t="shared" si="61"/>
        <v>103.98435971907008</v>
      </c>
      <c r="AA174" s="20">
        <f>input!D173</f>
        <v>0</v>
      </c>
      <c r="AB174" s="19">
        <f t="shared" si="70"/>
        <v>0.99866597068041085</v>
      </c>
      <c r="AC174" s="21">
        <f t="shared" si="71"/>
        <v>1956.3459956959921</v>
      </c>
      <c r="AD174" s="8">
        <f t="shared" si="72"/>
        <v>114135.45942582133</v>
      </c>
      <c r="AE174" s="8">
        <f t="shared" si="73"/>
        <v>14203.462393025817</v>
      </c>
      <c r="AF174" s="8">
        <f t="shared" si="74"/>
        <v>54.959151774812227</v>
      </c>
      <c r="AG174" s="8">
        <f t="shared" si="75"/>
        <v>0</v>
      </c>
      <c r="AH174" s="8">
        <f t="shared" si="76"/>
        <v>5609.7439071281542</v>
      </c>
      <c r="AI174" s="8">
        <f t="shared" si="77"/>
        <v>13141.604620340795</v>
      </c>
      <c r="AJ174" s="8">
        <f t="shared" si="78"/>
        <v>54.753215311473966</v>
      </c>
      <c r="AK174" s="8">
        <f t="shared" si="79"/>
        <v>0</v>
      </c>
      <c r="AL174" s="8">
        <f t="shared" si="80"/>
        <v>1084.5812844325449</v>
      </c>
      <c r="AM174" s="8">
        <f t="shared" si="81"/>
        <v>16464.766075639665</v>
      </c>
      <c r="AN174" s="8">
        <f t="shared" si="82"/>
        <v>96.575691053465377</v>
      </c>
      <c r="AO174" s="8">
        <f t="shared" si="83"/>
        <v>0</v>
      </c>
    </row>
    <row r="175" spans="1:41">
      <c r="A175" s="1">
        <v>41902</v>
      </c>
      <c r="B175" s="5">
        <v>173</v>
      </c>
      <c r="C175" s="3">
        <f>B175/365+input!$K$2</f>
        <v>0.47397260273972602</v>
      </c>
      <c r="D175" s="4">
        <f t="shared" si="58"/>
        <v>23.691884630421189</v>
      </c>
      <c r="E175" s="10">
        <f t="shared" si="62"/>
        <v>19.897603555557847</v>
      </c>
      <c r="F175" s="20">
        <f>input!A174</f>
        <v>5757.68</v>
      </c>
      <c r="G175" s="19">
        <f t="shared" si="63"/>
        <v>5.0081813940091362E-2</v>
      </c>
      <c r="H175" s="21">
        <f t="shared" si="64"/>
        <v>196.29365369248092</v>
      </c>
      <c r="I175" s="5">
        <v>538</v>
      </c>
      <c r="J175" s="3">
        <f>I175/365+input!$K$2</f>
        <v>1.473972602739726</v>
      </c>
      <c r="K175" s="4">
        <f t="shared" si="84"/>
        <v>32.717539703238003</v>
      </c>
      <c r="L175" s="10">
        <f t="shared" si="85"/>
        <v>56.622274059864758</v>
      </c>
      <c r="M175" s="20">
        <f>input!B174</f>
        <v>247.3</v>
      </c>
      <c r="N175" s="19">
        <f t="shared" si="65"/>
        <v>0.92600136489880247</v>
      </c>
      <c r="O175" s="21">
        <f t="shared" si="66"/>
        <v>1254.6246639247227</v>
      </c>
      <c r="P175" s="5">
        <v>903</v>
      </c>
      <c r="Q175" s="3">
        <f>P175/365+input!$K$2</f>
        <v>2.473972602739726</v>
      </c>
      <c r="R175" s="4">
        <f t="shared" si="59"/>
        <v>37.770989235690877</v>
      </c>
      <c r="S175" s="10">
        <f t="shared" si="60"/>
        <v>90.176032612846129</v>
      </c>
      <c r="T175" s="20">
        <f>input!C174</f>
        <v>0.61</v>
      </c>
      <c r="U175" s="19">
        <f t="shared" si="67"/>
        <v>0.99627597591601957</v>
      </c>
      <c r="V175" s="21">
        <f t="shared" si="68"/>
        <v>1764.954464794911</v>
      </c>
      <c r="W175" s="21">
        <v>1268</v>
      </c>
      <c r="X175" s="3">
        <f>W175/365+input!$K$2</f>
        <v>3.473972602739726</v>
      </c>
      <c r="Y175" s="4">
        <f t="shared" si="69"/>
        <v>39.469004015014669</v>
      </c>
      <c r="Z175" s="10">
        <f t="shared" si="61"/>
        <v>103.98435971907008</v>
      </c>
      <c r="AA175" s="20">
        <f>input!D174</f>
        <v>0</v>
      </c>
      <c r="AB175" s="19">
        <f t="shared" si="70"/>
        <v>0.99866597068041085</v>
      </c>
      <c r="AC175" s="21">
        <f t="shared" si="71"/>
        <v>1956.3459956959921</v>
      </c>
      <c r="AD175" s="8">
        <f t="shared" si="72"/>
        <v>114564.03403976432</v>
      </c>
      <c r="AE175" s="8">
        <f t="shared" si="73"/>
        <v>14002.688375004554</v>
      </c>
      <c r="AF175" s="8">
        <f t="shared" si="74"/>
        <v>55.007379893836138</v>
      </c>
      <c r="AG175" s="8">
        <f t="shared" si="75"/>
        <v>0</v>
      </c>
      <c r="AH175" s="8">
        <f t="shared" si="76"/>
        <v>5737.5746370057695</v>
      </c>
      <c r="AI175" s="8">
        <f t="shared" si="77"/>
        <v>12966.508547506812</v>
      </c>
      <c r="AJ175" s="8">
        <f t="shared" si="78"/>
        <v>54.802531086314829</v>
      </c>
      <c r="AK175" s="8">
        <f t="shared" si="79"/>
        <v>0</v>
      </c>
      <c r="AL175" s="8">
        <f t="shared" si="80"/>
        <v>1126.2494888311724</v>
      </c>
      <c r="AM175" s="8">
        <f t="shared" si="81"/>
        <v>16268.101428692777</v>
      </c>
      <c r="AN175" s="8">
        <f t="shared" si="82"/>
        <v>96.723971922853266</v>
      </c>
      <c r="AO175" s="8">
        <f t="shared" si="83"/>
        <v>0</v>
      </c>
    </row>
    <row r="176" spans="1:41">
      <c r="A176" s="1">
        <v>41903</v>
      </c>
      <c r="B176" s="5">
        <v>174</v>
      </c>
      <c r="C176" s="3">
        <f>B176/365+input!$K$2</f>
        <v>0.47671232876712327</v>
      </c>
      <c r="D176" s="4">
        <f t="shared" si="58"/>
        <v>23.724446990226944</v>
      </c>
      <c r="E176" s="10">
        <f t="shared" si="62"/>
        <v>19.986345805850199</v>
      </c>
      <c r="F176" s="20">
        <f>input!A175</f>
        <v>5753.74</v>
      </c>
      <c r="G176" s="19">
        <f t="shared" si="63"/>
        <v>5.1028952406435117E-2</v>
      </c>
      <c r="H176" s="21">
        <f t="shared" si="64"/>
        <v>199.27102354736687</v>
      </c>
      <c r="I176" s="5">
        <v>539</v>
      </c>
      <c r="J176" s="3">
        <f>I176/365+input!$K$2</f>
        <v>1.4767123287671233</v>
      </c>
      <c r="K176" s="4">
        <f t="shared" si="84"/>
        <v>32.735771315304767</v>
      </c>
      <c r="L176" s="10">
        <f t="shared" si="85"/>
        <v>56.724567498327822</v>
      </c>
      <c r="M176" s="20">
        <f>input!B175</f>
        <v>235.5</v>
      </c>
      <c r="N176" s="19">
        <f t="shared" si="65"/>
        <v>0.92675487551051217</v>
      </c>
      <c r="O176" s="21">
        <f t="shared" si="66"/>
        <v>1256.3729741683978</v>
      </c>
      <c r="P176" s="5">
        <v>904</v>
      </c>
      <c r="Q176" s="3">
        <f>P176/365+input!$K$2</f>
        <v>2.4767123287671233</v>
      </c>
      <c r="R176" s="4">
        <f t="shared" si="59"/>
        <v>37.781197085506911</v>
      </c>
      <c r="S176" s="10">
        <f t="shared" si="60"/>
        <v>90.255017408158793</v>
      </c>
      <c r="T176" s="20">
        <f>input!C175</f>
        <v>0.57999999999999996</v>
      </c>
      <c r="U176" s="19">
        <f t="shared" si="67"/>
        <v>0.99629885646486072</v>
      </c>
      <c r="V176" s="21">
        <f t="shared" si="68"/>
        <v>1766.071577443995</v>
      </c>
      <c r="W176" s="21">
        <v>1269</v>
      </c>
      <c r="X176" s="3">
        <f>W176/365+input!$K$2</f>
        <v>3.4767123287671233</v>
      </c>
      <c r="Y176" s="4">
        <f t="shared" si="69"/>
        <v>39.469004015014669</v>
      </c>
      <c r="Z176" s="10">
        <f t="shared" si="61"/>
        <v>103.98435971907008</v>
      </c>
      <c r="AA176" s="20">
        <f>input!D175</f>
        <v>0</v>
      </c>
      <c r="AB176" s="19">
        <f t="shared" si="70"/>
        <v>0.99866597068041085</v>
      </c>
      <c r="AC176" s="21">
        <f t="shared" si="71"/>
        <v>1956.3459956959921</v>
      </c>
      <c r="AD176" s="8">
        <f t="shared" si="72"/>
        <v>114996.23731695252</v>
      </c>
      <c r="AE176" s="8">
        <f t="shared" si="73"/>
        <v>13358.635645856202</v>
      </c>
      <c r="AF176" s="8">
        <f t="shared" si="74"/>
        <v>52.347910096732093</v>
      </c>
      <c r="AG176" s="8">
        <f t="shared" si="75"/>
        <v>0</v>
      </c>
      <c r="AH176" s="8">
        <f t="shared" si="76"/>
        <v>5868.1375209658881</v>
      </c>
      <c r="AI176" s="8">
        <f t="shared" si="77"/>
        <v>12380.180714965754</v>
      </c>
      <c r="AJ176" s="8">
        <f t="shared" si="78"/>
        <v>52.15416296769952</v>
      </c>
      <c r="AK176" s="8">
        <f t="shared" si="79"/>
        <v>0</v>
      </c>
      <c r="AL176" s="8">
        <f t="shared" si="80"/>
        <v>1169.3497701195804</v>
      </c>
      <c r="AM176" s="8">
        <f t="shared" si="81"/>
        <v>15554.124465603767</v>
      </c>
      <c r="AN176" s="8">
        <f t="shared" si="82"/>
        <v>92.107984862636286</v>
      </c>
      <c r="AO176" s="8">
        <f t="shared" si="83"/>
        <v>0</v>
      </c>
    </row>
    <row r="177" spans="1:41">
      <c r="A177" s="1">
        <v>41904</v>
      </c>
      <c r="B177" s="5">
        <v>175</v>
      </c>
      <c r="C177" s="3">
        <f>B177/365+input!$K$2</f>
        <v>0.47945205479452052</v>
      </c>
      <c r="D177" s="4">
        <f t="shared" si="58"/>
        <v>23.756957648193854</v>
      </c>
      <c r="E177" s="10">
        <f t="shared" si="62"/>
        <v>20.075219756001804</v>
      </c>
      <c r="F177" s="20">
        <f>input!A176</f>
        <v>5749.8</v>
      </c>
      <c r="G177" s="19">
        <f t="shared" si="63"/>
        <v>5.199147829257951E-2</v>
      </c>
      <c r="H177" s="21">
        <f t="shared" si="64"/>
        <v>202.27073358430962</v>
      </c>
      <c r="I177" s="5">
        <v>540</v>
      </c>
      <c r="J177" s="3">
        <f>I177/365+input!$K$2</f>
        <v>1.4794520547945205</v>
      </c>
      <c r="K177" s="4">
        <f t="shared" si="84"/>
        <v>32.753973979596402</v>
      </c>
      <c r="L177" s="10">
        <f t="shared" si="85"/>
        <v>56.826825907007169</v>
      </c>
      <c r="M177" s="20">
        <f>input!B176</f>
        <v>229.74</v>
      </c>
      <c r="N177" s="19">
        <f t="shared" si="65"/>
        <v>0.92750013442111368</v>
      </c>
      <c r="O177" s="21">
        <f t="shared" si="66"/>
        <v>1258.1182932141867</v>
      </c>
      <c r="P177" s="5">
        <v>905</v>
      </c>
      <c r="Q177" s="3">
        <f>P177/365+input!$K$2</f>
        <v>2.4794520547945207</v>
      </c>
      <c r="R177" s="4">
        <f t="shared" si="59"/>
        <v>37.791388727510935</v>
      </c>
      <c r="S177" s="10">
        <f t="shared" si="60"/>
        <v>90.333924496129924</v>
      </c>
      <c r="T177" s="20">
        <f>input!C176</f>
        <v>0.56999999999999995</v>
      </c>
      <c r="U177" s="19">
        <f t="shared" si="67"/>
        <v>0.99632156095744828</v>
      </c>
      <c r="V177" s="21">
        <f t="shared" si="68"/>
        <v>1767.1873165008437</v>
      </c>
      <c r="W177" s="21">
        <v>1270</v>
      </c>
      <c r="X177" s="3">
        <f>W177/365+input!$K$2</f>
        <v>3.4794520547945207</v>
      </c>
      <c r="Y177" s="4">
        <f t="shared" si="69"/>
        <v>39.469004015014669</v>
      </c>
      <c r="Z177" s="10">
        <f t="shared" si="61"/>
        <v>103.98435971907008</v>
      </c>
      <c r="AA177" s="20">
        <f>input!D176</f>
        <v>0</v>
      </c>
      <c r="AB177" s="19">
        <f t="shared" si="70"/>
        <v>0.99866597068041085</v>
      </c>
      <c r="AC177" s="21">
        <f t="shared" si="71"/>
        <v>1956.3459956959921</v>
      </c>
      <c r="AD177" s="8">
        <f t="shared" si="72"/>
        <v>115428.49855305918</v>
      </c>
      <c r="AE177" s="8">
        <f t="shared" si="73"/>
        <v>13055.394983875827</v>
      </c>
      <c r="AF177" s="8">
        <f t="shared" si="74"/>
        <v>51.490336962794053</v>
      </c>
      <c r="AG177" s="8">
        <f t="shared" si="75"/>
        <v>0</v>
      </c>
      <c r="AH177" s="8">
        <f t="shared" si="76"/>
        <v>6001.2982768664215</v>
      </c>
      <c r="AI177" s="8">
        <f t="shared" si="77"/>
        <v>12108.880602465562</v>
      </c>
      <c r="AJ177" s="8">
        <f t="shared" si="78"/>
        <v>51.300932896995967</v>
      </c>
      <c r="AK177" s="8">
        <f t="shared" si="79"/>
        <v>0</v>
      </c>
      <c r="AL177" s="8">
        <f t="shared" si="80"/>
        <v>1213.8870049200245</v>
      </c>
      <c r="AM177" s="8">
        <f t="shared" si="81"/>
        <v>15234.404196308347</v>
      </c>
      <c r="AN177" s="8">
        <f t="shared" si="82"/>
        <v>90.658357940232165</v>
      </c>
      <c r="AO177" s="8">
        <f t="shared" si="83"/>
        <v>0</v>
      </c>
    </row>
    <row r="178" spans="1:41">
      <c r="A178" s="1">
        <v>41905</v>
      </c>
      <c r="B178" s="5">
        <v>176</v>
      </c>
      <c r="C178" s="3">
        <f>B178/365+input!$K$2</f>
        <v>0.48219178082191783</v>
      </c>
      <c r="D178" s="4">
        <f t="shared" si="58"/>
        <v>23.789416686413009</v>
      </c>
      <c r="E178" s="10">
        <f t="shared" si="62"/>
        <v>20.164224793743969</v>
      </c>
      <c r="F178" s="20">
        <f>input!A177</f>
        <v>5745.86</v>
      </c>
      <c r="G178" s="19">
        <f t="shared" si="63"/>
        <v>5.2969577021270878E-2</v>
      </c>
      <c r="H178" s="21">
        <f t="shared" si="64"/>
        <v>205.29257994506699</v>
      </c>
      <c r="I178" s="5">
        <v>541</v>
      </c>
      <c r="J178" s="3">
        <f>I178/365+input!$K$2</f>
        <v>1.4821917808219178</v>
      </c>
      <c r="K178" s="4">
        <f t="shared" si="84"/>
        <v>32.772147742075589</v>
      </c>
      <c r="L178" s="10">
        <f t="shared" si="85"/>
        <v>56.929049024872704</v>
      </c>
      <c r="M178" s="20">
        <f>input!B177</f>
        <v>222.15</v>
      </c>
      <c r="N178" s="19">
        <f t="shared" si="65"/>
        <v>0.92823723091275689</v>
      </c>
      <c r="O178" s="21">
        <f t="shared" si="66"/>
        <v>1259.8606431005437</v>
      </c>
      <c r="P178" s="5">
        <v>906</v>
      </c>
      <c r="Q178" s="3">
        <f>P178/365+input!$K$2</f>
        <v>2.4821917808219176</v>
      </c>
      <c r="R178" s="4">
        <f t="shared" si="59"/>
        <v>37.801564187437386</v>
      </c>
      <c r="S178" s="10">
        <f t="shared" si="60"/>
        <v>90.412753864684717</v>
      </c>
      <c r="T178" s="20">
        <f>input!C177</f>
        <v>0.55000000000000004</v>
      </c>
      <c r="U178" s="19">
        <f t="shared" si="67"/>
        <v>0.99634409096162302</v>
      </c>
      <c r="V178" s="21">
        <f t="shared" si="68"/>
        <v>1768.3016829602941</v>
      </c>
      <c r="W178" s="21">
        <v>1271</v>
      </c>
      <c r="X178" s="3">
        <f>W178/365+input!$K$2</f>
        <v>3.4821917808219176</v>
      </c>
      <c r="Y178" s="4">
        <f t="shared" si="69"/>
        <v>39.469004015014669</v>
      </c>
      <c r="Z178" s="10">
        <f t="shared" si="61"/>
        <v>103.98435971907008</v>
      </c>
      <c r="AA178" s="20">
        <f>input!D177</f>
        <v>0</v>
      </c>
      <c r="AB178" s="19">
        <f t="shared" si="70"/>
        <v>0.99866597068041085</v>
      </c>
      <c r="AC178" s="21">
        <f t="shared" si="71"/>
        <v>1956.3459956959921</v>
      </c>
      <c r="AD178" s="8">
        <f t="shared" si="72"/>
        <v>115860.81267338172</v>
      </c>
      <c r="AE178" s="8">
        <f t="shared" si="73"/>
        <v>12646.788240875472</v>
      </c>
      <c r="AF178" s="8">
        <f t="shared" si="74"/>
        <v>49.727014625576601</v>
      </c>
      <c r="AG178" s="8">
        <f t="shared" si="75"/>
        <v>0</v>
      </c>
      <c r="AH178" s="8">
        <f t="shared" si="76"/>
        <v>6137.0982406497296</v>
      </c>
      <c r="AI178" s="8">
        <f t="shared" si="77"/>
        <v>11739.219696650263</v>
      </c>
      <c r="AJ178" s="8">
        <f t="shared" si="78"/>
        <v>49.545217183355454</v>
      </c>
      <c r="AK178" s="8">
        <f t="shared" si="79"/>
        <v>0</v>
      </c>
      <c r="AL178" s="8">
        <f t="shared" si="80"/>
        <v>1259.9007311993146</v>
      </c>
      <c r="AM178" s="8">
        <f t="shared" si="81"/>
        <v>14789.780876520372</v>
      </c>
      <c r="AN178" s="8">
        <f t="shared" si="82"/>
        <v>87.610890927960739</v>
      </c>
      <c r="AO178" s="8">
        <f t="shared" si="83"/>
        <v>0</v>
      </c>
    </row>
    <row r="179" spans="1:41">
      <c r="A179" s="1">
        <v>41906</v>
      </c>
      <c r="B179" s="5">
        <v>177</v>
      </c>
      <c r="C179" s="3">
        <f>B179/365+input!$K$2</f>
        <v>0.48493150684931507</v>
      </c>
      <c r="D179" s="4">
        <f t="shared" si="58"/>
        <v>23.821824186845173</v>
      </c>
      <c r="E179" s="10">
        <f t="shared" si="62"/>
        <v>20.253360307013885</v>
      </c>
      <c r="F179" s="20">
        <f>input!A178</f>
        <v>5741.93</v>
      </c>
      <c r="G179" s="19">
        <f t="shared" si="63"/>
        <v>5.3963434498374818E-2</v>
      </c>
      <c r="H179" s="21">
        <f t="shared" si="64"/>
        <v>208.33635399447439</v>
      </c>
      <c r="I179" s="5">
        <v>542</v>
      </c>
      <c r="J179" s="3">
        <f>I179/365+input!$K$2</f>
        <v>1.484931506849315</v>
      </c>
      <c r="K179" s="4">
        <f t="shared" si="84"/>
        <v>32.790292648632033</v>
      </c>
      <c r="L179" s="10">
        <f t="shared" si="85"/>
        <v>57.031236591908623</v>
      </c>
      <c r="M179" s="20">
        <f>input!B178</f>
        <v>216.22</v>
      </c>
      <c r="N179" s="19">
        <f t="shared" si="65"/>
        <v>0.92896625346525874</v>
      </c>
      <c r="O179" s="21">
        <f t="shared" si="66"/>
        <v>1261.6000455757805</v>
      </c>
      <c r="P179" s="5">
        <v>907</v>
      </c>
      <c r="Q179" s="3">
        <f>P179/365+input!$K$2</f>
        <v>2.484931506849315</v>
      </c>
      <c r="R179" s="4">
        <f t="shared" si="59"/>
        <v>37.811723490979816</v>
      </c>
      <c r="S179" s="10">
        <f t="shared" si="60"/>
        <v>90.491505502121939</v>
      </c>
      <c r="T179" s="20">
        <f>input!C178</f>
        <v>0.54</v>
      </c>
      <c r="U179" s="19">
        <f t="shared" si="67"/>
        <v>0.99636644802960928</v>
      </c>
      <c r="V179" s="21">
        <f t="shared" si="68"/>
        <v>1769.4146778184122</v>
      </c>
      <c r="W179" s="21">
        <v>1272</v>
      </c>
      <c r="X179" s="3">
        <f>W179/365+input!$K$2</f>
        <v>3.484931506849315</v>
      </c>
      <c r="Y179" s="4">
        <f t="shared" si="69"/>
        <v>39.469004015014669</v>
      </c>
      <c r="Z179" s="10">
        <f t="shared" si="61"/>
        <v>103.98435971907008</v>
      </c>
      <c r="AA179" s="20">
        <f>input!D178</f>
        <v>0</v>
      </c>
      <c r="AB179" s="19">
        <f t="shared" si="70"/>
        <v>0.99866597068041085</v>
      </c>
      <c r="AC179" s="21">
        <f t="shared" si="71"/>
        <v>1956.3459956959921</v>
      </c>
      <c r="AD179" s="8">
        <f t="shared" si="72"/>
        <v>116293.37714765224</v>
      </c>
      <c r="AE179" s="8">
        <f t="shared" si="73"/>
        <v>12331.293975902483</v>
      </c>
      <c r="AF179" s="8">
        <f t="shared" si="74"/>
        <v>48.865412971145851</v>
      </c>
      <c r="AG179" s="8">
        <f t="shared" si="75"/>
        <v>0</v>
      </c>
      <c r="AH179" s="8">
        <f t="shared" si="76"/>
        <v>6275.5900403021305</v>
      </c>
      <c r="AI179" s="8">
        <f t="shared" si="77"/>
        <v>11455.355965172845</v>
      </c>
      <c r="AJ179" s="8">
        <f t="shared" si="78"/>
        <v>48.687857953560588</v>
      </c>
      <c r="AK179" s="8">
        <f t="shared" si="79"/>
        <v>0</v>
      </c>
      <c r="AL179" s="8">
        <f t="shared" si="80"/>
        <v>1307.4335481605826</v>
      </c>
      <c r="AM179" s="8">
        <f t="shared" si="81"/>
        <v>14452.077607748852</v>
      </c>
      <c r="AN179" s="8">
        <f t="shared" si="82"/>
        <v>86.149010494568017</v>
      </c>
      <c r="AO179" s="8">
        <f t="shared" si="83"/>
        <v>0</v>
      </c>
    </row>
    <row r="180" spans="1:41">
      <c r="A180" s="1">
        <v>41907</v>
      </c>
      <c r="B180" s="5">
        <v>178</v>
      </c>
      <c r="C180" s="3">
        <f>B180/365+input!$K$2</f>
        <v>0.48767123287671232</v>
      </c>
      <c r="D180" s="4">
        <f t="shared" si="58"/>
        <v>23.854180231320985</v>
      </c>
      <c r="E180" s="10">
        <f t="shared" si="62"/>
        <v>20.34262568396548</v>
      </c>
      <c r="F180" s="20">
        <f>input!A179</f>
        <v>5738</v>
      </c>
      <c r="G180" s="19">
        <f t="shared" si="63"/>
        <v>5.4973237057348176E-2</v>
      </c>
      <c r="H180" s="21">
        <f t="shared" si="64"/>
        <v>211.40184240614141</v>
      </c>
      <c r="I180" s="5">
        <v>543</v>
      </c>
      <c r="J180" s="3">
        <f>I180/365+input!$K$2</f>
        <v>1.4876712328767123</v>
      </c>
      <c r="K180" s="4">
        <f t="shared" si="84"/>
        <v>32.808408745082552</v>
      </c>
      <c r="L180" s="10">
        <f t="shared" si="85"/>
        <v>57.13338834911206</v>
      </c>
      <c r="M180" s="20">
        <f>input!B179</f>
        <v>209.24</v>
      </c>
      <c r="N180" s="19">
        <f t="shared" si="65"/>
        <v>0.92968728975743586</v>
      </c>
      <c r="O180" s="21">
        <f t="shared" si="66"/>
        <v>1263.3365221008864</v>
      </c>
      <c r="P180" s="5">
        <v>908</v>
      </c>
      <c r="Q180" s="3">
        <f>P180/365+input!$K$2</f>
        <v>2.4876712328767123</v>
      </c>
      <c r="R180" s="4">
        <f t="shared" si="59"/>
        <v>37.821866663791006</v>
      </c>
      <c r="S180" s="10">
        <f t="shared" si="60"/>
        <v>90.570179397113947</v>
      </c>
      <c r="T180" s="20">
        <f>input!C179</f>
        <v>0.53</v>
      </c>
      <c r="U180" s="19">
        <f t="shared" si="67"/>
        <v>0.99638863369818587</v>
      </c>
      <c r="V180" s="21">
        <f t="shared" si="68"/>
        <v>1770.5263020725033</v>
      </c>
      <c r="W180" s="21">
        <v>1273</v>
      </c>
      <c r="X180" s="3">
        <f>W180/365+input!$K$2</f>
        <v>3.4876712328767123</v>
      </c>
      <c r="Y180" s="4">
        <f t="shared" si="69"/>
        <v>39.469004015014669</v>
      </c>
      <c r="Z180" s="10">
        <f t="shared" si="61"/>
        <v>103.98435971907008</v>
      </c>
      <c r="AA180" s="20">
        <f>input!D179</f>
        <v>0</v>
      </c>
      <c r="AB180" s="19">
        <f t="shared" si="70"/>
        <v>0.99866597068041085</v>
      </c>
      <c r="AC180" s="21">
        <f t="shared" si="71"/>
        <v>1956.3459956959921</v>
      </c>
      <c r="AD180" s="8">
        <f t="shared" si="72"/>
        <v>116725.98617459393</v>
      </c>
      <c r="AE180" s="8">
        <f t="shared" si="73"/>
        <v>11954.590178168208</v>
      </c>
      <c r="AF180" s="8">
        <f t="shared" si="74"/>
        <v>48.002195080470393</v>
      </c>
      <c r="AG180" s="8">
        <f t="shared" si="75"/>
        <v>0</v>
      </c>
      <c r="AH180" s="8">
        <f t="shared" si="76"/>
        <v>6416.805308728698</v>
      </c>
      <c r="AI180" s="8">
        <f t="shared" si="77"/>
        <v>11114.030542902063</v>
      </c>
      <c r="AJ180" s="8">
        <f t="shared" si="78"/>
        <v>47.828841570743677</v>
      </c>
      <c r="AK180" s="8">
        <f t="shared" si="79"/>
        <v>0</v>
      </c>
      <c r="AL180" s="8">
        <f t="shared" si="80"/>
        <v>1356.5244646267558</v>
      </c>
      <c r="AM180" s="8">
        <f t="shared" si="81"/>
        <v>14040.760692592919</v>
      </c>
      <c r="AN180" s="8">
        <f t="shared" si="82"/>
        <v>84.682221998660424</v>
      </c>
      <c r="AO180" s="8">
        <f t="shared" si="83"/>
        <v>0</v>
      </c>
    </row>
    <row r="181" spans="1:41">
      <c r="A181" s="1">
        <v>41908</v>
      </c>
      <c r="B181" s="5">
        <v>179</v>
      </c>
      <c r="C181" s="3">
        <f>B181/365+input!$K$2</f>
        <v>0.49041095890410957</v>
      </c>
      <c r="D181" s="4">
        <f t="shared" si="58"/>
        <v>23.886484901541127</v>
      </c>
      <c r="E181" s="10">
        <f t="shared" si="62"/>
        <v>20.43202031297988</v>
      </c>
      <c r="F181" s="20">
        <f>input!A180</f>
        <v>5734.07</v>
      </c>
      <c r="G181" s="19">
        <f t="shared" si="63"/>
        <v>5.5999171401911761E-2</v>
      </c>
      <c r="H181" s="21">
        <f t="shared" si="64"/>
        <v>214.48882725009227</v>
      </c>
      <c r="I181" s="5">
        <v>544</v>
      </c>
      <c r="J181" s="3">
        <f>I181/365+input!$K$2</f>
        <v>1.4904109589041097</v>
      </c>
      <c r="K181" s="4">
        <f t="shared" si="84"/>
        <v>32.82649607717125</v>
      </c>
      <c r="L181" s="10">
        <f t="shared" si="85"/>
        <v>57.235504038491044</v>
      </c>
      <c r="M181" s="20">
        <f>input!B180</f>
        <v>206.85</v>
      </c>
      <c r="N181" s="19">
        <f t="shared" si="65"/>
        <v>0.93040042666865397</v>
      </c>
      <c r="O181" s="21">
        <f t="shared" si="66"/>
        <v>1265.0700938523682</v>
      </c>
      <c r="P181" s="5">
        <v>909</v>
      </c>
      <c r="Q181" s="3">
        <f>P181/365+input!$K$2</f>
        <v>2.4904109589041097</v>
      </c>
      <c r="R181" s="4">
        <f t="shared" si="59"/>
        <v>37.831993731482989</v>
      </c>
      <c r="S181" s="10">
        <f t="shared" si="60"/>
        <v>90.648775538704427</v>
      </c>
      <c r="T181" s="20">
        <f>input!C180</f>
        <v>0.52</v>
      </c>
      <c r="U181" s="19">
        <f t="shared" si="67"/>
        <v>0.99641064948885327</v>
      </c>
      <c r="V181" s="21">
        <f t="shared" si="68"/>
        <v>1771.6365567210955</v>
      </c>
      <c r="W181" s="21">
        <v>1274</v>
      </c>
      <c r="X181" s="3">
        <f>W181/365+input!$K$2</f>
        <v>3.4904109589041097</v>
      </c>
      <c r="Y181" s="4">
        <f t="shared" si="69"/>
        <v>39.469004015014669</v>
      </c>
      <c r="Z181" s="10">
        <f t="shared" si="61"/>
        <v>103.98435971907008</v>
      </c>
      <c r="AA181" s="20">
        <f>input!D180</f>
        <v>0</v>
      </c>
      <c r="AB181" s="19">
        <f t="shared" si="70"/>
        <v>0.99866597068041085</v>
      </c>
      <c r="AC181" s="21">
        <f t="shared" si="71"/>
        <v>1956.3459956959921</v>
      </c>
      <c r="AD181" s="8">
        <f t="shared" si="72"/>
        <v>117158.63471604853</v>
      </c>
      <c r="AE181" s="8">
        <f t="shared" si="73"/>
        <v>11839.164010361872</v>
      </c>
      <c r="AF181" s="8">
        <f t="shared" si="74"/>
        <v>47.137363280126301</v>
      </c>
      <c r="AG181" s="8">
        <f t="shared" si="75"/>
        <v>0</v>
      </c>
      <c r="AH181" s="8">
        <f t="shared" si="76"/>
        <v>6560.7864666779715</v>
      </c>
      <c r="AI181" s="8">
        <f t="shared" si="77"/>
        <v>11015.163246640857</v>
      </c>
      <c r="AJ181" s="8">
        <f t="shared" si="78"/>
        <v>46.968170761142673</v>
      </c>
      <c r="AK181" s="8">
        <f t="shared" si="79"/>
        <v>0</v>
      </c>
      <c r="AL181" s="8">
        <f t="shared" si="80"/>
        <v>1407.2153950760346</v>
      </c>
      <c r="AM181" s="8">
        <f t="shared" si="81"/>
        <v>13934.953602227106</v>
      </c>
      <c r="AN181" s="8">
        <f t="shared" si="82"/>
        <v>83.210528322759245</v>
      </c>
      <c r="AO181" s="8">
        <f t="shared" si="83"/>
        <v>0</v>
      </c>
    </row>
    <row r="182" spans="1:41">
      <c r="A182" s="1">
        <v>41909</v>
      </c>
      <c r="B182" s="5">
        <v>180</v>
      </c>
      <c r="C182" s="3">
        <f>B182/365+input!$K$2</f>
        <v>0.49315068493150682</v>
      </c>
      <c r="D182" s="4">
        <f t="shared" si="58"/>
        <v>23.918738279076585</v>
      </c>
      <c r="E182" s="10">
        <f t="shared" si="62"/>
        <v>20.521543582676106</v>
      </c>
      <c r="F182" s="20">
        <f>input!A181</f>
        <v>5730.14</v>
      </c>
      <c r="G182" s="19">
        <f t="shared" si="63"/>
        <v>5.7041424546912689E-2</v>
      </c>
      <c r="H182" s="21">
        <f t="shared" si="64"/>
        <v>217.59708608229462</v>
      </c>
      <c r="I182" s="5">
        <v>545</v>
      </c>
      <c r="J182" s="3">
        <f>I182/365+input!$K$2</f>
        <v>1.4931506849315068</v>
      </c>
      <c r="K182" s="4">
        <f t="shared" si="84"/>
        <v>32.844554690569566</v>
      </c>
      <c r="L182" s="10">
        <f t="shared" si="85"/>
        <v>57.337583403062773</v>
      </c>
      <c r="M182" s="20">
        <f>input!B181</f>
        <v>195.64</v>
      </c>
      <c r="N182" s="19">
        <f t="shared" si="65"/>
        <v>0.93110575028057807</v>
      </c>
      <c r="O182" s="21">
        <f t="shared" si="66"/>
        <v>1266.8007817250784</v>
      </c>
      <c r="P182" s="5">
        <v>910</v>
      </c>
      <c r="Q182" s="3">
        <f>P182/365+input!$K$2</f>
        <v>2.493150684931507</v>
      </c>
      <c r="R182" s="4">
        <f t="shared" si="59"/>
        <v>37.842104719627145</v>
      </c>
      <c r="S182" s="10">
        <f t="shared" si="60"/>
        <v>90.72729391630763</v>
      </c>
      <c r="T182" s="20">
        <f>input!C181</f>
        <v>0.49</v>
      </c>
      <c r="U182" s="19">
        <f t="shared" si="67"/>
        <v>0.99643249690800062</v>
      </c>
      <c r="V182" s="21">
        <f t="shared" si="68"/>
        <v>1772.7454427639648</v>
      </c>
      <c r="W182" s="21">
        <v>1275</v>
      </c>
      <c r="X182" s="3">
        <f>W182/365+input!$K$2</f>
        <v>3.493150684931507</v>
      </c>
      <c r="Y182" s="4">
        <f t="shared" si="69"/>
        <v>39.469004015014669</v>
      </c>
      <c r="Z182" s="10">
        <f t="shared" si="61"/>
        <v>103.98435971907008</v>
      </c>
      <c r="AA182" s="20">
        <f>input!D181</f>
        <v>0</v>
      </c>
      <c r="AB182" s="19">
        <f t="shared" si="70"/>
        <v>0.99866597068041085</v>
      </c>
      <c r="AC182" s="21">
        <f t="shared" si="71"/>
        <v>1956.3459956959921</v>
      </c>
      <c r="AD182" s="8">
        <f t="shared" si="72"/>
        <v>117591.31774483567</v>
      </c>
      <c r="AE182" s="8">
        <f t="shared" si="73"/>
        <v>11217.524816975199</v>
      </c>
      <c r="AF182" s="8">
        <f t="shared" si="74"/>
        <v>44.456374018990736</v>
      </c>
      <c r="AG182" s="8">
        <f t="shared" si="75"/>
        <v>0</v>
      </c>
      <c r="AH182" s="8">
        <f t="shared" si="76"/>
        <v>6707.5762785140796</v>
      </c>
      <c r="AI182" s="8">
        <f t="shared" si="77"/>
        <v>10444.701861000698</v>
      </c>
      <c r="AJ182" s="8">
        <f t="shared" si="78"/>
        <v>44.297775767218909</v>
      </c>
      <c r="AK182" s="8">
        <f t="shared" si="79"/>
        <v>0</v>
      </c>
      <c r="AL182" s="8">
        <f t="shared" si="80"/>
        <v>1459.5490528793857</v>
      </c>
      <c r="AM182" s="8">
        <f t="shared" si="81"/>
        <v>13231.356482401066</v>
      </c>
      <c r="AN182" s="8">
        <f t="shared" si="82"/>
        <v>78.528680115917325</v>
      </c>
      <c r="AO182" s="8">
        <f t="shared" si="83"/>
        <v>0</v>
      </c>
    </row>
    <row r="183" spans="1:41">
      <c r="A183" s="1">
        <v>41910</v>
      </c>
      <c r="B183" s="5">
        <v>181</v>
      </c>
      <c r="C183" s="3">
        <f>B183/365+input!$K$2</f>
        <v>0.49589041095890413</v>
      </c>
      <c r="D183" s="4">
        <f t="shared" si="58"/>
        <v>23.950940445368833</v>
      </c>
      <c r="E183" s="10">
        <f t="shared" si="62"/>
        <v>20.61119488192152</v>
      </c>
      <c r="F183" s="20">
        <f>input!A182</f>
        <v>5726.21</v>
      </c>
      <c r="G183" s="19">
        <f t="shared" si="63"/>
        <v>5.8100183757354616E-2</v>
      </c>
      <c r="H183" s="21">
        <f t="shared" si="64"/>
        <v>220.72639203599311</v>
      </c>
      <c r="I183" s="5">
        <v>546</v>
      </c>
      <c r="J183" s="3">
        <f>I183/365+input!$K$2</f>
        <v>1.4958904109589042</v>
      </c>
      <c r="K183" s="4">
        <f t="shared" si="84"/>
        <v>32.862584630876462</v>
      </c>
      <c r="L183" s="10">
        <f t="shared" si="85"/>
        <v>57.439626186852507</v>
      </c>
      <c r="M183" s="20">
        <f>input!B182</f>
        <v>193.65</v>
      </c>
      <c r="N183" s="19">
        <f t="shared" si="65"/>
        <v>0.93180334587912517</v>
      </c>
      <c r="O183" s="21">
        <f t="shared" si="66"/>
        <v>1268.528606335032</v>
      </c>
      <c r="P183" s="5">
        <v>911</v>
      </c>
      <c r="Q183" s="3">
        <f>P183/365+input!$K$2</f>
        <v>2.495890410958904</v>
      </c>
      <c r="R183" s="4">
        <f t="shared" si="59"/>
        <v>37.852199653754248</v>
      </c>
      <c r="S183" s="10">
        <f t="shared" si="60"/>
        <v>90.805734519706135</v>
      </c>
      <c r="T183" s="20">
        <f>input!C182</f>
        <v>0.49</v>
      </c>
      <c r="U183" s="19">
        <f t="shared" si="67"/>
        <v>0.99645417744706877</v>
      </c>
      <c r="V183" s="21">
        <f t="shared" si="68"/>
        <v>1773.8529612021262</v>
      </c>
      <c r="W183" s="21">
        <v>1276</v>
      </c>
      <c r="X183" s="3">
        <f>W183/365+input!$K$2</f>
        <v>3.495890410958904</v>
      </c>
      <c r="Y183" s="4">
        <f t="shared" si="69"/>
        <v>39.469004015014669</v>
      </c>
      <c r="Z183" s="10">
        <f t="shared" si="61"/>
        <v>103.98435971907008</v>
      </c>
      <c r="AA183" s="20">
        <f>input!D182</f>
        <v>0</v>
      </c>
      <c r="AB183" s="19">
        <f t="shared" si="70"/>
        <v>0.99866597068041085</v>
      </c>
      <c r="AC183" s="21">
        <f t="shared" si="71"/>
        <v>1956.3459956959921</v>
      </c>
      <c r="AD183" s="8">
        <f t="shared" si="72"/>
        <v>118024.03024480783</v>
      </c>
      <c r="AE183" s="8">
        <f t="shared" si="73"/>
        <v>11123.183611083989</v>
      </c>
      <c r="AF183" s="8">
        <f t="shared" si="74"/>
        <v>44.494809914656003</v>
      </c>
      <c r="AG183" s="8">
        <f t="shared" si="75"/>
        <v>0</v>
      </c>
      <c r="AH183" s="8">
        <f t="shared" si="76"/>
        <v>6857.2178450069141</v>
      </c>
      <c r="AI183" s="8">
        <f t="shared" si="77"/>
        <v>10364.619705635911</v>
      </c>
      <c r="AJ183" s="8">
        <f t="shared" si="78"/>
        <v>44.337039214172229</v>
      </c>
      <c r="AK183" s="8">
        <f t="shared" si="79"/>
        <v>0</v>
      </c>
      <c r="AL183" s="8">
        <f t="shared" si="80"/>
        <v>1513.5689543332041</v>
      </c>
      <c r="AM183" s="8">
        <f t="shared" si="81"/>
        <v>13147.816590382932</v>
      </c>
      <c r="AN183" s="8">
        <f t="shared" si="82"/>
        <v>78.647388300994194</v>
      </c>
      <c r="AO183" s="8">
        <f t="shared" si="83"/>
        <v>0</v>
      </c>
    </row>
    <row r="184" spans="1:41">
      <c r="A184" s="1">
        <v>41911</v>
      </c>
      <c r="B184" s="5">
        <v>182</v>
      </c>
      <c r="C184" s="3">
        <f>B184/365+input!$K$2</f>
        <v>0.49863013698630138</v>
      </c>
      <c r="D184" s="4">
        <f t="shared" si="58"/>
        <v>23.983091481729989</v>
      </c>
      <c r="E184" s="10">
        <f t="shared" si="62"/>
        <v>20.700973599842033</v>
      </c>
      <c r="F184" s="20">
        <f>input!A183</f>
        <v>5722.29</v>
      </c>
      <c r="G184" s="19">
        <f t="shared" si="63"/>
        <v>5.9175636485585423E-2</v>
      </c>
      <c r="H184" s="21">
        <f t="shared" si="64"/>
        <v>223.87651391477763</v>
      </c>
      <c r="I184" s="5">
        <v>547</v>
      </c>
      <c r="J184" s="3">
        <f>I184/365+input!$K$2</f>
        <v>1.4986301369863013</v>
      </c>
      <c r="K184" s="4">
        <f t="shared" si="84"/>
        <v>32.880585943618456</v>
      </c>
      <c r="L184" s="10">
        <f t="shared" si="85"/>
        <v>57.541632134891188</v>
      </c>
      <c r="M184" s="20">
        <f>input!B183</f>
        <v>188.47</v>
      </c>
      <c r="N184" s="19">
        <f t="shared" si="65"/>
        <v>0.9324932979566003</v>
      </c>
      <c r="O184" s="21">
        <f t="shared" si="66"/>
        <v>1270.2535880222449</v>
      </c>
      <c r="P184" s="5">
        <v>912</v>
      </c>
      <c r="Q184" s="3">
        <f>P184/365+input!$K$2</f>
        <v>2.4986301369863013</v>
      </c>
      <c r="R184" s="4">
        <f t="shared" si="59"/>
        <v>37.862278559354529</v>
      </c>
      <c r="S184" s="10">
        <f t="shared" si="60"/>
        <v>90.884097339050527</v>
      </c>
      <c r="T184" s="20">
        <f>input!C183</f>
        <v>0.48</v>
      </c>
      <c r="U184" s="19">
        <f t="shared" si="67"/>
        <v>0.99647569258271373</v>
      </c>
      <c r="V184" s="21">
        <f t="shared" si="68"/>
        <v>1774.9591130378294</v>
      </c>
      <c r="W184" s="21">
        <v>1277</v>
      </c>
      <c r="X184" s="3">
        <f>W184/365+input!$K$2</f>
        <v>3.4986301369863013</v>
      </c>
      <c r="Y184" s="4">
        <f t="shared" si="69"/>
        <v>39.469004015014669</v>
      </c>
      <c r="Z184" s="10">
        <f t="shared" si="61"/>
        <v>103.98435971907008</v>
      </c>
      <c r="AA184" s="20">
        <f>input!D183</f>
        <v>0</v>
      </c>
      <c r="AB184" s="19">
        <f t="shared" si="70"/>
        <v>0.99866597068041085</v>
      </c>
      <c r="AC184" s="21">
        <f t="shared" si="71"/>
        <v>1956.3459956959921</v>
      </c>
      <c r="AD184" s="8">
        <f t="shared" si="72"/>
        <v>118456.97422064007</v>
      </c>
      <c r="AE184" s="8">
        <f t="shared" si="73"/>
        <v>10844.871408462943</v>
      </c>
      <c r="AF184" s="8">
        <f t="shared" si="74"/>
        <v>43.624366722744249</v>
      </c>
      <c r="AG184" s="8">
        <f t="shared" si="75"/>
        <v>0</v>
      </c>
      <c r="AH184" s="8">
        <f t="shared" si="76"/>
        <v>7009.7668456629608</v>
      </c>
      <c r="AI184" s="8">
        <f t="shared" si="77"/>
        <v>10112.76990559285</v>
      </c>
      <c r="AJ184" s="8">
        <f t="shared" si="78"/>
        <v>43.470621043528865</v>
      </c>
      <c r="AK184" s="8">
        <f t="shared" si="79"/>
        <v>0</v>
      </c>
      <c r="AL184" s="8">
        <f t="shared" si="80"/>
        <v>1569.3221647624107</v>
      </c>
      <c r="AM184" s="8">
        <f t="shared" si="81"/>
        <v>12845.782257422698</v>
      </c>
      <c r="AN184" s="8">
        <f t="shared" si="82"/>
        <v>77.158574970625608</v>
      </c>
      <c r="AO184" s="8">
        <f t="shared" si="83"/>
        <v>0</v>
      </c>
    </row>
    <row r="185" spans="1:41">
      <c r="A185" s="1">
        <v>41912</v>
      </c>
      <c r="B185" s="5">
        <v>183</v>
      </c>
      <c r="C185" s="3">
        <f>B185/365+input!$K$2</f>
        <v>0.50136986301369868</v>
      </c>
      <c r="D185" s="4">
        <f t="shared" si="58"/>
        <v>24.015191469343122</v>
      </c>
      <c r="E185" s="10">
        <f t="shared" si="62"/>
        <v>20.790879125832667</v>
      </c>
      <c r="F185" s="20">
        <f>input!A184</f>
        <v>5718.38</v>
      </c>
      <c r="G185" s="19">
        <f t="shared" si="63"/>
        <v>6.0267970306632938E-2</v>
      </c>
      <c r="H185" s="21">
        <f t="shared" si="64"/>
        <v>227.04721628733625</v>
      </c>
      <c r="I185" s="5">
        <v>548</v>
      </c>
      <c r="J185" s="3">
        <f>I185/365+input!$K$2</f>
        <v>1.5013698630136987</v>
      </c>
      <c r="K185" s="4">
        <f t="shared" si="84"/>
        <v>32.89855867424982</v>
      </c>
      <c r="L185" s="10">
        <f t="shared" si="85"/>
        <v>57.64360099321447</v>
      </c>
      <c r="M185" s="20">
        <f>input!B184</f>
        <v>184.33</v>
      </c>
      <c r="N185" s="19">
        <f t="shared" si="65"/>
        <v>0.93317569021402347</v>
      </c>
      <c r="O185" s="21">
        <f t="shared" si="66"/>
        <v>1271.9757468535411</v>
      </c>
      <c r="P185" s="5">
        <v>913</v>
      </c>
      <c r="Q185" s="3">
        <f>P185/365+input!$K$2</f>
        <v>2.5013698630136987</v>
      </c>
      <c r="R185" s="4">
        <f t="shared" si="59"/>
        <v>37.872341461877745</v>
      </c>
      <c r="S185" s="10">
        <f t="shared" si="60"/>
        <v>90.962382364857433</v>
      </c>
      <c r="T185" s="20">
        <f>input!C184</f>
        <v>0.47</v>
      </c>
      <c r="U185" s="19">
        <f t="shared" si="67"/>
        <v>0.99649704377696613</v>
      </c>
      <c r="V185" s="21">
        <f t="shared" si="68"/>
        <v>1776.0638992745767</v>
      </c>
      <c r="W185" s="21">
        <v>1278</v>
      </c>
      <c r="X185" s="3">
        <f>W185/365+input!$K$2</f>
        <v>3.5013698630136987</v>
      </c>
      <c r="Y185" s="4">
        <f t="shared" si="69"/>
        <v>39.469004015014669</v>
      </c>
      <c r="Z185" s="10">
        <f t="shared" si="61"/>
        <v>103.98435971907008</v>
      </c>
      <c r="AA185" s="20">
        <f>input!D184</f>
        <v>0</v>
      </c>
      <c r="AB185" s="19">
        <f t="shared" si="70"/>
        <v>0.99866597068041085</v>
      </c>
      <c r="AC185" s="21">
        <f t="shared" si="71"/>
        <v>1956.3459956959921</v>
      </c>
      <c r="AD185" s="8">
        <f t="shared" si="72"/>
        <v>118890.14737557901</v>
      </c>
      <c r="AE185" s="8">
        <f t="shared" si="73"/>
        <v>10625.444971079223</v>
      </c>
      <c r="AF185" s="8">
        <f t="shared" si="74"/>
        <v>42.75231971148299</v>
      </c>
      <c r="AG185" s="8">
        <f t="shared" si="75"/>
        <v>0</v>
      </c>
      <c r="AH185" s="8">
        <f t="shared" si="76"/>
        <v>7165.2678717826093</v>
      </c>
      <c r="AI185" s="8">
        <f t="shared" si="77"/>
        <v>9915.4069447179791</v>
      </c>
      <c r="AJ185" s="8">
        <f t="shared" si="78"/>
        <v>42.602560207100517</v>
      </c>
      <c r="AK185" s="8">
        <f t="shared" si="79"/>
        <v>0</v>
      </c>
      <c r="AL185" s="8">
        <f t="shared" si="80"/>
        <v>1626.8541242413276</v>
      </c>
      <c r="AM185" s="8">
        <f t="shared" si="81"/>
        <v>12612.15715386444</v>
      </c>
      <c r="AN185" s="8">
        <f t="shared" si="82"/>
        <v>75.664869200502864</v>
      </c>
      <c r="AO185" s="8">
        <f t="shared" si="83"/>
        <v>0</v>
      </c>
    </row>
    <row r="186" spans="1:41">
      <c r="A186" s="1">
        <v>41913</v>
      </c>
      <c r="B186" s="5">
        <v>184</v>
      </c>
      <c r="C186" s="3">
        <f>B186/365+input!$K$2</f>
        <v>0.50410958904109593</v>
      </c>
      <c r="D186" s="4">
        <f t="shared" si="58"/>
        <v>24.047240489262364</v>
      </c>
      <c r="E186" s="10">
        <f t="shared" si="62"/>
        <v>20.880910849567655</v>
      </c>
      <c r="F186" s="20">
        <f>input!A185</f>
        <v>5707.46</v>
      </c>
      <c r="G186" s="19">
        <f t="shared" si="63"/>
        <v>6.1377372851669262E-2</v>
      </c>
      <c r="H186" s="21">
        <f t="shared" si="64"/>
        <v>230.23825958378919</v>
      </c>
      <c r="I186" s="5">
        <v>549</v>
      </c>
      <c r="J186" s="3">
        <f>I186/365+input!$K$2</f>
        <v>1.5041095890410958</v>
      </c>
      <c r="K186" s="4">
        <f t="shared" si="84"/>
        <v>32.916502868152619</v>
      </c>
      <c r="L186" s="10">
        <f t="shared" si="85"/>
        <v>57.745532508860073</v>
      </c>
      <c r="M186" s="20">
        <f>input!B185</f>
        <v>179.31</v>
      </c>
      <c r="N186" s="19">
        <f t="shared" si="65"/>
        <v>0.93385060556362254</v>
      </c>
      <c r="O186" s="21">
        <f t="shared" si="66"/>
        <v>1273.6951026253707</v>
      </c>
      <c r="P186" s="5">
        <v>914</v>
      </c>
      <c r="Q186" s="3">
        <f>P186/365+input!$K$2</f>
        <v>2.504109589041096</v>
      </c>
      <c r="R186" s="4">
        <f t="shared" si="59"/>
        <v>37.882388386733261</v>
      </c>
      <c r="S186" s="10">
        <f t="shared" si="60"/>
        <v>91.040589588008388</v>
      </c>
      <c r="T186" s="20">
        <f>input!C185</f>
        <v>0.46</v>
      </c>
      <c r="U186" s="19">
        <f t="shared" si="67"/>
        <v>0.99651823247739013</v>
      </c>
      <c r="V186" s="21">
        <f t="shared" si="68"/>
        <v>1777.1673209171138</v>
      </c>
      <c r="W186" s="21">
        <v>1279</v>
      </c>
      <c r="X186" s="3">
        <f>W186/365+input!$K$2</f>
        <v>3.504109589041096</v>
      </c>
      <c r="Y186" s="4">
        <f t="shared" si="69"/>
        <v>39.469004015014669</v>
      </c>
      <c r="Z186" s="10">
        <f t="shared" si="61"/>
        <v>103.98435971907008</v>
      </c>
      <c r="AA186" s="20">
        <f>input!D185</f>
        <v>0</v>
      </c>
      <c r="AB186" s="19">
        <f t="shared" si="70"/>
        <v>0.99866597068041085</v>
      </c>
      <c r="AC186" s="21">
        <f t="shared" si="71"/>
        <v>1956.3459956959921</v>
      </c>
      <c r="AD186" s="8">
        <f t="shared" si="72"/>
        <v>119176.96343747342</v>
      </c>
      <c r="AE186" s="8">
        <f t="shared" si="73"/>
        <v>10354.3514341637</v>
      </c>
      <c r="AF186" s="8">
        <f t="shared" si="74"/>
        <v>41.878671210483859</v>
      </c>
      <c r="AG186" s="8">
        <f t="shared" si="75"/>
        <v>0</v>
      </c>
      <c r="AH186" s="8">
        <f t="shared" si="76"/>
        <v>7314.7689202315614</v>
      </c>
      <c r="AI186" s="8">
        <f t="shared" si="77"/>
        <v>9669.4173570123348</v>
      </c>
      <c r="AJ186" s="8">
        <f t="shared" si="78"/>
        <v>41.732859413173138</v>
      </c>
      <c r="AK186" s="8">
        <f t="shared" si="79"/>
        <v>0</v>
      </c>
      <c r="AL186" s="8">
        <f t="shared" si="80"/>
        <v>1684.1396654517075</v>
      </c>
      <c r="AM186" s="8">
        <f t="shared" si="81"/>
        <v>12315.889532867366</v>
      </c>
      <c r="AN186" s="8">
        <f t="shared" si="82"/>
        <v>74.166273957519451</v>
      </c>
      <c r="AO186" s="8">
        <f t="shared" si="83"/>
        <v>0</v>
      </c>
    </row>
    <row r="187" spans="1:41">
      <c r="A187" s="1">
        <v>41914</v>
      </c>
      <c r="B187" s="5">
        <v>185</v>
      </c>
      <c r="C187" s="3">
        <f>B187/365+input!$K$2</f>
        <v>0.50684931506849318</v>
      </c>
      <c r="D187" s="4">
        <f t="shared" si="58"/>
        <v>24.079238622413154</v>
      </c>
      <c r="E187" s="10">
        <f t="shared" si="62"/>
        <v>20.971068161010468</v>
      </c>
      <c r="F187" s="20">
        <f>input!A186</f>
        <v>5695.34</v>
      </c>
      <c r="G187" s="19">
        <f t="shared" si="63"/>
        <v>6.2504031739602006E-2</v>
      </c>
      <c r="H187" s="21">
        <f t="shared" si="64"/>
        <v>233.44940019355641</v>
      </c>
      <c r="I187" s="5">
        <v>550</v>
      </c>
      <c r="J187" s="3">
        <f>I187/365+input!$K$2</f>
        <v>1.5068493150684932</v>
      </c>
      <c r="K187" s="4">
        <f t="shared" si="84"/>
        <v>32.934418570636893</v>
      </c>
      <c r="L187" s="10">
        <f t="shared" si="85"/>
        <v>57.847426429866992</v>
      </c>
      <c r="M187" s="20">
        <f>input!B186</f>
        <v>176.04</v>
      </c>
      <c r="N187" s="19">
        <f t="shared" si="65"/>
        <v>0.93451812613150198</v>
      </c>
      <c r="O187" s="21">
        <f t="shared" si="66"/>
        <v>1275.4116748666218</v>
      </c>
      <c r="P187" s="5">
        <v>915</v>
      </c>
      <c r="Q187" s="3">
        <f>P187/365+input!$K$2</f>
        <v>2.506849315068493</v>
      </c>
      <c r="R187" s="4">
        <f t="shared" si="59"/>
        <v>37.892419359290074</v>
      </c>
      <c r="S187" s="10">
        <f t="shared" si="60"/>
        <v>91.118718999748182</v>
      </c>
      <c r="T187" s="20">
        <f>input!C186</f>
        <v>0.45</v>
      </c>
      <c r="U187" s="19">
        <f t="shared" si="67"/>
        <v>0.99653926011724026</v>
      </c>
      <c r="V187" s="21">
        <f t="shared" si="68"/>
        <v>1778.2693789714333</v>
      </c>
      <c r="W187" s="21">
        <v>1280</v>
      </c>
      <c r="X187" s="3">
        <f>W187/365+input!$K$2</f>
        <v>3.506849315068493</v>
      </c>
      <c r="Y187" s="4">
        <f t="shared" si="69"/>
        <v>39.469004015014669</v>
      </c>
      <c r="Z187" s="10">
        <f t="shared" si="61"/>
        <v>103.98435971907008</v>
      </c>
      <c r="AA187" s="20">
        <f>input!D186</f>
        <v>0</v>
      </c>
      <c r="AB187" s="19">
        <f t="shared" si="70"/>
        <v>0.99866597068041085</v>
      </c>
      <c r="AC187" s="21">
        <f t="shared" si="71"/>
        <v>1956.3459956959921</v>
      </c>
      <c r="AD187" s="8">
        <f t="shared" si="72"/>
        <v>119437.36334012936</v>
      </c>
      <c r="AE187" s="8">
        <f t="shared" si="73"/>
        <v>10183.460948713784</v>
      </c>
      <c r="AF187" s="8">
        <f t="shared" si="74"/>
        <v>41.003423549886683</v>
      </c>
      <c r="AG187" s="8">
        <f t="shared" si="75"/>
        <v>0</v>
      </c>
      <c r="AH187" s="8">
        <f t="shared" si="76"/>
        <v>7465.316749105823</v>
      </c>
      <c r="AI187" s="8">
        <f t="shared" si="77"/>
        <v>9516.6288433253321</v>
      </c>
      <c r="AJ187" s="8">
        <f t="shared" si="78"/>
        <v>40.861521366677898</v>
      </c>
      <c r="AK187" s="8">
        <f t="shared" si="79"/>
        <v>0</v>
      </c>
      <c r="AL187" s="8">
        <f t="shared" si="80"/>
        <v>1742.773717333665</v>
      </c>
      <c r="AM187" s="8">
        <f t="shared" si="81"/>
        <v>12137.619532149563</v>
      </c>
      <c r="AN187" s="8">
        <f t="shared" si="82"/>
        <v>72.662792224550259</v>
      </c>
      <c r="AO187" s="8">
        <f t="shared" si="83"/>
        <v>0</v>
      </c>
    </row>
    <row r="188" spans="1:41">
      <c r="A188" s="1">
        <v>41915</v>
      </c>
      <c r="B188" s="5">
        <v>186</v>
      </c>
      <c r="C188" s="3">
        <f>B188/365+input!$K$2</f>
        <v>0.50958904109589043</v>
      </c>
      <c r="D188" s="4">
        <f t="shared" si="58"/>
        <v>24.111185949592468</v>
      </c>
      <c r="E188" s="10">
        <f t="shared" si="62"/>
        <v>21.06135045042419</v>
      </c>
      <c r="F188" s="20">
        <f>input!A187</f>
        <v>5677.86</v>
      </c>
      <c r="G188" s="19">
        <f t="shared" si="63"/>
        <v>6.3648134506781431E-2</v>
      </c>
      <c r="H188" s="21">
        <f t="shared" si="64"/>
        <v>236.68039056468285</v>
      </c>
      <c r="I188" s="5">
        <v>551</v>
      </c>
      <c r="J188" s="3">
        <f>I188/365+input!$K$2</f>
        <v>1.5095890410958903</v>
      </c>
      <c r="K188" s="4">
        <f t="shared" si="84"/>
        <v>32.952305826940723</v>
      </c>
      <c r="L188" s="10">
        <f t="shared" si="85"/>
        <v>57.94928250527331</v>
      </c>
      <c r="M188" s="20">
        <f>input!B187</f>
        <v>169.89</v>
      </c>
      <c r="N188" s="19">
        <f t="shared" si="65"/>
        <v>0.93517833326046818</v>
      </c>
      <c r="O188" s="21">
        <f t="shared" si="66"/>
        <v>1277.1254828414153</v>
      </c>
      <c r="P188" s="5">
        <v>916</v>
      </c>
      <c r="Q188" s="3">
        <f>P188/365+input!$K$2</f>
        <v>2.5095890410958903</v>
      </c>
      <c r="R188" s="4">
        <f t="shared" si="59"/>
        <v>37.902434404876921</v>
      </c>
      <c r="S188" s="10">
        <f t="shared" si="60"/>
        <v>91.19677059168373</v>
      </c>
      <c r="T188" s="20">
        <f>input!C187</f>
        <v>0.44</v>
      </c>
      <c r="U188" s="19">
        <f t="shared" si="67"/>
        <v>0.99656012811561545</v>
      </c>
      <c r="V188" s="21">
        <f t="shared" si="68"/>
        <v>1779.370074444771</v>
      </c>
      <c r="W188" s="21">
        <v>1281</v>
      </c>
      <c r="X188" s="3">
        <f>W188/365+input!$K$2</f>
        <v>3.5095890410958903</v>
      </c>
      <c r="Y188" s="4">
        <f t="shared" si="69"/>
        <v>39.469004015014669</v>
      </c>
      <c r="Z188" s="10">
        <f t="shared" si="61"/>
        <v>103.98435971907008</v>
      </c>
      <c r="AA188" s="20">
        <f>input!D187</f>
        <v>0</v>
      </c>
      <c r="AB188" s="19">
        <f t="shared" si="70"/>
        <v>0.99866597068041085</v>
      </c>
      <c r="AC188" s="21">
        <f t="shared" si="71"/>
        <v>1956.3459956959921</v>
      </c>
      <c r="AD188" s="8">
        <f t="shared" si="72"/>
        <v>119583.39926844549</v>
      </c>
      <c r="AE188" s="8">
        <f t="shared" si="73"/>
        <v>9845.0036048208822</v>
      </c>
      <c r="AF188" s="8">
        <f t="shared" si="74"/>
        <v>40.126579060340845</v>
      </c>
      <c r="AG188" s="8">
        <f t="shared" si="75"/>
        <v>0</v>
      </c>
      <c r="AH188" s="8">
        <f t="shared" si="76"/>
        <v>7611.2602814161664</v>
      </c>
      <c r="AI188" s="8">
        <f t="shared" si="77"/>
        <v>9206.8340620996933</v>
      </c>
      <c r="AJ188" s="8">
        <f t="shared" si="78"/>
        <v>39.988548769214646</v>
      </c>
      <c r="AK188" s="8">
        <f t="shared" si="79"/>
        <v>0</v>
      </c>
      <c r="AL188" s="8">
        <f t="shared" si="80"/>
        <v>1801.4360560950363</v>
      </c>
      <c r="AM188" s="8">
        <f t="shared" si="81"/>
        <v>11758.282396999861</v>
      </c>
      <c r="AN188" s="8">
        <f t="shared" si="82"/>
        <v>71.154427000415822</v>
      </c>
      <c r="AO188" s="8">
        <f t="shared" si="83"/>
        <v>0</v>
      </c>
    </row>
    <row r="189" spans="1:41">
      <c r="A189" s="1">
        <v>41916</v>
      </c>
      <c r="B189" s="5">
        <v>187</v>
      </c>
      <c r="C189" s="3">
        <f>B189/365+input!$K$2</f>
        <v>0.51232876712328768</v>
      </c>
      <c r="D189" s="4">
        <f t="shared" si="58"/>
        <v>24.14308255146895</v>
      </c>
      <c r="E189" s="10">
        <f t="shared" si="62"/>
        <v>21.151757108381105</v>
      </c>
      <c r="F189" s="20">
        <f>input!A188</f>
        <v>5673.97</v>
      </c>
      <c r="G189" s="19">
        <f t="shared" si="63"/>
        <v>6.4809868534813353E-2</v>
      </c>
      <c r="H189" s="21">
        <f t="shared" si="64"/>
        <v>239.93097930452697</v>
      </c>
      <c r="I189" s="5">
        <v>552</v>
      </c>
      <c r="J189" s="3">
        <f>I189/365+input!$K$2</f>
        <v>1.5123287671232877</v>
      </c>
      <c r="K189" s="4">
        <f t="shared" si="84"/>
        <v>32.970164682230354</v>
      </c>
      <c r="L189" s="10">
        <f t="shared" si="85"/>
        <v>58.05110048511461</v>
      </c>
      <c r="M189" s="20">
        <f>input!B188</f>
        <v>168.47</v>
      </c>
      <c r="N189" s="19">
        <f t="shared" si="65"/>
        <v>0.93583130751301269</v>
      </c>
      <c r="O189" s="21">
        <f t="shared" si="66"/>
        <v>1278.8365455519011</v>
      </c>
      <c r="P189" s="5">
        <v>917</v>
      </c>
      <c r="Q189" s="3">
        <f>P189/365+input!$K$2</f>
        <v>2.5123287671232877</v>
      </c>
      <c r="R189" s="4">
        <f t="shared" si="59"/>
        <v>37.91243354878231</v>
      </c>
      <c r="S189" s="10">
        <f t="shared" si="60"/>
        <v>91.274744355782744</v>
      </c>
      <c r="T189" s="20">
        <f>input!C188</f>
        <v>0.44</v>
      </c>
      <c r="U189" s="19">
        <f t="shared" si="67"/>
        <v>0.99658083787761331</v>
      </c>
      <c r="V189" s="21">
        <f t="shared" si="68"/>
        <v>1780.4694083456222</v>
      </c>
      <c r="W189" s="21">
        <v>1282</v>
      </c>
      <c r="X189" s="3">
        <f>W189/365+input!$K$2</f>
        <v>3.5123287671232877</v>
      </c>
      <c r="Y189" s="4">
        <f t="shared" si="69"/>
        <v>39.469004015014669</v>
      </c>
      <c r="Z189" s="10">
        <f t="shared" si="61"/>
        <v>103.98435971907008</v>
      </c>
      <c r="AA189" s="20">
        <f>input!D188</f>
        <v>0</v>
      </c>
      <c r="AB189" s="19">
        <f t="shared" si="70"/>
        <v>0.99866597068041085</v>
      </c>
      <c r="AC189" s="21">
        <f t="shared" si="71"/>
        <v>1956.3459956959921</v>
      </c>
      <c r="AD189" s="8">
        <f t="shared" si="72"/>
        <v>120014.43528024114</v>
      </c>
      <c r="AE189" s="8">
        <f t="shared" si="73"/>
        <v>9779.8688987272581</v>
      </c>
      <c r="AF189" s="8">
        <f t="shared" si="74"/>
        <v>40.160887516544406</v>
      </c>
      <c r="AG189" s="8">
        <f t="shared" si="75"/>
        <v>0</v>
      </c>
      <c r="AH189" s="8">
        <f t="shared" si="76"/>
        <v>7778.1197727922945</v>
      </c>
      <c r="AI189" s="8">
        <f t="shared" si="77"/>
        <v>9152.3074988017779</v>
      </c>
      <c r="AJ189" s="8">
        <f t="shared" si="78"/>
        <v>40.023570931146402</v>
      </c>
      <c r="AK189" s="8">
        <f t="shared" si="79"/>
        <v>0</v>
      </c>
      <c r="AL189" s="8">
        <f t="shared" si="80"/>
        <v>1866.21189423396</v>
      </c>
      <c r="AM189" s="8">
        <f t="shared" si="81"/>
        <v>11704.305305596426</v>
      </c>
      <c r="AN189" s="8">
        <f t="shared" si="82"/>
        <v>71.260743655657279</v>
      </c>
      <c r="AO189" s="8">
        <f t="shared" si="83"/>
        <v>0</v>
      </c>
    </row>
    <row r="190" spans="1:41">
      <c r="A190" s="1">
        <v>41917</v>
      </c>
      <c r="B190" s="5">
        <v>188</v>
      </c>
      <c r="C190" s="3">
        <f>B190/365+input!$K$2</f>
        <v>0.51506849315068493</v>
      </c>
      <c r="D190" s="4">
        <f t="shared" si="58"/>
        <v>24.174928508583196</v>
      </c>
      <c r="E190" s="10">
        <f t="shared" si="62"/>
        <v>21.242287525772866</v>
      </c>
      <c r="F190" s="20">
        <f>input!A189</f>
        <v>5664.07</v>
      </c>
      <c r="G190" s="19">
        <f t="shared" si="63"/>
        <v>6.5989420976480945E-2</v>
      </c>
      <c r="H190" s="21">
        <f t="shared" si="64"/>
        <v>243.20091128177742</v>
      </c>
      <c r="I190" s="5">
        <v>553</v>
      </c>
      <c r="J190" s="3">
        <f>I190/365+input!$K$2</f>
        <v>1.515068493150685</v>
      </c>
      <c r="K190" s="4">
        <f t="shared" si="84"/>
        <v>32.98799518160034</v>
      </c>
      <c r="L190" s="10">
        <f t="shared" si="85"/>
        <v>58.152880120422125</v>
      </c>
      <c r="M190" s="20">
        <f>input!B189</f>
        <v>164.71</v>
      </c>
      <c r="N190" s="19">
        <f t="shared" si="65"/>
        <v>0.93647712867444155</v>
      </c>
      <c r="O190" s="21">
        <f t="shared" si="66"/>
        <v>1280.5448817410556</v>
      </c>
      <c r="P190" s="5">
        <v>918</v>
      </c>
      <c r="Q190" s="3">
        <f>P190/365+input!$K$2</f>
        <v>2.515068493150685</v>
      </c>
      <c r="R190" s="4">
        <f t="shared" si="59"/>
        <v>37.922416816254611</v>
      </c>
      <c r="S190" s="10">
        <f t="shared" si="60"/>
        <v>91.352640284372541</v>
      </c>
      <c r="T190" s="20">
        <f>input!C189</f>
        <v>0.43</v>
      </c>
      <c r="U190" s="19">
        <f t="shared" si="67"/>
        <v>0.99660139079448018</v>
      </c>
      <c r="V190" s="21">
        <f t="shared" si="68"/>
        <v>1781.5673816837282</v>
      </c>
      <c r="W190" s="21">
        <v>1283</v>
      </c>
      <c r="X190" s="3">
        <f>W190/365+input!$K$2</f>
        <v>3.515068493150685</v>
      </c>
      <c r="Y190" s="4">
        <f t="shared" si="69"/>
        <v>39.469004015014669</v>
      </c>
      <c r="Z190" s="10">
        <f t="shared" si="61"/>
        <v>103.98435971907008</v>
      </c>
      <c r="AA190" s="20">
        <f>input!D189</f>
        <v>0</v>
      </c>
      <c r="AB190" s="19">
        <f t="shared" si="70"/>
        <v>0.99866597068041085</v>
      </c>
      <c r="AC190" s="21">
        <f t="shared" si="71"/>
        <v>1956.3459956959921</v>
      </c>
      <c r="AD190" s="8">
        <f t="shared" si="72"/>
        <v>120317.80350610432</v>
      </c>
      <c r="AE190" s="8">
        <f t="shared" si="73"/>
        <v>9578.3608846347288</v>
      </c>
      <c r="AF190" s="8">
        <f t="shared" si="74"/>
        <v>39.281635322280195</v>
      </c>
      <c r="AG190" s="8">
        <f t="shared" si="75"/>
        <v>0</v>
      </c>
      <c r="AH190" s="8">
        <f t="shared" si="76"/>
        <v>7939.7021865298329</v>
      </c>
      <c r="AI190" s="8">
        <f t="shared" si="77"/>
        <v>8969.9158986503153</v>
      </c>
      <c r="AJ190" s="8">
        <f t="shared" si="78"/>
        <v>39.148132394866018</v>
      </c>
      <c r="AK190" s="8">
        <f t="shared" si="79"/>
        <v>0</v>
      </c>
      <c r="AL190" s="8">
        <f t="shared" si="80"/>
        <v>1930.9428070699762</v>
      </c>
      <c r="AM190" s="8">
        <f t="shared" si="81"/>
        <v>11486.379893664382</v>
      </c>
      <c r="AN190" s="8">
        <f t="shared" si="82"/>
        <v>69.745035728529388</v>
      </c>
      <c r="AO190" s="8">
        <f t="shared" si="83"/>
        <v>0</v>
      </c>
    </row>
    <row r="191" spans="1:41">
      <c r="A191" s="1">
        <v>41918</v>
      </c>
      <c r="B191" s="5">
        <v>189</v>
      </c>
      <c r="C191" s="3">
        <f>B191/365+input!$K$2</f>
        <v>0.51780821917808217</v>
      </c>
      <c r="D191" s="4">
        <f t="shared" si="58"/>
        <v>24.206723901347896</v>
      </c>
      <c r="E191" s="10">
        <f t="shared" si="62"/>
        <v>21.33294109382021</v>
      </c>
      <c r="F191" s="20">
        <f>input!A190</f>
        <v>5652.32</v>
      </c>
      <c r="G191" s="19">
        <f t="shared" si="63"/>
        <v>6.7186978679762949E-2</v>
      </c>
      <c r="H191" s="21">
        <f t="shared" si="64"/>
        <v>246.48992772968319</v>
      </c>
      <c r="I191" s="5">
        <v>554</v>
      </c>
      <c r="J191" s="3">
        <f>I191/365+input!$K$2</f>
        <v>1.5178082191780822</v>
      </c>
      <c r="K191" s="4">
        <f t="shared" si="84"/>
        <v>33.005797370073594</v>
      </c>
      <c r="L191" s="10">
        <f t="shared" si="85"/>
        <v>58.25462116322128</v>
      </c>
      <c r="M191" s="20">
        <f>input!B190</f>
        <v>161.12</v>
      </c>
      <c r="N191" s="19">
        <f t="shared" si="65"/>
        <v>0.93711587575614652</v>
      </c>
      <c r="O191" s="21">
        <f t="shared" si="66"/>
        <v>1282.2505098954448</v>
      </c>
      <c r="P191" s="5">
        <v>919</v>
      </c>
      <c r="Q191" s="3">
        <f>P191/365+input!$K$2</f>
        <v>2.5178082191780824</v>
      </c>
      <c r="R191" s="4">
        <f t="shared" si="59"/>
        <v>37.932384232502081</v>
      </c>
      <c r="S191" s="10">
        <f t="shared" si="60"/>
        <v>91.430458370138396</v>
      </c>
      <c r="T191" s="20">
        <f>input!C190</f>
        <v>0.42</v>
      </c>
      <c r="U191" s="19">
        <f t="shared" si="67"/>
        <v>0.99662178824376091</v>
      </c>
      <c r="V191" s="21">
        <f t="shared" si="68"/>
        <v>1782.663995470077</v>
      </c>
      <c r="W191" s="21">
        <v>1284</v>
      </c>
      <c r="X191" s="3">
        <f>W191/365+input!$K$2</f>
        <v>3.5178082191780824</v>
      </c>
      <c r="Y191" s="4">
        <f t="shared" si="69"/>
        <v>39.469004015014669</v>
      </c>
      <c r="Z191" s="10">
        <f t="shared" si="61"/>
        <v>103.98435971907008</v>
      </c>
      <c r="AA191" s="20">
        <f>input!D190</f>
        <v>0</v>
      </c>
      <c r="AB191" s="19">
        <f t="shared" si="70"/>
        <v>0.99866597068041085</v>
      </c>
      <c r="AC191" s="21">
        <f t="shared" si="71"/>
        <v>1956.3459956959921</v>
      </c>
      <c r="AD191" s="8">
        <f t="shared" si="72"/>
        <v>120580.60960342185</v>
      </c>
      <c r="AE191" s="8">
        <f t="shared" si="73"/>
        <v>9385.9845618182135</v>
      </c>
      <c r="AF191" s="8">
        <f t="shared" si="74"/>
        <v>38.400792515458122</v>
      </c>
      <c r="AG191" s="8">
        <f t="shared" si="75"/>
        <v>0</v>
      </c>
      <c r="AH191" s="8">
        <f t="shared" si="76"/>
        <v>8101.4468466179233</v>
      </c>
      <c r="AI191" s="8">
        <f t="shared" si="77"/>
        <v>8795.7551424819467</v>
      </c>
      <c r="AJ191" s="8">
        <f t="shared" si="78"/>
        <v>38.271066506733504</v>
      </c>
      <c r="AK191" s="8">
        <f t="shared" si="79"/>
        <v>0</v>
      </c>
      <c r="AL191" s="8">
        <f t="shared" si="80"/>
        <v>1996.9250477287217</v>
      </c>
      <c r="AM191" s="8">
        <f t="shared" si="81"/>
        <v>11278.361516362958</v>
      </c>
      <c r="AN191" s="8">
        <f t="shared" si="82"/>
        <v>68.224452329794588</v>
      </c>
      <c r="AO191" s="8">
        <f t="shared" si="83"/>
        <v>0</v>
      </c>
    </row>
    <row r="192" spans="1:41">
      <c r="A192" s="1">
        <v>41919</v>
      </c>
      <c r="B192" s="5">
        <v>190</v>
      </c>
      <c r="C192" s="3">
        <f>B192/365+input!$K$2</f>
        <v>0.52054794520547942</v>
      </c>
      <c r="D192" s="4">
        <f t="shared" si="58"/>
        <v>24.238468810048094</v>
      </c>
      <c r="E192" s="10">
        <f t="shared" si="62"/>
        <v>21.423717204082685</v>
      </c>
      <c r="F192" s="20">
        <f>input!A191</f>
        <v>5634.26</v>
      </c>
      <c r="G192" s="19">
        <f t="shared" si="63"/>
        <v>6.8402728109955666E-2</v>
      </c>
      <c r="H192" s="21">
        <f t="shared" si="64"/>
        <v>249.79776635045823</v>
      </c>
      <c r="I192" s="5">
        <v>555</v>
      </c>
      <c r="J192" s="3">
        <f>I192/365+input!$K$2</f>
        <v>1.5205479452054795</v>
      </c>
      <c r="K192" s="4">
        <f t="shared" si="84"/>
        <v>33.023571292601602</v>
      </c>
      <c r="L192" s="10">
        <f t="shared" si="85"/>
        <v>58.356323366529693</v>
      </c>
      <c r="M192" s="20">
        <f>input!B191</f>
        <v>156.29</v>
      </c>
      <c r="N192" s="19">
        <f t="shared" si="65"/>
        <v>0.93774762699901626</v>
      </c>
      <c r="O192" s="21">
        <f t="shared" si="66"/>
        <v>1283.9534482480121</v>
      </c>
      <c r="P192" s="5">
        <v>920</v>
      </c>
      <c r="Q192" s="3">
        <f>P192/365+input!$K$2</f>
        <v>2.5205479452054793</v>
      </c>
      <c r="R192" s="4">
        <f t="shared" si="59"/>
        <v>37.942335822692968</v>
      </c>
      <c r="S192" s="10">
        <f t="shared" si="60"/>
        <v>91.508198606122122</v>
      </c>
      <c r="T192" s="20">
        <f>input!C191</f>
        <v>0.41</v>
      </c>
      <c r="U192" s="19">
        <f t="shared" si="67"/>
        <v>0.99664203158944709</v>
      </c>
      <c r="V192" s="21">
        <f t="shared" si="68"/>
        <v>1783.7592507169177</v>
      </c>
      <c r="W192" s="21">
        <v>1285</v>
      </c>
      <c r="X192" s="3">
        <f>W192/365+input!$K$2</f>
        <v>3.5205479452054793</v>
      </c>
      <c r="Y192" s="4">
        <f t="shared" si="69"/>
        <v>39.469004015014669</v>
      </c>
      <c r="Z192" s="10">
        <f t="shared" si="61"/>
        <v>103.98435971907008</v>
      </c>
      <c r="AA192" s="20">
        <f>input!D191</f>
        <v>0</v>
      </c>
      <c r="AB192" s="19">
        <f t="shared" si="70"/>
        <v>0.99866597068041085</v>
      </c>
      <c r="AC192" s="21">
        <f t="shared" si="71"/>
        <v>1956.3459956959921</v>
      </c>
      <c r="AD192" s="8">
        <f t="shared" si="72"/>
        <v>120706.79289427491</v>
      </c>
      <c r="AE192" s="8">
        <f t="shared" si="73"/>
        <v>9120.5097789549254</v>
      </c>
      <c r="AF192" s="8">
        <f t="shared" si="74"/>
        <v>37.518361428510069</v>
      </c>
      <c r="AG192" s="8">
        <f t="shared" si="75"/>
        <v>0</v>
      </c>
      <c r="AH192" s="8">
        <f t="shared" si="76"/>
        <v>8256.6739353718149</v>
      </c>
      <c r="AI192" s="8">
        <f t="shared" si="77"/>
        <v>8552.7364022363035</v>
      </c>
      <c r="AJ192" s="8">
        <f t="shared" si="78"/>
        <v>37.392375956017425</v>
      </c>
      <c r="AK192" s="8">
        <f t="shared" si="79"/>
        <v>0</v>
      </c>
      <c r="AL192" s="8">
        <f t="shared" si="80"/>
        <v>2062.4987065399268</v>
      </c>
      <c r="AM192" s="8">
        <f t="shared" si="81"/>
        <v>10981.3153956076</v>
      </c>
      <c r="AN192" s="8">
        <f t="shared" si="82"/>
        <v>66.698996517830935</v>
      </c>
      <c r="AO192" s="8">
        <f t="shared" si="83"/>
        <v>0</v>
      </c>
    </row>
    <row r="193" spans="1:41">
      <c r="A193" s="1">
        <v>41920</v>
      </c>
      <c r="B193" s="5">
        <v>191</v>
      </c>
      <c r="C193" s="3">
        <f>B193/365+input!$K$2</f>
        <v>0.52328767123287667</v>
      </c>
      <c r="D193" s="4">
        <f t="shared" si="58"/>
        <v>24.270163314841319</v>
      </c>
      <c r="E193" s="10">
        <f t="shared" si="62"/>
        <v>21.514615248468338</v>
      </c>
      <c r="F193" s="20">
        <f>input!A192</f>
        <v>5630.4</v>
      </c>
      <c r="G193" s="19">
        <f t="shared" si="63"/>
        <v>6.963685526989076E-2</v>
      </c>
      <c r="H193" s="21">
        <f t="shared" si="64"/>
        <v>253.12416142075693</v>
      </c>
      <c r="I193" s="5">
        <v>556</v>
      </c>
      <c r="J193" s="3">
        <f>I193/365+input!$K$2</f>
        <v>1.5232876712328767</v>
      </c>
      <c r="K193" s="4">
        <f t="shared" si="84"/>
        <v>33.041316994064431</v>
      </c>
      <c r="L193" s="10">
        <f t="shared" si="85"/>
        <v>58.457986484355665</v>
      </c>
      <c r="M193" s="20">
        <f>input!B192</f>
        <v>155.13</v>
      </c>
      <c r="N193" s="19">
        <f t="shared" si="65"/>
        <v>0.93837245987696849</v>
      </c>
      <c r="O193" s="21">
        <f t="shared" si="66"/>
        <v>1285.6537147808269</v>
      </c>
      <c r="P193" s="5">
        <v>921</v>
      </c>
      <c r="Q193" s="3">
        <f>P193/365+input!$K$2</f>
        <v>2.5232876712328767</v>
      </c>
      <c r="R193" s="4">
        <f t="shared" si="59"/>
        <v>37.952271611955567</v>
      </c>
      <c r="S193" s="10">
        <f t="shared" si="60"/>
        <v>91.585860985721297</v>
      </c>
      <c r="T193" s="20">
        <f>input!C192</f>
        <v>0.41</v>
      </c>
      <c r="U193" s="19">
        <f t="shared" si="67"/>
        <v>0.99666212218212269</v>
      </c>
      <c r="V193" s="21">
        <f t="shared" si="68"/>
        <v>1784.8531484377397</v>
      </c>
      <c r="W193" s="21">
        <v>1286</v>
      </c>
      <c r="X193" s="3">
        <f>W193/365+input!$K$2</f>
        <v>3.5232876712328767</v>
      </c>
      <c r="Y193" s="4">
        <f t="shared" si="69"/>
        <v>39.469004015014669</v>
      </c>
      <c r="Z193" s="10">
        <f t="shared" si="61"/>
        <v>103.98435971907008</v>
      </c>
      <c r="AA193" s="20">
        <f>input!D192</f>
        <v>0</v>
      </c>
      <c r="AB193" s="19">
        <f t="shared" si="70"/>
        <v>0.99866597068041085</v>
      </c>
      <c r="AC193" s="21">
        <f t="shared" si="71"/>
        <v>1956.3459956959921</v>
      </c>
      <c r="AD193" s="8">
        <f t="shared" si="72"/>
        <v>121135.88969497613</v>
      </c>
      <c r="AE193" s="8">
        <f t="shared" si="73"/>
        <v>9068.5874433180943</v>
      </c>
      <c r="AF193" s="8">
        <f t="shared" si="74"/>
        <v>37.550203004145729</v>
      </c>
      <c r="AG193" s="8">
        <f t="shared" si="75"/>
        <v>0</v>
      </c>
      <c r="AH193" s="8">
        <f t="shared" si="76"/>
        <v>8435.5224186785035</v>
      </c>
      <c r="AI193" s="8">
        <f t="shared" si="77"/>
        <v>8509.7127067957881</v>
      </c>
      <c r="AJ193" s="8">
        <f t="shared" si="78"/>
        <v>37.424865014481398</v>
      </c>
      <c r="AK193" s="8">
        <f t="shared" si="79"/>
        <v>0</v>
      </c>
      <c r="AL193" s="8">
        <f t="shared" si="80"/>
        <v>2135.2345383739912</v>
      </c>
      <c r="AM193" s="8">
        <f t="shared" si="81"/>
        <v>10940.543753209611</v>
      </c>
      <c r="AN193" s="8">
        <f t="shared" si="82"/>
        <v>66.797888150954535</v>
      </c>
      <c r="AO193" s="8">
        <f t="shared" si="83"/>
        <v>0</v>
      </c>
    </row>
    <row r="194" spans="1:41">
      <c r="A194" s="1">
        <v>41921</v>
      </c>
      <c r="B194" s="5">
        <v>192</v>
      </c>
      <c r="C194" s="3">
        <f>B194/365+input!$K$2</f>
        <v>0.52602739726027392</v>
      </c>
      <c r="D194" s="4">
        <f t="shared" si="58"/>
        <v>24.301807495757863</v>
      </c>
      <c r="E194" s="10">
        <f t="shared" si="62"/>
        <v>21.605634619243371</v>
      </c>
      <c r="F194" s="20">
        <f>input!A193</f>
        <v>5613.08</v>
      </c>
      <c r="G194" s="19">
        <f t="shared" si="63"/>
        <v>7.0889545618260857E-2</v>
      </c>
      <c r="H194" s="21">
        <f t="shared" si="64"/>
        <v>256.46884389817382</v>
      </c>
      <c r="I194" s="5">
        <v>557</v>
      </c>
      <c r="J194" s="3">
        <f>I194/365+input!$K$2</f>
        <v>1.526027397260274</v>
      </c>
      <c r="K194" s="4">
        <f t="shared" si="84"/>
        <v>33.059034519270902</v>
      </c>
      <c r="L194" s="10">
        <f t="shared" si="85"/>
        <v>58.559610271696222</v>
      </c>
      <c r="M194" s="20">
        <f>input!B193</f>
        <v>150.63999999999999</v>
      </c>
      <c r="N194" s="19">
        <f t="shared" si="65"/>
        <v>0.93899045110061607</v>
      </c>
      <c r="O194" s="21">
        <f t="shared" si="66"/>
        <v>1287.351327227834</v>
      </c>
      <c r="P194" s="5">
        <v>922</v>
      </c>
      <c r="Q194" s="3">
        <f>P194/365+input!$K$2</f>
        <v>2.526027397260274</v>
      </c>
      <c r="R194" s="4">
        <f t="shared" si="59"/>
        <v>37.962191625378253</v>
      </c>
      <c r="S194" s="10">
        <f t="shared" si="60"/>
        <v>91.66344550268731</v>
      </c>
      <c r="T194" s="20">
        <f>input!C193</f>
        <v>0.39</v>
      </c>
      <c r="U194" s="19">
        <f t="shared" si="67"/>
        <v>0.99668206135910864</v>
      </c>
      <c r="V194" s="21">
        <f t="shared" si="68"/>
        <v>1785.9456896472952</v>
      </c>
      <c r="W194" s="21">
        <v>1287</v>
      </c>
      <c r="X194" s="3">
        <f>W194/365+input!$K$2</f>
        <v>3.526027397260274</v>
      </c>
      <c r="Y194" s="4">
        <f t="shared" si="69"/>
        <v>39.469004015014669</v>
      </c>
      <c r="Z194" s="10">
        <f t="shared" si="61"/>
        <v>103.98435971907008</v>
      </c>
      <c r="AA194" s="20">
        <f>input!D193</f>
        <v>0</v>
      </c>
      <c r="AB194" s="19">
        <f t="shared" si="70"/>
        <v>0.99866597068041085</v>
      </c>
      <c r="AC194" s="21">
        <f t="shared" si="71"/>
        <v>1956.3459956959921</v>
      </c>
      <c r="AD194" s="8">
        <f t="shared" si="72"/>
        <v>121274.15556858259</v>
      </c>
      <c r="AE194" s="8">
        <f t="shared" si="73"/>
        <v>8821.4196913283176</v>
      </c>
      <c r="AF194" s="8">
        <f t="shared" si="74"/>
        <v>35.748743746048049</v>
      </c>
      <c r="AG194" s="8">
        <f t="shared" si="75"/>
        <v>0</v>
      </c>
      <c r="AH194" s="8">
        <f t="shared" si="76"/>
        <v>8597.0697834950988</v>
      </c>
      <c r="AI194" s="8">
        <f t="shared" si="77"/>
        <v>8283.2288553082344</v>
      </c>
      <c r="AJ194" s="8">
        <f t="shared" si="78"/>
        <v>35.630131607809716</v>
      </c>
      <c r="AK194" s="8">
        <f t="shared" si="79"/>
        <v>0</v>
      </c>
      <c r="AL194" s="8">
        <f t="shared" si="80"/>
        <v>2204.8805482849116</v>
      </c>
      <c r="AM194" s="8">
        <f t="shared" si="81"/>
        <v>10663.425660612947</v>
      </c>
      <c r="AN194" s="8">
        <f t="shared" si="82"/>
        <v>63.633479966533621</v>
      </c>
      <c r="AO194" s="8">
        <f t="shared" si="83"/>
        <v>0</v>
      </c>
    </row>
    <row r="195" spans="1:41">
      <c r="A195" s="1">
        <v>41922</v>
      </c>
      <c r="B195" s="5">
        <v>193</v>
      </c>
      <c r="C195" s="3">
        <f>B195/365+input!$K$2</f>
        <v>0.52876712328767128</v>
      </c>
      <c r="D195" s="4">
        <f t="shared" ref="D195:D258" si="86">44.2*(1-EXP(-0.58*(C195+0.85)))</f>
        <v>24.333401432700921</v>
      </c>
      <c r="E195" s="10">
        <f t="shared" si="62"/>
        <v>21.696774709041417</v>
      </c>
      <c r="F195" s="20">
        <f>input!A194</f>
        <v>5609.23</v>
      </c>
      <c r="G195" s="19">
        <f t="shared" si="63"/>
        <v>7.2160983986047991E-2</v>
      </c>
      <c r="H195" s="21">
        <f t="shared" si="64"/>
        <v>259.8315415286674</v>
      </c>
      <c r="I195" s="5">
        <v>558</v>
      </c>
      <c r="J195" s="3">
        <f>I195/365+input!$K$2</f>
        <v>1.5287671232876712</v>
      </c>
      <c r="K195" s="4">
        <f t="shared" si="84"/>
        <v>33.076723912958691</v>
      </c>
      <c r="L195" s="10">
        <f t="shared" si="85"/>
        <v>58.661194484535436</v>
      </c>
      <c r="M195" s="20">
        <f>input!B194</f>
        <v>149.57</v>
      </c>
      <c r="N195" s="19">
        <f t="shared" si="65"/>
        <v>0.93960167662104455</v>
      </c>
      <c r="O195" s="21">
        <f t="shared" si="66"/>
        <v>1289.0463030776086</v>
      </c>
      <c r="P195" s="5">
        <v>923</v>
      </c>
      <c r="Q195" s="3">
        <f>P195/365+input!$K$2</f>
        <v>2.5287671232876714</v>
      </c>
      <c r="R195" s="4">
        <f t="shared" ref="R195:R258" si="87">44.2*(1-EXP(-0.58*(Q195+0.85)))</f>
        <v>37.972095888009576</v>
      </c>
      <c r="S195" s="10">
        <f t="shared" ref="S195:S258" si="88">0.0007*R195^3.24</f>
        <v>91.740952151124603</v>
      </c>
      <c r="T195" s="20">
        <f>input!C194</f>
        <v>0.39</v>
      </c>
      <c r="U195" s="19">
        <f t="shared" si="67"/>
        <v>0.9967018504446048</v>
      </c>
      <c r="V195" s="21">
        <f t="shared" si="68"/>
        <v>1787.0368753615787</v>
      </c>
      <c r="W195" s="21">
        <v>1288</v>
      </c>
      <c r="X195" s="3">
        <f>W195/365+input!$K$2</f>
        <v>3.5287671232876714</v>
      </c>
      <c r="Y195" s="4">
        <f t="shared" si="69"/>
        <v>39.469004015014669</v>
      </c>
      <c r="Z195" s="10">
        <f t="shared" ref="Z195:Z258" si="89">0.0007*Y195^3.24</f>
        <v>103.98435971907008</v>
      </c>
      <c r="AA195" s="20">
        <f>input!D194</f>
        <v>0</v>
      </c>
      <c r="AB195" s="19">
        <f t="shared" si="70"/>
        <v>0.99866597068041085</v>
      </c>
      <c r="AC195" s="21">
        <f t="shared" si="71"/>
        <v>1956.3459956959921</v>
      </c>
      <c r="AD195" s="8">
        <f t="shared" si="72"/>
        <v>121702.19960119638</v>
      </c>
      <c r="AE195" s="8">
        <f t="shared" si="73"/>
        <v>8773.9548590519644</v>
      </c>
      <c r="AF195" s="8">
        <f t="shared" si="74"/>
        <v>35.778971338938597</v>
      </c>
      <c r="AG195" s="8">
        <f t="shared" si="75"/>
        <v>0</v>
      </c>
      <c r="AH195" s="8">
        <f t="shared" si="76"/>
        <v>8782.1504764887486</v>
      </c>
      <c r="AI195" s="8">
        <f t="shared" si="77"/>
        <v>8244.0226961625867</v>
      </c>
      <c r="AJ195" s="8">
        <f t="shared" si="78"/>
        <v>35.660966940524581</v>
      </c>
      <c r="AK195" s="8">
        <f t="shared" si="79"/>
        <v>0</v>
      </c>
      <c r="AL195" s="8">
        <f t="shared" si="80"/>
        <v>2281.8796962427923</v>
      </c>
      <c r="AM195" s="8">
        <f t="shared" si="81"/>
        <v>10626.926978976282</v>
      </c>
      <c r="AN195" s="8">
        <f t="shared" si="82"/>
        <v>63.727462933767605</v>
      </c>
      <c r="AO195" s="8">
        <f t="shared" si="83"/>
        <v>0</v>
      </c>
    </row>
    <row r="196" spans="1:41">
      <c r="A196" s="1">
        <v>41923</v>
      </c>
      <c r="B196" s="5">
        <v>194</v>
      </c>
      <c r="C196" s="3">
        <f>B196/365+input!$K$2</f>
        <v>0.53150684931506853</v>
      </c>
      <c r="D196" s="4">
        <f t="shared" si="86"/>
        <v>24.364945205446841</v>
      </c>
      <c r="E196" s="10">
        <f t="shared" ref="E196:E259" si="90">0.0007*D196^3.24</f>
        <v>21.788034910873115</v>
      </c>
      <c r="F196" s="20">
        <f>input!A195</f>
        <v>5599.2</v>
      </c>
      <c r="G196" s="19">
        <f t="shared" ref="G196:G259" si="91">1/(1+EXP(-0.606*D196+17.3))</f>
        <v>7.3451354491069654E-2</v>
      </c>
      <c r="H196" s="21">
        <f t="shared" ref="H196:H259" si="92">0.3586*D196^2.341*_xlfn.NORM.DIST(D196,25,3,TRUE)</f>
        <v>263.21197895485955</v>
      </c>
      <c r="I196" s="5">
        <v>559</v>
      </c>
      <c r="J196" s="3">
        <f>I196/365+input!$K$2</f>
        <v>1.5315068493150685</v>
      </c>
      <c r="K196" s="4">
        <f t="shared" si="84"/>
        <v>33.094385219794439</v>
      </c>
      <c r="L196" s="10">
        <f t="shared" si="85"/>
        <v>58.762738879842956</v>
      </c>
      <c r="M196" s="20">
        <f>input!B195</f>
        <v>146.58000000000001</v>
      </c>
      <c r="N196" s="19">
        <f t="shared" ref="N196:N259" si="93">1/(1+EXP(-0.606*K196+17.3))</f>
        <v>0.94020621163370388</v>
      </c>
      <c r="O196" s="21">
        <f t="shared" ref="O196:O259" si="94">0.3586*K196^2.341*_xlfn.NORM.DIST(K196,25,3,TRUE)</f>
        <v>1290.7386595760663</v>
      </c>
      <c r="P196" s="5">
        <v>924</v>
      </c>
      <c r="Q196" s="3">
        <f>P196/365+input!$K$2</f>
        <v>2.5315068493150683</v>
      </c>
      <c r="R196" s="4">
        <f t="shared" si="87"/>
        <v>37.981984424858318</v>
      </c>
      <c r="S196" s="10">
        <f t="shared" si="88"/>
        <v>91.818380925488469</v>
      </c>
      <c r="T196" s="20">
        <f>input!C195</f>
        <v>0.39</v>
      </c>
      <c r="U196" s="19">
        <f t="shared" ref="U196:U259" si="95">1/(1+EXP(-0.606*R196+17.3))</f>
        <v>0.9967214907498323</v>
      </c>
      <c r="V196" s="21">
        <f t="shared" ref="V196:V259" si="96">0.3586*R196^2.341*_xlfn.NORM.DIST(R196,25,3,TRUE)</f>
        <v>1788.1267065978459</v>
      </c>
      <c r="W196" s="21">
        <v>1289</v>
      </c>
      <c r="X196" s="3">
        <f>W196/365+input!$K$2</f>
        <v>3.5315068493150683</v>
      </c>
      <c r="Y196" s="4">
        <f t="shared" ref="Y196:Y259" si="97">44.2*(1-EXP(-0.58*(X$3+0.85)))</f>
        <v>39.469004015014669</v>
      </c>
      <c r="Z196" s="10">
        <f t="shared" si="89"/>
        <v>103.98435971907008</v>
      </c>
      <c r="AA196" s="20">
        <f>input!D195</f>
        <v>0</v>
      </c>
      <c r="AB196" s="19">
        <f t="shared" ref="AB196:AB259" si="98">1/(1+EXP(-0.606*Y196+17.3))</f>
        <v>0.99866597068041085</v>
      </c>
      <c r="AC196" s="21">
        <f t="shared" ref="AC196:AC259" si="99">0.3586*Y196^2.341*_xlfn.NORM.DIST(Y196,25,3,TRUE)</f>
        <v>1956.3459956959921</v>
      </c>
      <c r="AD196" s="8">
        <f t="shared" ref="AD196:AD259" si="100">E196*F196</f>
        <v>121995.56507296074</v>
      </c>
      <c r="AE196" s="8">
        <f t="shared" ref="AE196:AE259" si="101">L196*M196</f>
        <v>8613.4422650073811</v>
      </c>
      <c r="AF196" s="8">
        <f t="shared" ref="AF196:AF259" si="102">S196*T196</f>
        <v>35.809168560940506</v>
      </c>
      <c r="AG196" s="8">
        <f t="shared" ref="AG196:AG259" si="103">Z196*AA196</f>
        <v>0</v>
      </c>
      <c r="AH196" s="8">
        <f t="shared" ref="AH196:AH259" si="104">E196*F196*G196</f>
        <v>8960.7394965123949</v>
      </c>
      <c r="AI196" s="8">
        <f t="shared" ref="AI196:AI259" si="105">L196*M196*N196</f>
        <v>8098.4119211082198</v>
      </c>
      <c r="AJ196" s="8">
        <f t="shared" ref="AJ196:AJ259" si="106">S196*T196*U196</f>
        <v>35.691767870572647</v>
      </c>
      <c r="AK196" s="8">
        <f t="shared" ref="AK196:AK259" si="107">Z196*AA196*AB196</f>
        <v>0</v>
      </c>
      <c r="AL196" s="8">
        <f t="shared" ref="AL196:AL259" si="108">AH196*H196/1000</f>
        <v>2358.5739757759989</v>
      </c>
      <c r="AM196" s="8">
        <f t="shared" ref="AM196:AM259" si="109">AI196*O196/1000</f>
        <v>10452.933347746059</v>
      </c>
      <c r="AN196" s="8">
        <f t="shared" ref="AN196:AN259" si="110">AJ196*V196/1000</f>
        <v>63.821403335061881</v>
      </c>
      <c r="AO196" s="8">
        <f t="shared" ref="AO196:AO259" si="111">AK196*AC196/1000</f>
        <v>0</v>
      </c>
    </row>
    <row r="197" spans="1:41">
      <c r="A197" s="1">
        <v>41924</v>
      </c>
      <c r="B197" s="5">
        <v>195</v>
      </c>
      <c r="C197" s="3">
        <f>B197/365+input!$K$2</f>
        <v>0.53424657534246578</v>
      </c>
      <c r="D197" s="4">
        <f t="shared" si="86"/>
        <v>24.396438893645289</v>
      </c>
      <c r="E197" s="10">
        <f t="shared" si="90"/>
        <v>21.87941461813557</v>
      </c>
      <c r="F197" s="20">
        <f>input!A196</f>
        <v>5581.46</v>
      </c>
      <c r="G197" s="19">
        <f t="shared" si="91"/>
        <v>7.4760840450645405E-2</v>
      </c>
      <c r="H197" s="21">
        <f t="shared" si="92"/>
        <v>266.60987782511074</v>
      </c>
      <c r="I197" s="5">
        <v>560</v>
      </c>
      <c r="J197" s="3">
        <f>I197/365+input!$K$2</f>
        <v>1.5342465753424657</v>
      </c>
      <c r="K197" s="4">
        <f t="shared" si="84"/>
        <v>33.11201848437387</v>
      </c>
      <c r="L197" s="10">
        <f t="shared" si="85"/>
        <v>58.864243215571818</v>
      </c>
      <c r="M197" s="20">
        <f>input!B196</f>
        <v>143.26</v>
      </c>
      <c r="N197" s="19">
        <f t="shared" si="93"/>
        <v>0.94080413058240975</v>
      </c>
      <c r="O197" s="21">
        <f t="shared" si="94"/>
        <v>1292.4284137291977</v>
      </c>
      <c r="P197" s="5">
        <v>925</v>
      </c>
      <c r="Q197" s="3">
        <f>P197/365+input!$K$2</f>
        <v>2.5342465753424657</v>
      </c>
      <c r="R197" s="4">
        <f t="shared" si="87"/>
        <v>37.991857260893561</v>
      </c>
      <c r="S197" s="10">
        <f t="shared" si="88"/>
        <v>91.895731820585254</v>
      </c>
      <c r="T197" s="20">
        <f>input!C196</f>
        <v>0.38</v>
      </c>
      <c r="U197" s="19">
        <f t="shared" si="95"/>
        <v>0.99674098357317154</v>
      </c>
      <c r="V197" s="21">
        <f t="shared" si="96"/>
        <v>1789.2151843745985</v>
      </c>
      <c r="W197" s="21">
        <v>1290</v>
      </c>
      <c r="X197" s="3">
        <f>W197/365+input!$K$2</f>
        <v>3.5342465753424657</v>
      </c>
      <c r="Y197" s="4">
        <f t="shared" si="97"/>
        <v>39.469004015014669</v>
      </c>
      <c r="Z197" s="10">
        <f t="shared" si="89"/>
        <v>103.98435971907008</v>
      </c>
      <c r="AA197" s="20">
        <f>input!D196</f>
        <v>0</v>
      </c>
      <c r="AB197" s="19">
        <f t="shared" si="98"/>
        <v>0.99866597068041085</v>
      </c>
      <c r="AC197" s="21">
        <f t="shared" si="99"/>
        <v>1956.3459956959921</v>
      </c>
      <c r="AD197" s="8">
        <f t="shared" si="100"/>
        <v>122119.07751453896</v>
      </c>
      <c r="AE197" s="8">
        <f t="shared" si="101"/>
        <v>8432.8914830628182</v>
      </c>
      <c r="AF197" s="8">
        <f t="shared" si="102"/>
        <v>34.9203780918224</v>
      </c>
      <c r="AG197" s="8">
        <f t="shared" si="103"/>
        <v>0</v>
      </c>
      <c r="AH197" s="8">
        <f t="shared" si="104"/>
        <v>9129.724870044447</v>
      </c>
      <c r="AI197" s="8">
        <f t="shared" si="105"/>
        <v>7933.6991400187226</v>
      </c>
      <c r="AJ197" s="8">
        <f t="shared" si="106"/>
        <v>34.806572005990091</v>
      </c>
      <c r="AK197" s="8">
        <f t="shared" si="107"/>
        <v>0</v>
      </c>
      <c r="AL197" s="8">
        <f t="shared" si="108"/>
        <v>2434.0748321794254</v>
      </c>
      <c r="AM197" s="8">
        <f t="shared" si="109"/>
        <v>10253.738194539099</v>
      </c>
      <c r="AN197" s="8">
        <f t="shared" si="110"/>
        <v>62.276447149145298</v>
      </c>
      <c r="AO197" s="8">
        <f t="shared" si="111"/>
        <v>0</v>
      </c>
    </row>
    <row r="198" spans="1:41">
      <c r="A198" s="1">
        <v>41925</v>
      </c>
      <c r="B198" s="5">
        <v>196</v>
      </c>
      <c r="C198" s="3">
        <f>B198/365+input!$K$2</f>
        <v>0.53698630136986303</v>
      </c>
      <c r="D198" s="4">
        <f t="shared" si="86"/>
        <v>24.427882576819467</v>
      </c>
      <c r="E198" s="10">
        <f t="shared" si="90"/>
        <v>21.970913224621299</v>
      </c>
      <c r="F198" s="20">
        <f>input!A197</f>
        <v>5571.35</v>
      </c>
      <c r="G198" s="19">
        <f t="shared" si="91"/>
        <v>7.6089624292398947E-2</v>
      </c>
      <c r="H198" s="21">
        <f t="shared" si="92"/>
        <v>270.02495690332069</v>
      </c>
      <c r="I198" s="5">
        <v>561</v>
      </c>
      <c r="J198" s="3">
        <f>I198/365+input!$K$2</f>
        <v>1.536986301369863</v>
      </c>
      <c r="K198" s="4">
        <f t="shared" si="84"/>
        <v>33.129623751221899</v>
      </c>
      <c r="L198" s="10">
        <f t="shared" si="85"/>
        <v>58.965707250657175</v>
      </c>
      <c r="M198" s="20">
        <f>input!B197</f>
        <v>140.69</v>
      </c>
      <c r="N198" s="19">
        <f t="shared" si="93"/>
        <v>0.94139550716344378</v>
      </c>
      <c r="O198" s="21">
        <f t="shared" si="94"/>
        <v>1294.1155823057643</v>
      </c>
      <c r="P198" s="5">
        <v>926</v>
      </c>
      <c r="Q198" s="3">
        <f>P198/365+input!$K$2</f>
        <v>2.536986301369863</v>
      </c>
      <c r="R198" s="4">
        <f t="shared" si="87"/>
        <v>38.001714421044717</v>
      </c>
      <c r="S198" s="10">
        <f t="shared" si="88"/>
        <v>91.973004831568986</v>
      </c>
      <c r="T198" s="20">
        <f>input!C197</f>
        <v>0.37</v>
      </c>
      <c r="U198" s="19">
        <f t="shared" si="95"/>
        <v>0.99676033020030097</v>
      </c>
      <c r="V198" s="21">
        <f t="shared" si="96"/>
        <v>1790.302309711584</v>
      </c>
      <c r="W198" s="21">
        <v>1291</v>
      </c>
      <c r="X198" s="3">
        <f>W198/365+input!$K$2</f>
        <v>3.536986301369863</v>
      </c>
      <c r="Y198" s="4">
        <f t="shared" si="97"/>
        <v>39.469004015014669</v>
      </c>
      <c r="Z198" s="10">
        <f t="shared" si="89"/>
        <v>103.98435971907008</v>
      </c>
      <c r="AA198" s="20">
        <f>input!D197</f>
        <v>0</v>
      </c>
      <c r="AB198" s="19">
        <f t="shared" si="98"/>
        <v>0.99866597068041085</v>
      </c>
      <c r="AC198" s="21">
        <f t="shared" si="99"/>
        <v>1956.3459956959921</v>
      </c>
      <c r="AD198" s="8">
        <f t="shared" si="100"/>
        <v>122407.64739399389</v>
      </c>
      <c r="AE198" s="8">
        <f t="shared" si="101"/>
        <v>8295.8853530949582</v>
      </c>
      <c r="AF198" s="8">
        <f t="shared" si="102"/>
        <v>34.030011787680522</v>
      </c>
      <c r="AG198" s="8">
        <f t="shared" si="103"/>
        <v>0</v>
      </c>
      <c r="AH198" s="8">
        <f t="shared" si="104"/>
        <v>9313.9519007254421</v>
      </c>
      <c r="AI198" s="8">
        <f t="shared" si="105"/>
        <v>7809.7091993466129</v>
      </c>
      <c r="AJ198" s="8">
        <f t="shared" si="106"/>
        <v>33.919765786208572</v>
      </c>
      <c r="AK198" s="8">
        <f t="shared" si="107"/>
        <v>0</v>
      </c>
      <c r="AL198" s="8">
        <f t="shared" si="108"/>
        <v>2514.9994605929892</v>
      </c>
      <c r="AM198" s="8">
        <f t="shared" si="109"/>
        <v>10106.666368151127</v>
      </c>
      <c r="AN198" s="8">
        <f t="shared" si="110"/>
        <v>60.72663503192517</v>
      </c>
      <c r="AO198" s="8">
        <f t="shared" si="111"/>
        <v>0</v>
      </c>
    </row>
    <row r="199" spans="1:41">
      <c r="A199" s="1">
        <v>41926</v>
      </c>
      <c r="B199" s="5">
        <v>197</v>
      </c>
      <c r="C199" s="3">
        <f>B199/365+input!$K$2</f>
        <v>0.53972602739726028</v>
      </c>
      <c r="D199" s="4">
        <f t="shared" si="86"/>
        <v>24.459276334366315</v>
      </c>
      <c r="E199" s="10">
        <f t="shared" si="90"/>
        <v>22.06253012452774</v>
      </c>
      <c r="F199" s="20">
        <f>input!A198</f>
        <v>5567.54</v>
      </c>
      <c r="G199" s="19">
        <f t="shared" si="91"/>
        <v>7.7437887463208843E-2</v>
      </c>
      <c r="H199" s="21">
        <f t="shared" si="92"/>
        <v>273.45693217936468</v>
      </c>
      <c r="I199" s="5">
        <v>562</v>
      </c>
      <c r="J199" s="3">
        <f>I199/365+input!$K$2</f>
        <v>1.5397260273972602</v>
      </c>
      <c r="K199" s="4">
        <f t="shared" si="84"/>
        <v>33.147201064792725</v>
      </c>
      <c r="L199" s="10">
        <f t="shared" si="85"/>
        <v>59.067130745013891</v>
      </c>
      <c r="M199" s="20">
        <f>input!B198</f>
        <v>139.80000000000001</v>
      </c>
      <c r="N199" s="19">
        <f t="shared" si="93"/>
        <v>0.94198041432975155</v>
      </c>
      <c r="O199" s="21">
        <f t="shared" si="94"/>
        <v>1295.8001818399903</v>
      </c>
      <c r="P199" s="5">
        <v>927</v>
      </c>
      <c r="Q199" s="3">
        <f>P199/365+input!$K$2</f>
        <v>2.5397260273972604</v>
      </c>
      <c r="R199" s="4">
        <f t="shared" si="87"/>
        <v>38.011555930201631</v>
      </c>
      <c r="S199" s="10">
        <f t="shared" si="88"/>
        <v>92.050199953942084</v>
      </c>
      <c r="T199" s="20">
        <f>input!C198</f>
        <v>0.37</v>
      </c>
      <c r="U199" s="19">
        <f t="shared" si="95"/>
        <v>0.99677953190433233</v>
      </c>
      <c r="V199" s="21">
        <f t="shared" si="96"/>
        <v>1791.3880836298049</v>
      </c>
      <c r="W199" s="21">
        <v>1292</v>
      </c>
      <c r="X199" s="3">
        <f>W199/365+input!$K$2</f>
        <v>3.5397260273972604</v>
      </c>
      <c r="Y199" s="4">
        <f t="shared" si="97"/>
        <v>39.469004015014669</v>
      </c>
      <c r="Z199" s="10">
        <f t="shared" si="89"/>
        <v>103.98435971907008</v>
      </c>
      <c r="AA199" s="20">
        <f>input!D198</f>
        <v>0</v>
      </c>
      <c r="AB199" s="19">
        <f t="shared" si="98"/>
        <v>0.99866597068041085</v>
      </c>
      <c r="AC199" s="21">
        <f t="shared" si="99"/>
        <v>1956.3459956959921</v>
      </c>
      <c r="AD199" s="8">
        <f t="shared" si="100"/>
        <v>122834.01896951317</v>
      </c>
      <c r="AE199" s="8">
        <f t="shared" si="101"/>
        <v>8257.5848781529421</v>
      </c>
      <c r="AF199" s="8">
        <f t="shared" si="102"/>
        <v>34.058573982958571</v>
      </c>
      <c r="AG199" s="8">
        <f t="shared" si="103"/>
        <v>0</v>
      </c>
      <c r="AH199" s="8">
        <f t="shared" si="104"/>
        <v>9512.0069376148203</v>
      </c>
      <c r="AI199" s="8">
        <f t="shared" si="105"/>
        <v>7778.4832248855992</v>
      </c>
      <c r="AJ199" s="8">
        <f t="shared" si="106"/>
        <v>33.948889432062515</v>
      </c>
      <c r="AK199" s="8">
        <f t="shared" si="107"/>
        <v>0</v>
      </c>
      <c r="AL199" s="8">
        <f t="shared" si="108"/>
        <v>2601.1242360289825</v>
      </c>
      <c r="AM199" s="8">
        <f t="shared" si="109"/>
        <v>10079.359977246075</v>
      </c>
      <c r="AN199" s="8">
        <f t="shared" si="110"/>
        <v>60.815635981062599</v>
      </c>
      <c r="AO199" s="8">
        <f t="shared" si="111"/>
        <v>0</v>
      </c>
    </row>
    <row r="200" spans="1:41">
      <c r="A200" s="1">
        <v>41927</v>
      </c>
      <c r="B200" s="5">
        <v>198</v>
      </c>
      <c r="C200" s="3">
        <f>B200/365+input!$K$2</f>
        <v>0.54246575342465753</v>
      </c>
      <c r="D200" s="4">
        <f t="shared" si="86"/>
        <v>24.49062024555672</v>
      </c>
      <c r="E200" s="10">
        <f t="shared" si="90"/>
        <v>22.154264712466201</v>
      </c>
      <c r="F200" s="20">
        <f>input!A199</f>
        <v>5549.55</v>
      </c>
      <c r="G200" s="19">
        <f t="shared" si="91"/>
        <v>7.880581033632203E-2</v>
      </c>
      <c r="H200" s="21">
        <f t="shared" si="92"/>
        <v>276.90551698010285</v>
      </c>
      <c r="I200" s="5">
        <v>563</v>
      </c>
      <c r="J200" s="3">
        <f>I200/365+input!$K$2</f>
        <v>1.5424657534246575</v>
      </c>
      <c r="K200" s="4">
        <f t="shared" si="84"/>
        <v>33.164750469470007</v>
      </c>
      <c r="L200" s="10">
        <f t="shared" si="85"/>
        <v>59.168513459535241</v>
      </c>
      <c r="M200" s="20">
        <f>input!B199</f>
        <v>136.33000000000001</v>
      </c>
      <c r="N200" s="19">
        <f t="shared" si="93"/>
        <v>0.9425589242952358</v>
      </c>
      <c r="O200" s="21">
        <f t="shared" si="94"/>
        <v>1297.4822286342528</v>
      </c>
      <c r="P200" s="5">
        <v>928</v>
      </c>
      <c r="Q200" s="3">
        <f>P200/365+input!$K$2</f>
        <v>2.5424657534246577</v>
      </c>
      <c r="R200" s="4">
        <f t="shared" si="87"/>
        <v>38.021381813214639</v>
      </c>
      <c r="S200" s="10">
        <f t="shared" si="88"/>
        <v>92.127317183552776</v>
      </c>
      <c r="T200" s="20">
        <f>input!C199</f>
        <v>0.36</v>
      </c>
      <c r="U200" s="19">
        <f t="shared" si="95"/>
        <v>0.99679858994594617</v>
      </c>
      <c r="V200" s="21">
        <f t="shared" si="96"/>
        <v>1792.4725071515159</v>
      </c>
      <c r="W200" s="21">
        <v>1293</v>
      </c>
      <c r="X200" s="3">
        <f>W200/365+input!$K$2</f>
        <v>3.5424657534246577</v>
      </c>
      <c r="Y200" s="4">
        <f t="shared" si="97"/>
        <v>39.469004015014669</v>
      </c>
      <c r="Z200" s="10">
        <f t="shared" si="89"/>
        <v>103.98435971907008</v>
      </c>
      <c r="AA200" s="20">
        <f>input!D199</f>
        <v>0</v>
      </c>
      <c r="AB200" s="19">
        <f t="shared" si="98"/>
        <v>0.99866597068041085</v>
      </c>
      <c r="AC200" s="21">
        <f t="shared" si="99"/>
        <v>1956.3459956959921</v>
      </c>
      <c r="AD200" s="8">
        <f t="shared" si="100"/>
        <v>122946.19973506681</v>
      </c>
      <c r="AE200" s="8">
        <f t="shared" si="101"/>
        <v>8066.44343993844</v>
      </c>
      <c r="AF200" s="8">
        <f t="shared" si="102"/>
        <v>33.165834186078996</v>
      </c>
      <c r="AG200" s="8">
        <f t="shared" si="103"/>
        <v>0</v>
      </c>
      <c r="AH200" s="8">
        <f t="shared" si="104"/>
        <v>9688.8748978932399</v>
      </c>
      <c r="AI200" s="8">
        <f t="shared" si="105"/>
        <v>7603.0982516367376</v>
      </c>
      <c r="AJ200" s="8">
        <f t="shared" si="106"/>
        <v>33.059656751064601</v>
      </c>
      <c r="AK200" s="8">
        <f t="shared" si="107"/>
        <v>0</v>
      </c>
      <c r="AL200" s="8">
        <f t="shared" si="108"/>
        <v>2682.9029125566685</v>
      </c>
      <c r="AM200" s="8">
        <f t="shared" si="109"/>
        <v>9864.8848640588258</v>
      </c>
      <c r="AN200" s="8">
        <f t="shared" si="110"/>
        <v>59.258525822149309</v>
      </c>
      <c r="AO200" s="8">
        <f t="shared" si="111"/>
        <v>0</v>
      </c>
    </row>
    <row r="201" spans="1:41">
      <c r="A201" s="1">
        <v>41928</v>
      </c>
      <c r="B201" s="5">
        <v>199</v>
      </c>
      <c r="C201" s="3">
        <f>B201/365+input!$K$2</f>
        <v>0.54520547945205478</v>
      </c>
      <c r="D201" s="4">
        <f t="shared" si="86"/>
        <v>24.521914389535674</v>
      </c>
      <c r="E201" s="10">
        <f t="shared" si="90"/>
        <v>22.246116383470863</v>
      </c>
      <c r="F201" s="20">
        <f>input!A200</f>
        <v>5545.75</v>
      </c>
      <c r="G201" s="19">
        <f t="shared" si="91"/>
        <v>8.0193572116647877E-2</v>
      </c>
      <c r="H201" s="21">
        <f t="shared" si="92"/>
        <v>280.37042208087678</v>
      </c>
      <c r="I201" s="5">
        <v>564</v>
      </c>
      <c r="J201" s="3">
        <f>I201/365+input!$K$2</f>
        <v>1.5452054794520549</v>
      </c>
      <c r="K201" s="4">
        <f t="shared" si="84"/>
        <v>33.18227200956688</v>
      </c>
      <c r="L201" s="10">
        <f t="shared" si="85"/>
        <v>59.269855156091388</v>
      </c>
      <c r="M201" s="20">
        <f>input!B200</f>
        <v>135.53</v>
      </c>
      <c r="N201" s="19">
        <f t="shared" si="93"/>
        <v>0.94313110853913051</v>
      </c>
      <c r="O201" s="21">
        <f t="shared" si="94"/>
        <v>1299.1617387617359</v>
      </c>
      <c r="P201" s="5">
        <v>929</v>
      </c>
      <c r="Q201" s="3">
        <f>P201/365+input!$K$2</f>
        <v>2.5452054794520547</v>
      </c>
      <c r="R201" s="4">
        <f t="shared" si="87"/>
        <v>38.031192094894585</v>
      </c>
      <c r="S201" s="10">
        <f t="shared" si="88"/>
        <v>92.204356516593663</v>
      </c>
      <c r="T201" s="20">
        <f>input!C200</f>
        <v>0.36</v>
      </c>
      <c r="U201" s="19">
        <f t="shared" si="95"/>
        <v>0.99681750557352444</v>
      </c>
      <c r="V201" s="21">
        <f t="shared" si="96"/>
        <v>1793.5555813002084</v>
      </c>
      <c r="W201" s="21">
        <v>1294</v>
      </c>
      <c r="X201" s="3">
        <f>W201/365+input!$K$2</f>
        <v>3.5452054794520547</v>
      </c>
      <c r="Y201" s="4">
        <f t="shared" si="97"/>
        <v>39.469004015014669</v>
      </c>
      <c r="Z201" s="10">
        <f t="shared" si="89"/>
        <v>103.98435971907008</v>
      </c>
      <c r="AA201" s="20">
        <f>input!D200</f>
        <v>0</v>
      </c>
      <c r="AB201" s="19">
        <f t="shared" si="98"/>
        <v>0.99866597068041085</v>
      </c>
      <c r="AC201" s="21">
        <f t="shared" si="99"/>
        <v>1956.3459956959921</v>
      </c>
      <c r="AD201" s="8">
        <f t="shared" si="100"/>
        <v>123371.39993363354</v>
      </c>
      <c r="AE201" s="8">
        <f t="shared" si="101"/>
        <v>8032.8434693050658</v>
      </c>
      <c r="AF201" s="8">
        <f t="shared" si="102"/>
        <v>33.193568345973716</v>
      </c>
      <c r="AG201" s="8">
        <f t="shared" si="103"/>
        <v>0</v>
      </c>
      <c r="AH201" s="8">
        <f t="shared" si="104"/>
        <v>9893.5932577096482</v>
      </c>
      <c r="AI201" s="8">
        <f t="shared" si="105"/>
        <v>7576.0245659270022</v>
      </c>
      <c r="AJ201" s="8">
        <f t="shared" si="106"/>
        <v>33.087929999717822</v>
      </c>
      <c r="AK201" s="8">
        <f t="shared" si="107"/>
        <v>0</v>
      </c>
      <c r="AL201" s="8">
        <f t="shared" si="108"/>
        <v>2773.8709175605709</v>
      </c>
      <c r="AM201" s="8">
        <f t="shared" si="109"/>
        <v>9842.481247971351</v>
      </c>
      <c r="AN201" s="8">
        <f t="shared" si="110"/>
        <v>59.345041524664502</v>
      </c>
      <c r="AO201" s="8">
        <f t="shared" si="111"/>
        <v>0</v>
      </c>
    </row>
    <row r="202" spans="1:41">
      <c r="A202" s="1">
        <v>41929</v>
      </c>
      <c r="B202" s="5">
        <v>200</v>
      </c>
      <c r="C202" s="3">
        <f>B202/365+input!$K$2</f>
        <v>0.54794520547945202</v>
      </c>
      <c r="D202" s="4">
        <f t="shared" si="86"/>
        <v>24.553158845322535</v>
      </c>
      <c r="E202" s="10">
        <f t="shared" si="90"/>
        <v>22.338084533007827</v>
      </c>
      <c r="F202" s="20">
        <f>input!A201</f>
        <v>5528.84</v>
      </c>
      <c r="G202" s="19">
        <f t="shared" si="91"/>
        <v>8.1601350744261114E-2</v>
      </c>
      <c r="H202" s="21">
        <f t="shared" si="92"/>
        <v>283.85135581744225</v>
      </c>
      <c r="I202" s="5">
        <v>565</v>
      </c>
      <c r="J202" s="3">
        <f>I202/365+input!$K$2</f>
        <v>1.547945205479452</v>
      </c>
      <c r="K202" s="4">
        <f t="shared" si="84"/>
        <v>33.199765729326174</v>
      </c>
      <c r="L202" s="10">
        <f t="shared" si="85"/>
        <v>59.371155597526908</v>
      </c>
      <c r="M202" s="20">
        <f>input!B201</f>
        <v>132.65</v>
      </c>
      <c r="N202" s="19">
        <f t="shared" si="93"/>
        <v>0.94369703781046421</v>
      </c>
      <c r="O202" s="21">
        <f t="shared" si="94"/>
        <v>1300.8387280690949</v>
      </c>
      <c r="P202" s="5">
        <v>930</v>
      </c>
      <c r="Q202" s="3">
        <f>P202/365+input!$K$2</f>
        <v>2.547945205479452</v>
      </c>
      <c r="R202" s="4">
        <f t="shared" si="87"/>
        <v>38.040986800012966</v>
      </c>
      <c r="S202" s="10">
        <f t="shared" si="88"/>
        <v>92.281317949601785</v>
      </c>
      <c r="T202" s="20">
        <f>input!C201</f>
        <v>0.35</v>
      </c>
      <c r="U202" s="19">
        <f t="shared" si="95"/>
        <v>0.99683628002328228</v>
      </c>
      <c r="V202" s="21">
        <f t="shared" si="96"/>
        <v>1794.6373071006276</v>
      </c>
      <c r="W202" s="21">
        <v>1295</v>
      </c>
      <c r="X202" s="3">
        <f>W202/365+input!$K$2</f>
        <v>3.547945205479452</v>
      </c>
      <c r="Y202" s="4">
        <f t="shared" si="97"/>
        <v>39.469004015014669</v>
      </c>
      <c r="Z202" s="10">
        <f t="shared" si="89"/>
        <v>103.98435971907008</v>
      </c>
      <c r="AA202" s="20">
        <f>input!D201</f>
        <v>0</v>
      </c>
      <c r="AB202" s="19">
        <f t="shared" si="98"/>
        <v>0.99866597068041085</v>
      </c>
      <c r="AC202" s="21">
        <f t="shared" si="99"/>
        <v>1956.3459956959921</v>
      </c>
      <c r="AD202" s="8">
        <f t="shared" si="100"/>
        <v>123503.695289475</v>
      </c>
      <c r="AE202" s="8">
        <f t="shared" si="101"/>
        <v>7875.583790011945</v>
      </c>
      <c r="AF202" s="8">
        <f t="shared" si="102"/>
        <v>32.29846128236062</v>
      </c>
      <c r="AG202" s="8">
        <f t="shared" si="103"/>
        <v>0</v>
      </c>
      <c r="AH202" s="8">
        <f t="shared" si="104"/>
        <v>10078.068357528799</v>
      </c>
      <c r="AI202" s="8">
        <f t="shared" si="105"/>
        <v>7432.1650936623819</v>
      </c>
      <c r="AJ202" s="8">
        <f t="shared" si="106"/>
        <v>32.196277995184374</v>
      </c>
      <c r="AK202" s="8">
        <f t="shared" si="107"/>
        <v>0</v>
      </c>
      <c r="AL202" s="8">
        <f t="shared" si="108"/>
        <v>2860.6733673054127</v>
      </c>
      <c r="AM202" s="8">
        <f t="shared" si="109"/>
        <v>9668.0481872392993</v>
      </c>
      <c r="AN202" s="8">
        <f t="shared" si="110"/>
        <v>57.780641639940875</v>
      </c>
      <c r="AO202" s="8">
        <f t="shared" si="111"/>
        <v>0</v>
      </c>
    </row>
    <row r="203" spans="1:41">
      <c r="A203" s="1">
        <v>41930</v>
      </c>
      <c r="B203" s="5">
        <v>201</v>
      </c>
      <c r="C203" s="3">
        <f>B203/365+input!$K$2</f>
        <v>0.55068493150684927</v>
      </c>
      <c r="D203" s="4">
        <f t="shared" si="86"/>
        <v>24.58435369181117</v>
      </c>
      <c r="E203" s="10">
        <f t="shared" si="90"/>
        <v>22.430168556984061</v>
      </c>
      <c r="F203" s="20">
        <f>input!A202</f>
        <v>5518.03</v>
      </c>
      <c r="G203" s="19">
        <f t="shared" si="91"/>
        <v>8.3029322796125543E-2</v>
      </c>
      <c r="H203" s="21">
        <f t="shared" si="92"/>
        <v>287.34802419824086</v>
      </c>
      <c r="I203" s="5">
        <v>566</v>
      </c>
      <c r="J203" s="3">
        <f>I203/365+input!$K$2</f>
        <v>1.5506849315068494</v>
      </c>
      <c r="K203" s="4">
        <f t="shared" si="84"/>
        <v>33.21723167292042</v>
      </c>
      <c r="L203" s="10">
        <f t="shared" si="85"/>
        <v>59.472414547659575</v>
      </c>
      <c r="M203" s="20">
        <f>input!B202</f>
        <v>130.69</v>
      </c>
      <c r="N203" s="19">
        <f t="shared" si="93"/>
        <v>0.94425678213259578</v>
      </c>
      <c r="O203" s="21">
        <f t="shared" si="94"/>
        <v>1302.5132121790859</v>
      </c>
      <c r="P203" s="5">
        <v>931</v>
      </c>
      <c r="Q203" s="3">
        <f>P203/365+input!$K$2</f>
        <v>2.5506849315068494</v>
      </c>
      <c r="R203" s="4">
        <f t="shared" si="87"/>
        <v>38.050765953301912</v>
      </c>
      <c r="S203" s="10">
        <f t="shared" si="88"/>
        <v>92.3582014794559</v>
      </c>
      <c r="T203" s="20">
        <f>input!C202</f>
        <v>0.35</v>
      </c>
      <c r="U203" s="19">
        <f t="shared" si="95"/>
        <v>0.99685491451939778</v>
      </c>
      <c r="V203" s="21">
        <f t="shared" si="96"/>
        <v>1795.7176855787625</v>
      </c>
      <c r="W203" s="21">
        <v>1296</v>
      </c>
      <c r="X203" s="3">
        <f>W203/365+input!$K$2</f>
        <v>3.5506849315068494</v>
      </c>
      <c r="Y203" s="4">
        <f t="shared" si="97"/>
        <v>39.469004015014669</v>
      </c>
      <c r="Z203" s="10">
        <f t="shared" si="89"/>
        <v>103.98435971907008</v>
      </c>
      <c r="AA203" s="20">
        <f>input!D202</f>
        <v>0</v>
      </c>
      <c r="AB203" s="19">
        <f t="shared" si="98"/>
        <v>0.99866597068041085</v>
      </c>
      <c r="AC203" s="21">
        <f t="shared" si="99"/>
        <v>1956.3459956959921</v>
      </c>
      <c r="AD203" s="8">
        <f t="shared" si="100"/>
        <v>123770.34300249474</v>
      </c>
      <c r="AE203" s="8">
        <f t="shared" si="101"/>
        <v>7772.4498572336297</v>
      </c>
      <c r="AF203" s="8">
        <f t="shared" si="102"/>
        <v>32.32537051780956</v>
      </c>
      <c r="AG203" s="8">
        <f t="shared" si="103"/>
        <v>0</v>
      </c>
      <c r="AH203" s="8">
        <f t="shared" si="104"/>
        <v>10276.567761741315</v>
      </c>
      <c r="AI203" s="8">
        <f t="shared" si="105"/>
        <v>7339.1884914783805</v>
      </c>
      <c r="AJ203" s="8">
        <f t="shared" si="106"/>
        <v>32.223704464338908</v>
      </c>
      <c r="AK203" s="8">
        <f t="shared" si="107"/>
        <v>0</v>
      </c>
      <c r="AL203" s="8">
        <f t="shared" si="108"/>
        <v>2952.9514418757053</v>
      </c>
      <c r="AM203" s="8">
        <f t="shared" si="109"/>
        <v>9559.3899768232859</v>
      </c>
      <c r="AN203" s="8">
        <f t="shared" si="110"/>
        <v>57.864676001476695</v>
      </c>
      <c r="AO203" s="8">
        <f t="shared" si="111"/>
        <v>0</v>
      </c>
    </row>
    <row r="204" spans="1:41">
      <c r="A204" s="1">
        <v>41931</v>
      </c>
      <c r="B204" s="5">
        <v>202</v>
      </c>
      <c r="C204" s="3">
        <f>B204/365+input!$K$2</f>
        <v>0.55342465753424652</v>
      </c>
      <c r="D204" s="4">
        <f t="shared" si="86"/>
        <v>24.615499007770204</v>
      </c>
      <c r="E204" s="10">
        <f t="shared" si="90"/>
        <v>22.522367851755963</v>
      </c>
      <c r="F204" s="20">
        <f>input!A203</f>
        <v>5507.5</v>
      </c>
      <c r="G204" s="19">
        <f t="shared" si="91"/>
        <v>8.4477663386076721E-2</v>
      </c>
      <c r="H204" s="21">
        <f t="shared" si="92"/>
        <v>290.86013101696142</v>
      </c>
      <c r="I204" s="5">
        <v>567</v>
      </c>
      <c r="J204" s="3">
        <f>I204/365+input!$K$2</f>
        <v>1.5534246575342465</v>
      </c>
      <c r="K204" s="4">
        <f t="shared" si="84"/>
        <v>33.234669884452046</v>
      </c>
      <c r="L204" s="10">
        <f t="shared" si="85"/>
        <v>59.573631771278258</v>
      </c>
      <c r="M204" s="20">
        <f>input!B203</f>
        <v>128.41999999999999</v>
      </c>
      <c r="N204" s="19">
        <f t="shared" si="93"/>
        <v>0.94481041080782824</v>
      </c>
      <c r="O204" s="21">
        <f t="shared" si="94"/>
        <v>1304.1852064931938</v>
      </c>
      <c r="P204" s="5">
        <v>932</v>
      </c>
      <c r="Q204" s="3">
        <f>P204/365+input!$K$2</f>
        <v>2.5534246575342467</v>
      </c>
      <c r="R204" s="4">
        <f t="shared" si="87"/>
        <v>38.06052957945429</v>
      </c>
      <c r="S204" s="10">
        <f t="shared" si="88"/>
        <v>92.435007103375682</v>
      </c>
      <c r="T204" s="20">
        <f>input!C203</f>
        <v>0.34</v>
      </c>
      <c r="U204" s="19">
        <f t="shared" si="95"/>
        <v>0.99687341027414</v>
      </c>
      <c r="V204" s="21">
        <f t="shared" si="96"/>
        <v>1796.7967177618436</v>
      </c>
      <c r="W204" s="21">
        <v>1297</v>
      </c>
      <c r="X204" s="3">
        <f>W204/365+input!$K$2</f>
        <v>3.5534246575342467</v>
      </c>
      <c r="Y204" s="4">
        <f t="shared" si="97"/>
        <v>39.469004015014669</v>
      </c>
      <c r="Z204" s="10">
        <f t="shared" si="89"/>
        <v>103.98435971907008</v>
      </c>
      <c r="AA204" s="20">
        <f>input!D203</f>
        <v>0</v>
      </c>
      <c r="AB204" s="19">
        <f t="shared" si="98"/>
        <v>0.99866597068041085</v>
      </c>
      <c r="AC204" s="21">
        <f t="shared" si="99"/>
        <v>1956.3459956959921</v>
      </c>
      <c r="AD204" s="8">
        <f t="shared" si="100"/>
        <v>124041.94094354597</v>
      </c>
      <c r="AE204" s="8">
        <f t="shared" si="101"/>
        <v>7650.4457920675532</v>
      </c>
      <c r="AF204" s="8">
        <f t="shared" si="102"/>
        <v>31.427902415147734</v>
      </c>
      <c r="AG204" s="8">
        <f t="shared" si="103"/>
        <v>0</v>
      </c>
      <c r="AH204" s="8">
        <f t="shared" si="104"/>
        <v>10478.773332784484</v>
      </c>
      <c r="AI204" s="8">
        <f t="shared" si="105"/>
        <v>7228.2208316663655</v>
      </c>
      <c r="AJ204" s="8">
        <f t="shared" si="106"/>
        <v>31.329640258351201</v>
      </c>
      <c r="AK204" s="8">
        <f t="shared" si="107"/>
        <v>0</v>
      </c>
      <c r="AL204" s="8">
        <f t="shared" si="108"/>
        <v>3047.8573844707362</v>
      </c>
      <c r="AM204" s="8">
        <f t="shared" si="109"/>
        <v>9426.9386779252054</v>
      </c>
      <c r="AN204" s="8">
        <f t="shared" si="110"/>
        <v>56.29299478486476</v>
      </c>
      <c r="AO204" s="8">
        <f t="shared" si="111"/>
        <v>0</v>
      </c>
    </row>
    <row r="205" spans="1:41">
      <c r="A205" s="1">
        <v>41932</v>
      </c>
      <c r="B205" s="5">
        <v>203</v>
      </c>
      <c r="C205" s="3">
        <f>B205/365+input!$K$2</f>
        <v>0.55616438356164388</v>
      </c>
      <c r="D205" s="4">
        <f t="shared" si="86"/>
        <v>24.646594871843181</v>
      </c>
      <c r="E205" s="10">
        <f t="shared" si="90"/>
        <v>22.614681814138404</v>
      </c>
      <c r="F205" s="20">
        <f>input!A204</f>
        <v>5503.73</v>
      </c>
      <c r="G205" s="19">
        <f t="shared" si="91"/>
        <v>8.5946546063084106E-2</v>
      </c>
      <c r="H205" s="21">
        <f t="shared" si="92"/>
        <v>294.3873779653054</v>
      </c>
      <c r="I205" s="5">
        <v>568</v>
      </c>
      <c r="J205" s="3">
        <f>I205/365+input!$K$2</f>
        <v>1.5561643835616439</v>
      </c>
      <c r="K205" s="4">
        <f t="shared" si="84"/>
        <v>33.252080407953443</v>
      </c>
      <c r="L205" s="10">
        <f t="shared" si="85"/>
        <v>59.674807034141494</v>
      </c>
      <c r="M205" s="20">
        <f>input!B204</f>
        <v>127.73</v>
      </c>
      <c r="N205" s="19">
        <f t="shared" si="93"/>
        <v>0.94535799242208796</v>
      </c>
      <c r="O205" s="21">
        <f t="shared" si="94"/>
        <v>1305.8547261942431</v>
      </c>
      <c r="P205" s="5">
        <v>933</v>
      </c>
      <c r="Q205" s="3">
        <f>P205/365+input!$K$2</f>
        <v>2.5561643835616437</v>
      </c>
      <c r="R205" s="4">
        <f t="shared" si="87"/>
        <v>38.070277703123772</v>
      </c>
      <c r="S205" s="10">
        <f t="shared" si="88"/>
        <v>92.51173481892063</v>
      </c>
      <c r="T205" s="20">
        <f>input!C204</f>
        <v>0.34</v>
      </c>
      <c r="U205" s="19">
        <f t="shared" si="95"/>
        <v>0.99689176848799754</v>
      </c>
      <c r="V205" s="21">
        <f t="shared" si="96"/>
        <v>1797.8744046783402</v>
      </c>
      <c r="W205" s="21">
        <v>1298</v>
      </c>
      <c r="X205" s="3">
        <f>W205/365+input!$K$2</f>
        <v>3.5561643835616437</v>
      </c>
      <c r="Y205" s="4">
        <f t="shared" si="97"/>
        <v>39.469004015014669</v>
      </c>
      <c r="Z205" s="10">
        <f t="shared" si="89"/>
        <v>103.98435971907008</v>
      </c>
      <c r="AA205" s="20">
        <f>input!D204</f>
        <v>0</v>
      </c>
      <c r="AB205" s="19">
        <f t="shared" si="98"/>
        <v>0.99866597068041085</v>
      </c>
      <c r="AC205" s="21">
        <f t="shared" si="99"/>
        <v>1956.3459956959921</v>
      </c>
      <c r="AD205" s="8">
        <f t="shared" si="100"/>
        <v>124465.10274092795</v>
      </c>
      <c r="AE205" s="8">
        <f t="shared" si="101"/>
        <v>7622.2631024708935</v>
      </c>
      <c r="AF205" s="8">
        <f t="shared" si="102"/>
        <v>31.453989838433017</v>
      </c>
      <c r="AG205" s="8">
        <f t="shared" si="103"/>
        <v>0</v>
      </c>
      <c r="AH205" s="8">
        <f t="shared" si="104"/>
        <v>10697.34568596966</v>
      </c>
      <c r="AI205" s="8">
        <f t="shared" si="105"/>
        <v>7205.7673442648393</v>
      </c>
      <c r="AJ205" s="8">
        <f t="shared" si="106"/>
        <v>31.356223556038994</v>
      </c>
      <c r="AK205" s="8">
        <f t="shared" si="107"/>
        <v>0</v>
      </c>
      <c r="AL205" s="8">
        <f t="shared" si="108"/>
        <v>3149.1635476810793</v>
      </c>
      <c r="AM205" s="8">
        <f t="shared" si="109"/>
        <v>9409.6853423643806</v>
      </c>
      <c r="AN205" s="8">
        <f t="shared" si="110"/>
        <v>56.374551758774558</v>
      </c>
      <c r="AO205" s="8">
        <f t="shared" si="111"/>
        <v>0</v>
      </c>
    </row>
    <row r="206" spans="1:41">
      <c r="A206" s="1">
        <v>41933</v>
      </c>
      <c r="B206" s="5">
        <v>204</v>
      </c>
      <c r="C206" s="3">
        <f>B206/365+input!$K$2</f>
        <v>0.55890410958904113</v>
      </c>
      <c r="D206" s="4">
        <f t="shared" si="86"/>
        <v>24.677641362548773</v>
      </c>
      <c r="E206" s="10">
        <f t="shared" si="90"/>
        <v>22.707109841413146</v>
      </c>
      <c r="F206" s="20">
        <f>input!A205</f>
        <v>5485.83</v>
      </c>
      <c r="G206" s="19">
        <f t="shared" si="91"/>
        <v>8.7436142707828887E-2</v>
      </c>
      <c r="H206" s="21">
        <f t="shared" si="92"/>
        <v>297.92946474589127</v>
      </c>
      <c r="I206" s="5">
        <v>569</v>
      </c>
      <c r="J206" s="3">
        <f>I206/365+input!$K$2</f>
        <v>1.558904109589041</v>
      </c>
      <c r="K206" s="4">
        <f t="shared" si="84"/>
        <v>33.269463287387097</v>
      </c>
      <c r="L206" s="10">
        <f t="shared" si="85"/>
        <v>59.77594010297522</v>
      </c>
      <c r="M206" s="20">
        <f>input!B205</f>
        <v>124.43</v>
      </c>
      <c r="N206" s="19">
        <f t="shared" si="93"/>
        <v>0.94589959484967245</v>
      </c>
      <c r="O206" s="21">
        <f t="shared" si="94"/>
        <v>1307.5217862489892</v>
      </c>
      <c r="P206" s="5">
        <v>934</v>
      </c>
      <c r="Q206" s="3">
        <f>P206/365+input!$K$2</f>
        <v>2.558904109589041</v>
      </c>
      <c r="R206" s="4">
        <f t="shared" si="87"/>
        <v>38.080010348924873</v>
      </c>
      <c r="S206" s="10">
        <f t="shared" si="88"/>
        <v>92.588384623988603</v>
      </c>
      <c r="T206" s="20">
        <f>input!C205</f>
        <v>0.33</v>
      </c>
      <c r="U206" s="19">
        <f t="shared" si="95"/>
        <v>0.9969099903498021</v>
      </c>
      <c r="V206" s="21">
        <f t="shared" si="96"/>
        <v>1798.9507473579636</v>
      </c>
      <c r="W206" s="21">
        <v>1299</v>
      </c>
      <c r="X206" s="3">
        <f>W206/365+input!$K$2</f>
        <v>3.558904109589041</v>
      </c>
      <c r="Y206" s="4">
        <f t="shared" si="97"/>
        <v>39.469004015014669</v>
      </c>
      <c r="Z206" s="10">
        <f t="shared" si="89"/>
        <v>103.98435971907008</v>
      </c>
      <c r="AA206" s="20">
        <f>input!D205</f>
        <v>0</v>
      </c>
      <c r="AB206" s="19">
        <f t="shared" si="98"/>
        <v>0.99866597068041085</v>
      </c>
      <c r="AC206" s="21">
        <f t="shared" si="99"/>
        <v>1956.3459956959921</v>
      </c>
      <c r="AD206" s="8">
        <f t="shared" si="100"/>
        <v>124567.34438131948</v>
      </c>
      <c r="AE206" s="8">
        <f t="shared" si="101"/>
        <v>7437.9202270132073</v>
      </c>
      <c r="AF206" s="8">
        <f t="shared" si="102"/>
        <v>30.554166925916242</v>
      </c>
      <c r="AG206" s="8">
        <f t="shared" si="103"/>
        <v>0</v>
      </c>
      <c r="AH206" s="8">
        <f t="shared" si="104"/>
        <v>10891.688100060317</v>
      </c>
      <c r="AI206" s="8">
        <f t="shared" si="105"/>
        <v>7035.5257292559763</v>
      </c>
      <c r="AJ206" s="8">
        <f t="shared" si="106"/>
        <v>30.459754255261402</v>
      </c>
      <c r="AK206" s="8">
        <f t="shared" si="107"/>
        <v>0</v>
      </c>
      <c r="AL206" s="8">
        <f t="shared" si="108"/>
        <v>3244.9548058301639</v>
      </c>
      <c r="AM206" s="8">
        <f t="shared" si="109"/>
        <v>9199.1031687174964</v>
      </c>
      <c r="AN206" s="8">
        <f t="shared" si="110"/>
        <v>54.795597681842409</v>
      </c>
      <c r="AO206" s="8">
        <f t="shared" si="111"/>
        <v>0</v>
      </c>
    </row>
    <row r="207" spans="1:41">
      <c r="A207" s="1">
        <v>41934</v>
      </c>
      <c r="B207" s="5">
        <v>205</v>
      </c>
      <c r="C207" s="3">
        <f>B207/365+input!$K$2</f>
        <v>0.56164383561643838</v>
      </c>
      <c r="D207" s="4">
        <f t="shared" si="86"/>
        <v>24.708638558281002</v>
      </c>
      <c r="E207" s="10">
        <f t="shared" si="90"/>
        <v>22.799651331337639</v>
      </c>
      <c r="F207" s="20">
        <f>input!A206</f>
        <v>5475.43</v>
      </c>
      <c r="G207" s="19">
        <f t="shared" si="91"/>
        <v>8.89466234276345E-2</v>
      </c>
      <c r="H207" s="21">
        <f t="shared" si="92"/>
        <v>301.48608918523769</v>
      </c>
      <c r="I207" s="5">
        <v>570</v>
      </c>
      <c r="J207" s="3">
        <f>I207/365+input!$K$2</f>
        <v>1.5616438356164384</v>
      </c>
      <c r="K207" s="4">
        <f t="shared" si="84"/>
        <v>33.286818566645671</v>
      </c>
      <c r="L207" s="10">
        <f t="shared" si="85"/>
        <v>59.877030745471345</v>
      </c>
      <c r="M207" s="20">
        <f>input!B206</f>
        <v>122.88</v>
      </c>
      <c r="N207" s="19">
        <f t="shared" si="93"/>
        <v>0.94643528525805609</v>
      </c>
      <c r="O207" s="21">
        <f t="shared" si="94"/>
        <v>1309.1864014106943</v>
      </c>
      <c r="P207" s="5">
        <v>935</v>
      </c>
      <c r="Q207" s="3">
        <f>P207/365+input!$K$2</f>
        <v>2.5616438356164384</v>
      </c>
      <c r="R207" s="4">
        <f t="shared" si="87"/>
        <v>38.089727541433042</v>
      </c>
      <c r="S207" s="10">
        <f t="shared" si="88"/>
        <v>92.664956516814385</v>
      </c>
      <c r="T207" s="20">
        <f>input!C206</f>
        <v>0.33</v>
      </c>
      <c r="U207" s="19">
        <f t="shared" si="95"/>
        <v>0.99692807703685438</v>
      </c>
      <c r="V207" s="21">
        <f t="shared" si="96"/>
        <v>1800.0257468316638</v>
      </c>
      <c r="W207" s="21">
        <v>1300</v>
      </c>
      <c r="X207" s="3">
        <f>W207/365+input!$K$2</f>
        <v>3.5616438356164384</v>
      </c>
      <c r="Y207" s="4">
        <f t="shared" si="97"/>
        <v>39.469004015014669</v>
      </c>
      <c r="Z207" s="10">
        <f t="shared" si="89"/>
        <v>103.98435971907008</v>
      </c>
      <c r="AA207" s="20">
        <f>input!D206</f>
        <v>0</v>
      </c>
      <c r="AB207" s="19">
        <f t="shared" si="98"/>
        <v>0.99866597068041085</v>
      </c>
      <c r="AC207" s="21">
        <f t="shared" si="99"/>
        <v>1956.3459956959921</v>
      </c>
      <c r="AD207" s="8">
        <f t="shared" si="100"/>
        <v>124837.89488914606</v>
      </c>
      <c r="AE207" s="8">
        <f t="shared" si="101"/>
        <v>7357.6895380035185</v>
      </c>
      <c r="AF207" s="8">
        <f t="shared" si="102"/>
        <v>30.579435650548749</v>
      </c>
      <c r="AG207" s="8">
        <f t="shared" si="103"/>
        <v>0</v>
      </c>
      <c r="AH207" s="8">
        <f t="shared" si="104"/>
        <v>11103.909226203492</v>
      </c>
      <c r="AI207" s="8">
        <f t="shared" si="105"/>
        <v>6963.5769967405749</v>
      </c>
      <c r="AJ207" s="8">
        <f t="shared" si="106"/>
        <v>30.485497979973793</v>
      </c>
      <c r="AK207" s="8">
        <f t="shared" si="107"/>
        <v>0</v>
      </c>
      <c r="AL207" s="8">
        <f t="shared" si="108"/>
        <v>3347.6741672759695</v>
      </c>
      <c r="AM207" s="8">
        <f t="shared" si="109"/>
        <v>9116.6203093090844</v>
      </c>
      <c r="AN207" s="8">
        <f t="shared" si="110"/>
        <v>54.874681268937508</v>
      </c>
      <c r="AO207" s="8">
        <f t="shared" si="111"/>
        <v>0</v>
      </c>
    </row>
    <row r="208" spans="1:41">
      <c r="A208" s="1">
        <v>41935</v>
      </c>
      <c r="B208" s="5">
        <v>206</v>
      </c>
      <c r="C208" s="3">
        <f>B208/365+input!$K$2</f>
        <v>0.56438356164383563</v>
      </c>
      <c r="D208" s="4">
        <f t="shared" si="86"/>
        <v>24.739586537309389</v>
      </c>
      <c r="E208" s="10">
        <f t="shared" si="90"/>
        <v>22.89230568215331</v>
      </c>
      <c r="F208" s="20">
        <f>input!A207</f>
        <v>5464.42</v>
      </c>
      <c r="G208" s="19">
        <f t="shared" si="91"/>
        <v>9.0478156449779676E-2</v>
      </c>
      <c r="H208" s="21">
        <f t="shared" si="92"/>
        <v>305.05694734673347</v>
      </c>
      <c r="I208" s="5">
        <v>571</v>
      </c>
      <c r="J208" s="3">
        <f>I208/365+input!$K$2</f>
        <v>1.5643835616438355</v>
      </c>
      <c r="K208" s="4">
        <f t="shared" si="84"/>
        <v>33.304146289552165</v>
      </c>
      <c r="L208" s="10">
        <f t="shared" si="85"/>
        <v>59.978078730286029</v>
      </c>
      <c r="M208" s="20">
        <f>input!B207</f>
        <v>120.39</v>
      </c>
      <c r="N208" s="19">
        <f t="shared" si="93"/>
        <v>0.94696513011275563</v>
      </c>
      <c r="O208" s="21">
        <f t="shared" si="94"/>
        <v>1310.848586221698</v>
      </c>
      <c r="P208" s="5">
        <v>936</v>
      </c>
      <c r="Q208" s="3">
        <f>P208/365+input!$K$2</f>
        <v>2.5643835616438357</v>
      </c>
      <c r="R208" s="4">
        <f t="shared" si="87"/>
        <v>38.099429305184685</v>
      </c>
      <c r="S208" s="10">
        <f t="shared" si="88"/>
        <v>92.741450495968465</v>
      </c>
      <c r="T208" s="20">
        <f>input!C207</f>
        <v>0.32</v>
      </c>
      <c r="U208" s="19">
        <f t="shared" si="95"/>
        <v>0.99694602971504553</v>
      </c>
      <c r="V208" s="21">
        <f t="shared" si="96"/>
        <v>1801.0994041316198</v>
      </c>
      <c r="W208" s="21">
        <v>1301</v>
      </c>
      <c r="X208" s="3">
        <f>W208/365+input!$K$2</f>
        <v>3.5643835616438357</v>
      </c>
      <c r="Y208" s="4">
        <f t="shared" si="97"/>
        <v>39.469004015014669</v>
      </c>
      <c r="Z208" s="10">
        <f t="shared" si="89"/>
        <v>103.98435971907008</v>
      </c>
      <c r="AA208" s="20">
        <f>input!D207</f>
        <v>0</v>
      </c>
      <c r="AB208" s="19">
        <f t="shared" si="98"/>
        <v>0.99866597068041085</v>
      </c>
      <c r="AC208" s="21">
        <f t="shared" si="99"/>
        <v>1956.3459956959921</v>
      </c>
      <c r="AD208" s="8">
        <f t="shared" si="100"/>
        <v>125093.17301567219</v>
      </c>
      <c r="AE208" s="8">
        <f t="shared" si="101"/>
        <v>7220.7608983391347</v>
      </c>
      <c r="AF208" s="8">
        <f t="shared" si="102"/>
        <v>29.67726415870991</v>
      </c>
      <c r="AG208" s="8">
        <f t="shared" si="103"/>
        <v>0</v>
      </c>
      <c r="AH208" s="8">
        <f t="shared" si="104"/>
        <v>11318.199678911345</v>
      </c>
      <c r="AI208" s="8">
        <f t="shared" si="105"/>
        <v>6837.8087836088171</v>
      </c>
      <c r="AJ208" s="8">
        <f t="shared" si="106"/>
        <v>29.586630675830467</v>
      </c>
      <c r="AK208" s="8">
        <f t="shared" si="107"/>
        <v>0</v>
      </c>
      <c r="AL208" s="8">
        <f t="shared" si="108"/>
        <v>3452.695443509474</v>
      </c>
      <c r="AM208" s="8">
        <f t="shared" si="109"/>
        <v>8963.3319768479269</v>
      </c>
      <c r="AN208" s="8">
        <f t="shared" si="110"/>
        <v>53.288462880500553</v>
      </c>
      <c r="AO208" s="8">
        <f t="shared" si="111"/>
        <v>0</v>
      </c>
    </row>
    <row r="209" spans="1:43">
      <c r="A209" s="1">
        <v>41936</v>
      </c>
      <c r="B209" s="5">
        <v>207</v>
      </c>
      <c r="C209" s="3">
        <f>B209/365+input!$K$2</f>
        <v>0.56712328767123288</v>
      </c>
      <c r="D209" s="4">
        <f t="shared" si="86"/>
        <v>24.770485377779199</v>
      </c>
      <c r="E209" s="10">
        <f t="shared" si="90"/>
        <v>22.98507229259414</v>
      </c>
      <c r="F209" s="20">
        <f>input!A208</f>
        <v>5453.84</v>
      </c>
      <c r="G209" s="19">
        <f t="shared" si="91"/>
        <v>9.2030908013246426E-2</v>
      </c>
      <c r="H209" s="21">
        <f t="shared" si="92"/>
        <v>308.6417336435569</v>
      </c>
      <c r="I209" s="5">
        <v>572</v>
      </c>
      <c r="J209" s="3">
        <f>I209/365+input!$K$2</f>
        <v>1.5671232876712329</v>
      </c>
      <c r="K209" s="4">
        <f t="shared" si="84"/>
        <v>33.321446499859974</v>
      </c>
      <c r="L209" s="10">
        <f t="shared" si="85"/>
        <v>60.079083827037508</v>
      </c>
      <c r="M209" s="20">
        <f>input!B208</f>
        <v>118.51</v>
      </c>
      <c r="N209" s="19">
        <f t="shared" si="93"/>
        <v>0.94748919518224806</v>
      </c>
      <c r="O209" s="21">
        <f t="shared" si="94"/>
        <v>1312.5083550159502</v>
      </c>
      <c r="P209" s="5">
        <v>937</v>
      </c>
      <c r="Q209" s="3">
        <f>P209/365+input!$K$2</f>
        <v>2.5671232876712327</v>
      </c>
      <c r="R209" s="4">
        <f t="shared" si="87"/>
        <v>38.109115664677262</v>
      </c>
      <c r="S209" s="10">
        <f t="shared" si="88"/>
        <v>92.81786656035591</v>
      </c>
      <c r="T209" s="20">
        <f>input!C208</f>
        <v>0.32</v>
      </c>
      <c r="U209" s="19">
        <f t="shared" si="95"/>
        <v>0.99696384953897943</v>
      </c>
      <c r="V209" s="21">
        <f t="shared" si="96"/>
        <v>1802.1717202912496</v>
      </c>
      <c r="W209" s="21">
        <v>1302</v>
      </c>
      <c r="X209" s="3">
        <f>W209/365+input!$K$2</f>
        <v>3.5671232876712327</v>
      </c>
      <c r="Y209" s="4">
        <f t="shared" si="97"/>
        <v>39.469004015014669</v>
      </c>
      <c r="Z209" s="10">
        <f t="shared" si="89"/>
        <v>103.98435971907008</v>
      </c>
      <c r="AA209" s="20">
        <f>input!D208</f>
        <v>0</v>
      </c>
      <c r="AB209" s="19">
        <f t="shared" si="98"/>
        <v>0.99866597068041085</v>
      </c>
      <c r="AC209" s="21">
        <f t="shared" si="99"/>
        <v>1956.3459956959921</v>
      </c>
      <c r="AD209" s="8">
        <f t="shared" si="100"/>
        <v>125356.90667224163</v>
      </c>
      <c r="AE209" s="8">
        <f t="shared" si="101"/>
        <v>7119.9722243422157</v>
      </c>
      <c r="AF209" s="8">
        <f t="shared" si="102"/>
        <v>29.701717299313891</v>
      </c>
      <c r="AG209" s="8">
        <f t="shared" si="103"/>
        <v>0</v>
      </c>
      <c r="AH209" s="8">
        <f t="shared" si="104"/>
        <v>11536.709946778186</v>
      </c>
      <c r="AI209" s="8">
        <f t="shared" si="105"/>
        <v>6746.0967525619662</v>
      </c>
      <c r="AJ209" s="8">
        <f t="shared" si="106"/>
        <v>29.611538416642478</v>
      </c>
      <c r="AK209" s="8">
        <f t="shared" si="107"/>
        <v>0</v>
      </c>
      <c r="AL209" s="8">
        <f t="shared" si="108"/>
        <v>3560.7101585164864</v>
      </c>
      <c r="AM209" s="8">
        <f t="shared" si="109"/>
        <v>8854.3083514835507</v>
      </c>
      <c r="AN209" s="8">
        <f t="shared" si="110"/>
        <v>53.365077128791</v>
      </c>
      <c r="AO209" s="8">
        <f t="shared" si="111"/>
        <v>0</v>
      </c>
    </row>
    <row r="210" spans="1:43">
      <c r="A210" s="1">
        <v>41937</v>
      </c>
      <c r="B210" s="5">
        <v>208</v>
      </c>
      <c r="C210" s="3">
        <f>B210/365+input!$K$2</f>
        <v>0.56986301369863013</v>
      </c>
      <c r="D210" s="4">
        <f t="shared" si="86"/>
        <v>24.801335157711613</v>
      </c>
      <c r="E210" s="10">
        <f t="shared" si="90"/>
        <v>23.077950561895051</v>
      </c>
      <c r="F210" s="20">
        <f>input!A209</f>
        <v>5442.81</v>
      </c>
      <c r="G210" s="19">
        <f t="shared" si="91"/>
        <v>9.3605042258937815E-2</v>
      </c>
      <c r="H210" s="21">
        <f t="shared" si="92"/>
        <v>312.24014095145321</v>
      </c>
      <c r="I210" s="5">
        <v>573</v>
      </c>
      <c r="J210" s="3">
        <f>I210/365+input!$K$2</f>
        <v>1.5698630136986302</v>
      </c>
      <c r="K210" s="4">
        <f t="shared" si="84"/>
        <v>33.338719241253038</v>
      </c>
      <c r="L210" s="10">
        <f t="shared" si="85"/>
        <v>60.180045806304513</v>
      </c>
      <c r="M210" s="20">
        <f>input!B209</f>
        <v>116.31</v>
      </c>
      <c r="N210" s="19">
        <f t="shared" si="93"/>
        <v>0.94800754554293798</v>
      </c>
      <c r="O210" s="21">
        <f t="shared" si="94"/>
        <v>1314.1657219215522</v>
      </c>
      <c r="P210" s="5">
        <v>938</v>
      </c>
      <c r="Q210" s="3">
        <f>P210/365+input!$K$2</f>
        <v>2.56986301369863</v>
      </c>
      <c r="R210" s="4">
        <f t="shared" si="87"/>
        <v>38.118786644369344</v>
      </c>
      <c r="S210" s="10">
        <f t="shared" si="88"/>
        <v>92.894204709215202</v>
      </c>
      <c r="T210" s="20">
        <f>input!C209</f>
        <v>0.31</v>
      </c>
      <c r="U210" s="19">
        <f t="shared" si="95"/>
        <v>0.99698153765209163</v>
      </c>
      <c r="V210" s="21">
        <f t="shared" si="96"/>
        <v>1803.2426963451987</v>
      </c>
      <c r="W210" s="21">
        <v>1303</v>
      </c>
      <c r="X210" s="3">
        <f>W210/365+input!$K$2</f>
        <v>3.56986301369863</v>
      </c>
      <c r="Y210" s="4">
        <f t="shared" si="97"/>
        <v>39.469004015014669</v>
      </c>
      <c r="Z210" s="10">
        <f t="shared" si="89"/>
        <v>103.98435971907008</v>
      </c>
      <c r="AA210" s="20">
        <f>input!D209</f>
        <v>0</v>
      </c>
      <c r="AB210" s="19">
        <f t="shared" si="98"/>
        <v>0.99866597068041085</v>
      </c>
      <c r="AC210" s="21">
        <f t="shared" si="99"/>
        <v>1956.3459956959921</v>
      </c>
      <c r="AD210" s="8">
        <f t="shared" si="100"/>
        <v>125608.90009778801</v>
      </c>
      <c r="AE210" s="8">
        <f t="shared" si="101"/>
        <v>6999.5411277312778</v>
      </c>
      <c r="AF210" s="8">
        <f t="shared" si="102"/>
        <v>28.797203459856714</v>
      </c>
      <c r="AG210" s="8">
        <f t="shared" si="103"/>
        <v>0</v>
      </c>
      <c r="AH210" s="8">
        <f t="shared" si="104"/>
        <v>11757.626401752144</v>
      </c>
      <c r="AI210" s="8">
        <f t="shared" si="105"/>
        <v>6635.6178044273765</v>
      </c>
      <c r="AJ210" s="8">
        <f t="shared" si="106"/>
        <v>28.710280185488081</v>
      </c>
      <c r="AK210" s="8">
        <f t="shared" si="107"/>
        <v>0</v>
      </c>
      <c r="AL210" s="8">
        <f t="shared" si="108"/>
        <v>3671.2029249376169</v>
      </c>
      <c r="AM210" s="8">
        <f t="shared" si="109"/>
        <v>8720.3014623508079</v>
      </c>
      <c r="AN210" s="8">
        <f t="shared" si="110"/>
        <v>51.771603054505654</v>
      </c>
      <c r="AO210" s="8">
        <f t="shared" si="111"/>
        <v>0</v>
      </c>
    </row>
    <row r="211" spans="1:43">
      <c r="A211" s="1">
        <v>41938</v>
      </c>
      <c r="B211" s="5">
        <v>209</v>
      </c>
      <c r="C211" s="3">
        <f>B211/365+input!$K$2</f>
        <v>0.57260273972602738</v>
      </c>
      <c r="D211" s="4">
        <f t="shared" si="86"/>
        <v>24.832135955003938</v>
      </c>
      <c r="E211" s="10">
        <f t="shared" si="90"/>
        <v>23.170939889800167</v>
      </c>
      <c r="F211" s="20">
        <f>input!A210</f>
        <v>5439.08</v>
      </c>
      <c r="G211" s="19">
        <f t="shared" si="91"/>
        <v>9.5200721118416848E-2</v>
      </c>
      <c r="H211" s="21">
        <f t="shared" si="92"/>
        <v>315.85186072131592</v>
      </c>
      <c r="I211" s="5">
        <v>574</v>
      </c>
      <c r="J211" s="3">
        <f>I211/365+input!$K$2</f>
        <v>1.5726027397260274</v>
      </c>
      <c r="K211" s="4">
        <f t="shared" si="84"/>
        <v>33.355964557345928</v>
      </c>
      <c r="L211" s="10">
        <f t="shared" si="85"/>
        <v>60.280964439624441</v>
      </c>
      <c r="M211" s="20">
        <f>input!B210</f>
        <v>115.69</v>
      </c>
      <c r="N211" s="19">
        <f t="shared" si="93"/>
        <v>0.94852024558417092</v>
      </c>
      <c r="O211" s="21">
        <f t="shared" si="94"/>
        <v>1315.8207008632664</v>
      </c>
      <c r="P211" s="5">
        <v>939</v>
      </c>
      <c r="Q211" s="3">
        <f>P211/365+input!$K$2</f>
        <v>2.5726027397260274</v>
      </c>
      <c r="R211" s="4">
        <f t="shared" si="87"/>
        <v>38.128442268680658</v>
      </c>
      <c r="S211" s="10">
        <f t="shared" si="88"/>
        <v>92.97046494211645</v>
      </c>
      <c r="T211" s="20">
        <f>input!C210</f>
        <v>0.31</v>
      </c>
      <c r="U211" s="19">
        <f t="shared" si="95"/>
        <v>0.99699909518676855</v>
      </c>
      <c r="V211" s="21">
        <f t="shared" si="96"/>
        <v>1804.3123333293418</v>
      </c>
      <c r="W211" s="21">
        <v>1304</v>
      </c>
      <c r="X211" s="3">
        <f>W211/365+input!$K$2</f>
        <v>3.5726027397260274</v>
      </c>
      <c r="Y211" s="4">
        <f t="shared" si="97"/>
        <v>39.469004015014669</v>
      </c>
      <c r="Z211" s="10">
        <f t="shared" si="89"/>
        <v>103.98435971907008</v>
      </c>
      <c r="AA211" s="20">
        <f>input!D210</f>
        <v>0</v>
      </c>
      <c r="AB211" s="19">
        <f t="shared" si="98"/>
        <v>0.99866597068041085</v>
      </c>
      <c r="AC211" s="21">
        <f t="shared" si="99"/>
        <v>1956.3459956959921</v>
      </c>
      <c r="AD211" s="8">
        <f t="shared" si="100"/>
        <v>126028.59573581429</v>
      </c>
      <c r="AE211" s="8">
        <f t="shared" si="101"/>
        <v>6973.9047760201511</v>
      </c>
      <c r="AF211" s="8">
        <f t="shared" si="102"/>
        <v>28.820844132056099</v>
      </c>
      <c r="AG211" s="8">
        <f t="shared" si="103"/>
        <v>0</v>
      </c>
      <c r="AH211" s="8">
        <f t="shared" si="104"/>
        <v>11998.013195590955</v>
      </c>
      <c r="AI211" s="8">
        <f t="shared" si="105"/>
        <v>6614.8898708312563</v>
      </c>
      <c r="AJ211" s="8">
        <f t="shared" si="106"/>
        <v>28.734355522178816</v>
      </c>
      <c r="AK211" s="8">
        <f t="shared" si="107"/>
        <v>0</v>
      </c>
      <c r="AL211" s="8">
        <f t="shared" si="108"/>
        <v>3789.5947927863049</v>
      </c>
      <c r="AM211" s="8">
        <f t="shared" si="109"/>
        <v>8704.0090259705048</v>
      </c>
      <c r="AN211" s="8">
        <f t="shared" si="110"/>
        <v>51.845752058937315</v>
      </c>
      <c r="AO211" s="8">
        <f t="shared" si="111"/>
        <v>0</v>
      </c>
    </row>
    <row r="212" spans="1:43">
      <c r="A212" s="1">
        <v>41939</v>
      </c>
      <c r="B212" s="5">
        <v>210</v>
      </c>
      <c r="C212" s="3">
        <f>B212/365+input!$K$2</f>
        <v>0.57534246575342463</v>
      </c>
      <c r="D212" s="4">
        <f t="shared" si="86"/>
        <v>24.862887847429793</v>
      </c>
      <c r="E212" s="10">
        <f t="shared" si="90"/>
        <v>23.264039676571034</v>
      </c>
      <c r="F212" s="20">
        <f>input!A211</f>
        <v>5415.43</v>
      </c>
      <c r="G212" s="19">
        <f t="shared" si="91"/>
        <v>9.6818104201215893E-2</v>
      </c>
      <c r="H212" s="21">
        <f t="shared" si="92"/>
        <v>319.47658309150307</v>
      </c>
      <c r="I212" s="5">
        <v>575</v>
      </c>
      <c r="J212" s="3">
        <f>I212/365+input!$K$2</f>
        <v>1.5753424657534247</v>
      </c>
      <c r="K212" s="4">
        <f t="shared" si="84"/>
        <v>33.373182491683963</v>
      </c>
      <c r="L212" s="10">
        <f t="shared" si="85"/>
        <v>60.381839499491569</v>
      </c>
      <c r="M212" s="20">
        <f>input!B211</f>
        <v>112.29</v>
      </c>
      <c r="N212" s="19">
        <f t="shared" si="93"/>
        <v>0.94902735901329049</v>
      </c>
      <c r="O212" s="21">
        <f t="shared" si="94"/>
        <v>1317.4733055649995</v>
      </c>
      <c r="P212" s="5">
        <v>940</v>
      </c>
      <c r="Q212" s="3">
        <f>P212/365+input!$K$2</f>
        <v>2.5753424657534247</v>
      </c>
      <c r="R212" s="4">
        <f t="shared" si="87"/>
        <v>38.13808256199215</v>
      </c>
      <c r="S212" s="10">
        <f t="shared" si="88"/>
        <v>93.046647258960604</v>
      </c>
      <c r="T212" s="20">
        <f>input!C211</f>
        <v>0.3</v>
      </c>
      <c r="U212" s="19">
        <f t="shared" si="95"/>
        <v>0.99701652326446455</v>
      </c>
      <c r="V212" s="21">
        <f t="shared" si="96"/>
        <v>1805.3806322807686</v>
      </c>
      <c r="W212" s="21">
        <v>1305</v>
      </c>
      <c r="X212" s="3">
        <f>W212/365+input!$K$2</f>
        <v>3.5753424657534247</v>
      </c>
      <c r="Y212" s="4">
        <f t="shared" si="97"/>
        <v>39.469004015014669</v>
      </c>
      <c r="Z212" s="10">
        <f t="shared" si="89"/>
        <v>103.98435971907008</v>
      </c>
      <c r="AA212" s="20">
        <f>input!D211</f>
        <v>0</v>
      </c>
      <c r="AB212" s="19">
        <f t="shared" si="98"/>
        <v>0.99866597068041085</v>
      </c>
      <c r="AC212" s="21">
        <f t="shared" si="99"/>
        <v>1956.3459956959921</v>
      </c>
      <c r="AD212" s="8">
        <f t="shared" si="100"/>
        <v>125984.77838569308</v>
      </c>
      <c r="AE212" s="8">
        <f t="shared" si="101"/>
        <v>6780.276757397909</v>
      </c>
      <c r="AF212" s="8">
        <f t="shared" si="102"/>
        <v>27.913994177688181</v>
      </c>
      <c r="AG212" s="8">
        <f t="shared" si="103"/>
        <v>0</v>
      </c>
      <c r="AH212" s="8">
        <f t="shared" si="104"/>
        <v>12197.607401513123</v>
      </c>
      <c r="AI212" s="8">
        <f t="shared" si="105"/>
        <v>6434.6681444525348</v>
      </c>
      <c r="AJ212" s="8">
        <f t="shared" si="106"/>
        <v>27.830713425463177</v>
      </c>
      <c r="AK212" s="8">
        <f t="shared" si="107"/>
        <v>0</v>
      </c>
      <c r="AL212" s="8">
        <f t="shared" si="108"/>
        <v>3896.8499345270407</v>
      </c>
      <c r="AM212" s="8">
        <f t="shared" si="109"/>
        <v>8477.5035104856834</v>
      </c>
      <c r="AN212" s="8">
        <f t="shared" si="110"/>
        <v>50.245031000887586</v>
      </c>
      <c r="AO212" s="8">
        <f t="shared" si="111"/>
        <v>0</v>
      </c>
    </row>
    <row r="213" spans="1:43">
      <c r="A213" s="1">
        <v>41940</v>
      </c>
      <c r="B213" s="5">
        <v>211</v>
      </c>
      <c r="C213" s="3">
        <f>B213/365+input!$K$2</f>
        <v>0.57808219178082187</v>
      </c>
      <c r="D213" s="4">
        <f t="shared" si="86"/>
        <v>24.893590912639304</v>
      </c>
      <c r="E213" s="10">
        <f t="shared" si="90"/>
        <v>23.357249322994768</v>
      </c>
      <c r="F213" s="20">
        <f>input!A212</f>
        <v>5411.72</v>
      </c>
      <c r="G213" s="19">
        <f t="shared" si="91"/>
        <v>9.8457348680771523E-2</v>
      </c>
      <c r="H213" s="21">
        <f t="shared" si="92"/>
        <v>323.11399699982644</v>
      </c>
      <c r="I213" s="5">
        <v>576</v>
      </c>
      <c r="J213" s="3">
        <f>I213/365+input!$K$2</f>
        <v>1.5780821917808219</v>
      </c>
      <c r="K213" s="4">
        <f t="shared" si="84"/>
        <v>33.390373087743313</v>
      </c>
      <c r="L213" s="10">
        <f t="shared" si="85"/>
        <v>60.48267075935545</v>
      </c>
      <c r="M213" s="20">
        <f>input!B212</f>
        <v>111.71</v>
      </c>
      <c r="N213" s="19">
        <f t="shared" si="93"/>
        <v>0.9495289488607338</v>
      </c>
      <c r="O213" s="21">
        <f t="shared" si="94"/>
        <v>1319.1235495523026</v>
      </c>
      <c r="P213" s="5">
        <v>941</v>
      </c>
      <c r="Q213" s="3">
        <f>P213/365+input!$K$2</f>
        <v>2.5780821917808221</v>
      </c>
      <c r="R213" s="4">
        <f t="shared" si="87"/>
        <v>38.147707548646075</v>
      </c>
      <c r="S213" s="10">
        <f t="shared" si="88"/>
        <v>93.122751659977851</v>
      </c>
      <c r="T213" s="20">
        <f>input!C212</f>
        <v>0.3</v>
      </c>
      <c r="U213" s="19">
        <f t="shared" si="95"/>
        <v>0.99703382299581755</v>
      </c>
      <c r="V213" s="21">
        <f t="shared" si="96"/>
        <v>1806.4475942378049</v>
      </c>
      <c r="W213" s="21">
        <v>1306</v>
      </c>
      <c r="X213" s="3">
        <f>W213/365+input!$K$2</f>
        <v>3.5780821917808221</v>
      </c>
      <c r="Y213" s="4">
        <f t="shared" si="97"/>
        <v>39.469004015014669</v>
      </c>
      <c r="Z213" s="10">
        <f t="shared" si="89"/>
        <v>103.98435971907008</v>
      </c>
      <c r="AA213" s="20">
        <f>input!D212</f>
        <v>0</v>
      </c>
      <c r="AB213" s="19">
        <f t="shared" si="98"/>
        <v>0.99866597068041085</v>
      </c>
      <c r="AC213" s="21">
        <f t="shared" si="99"/>
        <v>1956.3459956959921</v>
      </c>
      <c r="AD213" s="8">
        <f t="shared" si="100"/>
        <v>126402.89330623725</v>
      </c>
      <c r="AE213" s="8">
        <f t="shared" si="101"/>
        <v>6756.519150527597</v>
      </c>
      <c r="AF213" s="8">
        <f t="shared" si="102"/>
        <v>27.936825497993354</v>
      </c>
      <c r="AG213" s="8">
        <f t="shared" si="103"/>
        <v>0</v>
      </c>
      <c r="AH213" s="8">
        <f t="shared" si="104"/>
        <v>12445.293740510562</v>
      </c>
      <c r="AI213" s="8">
        <f t="shared" si="105"/>
        <v>6415.5105269578871</v>
      </c>
      <c r="AJ213" s="8">
        <f t="shared" si="106"/>
        <v>27.853959928631348</v>
      </c>
      <c r="AK213" s="8">
        <f t="shared" si="107"/>
        <v>0</v>
      </c>
      <c r="AL213" s="8">
        <f t="shared" si="108"/>
        <v>4021.2486043332883</v>
      </c>
      <c r="AM213" s="8">
        <f t="shared" si="109"/>
        <v>8462.8510185108516</v>
      </c>
      <c r="AN213" s="8">
        <f t="shared" si="110"/>
        <v>50.316718903072314</v>
      </c>
      <c r="AO213" s="8">
        <f t="shared" si="111"/>
        <v>0</v>
      </c>
    </row>
    <row r="214" spans="1:43">
      <c r="A214" s="1">
        <v>41941</v>
      </c>
      <c r="B214" s="5">
        <v>212</v>
      </c>
      <c r="C214" s="3">
        <f>B214/365+input!$K$2</f>
        <v>0.58082191780821912</v>
      </c>
      <c r="D214" s="4">
        <f t="shared" si="86"/>
        <v>24.924245228159318</v>
      </c>
      <c r="E214" s="10">
        <f t="shared" si="90"/>
        <v>23.45056823039215</v>
      </c>
      <c r="F214" s="20">
        <f>input!A213</f>
        <v>5400.95</v>
      </c>
      <c r="G214" s="19">
        <f t="shared" si="91"/>
        <v>0.10011860917904122</v>
      </c>
      <c r="H214" s="21">
        <f t="shared" si="92"/>
        <v>326.76379029515169</v>
      </c>
      <c r="I214" s="5">
        <v>577</v>
      </c>
      <c r="J214" s="3">
        <f>I214/365+input!$K$2</f>
        <v>1.5808219178082192</v>
      </c>
      <c r="K214" s="4">
        <f t="shared" ref="K214:K277" si="112">44.2*(1-EXP(-0.58*(J214+0.85)))</f>
        <v>33.407536388931149</v>
      </c>
      <c r="L214" s="10">
        <f t="shared" si="85"/>
        <v>60.583457993618353</v>
      </c>
      <c r="M214" s="20">
        <f>input!B213</f>
        <v>109.63</v>
      </c>
      <c r="N214" s="19">
        <f t="shared" si="93"/>
        <v>0.95002507748516529</v>
      </c>
      <c r="O214" s="21">
        <f t="shared" si="94"/>
        <v>1320.7714461548139</v>
      </c>
      <c r="P214" s="5">
        <v>942</v>
      </c>
      <c r="Q214" s="3">
        <f>P214/365+input!$K$2</f>
        <v>2.580821917808219</v>
      </c>
      <c r="R214" s="4">
        <f t="shared" si="87"/>
        <v>38.157317252946008</v>
      </c>
      <c r="S214" s="10">
        <f t="shared" si="88"/>
        <v>93.198778145726379</v>
      </c>
      <c r="T214" s="20">
        <f>input!C213</f>
        <v>0.28999999999999998</v>
      </c>
      <c r="U214" s="19">
        <f t="shared" si="95"/>
        <v>0.99705099548076348</v>
      </c>
      <c r="V214" s="21">
        <f t="shared" si="96"/>
        <v>1807.513220239987</v>
      </c>
      <c r="W214" s="21">
        <v>1307</v>
      </c>
      <c r="X214" s="3">
        <f>W214/365+input!$K$2</f>
        <v>3.580821917808219</v>
      </c>
      <c r="Y214" s="4">
        <f t="shared" si="97"/>
        <v>39.469004015014669</v>
      </c>
      <c r="Z214" s="10">
        <f t="shared" si="89"/>
        <v>103.98435971907008</v>
      </c>
      <c r="AA214" s="20">
        <f>input!D213</f>
        <v>0</v>
      </c>
      <c r="AB214" s="19">
        <f t="shared" si="98"/>
        <v>0.99866597068041085</v>
      </c>
      <c r="AC214" s="21">
        <f t="shared" si="99"/>
        <v>1956.3459956959921</v>
      </c>
      <c r="AD214" s="8">
        <f t="shared" si="100"/>
        <v>126655.34648393648</v>
      </c>
      <c r="AE214" s="8">
        <f t="shared" si="101"/>
        <v>6641.7644998403794</v>
      </c>
      <c r="AF214" s="8">
        <f t="shared" si="102"/>
        <v>27.02764566226065</v>
      </c>
      <c r="AG214" s="8">
        <f t="shared" si="103"/>
        <v>0</v>
      </c>
      <c r="AH214" s="8">
        <f t="shared" si="104"/>
        <v>12680.557135061288</v>
      </c>
      <c r="AI214" s="8">
        <f t="shared" si="105"/>
        <v>6309.8428335990766</v>
      </c>
      <c r="AJ214" s="8">
        <f t="shared" si="106"/>
        <v>26.947941013058319</v>
      </c>
      <c r="AK214" s="8">
        <f t="shared" si="107"/>
        <v>0</v>
      </c>
      <c r="AL214" s="8">
        <f t="shared" si="108"/>
        <v>4143.5469125068566</v>
      </c>
      <c r="AM214" s="8">
        <f t="shared" si="109"/>
        <v>8333.8602443422405</v>
      </c>
      <c r="AN214" s="8">
        <f t="shared" si="110"/>
        <v>48.708759639350262</v>
      </c>
      <c r="AO214" s="8">
        <f t="shared" si="111"/>
        <v>0</v>
      </c>
    </row>
    <row r="215" spans="1:43">
      <c r="A215" s="1">
        <v>41942</v>
      </c>
      <c r="B215" s="5">
        <v>213</v>
      </c>
      <c r="C215" s="3">
        <f>B215/365+input!$K$2</f>
        <v>0.58356164383561648</v>
      </c>
      <c r="D215" s="4">
        <f t="shared" si="86"/>
        <v>24.954850871393578</v>
      </c>
      <c r="E215" s="10">
        <f t="shared" si="90"/>
        <v>23.543995800625545</v>
      </c>
      <c r="F215" s="20">
        <f>input!A214</f>
        <v>5390.36</v>
      </c>
      <c r="G215" s="19">
        <f t="shared" si="91"/>
        <v>0.1018020376498609</v>
      </c>
      <c r="H215" s="21">
        <f t="shared" si="92"/>
        <v>330.42564984854312</v>
      </c>
      <c r="I215" s="5">
        <v>578</v>
      </c>
      <c r="J215" s="3">
        <f>I215/365+input!$K$2</f>
        <v>1.5835616438356164</v>
      </c>
      <c r="K215" s="4">
        <f t="shared" si="112"/>
        <v>33.424672438585702</v>
      </c>
      <c r="L215" s="10">
        <f t="shared" ref="L215:L278" si="113">0.0007*K215^3.24</f>
        <v>60.684200977634575</v>
      </c>
      <c r="M215" s="20">
        <f>input!B214</f>
        <v>108.43</v>
      </c>
      <c r="N215" s="19">
        <f t="shared" si="93"/>
        <v>0.9505158065786401</v>
      </c>
      <c r="O215" s="21">
        <f t="shared" si="94"/>
        <v>1322.4170085087139</v>
      </c>
      <c r="P215" s="5">
        <v>943</v>
      </c>
      <c r="Q215" s="3">
        <f>P215/365+input!$K$2</f>
        <v>2.5835616438356164</v>
      </c>
      <c r="R215" s="4">
        <f t="shared" si="87"/>
        <v>38.166911699156977</v>
      </c>
      <c r="S215" s="10">
        <f t="shared" si="88"/>
        <v>93.274726717091426</v>
      </c>
      <c r="T215" s="20">
        <f>input!C214</f>
        <v>0.28999999999999998</v>
      </c>
      <c r="U215" s="19">
        <f t="shared" si="95"/>
        <v>0.99706804180864994</v>
      </c>
      <c r="V215" s="21">
        <f t="shared" si="96"/>
        <v>1808.5775113280645</v>
      </c>
      <c r="W215" s="21">
        <v>1308</v>
      </c>
      <c r="X215" s="3">
        <f>W215/365+input!$K$2</f>
        <v>3.5835616438356164</v>
      </c>
      <c r="Y215" s="4">
        <f t="shared" si="97"/>
        <v>39.469004015014669</v>
      </c>
      <c r="Z215" s="10">
        <f t="shared" si="89"/>
        <v>103.98435971907008</v>
      </c>
      <c r="AA215" s="20">
        <f>input!D214</f>
        <v>0</v>
      </c>
      <c r="AB215" s="19">
        <f t="shared" si="98"/>
        <v>0.99866597068041085</v>
      </c>
      <c r="AC215" s="21">
        <f t="shared" si="99"/>
        <v>1956.3459956959921</v>
      </c>
      <c r="AD215" s="8">
        <f t="shared" si="100"/>
        <v>126910.6132038599</v>
      </c>
      <c r="AE215" s="8">
        <f t="shared" si="101"/>
        <v>6579.9879120049172</v>
      </c>
      <c r="AF215" s="8">
        <f t="shared" si="102"/>
        <v>27.049670747956512</v>
      </c>
      <c r="AG215" s="8">
        <f t="shared" si="103"/>
        <v>0</v>
      </c>
      <c r="AH215" s="8">
        <f t="shared" si="104"/>
        <v>12919.759023546279</v>
      </c>
      <c r="AI215" s="8">
        <f t="shared" si="105"/>
        <v>6254.3825174570557</v>
      </c>
      <c r="AJ215" s="8">
        <f t="shared" si="106"/>
        <v>26.970362244233719</v>
      </c>
      <c r="AK215" s="8">
        <f t="shared" si="107"/>
        <v>0</v>
      </c>
      <c r="AL215" s="8">
        <f t="shared" si="108"/>
        <v>4269.0197712418585</v>
      </c>
      <c r="AM215" s="8">
        <f t="shared" si="109"/>
        <v>8270.9018188047594</v>
      </c>
      <c r="AN215" s="8">
        <f t="shared" si="110"/>
        <v>48.77799062729261</v>
      </c>
      <c r="AO215" s="8">
        <f t="shared" si="111"/>
        <v>0</v>
      </c>
    </row>
    <row r="216" spans="1:43">
      <c r="A216" s="1">
        <v>41943</v>
      </c>
      <c r="B216" s="5">
        <v>214</v>
      </c>
      <c r="C216" s="3">
        <f>B216/365+input!$K$2</f>
        <v>0.58630136986301373</v>
      </c>
      <c r="D216" s="4">
        <f t="shared" si="86"/>
        <v>24.985407919622929</v>
      </c>
      <c r="E216" s="10">
        <f t="shared" si="90"/>
        <v>23.637531436107171</v>
      </c>
      <c r="F216" s="20">
        <f>input!A215</f>
        <v>5379.54</v>
      </c>
      <c r="G216" s="19">
        <f t="shared" si="91"/>
        <v>0.10350778326110853</v>
      </c>
      <c r="H216" s="21">
        <f t="shared" si="92"/>
        <v>334.09926166389778</v>
      </c>
      <c r="I216" s="5">
        <v>579</v>
      </c>
      <c r="J216" s="3">
        <f>I216/365+input!$K$2</f>
        <v>1.5863013698630137</v>
      </c>
      <c r="K216" s="4">
        <f t="shared" si="112"/>
        <v>33.441781279976368</v>
      </c>
      <c r="L216" s="10">
        <f t="shared" si="113"/>
        <v>60.784899487707591</v>
      </c>
      <c r="M216" s="20">
        <f>input!B215</f>
        <v>106.45</v>
      </c>
      <c r="N216" s="19">
        <f t="shared" si="93"/>
        <v>0.95100119717179787</v>
      </c>
      <c r="O216" s="21">
        <f t="shared" si="94"/>
        <v>1324.0602495591329</v>
      </c>
      <c r="P216" s="5">
        <v>944</v>
      </c>
      <c r="Q216" s="3">
        <f>P216/365+input!$K$2</f>
        <v>2.5863013698630137</v>
      </c>
      <c r="R216" s="4">
        <f t="shared" si="87"/>
        <v>38.176490911505439</v>
      </c>
      <c r="S216" s="10">
        <f t="shared" si="88"/>
        <v>93.350597375283854</v>
      </c>
      <c r="T216" s="20">
        <f>input!C215</f>
        <v>0.28000000000000003</v>
      </c>
      <c r="U216" s="19">
        <f t="shared" si="95"/>
        <v>0.99708496305834804</v>
      </c>
      <c r="V216" s="21">
        <f t="shared" si="96"/>
        <v>1809.6404685440057</v>
      </c>
      <c r="W216" s="21">
        <v>1309</v>
      </c>
      <c r="X216" s="3">
        <f>W216/365+input!$K$2</f>
        <v>3.5863013698630137</v>
      </c>
      <c r="Y216" s="4">
        <f t="shared" si="97"/>
        <v>39.469004015014669</v>
      </c>
      <c r="Z216" s="10">
        <f t="shared" si="89"/>
        <v>103.98435971907008</v>
      </c>
      <c r="AA216" s="20">
        <f>input!D215</f>
        <v>0</v>
      </c>
      <c r="AB216" s="19">
        <f t="shared" si="98"/>
        <v>0.99866597068041085</v>
      </c>
      <c r="AC216" s="21">
        <f t="shared" si="99"/>
        <v>1956.3459956959921</v>
      </c>
      <c r="AD216" s="8">
        <f t="shared" si="100"/>
        <v>127159.04586179597</v>
      </c>
      <c r="AE216" s="8">
        <f t="shared" si="101"/>
        <v>6470.5525504664729</v>
      </c>
      <c r="AF216" s="8">
        <f t="shared" si="102"/>
        <v>26.138167265079481</v>
      </c>
      <c r="AG216" s="8">
        <f t="shared" si="103"/>
        <v>0</v>
      </c>
      <c r="AH216" s="8">
        <f t="shared" si="104"/>
        <v>13161.950958752137</v>
      </c>
      <c r="AI216" s="8">
        <f t="shared" si="105"/>
        <v>6153.5032218566457</v>
      </c>
      <c r="AJ216" s="8">
        <f t="shared" si="106"/>
        <v>26.061973541914696</v>
      </c>
      <c r="AK216" s="8">
        <f t="shared" si="107"/>
        <v>0</v>
      </c>
      <c r="AL216" s="8">
        <f t="shared" si="108"/>
        <v>4397.3980973755206</v>
      </c>
      <c r="AM216" s="8">
        <f t="shared" si="109"/>
        <v>8147.6090115944389</v>
      </c>
      <c r="AN216" s="8">
        <f t="shared" si="110"/>
        <v>47.162802011571991</v>
      </c>
      <c r="AO216" s="8">
        <f t="shared" si="111"/>
        <v>0</v>
      </c>
    </row>
    <row r="217" spans="1:43">
      <c r="A217" s="1">
        <v>41944</v>
      </c>
      <c r="B217" s="5">
        <v>215</v>
      </c>
      <c r="C217" s="3">
        <f>B217/365+input!$K$2</f>
        <v>0.58904109589041098</v>
      </c>
      <c r="D217" s="4">
        <f t="shared" si="86"/>
        <v>25.015916450005509</v>
      </c>
      <c r="E217" s="10">
        <f t="shared" si="90"/>
        <v>23.731174539806556</v>
      </c>
      <c r="F217" s="20">
        <f>input!A216</f>
        <v>5372.85</v>
      </c>
      <c r="G217" s="19">
        <f t="shared" si="91"/>
        <v>0.10523599227574119</v>
      </c>
      <c r="H217" s="21">
        <f t="shared" si="92"/>
        <v>337.78431098800189</v>
      </c>
      <c r="I217" s="5">
        <v>580</v>
      </c>
      <c r="J217" s="3">
        <f>I217/365+input!$K$2</f>
        <v>1.5890410958904109</v>
      </c>
      <c r="K217" s="4">
        <f t="shared" si="112"/>
        <v>33.458862956303882</v>
      </c>
      <c r="L217" s="10">
        <f t="shared" si="113"/>
        <v>60.885553301088649</v>
      </c>
      <c r="M217" s="20">
        <f>input!B216</f>
        <v>105.51</v>
      </c>
      <c r="N217" s="19">
        <f t="shared" si="93"/>
        <v>0.95148130963908972</v>
      </c>
      <c r="O217" s="21">
        <f t="shared" si="94"/>
        <v>1325.7011820625778</v>
      </c>
      <c r="P217" s="5">
        <v>945</v>
      </c>
      <c r="Q217" s="3">
        <f>P217/365+input!$K$2</f>
        <v>2.5890410958904111</v>
      </c>
      <c r="R217" s="4">
        <f t="shared" si="87"/>
        <v>38.186054914179415</v>
      </c>
      <c r="S217" s="10">
        <f t="shared" si="88"/>
        <v>93.426390121838551</v>
      </c>
      <c r="T217" s="20">
        <f>input!C216</f>
        <v>0.28000000000000003</v>
      </c>
      <c r="U217" s="19">
        <f t="shared" si="95"/>
        <v>0.99710176029836184</v>
      </c>
      <c r="V217" s="21">
        <f t="shared" si="96"/>
        <v>1810.7020929309892</v>
      </c>
      <c r="W217" s="21">
        <v>1310</v>
      </c>
      <c r="X217" s="3">
        <f>W217/365+input!$K$2</f>
        <v>3.5890410958904111</v>
      </c>
      <c r="Y217" s="4">
        <f t="shared" si="97"/>
        <v>39.469004015014669</v>
      </c>
      <c r="Z217" s="10">
        <f t="shared" si="89"/>
        <v>103.98435971907008</v>
      </c>
      <c r="AA217" s="20">
        <f>input!D216</f>
        <v>0</v>
      </c>
      <c r="AB217" s="19">
        <f t="shared" si="98"/>
        <v>0.99866597068041085</v>
      </c>
      <c r="AC217" s="21">
        <f t="shared" si="99"/>
        <v>1956.3459956959921</v>
      </c>
      <c r="AD217" s="8">
        <f t="shared" si="100"/>
        <v>127504.04112619966</v>
      </c>
      <c r="AE217" s="8">
        <f t="shared" si="101"/>
        <v>6424.0347287978639</v>
      </c>
      <c r="AF217" s="8">
        <f t="shared" si="102"/>
        <v>26.159389234114798</v>
      </c>
      <c r="AG217" s="8">
        <f t="shared" si="103"/>
        <v>0</v>
      </c>
      <c r="AH217" s="8">
        <f t="shared" si="104"/>
        <v>13418.014287082535</v>
      </c>
      <c r="AI217" s="8">
        <f t="shared" si="105"/>
        <v>6112.3489769235857</v>
      </c>
      <c r="AJ217" s="8">
        <f t="shared" si="106"/>
        <v>26.08357305366588</v>
      </c>
      <c r="AK217" s="8">
        <f t="shared" si="107"/>
        <v>0</v>
      </c>
      <c r="AL217" s="8">
        <f t="shared" si="108"/>
        <v>4532.39471078934</v>
      </c>
      <c r="AM217" s="8">
        <f t="shared" si="109"/>
        <v>8103.1482638865855</v>
      </c>
      <c r="AN217" s="8">
        <f t="shared" si="110"/>
        <v>47.229580319391161</v>
      </c>
      <c r="AO217" s="8">
        <f t="shared" si="111"/>
        <v>0</v>
      </c>
      <c r="AQ217" s="22"/>
    </row>
    <row r="218" spans="1:43">
      <c r="A218" s="1">
        <v>41945</v>
      </c>
      <c r="B218" s="5">
        <v>216</v>
      </c>
      <c r="C218" s="3">
        <f>B218/365+input!$K$2</f>
        <v>0.59178082191780823</v>
      </c>
      <c r="D218" s="4">
        <f t="shared" si="86"/>
        <v>25.04637653957694</v>
      </c>
      <c r="E218" s="10">
        <f t="shared" si="90"/>
        <v>23.824924515258509</v>
      </c>
      <c r="F218" s="20">
        <f>input!A217</f>
        <v>5357.05</v>
      </c>
      <c r="G218" s="19">
        <f t="shared" si="91"/>
        <v>0.10698680793177474</v>
      </c>
      <c r="H218" s="21">
        <f t="shared" si="92"/>
        <v>341.48048241996059</v>
      </c>
      <c r="I218" s="5">
        <v>581</v>
      </c>
      <c r="J218" s="3">
        <f>I218/365+input!$K$2</f>
        <v>1.5917808219178082</v>
      </c>
      <c r="K218" s="4">
        <f t="shared" si="112"/>
        <v>33.47591751070037</v>
      </c>
      <c r="L218" s="10">
        <f t="shared" si="113"/>
        <v>60.986162195975247</v>
      </c>
      <c r="M218" s="20">
        <f>input!B217</f>
        <v>103.41</v>
      </c>
      <c r="N218" s="19">
        <f t="shared" si="93"/>
        <v>0.95195620370402023</v>
      </c>
      <c r="O218" s="21">
        <f t="shared" si="94"/>
        <v>1327.3398185893104</v>
      </c>
      <c r="P218" s="5">
        <v>946</v>
      </c>
      <c r="Q218" s="3">
        <f>P218/365+input!$K$2</f>
        <v>2.591780821917808</v>
      </c>
      <c r="R218" s="4">
        <f t="shared" si="87"/>
        <v>38.195603731328504</v>
      </c>
      <c r="S218" s="10">
        <f t="shared" si="88"/>
        <v>93.502104958613927</v>
      </c>
      <c r="T218" s="20">
        <f>input!C217</f>
        <v>0.27</v>
      </c>
      <c r="U218" s="19">
        <f t="shared" si="95"/>
        <v>0.99711843458693994</v>
      </c>
      <c r="V218" s="21">
        <f t="shared" si="96"/>
        <v>1811.7623855333914</v>
      </c>
      <c r="W218" s="21">
        <v>1311</v>
      </c>
      <c r="X218" s="3">
        <f>W218/365+input!$K$2</f>
        <v>3.591780821917808</v>
      </c>
      <c r="Y218" s="4">
        <f t="shared" si="97"/>
        <v>39.469004015014669</v>
      </c>
      <c r="Z218" s="10">
        <f t="shared" si="89"/>
        <v>103.98435971907008</v>
      </c>
      <c r="AA218" s="20">
        <f>input!D217</f>
        <v>0</v>
      </c>
      <c r="AB218" s="19">
        <f t="shared" si="98"/>
        <v>0.99866597068041085</v>
      </c>
      <c r="AC218" s="21">
        <f t="shared" si="99"/>
        <v>1956.3459956959921</v>
      </c>
      <c r="AD218" s="8">
        <f t="shared" si="100"/>
        <v>127631.31187446559</v>
      </c>
      <c r="AE218" s="8">
        <f t="shared" si="101"/>
        <v>6306.5790326858005</v>
      </c>
      <c r="AF218" s="8">
        <f t="shared" si="102"/>
        <v>25.245568338825763</v>
      </c>
      <c r="AG218" s="8">
        <f t="shared" si="103"/>
        <v>0</v>
      </c>
      <c r="AH218" s="8">
        <f t="shared" si="104"/>
        <v>13654.866649593892</v>
      </c>
      <c r="AI218" s="8">
        <f t="shared" si="105"/>
        <v>6003.5870343149463</v>
      </c>
      <c r="AJ218" s="8">
        <f t="shared" si="106"/>
        <v>25.172821582267559</v>
      </c>
      <c r="AK218" s="8">
        <f t="shared" si="107"/>
        <v>0</v>
      </c>
      <c r="AL218" s="8">
        <f t="shared" si="108"/>
        <v>4662.8704508835535</v>
      </c>
      <c r="AM218" s="8">
        <f t="shared" si="109"/>
        <v>7968.8001250127363</v>
      </c>
      <c r="AN218" s="8">
        <f t="shared" si="110"/>
        <v>45.607171280495507</v>
      </c>
      <c r="AO218" s="8">
        <f t="shared" si="111"/>
        <v>0</v>
      </c>
      <c r="AQ218" s="22"/>
    </row>
    <row r="219" spans="1:43">
      <c r="A219" s="1">
        <v>41946</v>
      </c>
      <c r="B219" s="5">
        <v>217</v>
      </c>
      <c r="C219" s="3">
        <f>B219/365+input!$K$2</f>
        <v>0.59452054794520548</v>
      </c>
      <c r="D219" s="4">
        <f t="shared" si="86"/>
        <v>25.076788265250563</v>
      </c>
      <c r="E219" s="10">
        <f t="shared" si="90"/>
        <v>23.918780766570976</v>
      </c>
      <c r="F219" s="20">
        <f>input!A218</f>
        <v>5353.38</v>
      </c>
      <c r="G219" s="19">
        <f t="shared" si="91"/>
        <v>0.10876037032128241</v>
      </c>
      <c r="H219" s="21">
        <f t="shared" si="92"/>
        <v>345.18746001994208</v>
      </c>
      <c r="I219" s="5">
        <v>582</v>
      </c>
      <c r="J219" s="3">
        <f>I219/365+input!$K$2</f>
        <v>1.5945205479452054</v>
      </c>
      <c r="K219" s="4">
        <f t="shared" si="112"/>
        <v>33.49294498622946</v>
      </c>
      <c r="L219" s="10">
        <f t="shared" si="113"/>
        <v>61.086725951508839</v>
      </c>
      <c r="M219" s="20">
        <f>input!B218</f>
        <v>102.89</v>
      </c>
      <c r="N219" s="19">
        <f t="shared" si="93"/>
        <v>0.95242593844441736</v>
      </c>
      <c r="O219" s="21">
        <f t="shared" si="94"/>
        <v>1328.9761715257118</v>
      </c>
      <c r="P219" s="5">
        <v>947</v>
      </c>
      <c r="Q219" s="3">
        <f>P219/365+input!$K$2</f>
        <v>2.5945205479452054</v>
      </c>
      <c r="R219" s="4">
        <f t="shared" si="87"/>
        <v>38.205137387063978</v>
      </c>
      <c r="S219" s="10">
        <f t="shared" si="88"/>
        <v>93.577741887789415</v>
      </c>
      <c r="T219" s="20">
        <f>input!C218</f>
        <v>0.27</v>
      </c>
      <c r="U219" s="19">
        <f t="shared" si="95"/>
        <v>0.99713498697218172</v>
      </c>
      <c r="V219" s="21">
        <f t="shared" si="96"/>
        <v>1812.8213473967965</v>
      </c>
      <c r="W219" s="21">
        <v>1312</v>
      </c>
      <c r="X219" s="3">
        <f>W219/365+input!$K$2</f>
        <v>3.5945205479452054</v>
      </c>
      <c r="Y219" s="4">
        <f t="shared" si="97"/>
        <v>39.469004015014669</v>
      </c>
      <c r="Z219" s="10">
        <f t="shared" si="89"/>
        <v>103.98435971907008</v>
      </c>
      <c r="AA219" s="20">
        <f>input!D218</f>
        <v>0</v>
      </c>
      <c r="AB219" s="19">
        <f t="shared" si="98"/>
        <v>0.99866597068041085</v>
      </c>
      <c r="AC219" s="21">
        <f t="shared" si="99"/>
        <v>1956.3459956959921</v>
      </c>
      <c r="AD219" s="8">
        <f t="shared" si="100"/>
        <v>128046.32258014573</v>
      </c>
      <c r="AE219" s="8">
        <f t="shared" si="101"/>
        <v>6285.2132331507446</v>
      </c>
      <c r="AF219" s="8">
        <f t="shared" si="102"/>
        <v>25.265990309703145</v>
      </c>
      <c r="AG219" s="8">
        <f t="shared" si="103"/>
        <v>0</v>
      </c>
      <c r="AH219" s="8">
        <f t="shared" si="104"/>
        <v>13926.365462095036</v>
      </c>
      <c r="AI219" s="8">
        <f t="shared" si="105"/>
        <v>5986.2001119068682</v>
      </c>
      <c r="AJ219" s="8">
        <f t="shared" si="106"/>
        <v>25.193602918305114</v>
      </c>
      <c r="AK219" s="8">
        <f t="shared" si="107"/>
        <v>0</v>
      </c>
      <c r="AL219" s="8">
        <f t="shared" si="108"/>
        <v>4807.2067211700323</v>
      </c>
      <c r="AM219" s="8">
        <f t="shared" si="109"/>
        <v>7955.5173067087771</v>
      </c>
      <c r="AN219" s="8">
        <f t="shared" si="110"/>
        <v>45.67150118814174</v>
      </c>
      <c r="AO219" s="8">
        <f t="shared" si="111"/>
        <v>0</v>
      </c>
      <c r="AQ219" s="22"/>
    </row>
    <row r="220" spans="1:43">
      <c r="A220" s="1">
        <v>41947</v>
      </c>
      <c r="B220" s="5">
        <v>218</v>
      </c>
      <c r="C220" s="3">
        <f>B220/365+input!$K$2</f>
        <v>0.59726027397260273</v>
      </c>
      <c r="D220" s="4">
        <f t="shared" si="86"/>
        <v>25.107151703817539</v>
      </c>
      <c r="E220" s="10">
        <f t="shared" si="90"/>
        <v>24.012742698432529</v>
      </c>
      <c r="F220" s="20">
        <f>input!A219</f>
        <v>5342.74</v>
      </c>
      <c r="G220" s="19">
        <f t="shared" si="91"/>
        <v>0.11055681626848216</v>
      </c>
      <c r="H220" s="21">
        <f t="shared" si="92"/>
        <v>348.90492741716037</v>
      </c>
      <c r="I220" s="5">
        <v>583</v>
      </c>
      <c r="J220" s="3">
        <f>I220/365+input!$K$2</f>
        <v>1.5972602739726027</v>
      </c>
      <c r="K220" s="4">
        <f t="shared" si="112"/>
        <v>33.509945425886421</v>
      </c>
      <c r="L220" s="10">
        <f t="shared" si="113"/>
        <v>61.18724434777301</v>
      </c>
      <c r="M220" s="20">
        <f>input!B219</f>
        <v>101.1</v>
      </c>
      <c r="N220" s="19">
        <f t="shared" si="93"/>
        <v>0.95289057229771945</v>
      </c>
      <c r="O220" s="21">
        <f t="shared" si="94"/>
        <v>1330.6102530766457</v>
      </c>
      <c r="P220" s="5">
        <v>948</v>
      </c>
      <c r="Q220" s="3">
        <f>P220/365+input!$K$2</f>
        <v>2.5972602739726027</v>
      </c>
      <c r="R220" s="4">
        <f t="shared" si="87"/>
        <v>38.214655905458805</v>
      </c>
      <c r="S220" s="10">
        <f t="shared" si="88"/>
        <v>93.653300911865841</v>
      </c>
      <c r="T220" s="20">
        <f>input!C219</f>
        <v>0.27</v>
      </c>
      <c r="U220" s="19">
        <f t="shared" si="95"/>
        <v>0.99715141849214461</v>
      </c>
      <c r="V220" s="21">
        <f t="shared" si="96"/>
        <v>1813.8789795679813</v>
      </c>
      <c r="W220" s="21">
        <v>1313</v>
      </c>
      <c r="X220" s="3">
        <f>W220/365+input!$K$2</f>
        <v>3.5972602739726027</v>
      </c>
      <c r="Y220" s="4">
        <f t="shared" si="97"/>
        <v>39.469004015014669</v>
      </c>
      <c r="Z220" s="10">
        <f t="shared" si="89"/>
        <v>103.98435971907008</v>
      </c>
      <c r="AA220" s="20">
        <f>input!D219</f>
        <v>0</v>
      </c>
      <c r="AB220" s="19">
        <f t="shared" si="98"/>
        <v>0.99866597068041085</v>
      </c>
      <c r="AC220" s="21">
        <f t="shared" si="99"/>
        <v>1956.3459956959921</v>
      </c>
      <c r="AD220" s="8">
        <f t="shared" si="100"/>
        <v>128293.84092462341</v>
      </c>
      <c r="AE220" s="8">
        <f t="shared" si="101"/>
        <v>6186.030403559851</v>
      </c>
      <c r="AF220" s="8">
        <f t="shared" si="102"/>
        <v>25.286391246203777</v>
      </c>
      <c r="AG220" s="8">
        <f t="shared" si="103"/>
        <v>0</v>
      </c>
      <c r="AH220" s="8">
        <f t="shared" si="104"/>
        <v>14183.758599481467</v>
      </c>
      <c r="AI220" s="8">
        <f t="shared" si="105"/>
        <v>5894.6100514992386</v>
      </c>
      <c r="AJ220" s="8">
        <f t="shared" si="106"/>
        <v>25.214360899699447</v>
      </c>
      <c r="AK220" s="8">
        <f t="shared" si="107"/>
        <v>0</v>
      </c>
      <c r="AL220" s="8">
        <f t="shared" si="108"/>
        <v>4948.7832646546058</v>
      </c>
      <c r="AM220" s="8">
        <f t="shared" si="109"/>
        <v>7843.4285724135416</v>
      </c>
      <c r="AN220" s="8">
        <f t="shared" si="110"/>
        <v>45.735799219205639</v>
      </c>
      <c r="AO220" s="8">
        <f t="shared" si="111"/>
        <v>0</v>
      </c>
      <c r="AQ220" s="22"/>
    </row>
    <row r="221" spans="1:43">
      <c r="A221" s="1">
        <v>41948</v>
      </c>
      <c r="B221" s="5">
        <v>219</v>
      </c>
      <c r="C221" s="3">
        <f>B221/365+input!$K$2</f>
        <v>0.6</v>
      </c>
      <c r="D221" s="4">
        <f t="shared" si="86"/>
        <v>25.137466931947152</v>
      </c>
      <c r="E221" s="10">
        <f t="shared" si="90"/>
        <v>24.106809716120093</v>
      </c>
      <c r="F221" s="20">
        <f>input!A220</f>
        <v>5333.84</v>
      </c>
      <c r="G221" s="19">
        <f t="shared" si="91"/>
        <v>0.11237627920700914</v>
      </c>
      <c r="H221" s="21">
        <f t="shared" si="92"/>
        <v>352.63256791708341</v>
      </c>
      <c r="I221" s="5">
        <v>584</v>
      </c>
      <c r="J221" s="3">
        <f>I221/365+input!$K$2</f>
        <v>1.6</v>
      </c>
      <c r="K221" s="4">
        <f t="shared" si="112"/>
        <v>33.526918872598245</v>
      </c>
      <c r="L221" s="10">
        <f t="shared" si="113"/>
        <v>61.287717165791918</v>
      </c>
      <c r="M221" s="20">
        <f>input!B220</f>
        <v>100.47</v>
      </c>
      <c r="N221" s="19">
        <f t="shared" si="93"/>
        <v>0.95335016306627784</v>
      </c>
      <c r="O221" s="21">
        <f t="shared" si="94"/>
        <v>1332.2420752677833</v>
      </c>
      <c r="P221" s="5">
        <v>949</v>
      </c>
      <c r="Q221" s="3">
        <f>P221/365+input!$K$2</f>
        <v>2.6</v>
      </c>
      <c r="R221" s="4">
        <f t="shared" si="87"/>
        <v>38.224159310547741</v>
      </c>
      <c r="S221" s="10">
        <f t="shared" si="88"/>
        <v>93.728782033662668</v>
      </c>
      <c r="T221" s="20">
        <f>input!C220</f>
        <v>0.26</v>
      </c>
      <c r="U221" s="19">
        <f t="shared" si="95"/>
        <v>0.99716773017495064</v>
      </c>
      <c r="V221" s="21">
        <f t="shared" si="96"/>
        <v>1814.9352830949258</v>
      </c>
      <c r="W221" s="21">
        <v>1314</v>
      </c>
      <c r="X221" s="3">
        <f>W221/365+input!$K$2</f>
        <v>3.6</v>
      </c>
      <c r="Y221" s="4">
        <f t="shared" si="97"/>
        <v>39.469004015014669</v>
      </c>
      <c r="Z221" s="10">
        <f t="shared" si="89"/>
        <v>103.98435971907008</v>
      </c>
      <c r="AA221" s="20">
        <f>input!D220</f>
        <v>0</v>
      </c>
      <c r="AB221" s="19">
        <f t="shared" si="98"/>
        <v>0.99866597068041085</v>
      </c>
      <c r="AC221" s="21">
        <f t="shared" si="99"/>
        <v>1956.3459956959921</v>
      </c>
      <c r="AD221" s="8">
        <f t="shared" si="100"/>
        <v>128581.86593622999</v>
      </c>
      <c r="AE221" s="8">
        <f t="shared" si="101"/>
        <v>6157.5769436471137</v>
      </c>
      <c r="AF221" s="8">
        <f t="shared" si="102"/>
        <v>24.369483328752295</v>
      </c>
      <c r="AG221" s="8">
        <f t="shared" si="103"/>
        <v>0</v>
      </c>
      <c r="AH221" s="8">
        <f t="shared" si="104"/>
        <v>14449.551667407999</v>
      </c>
      <c r="AI221" s="8">
        <f t="shared" si="105"/>
        <v>5870.3269833191289</v>
      </c>
      <c r="AJ221" s="8">
        <f t="shared" si="106"/>
        <v>24.300462376468225</v>
      </c>
      <c r="AK221" s="8">
        <f t="shared" si="107"/>
        <v>0</v>
      </c>
      <c r="AL221" s="8">
        <f t="shared" si="108"/>
        <v>5095.3825097286572</v>
      </c>
      <c r="AM221" s="8">
        <f t="shared" si="109"/>
        <v>7820.6966027575427</v>
      </c>
      <c r="AN221" s="8">
        <f t="shared" si="110"/>
        <v>44.10376656257295</v>
      </c>
      <c r="AO221" s="8">
        <f t="shared" si="111"/>
        <v>0</v>
      </c>
      <c r="AQ221" s="22"/>
    </row>
    <row r="222" spans="1:43">
      <c r="A222" s="1">
        <v>41949</v>
      </c>
      <c r="B222" s="5">
        <v>220</v>
      </c>
      <c r="C222" s="3">
        <f>B222/365+input!$K$2</f>
        <v>0.60273972602739723</v>
      </c>
      <c r="D222" s="4">
        <f t="shared" si="86"/>
        <v>25.16773402618692</v>
      </c>
      <c r="E222" s="10">
        <f t="shared" si="90"/>
        <v>24.200981225506268</v>
      </c>
      <c r="F222" s="20">
        <f>input!A221</f>
        <v>5320.27</v>
      </c>
      <c r="G222" s="19">
        <f t="shared" si="91"/>
        <v>0.11421888905643855</v>
      </c>
      <c r="H222" s="21">
        <f t="shared" si="92"/>
        <v>356.37006460776678</v>
      </c>
      <c r="I222" s="5">
        <v>585</v>
      </c>
      <c r="J222" s="3">
        <f>I222/365+input!$K$2</f>
        <v>1.6027397260273972</v>
      </c>
      <c r="K222" s="4">
        <f t="shared" si="112"/>
        <v>33.543865369223774</v>
      </c>
      <c r="L222" s="10">
        <f t="shared" si="113"/>
        <v>61.388144187528368</v>
      </c>
      <c r="M222" s="20">
        <f>input!B221</f>
        <v>98.43</v>
      </c>
      <c r="N222" s="19">
        <f t="shared" si="93"/>
        <v>0.9538047679226751</v>
      </c>
      <c r="O222" s="21">
        <f t="shared" si="94"/>
        <v>1333.8716499479135</v>
      </c>
      <c r="P222" s="5">
        <v>950</v>
      </c>
      <c r="Q222" s="3">
        <f>P222/365+input!$K$2</f>
        <v>2.6027397260273974</v>
      </c>
      <c r="R222" s="4">
        <f t="shared" si="87"/>
        <v>38.233647626327382</v>
      </c>
      <c r="S222" s="10">
        <f t="shared" si="88"/>
        <v>93.804185256318092</v>
      </c>
      <c r="T222" s="20">
        <f>input!C221</f>
        <v>0.26</v>
      </c>
      <c r="U222" s="19">
        <f t="shared" si="95"/>
        <v>0.99718392303888981</v>
      </c>
      <c r="V222" s="21">
        <f t="shared" si="96"/>
        <v>1815.990259026793</v>
      </c>
      <c r="W222" s="21">
        <v>1315</v>
      </c>
      <c r="X222" s="3">
        <f>W222/365+input!$K$2</f>
        <v>3.6027397260273974</v>
      </c>
      <c r="Y222" s="4">
        <f t="shared" si="97"/>
        <v>39.469004015014669</v>
      </c>
      <c r="Z222" s="10">
        <f t="shared" si="89"/>
        <v>103.98435971907008</v>
      </c>
      <c r="AA222" s="20">
        <f>input!D221</f>
        <v>0</v>
      </c>
      <c r="AB222" s="19">
        <f t="shared" si="98"/>
        <v>0.99866597068041085</v>
      </c>
      <c r="AC222" s="21">
        <f t="shared" si="99"/>
        <v>1956.3459956959921</v>
      </c>
      <c r="AD222" s="8">
        <f t="shared" si="100"/>
        <v>128755.75438462425</v>
      </c>
      <c r="AE222" s="8">
        <f t="shared" si="101"/>
        <v>6042.4350323784174</v>
      </c>
      <c r="AF222" s="8">
        <f t="shared" si="102"/>
        <v>24.389088166642704</v>
      </c>
      <c r="AG222" s="8">
        <f t="shared" si="103"/>
        <v>0</v>
      </c>
      <c r="AH222" s="8">
        <f t="shared" si="104"/>
        <v>14706.339225435449</v>
      </c>
      <c r="AI222" s="8">
        <f t="shared" si="105"/>
        <v>5763.3033437455379</v>
      </c>
      <c r="AJ222" s="8">
        <f t="shared" si="106"/>
        <v>24.320406617354138</v>
      </c>
      <c r="AK222" s="8">
        <f t="shared" si="107"/>
        <v>0</v>
      </c>
      <c r="AL222" s="8">
        <f t="shared" si="108"/>
        <v>5240.8990599121653</v>
      </c>
      <c r="AM222" s="8">
        <f t="shared" si="109"/>
        <v>7687.5069402721874</v>
      </c>
      <c r="AN222" s="8">
        <f t="shared" si="110"/>
        <v>44.165621512685874</v>
      </c>
      <c r="AO222" s="8">
        <f t="shared" si="111"/>
        <v>0</v>
      </c>
      <c r="AQ222" s="22"/>
    </row>
    <row r="223" spans="1:43">
      <c r="A223" s="1">
        <v>41950</v>
      </c>
      <c r="B223" s="5">
        <v>221</v>
      </c>
      <c r="C223" s="3">
        <f>B223/365+input!$K$2</f>
        <v>0.60547945205479448</v>
      </c>
      <c r="D223" s="4">
        <f t="shared" si="86"/>
        <v>25.197953062962853</v>
      </c>
      <c r="E223" s="10">
        <f t="shared" si="90"/>
        <v>24.295256633067087</v>
      </c>
      <c r="F223" s="20">
        <f>input!A222</f>
        <v>5316.63</v>
      </c>
      <c r="G223" s="19">
        <f t="shared" si="91"/>
        <v>0.11608477209816237</v>
      </c>
      <c r="H223" s="21">
        <f t="shared" si="92"/>
        <v>360.11710046529771</v>
      </c>
      <c r="I223" s="5">
        <v>586</v>
      </c>
      <c r="J223" s="3">
        <f>I223/365+input!$K$2</f>
        <v>1.6054794520547946</v>
      </c>
      <c r="K223" s="4">
        <f t="shared" si="112"/>
        <v>33.560784958553796</v>
      </c>
      <c r="L223" s="10">
        <f t="shared" si="113"/>
        <v>61.488525195881934</v>
      </c>
      <c r="M223" s="20">
        <f>input!B222</f>
        <v>97.95</v>
      </c>
      <c r="N223" s="19">
        <f t="shared" si="93"/>
        <v>0.95425444341505228</v>
      </c>
      <c r="O223" s="21">
        <f t="shared" si="94"/>
        <v>1335.4989887912477</v>
      </c>
      <c r="P223" s="5">
        <v>951</v>
      </c>
      <c r="Q223" s="3">
        <f>P223/365+input!$K$2</f>
        <v>2.6054794520547944</v>
      </c>
      <c r="R223" s="4">
        <f t="shared" si="87"/>
        <v>38.243120876756215</v>
      </c>
      <c r="S223" s="10">
        <f t="shared" si="88"/>
        <v>93.879510583286176</v>
      </c>
      <c r="T223" s="20">
        <f>input!C222</f>
        <v>0.26</v>
      </c>
      <c r="U223" s="19">
        <f t="shared" si="95"/>
        <v>0.99719999809252413</v>
      </c>
      <c r="V223" s="21">
        <f t="shared" si="96"/>
        <v>1817.043908413938</v>
      </c>
      <c r="W223" s="21">
        <v>1316</v>
      </c>
      <c r="X223" s="3">
        <f>W223/365+input!$K$2</f>
        <v>3.6054794520547944</v>
      </c>
      <c r="Y223" s="4">
        <f t="shared" si="97"/>
        <v>39.469004015014669</v>
      </c>
      <c r="Z223" s="10">
        <f t="shared" si="89"/>
        <v>103.98435971907008</v>
      </c>
      <c r="AA223" s="20">
        <f>input!D222</f>
        <v>0</v>
      </c>
      <c r="AB223" s="19">
        <f t="shared" si="98"/>
        <v>0.99866597068041085</v>
      </c>
      <c r="AC223" s="21">
        <f t="shared" si="99"/>
        <v>1956.3459956959921</v>
      </c>
      <c r="AD223" s="8">
        <f t="shared" si="100"/>
        <v>129168.89027306347</v>
      </c>
      <c r="AE223" s="8">
        <f t="shared" si="101"/>
        <v>6022.8010429366359</v>
      </c>
      <c r="AF223" s="8">
        <f t="shared" si="102"/>
        <v>24.408672751654407</v>
      </c>
      <c r="AG223" s="8">
        <f t="shared" si="103"/>
        <v>0</v>
      </c>
      <c r="AH223" s="8">
        <f t="shared" si="104"/>
        <v>14994.541189521115</v>
      </c>
      <c r="AI223" s="8">
        <f t="shared" si="105"/>
        <v>5747.2846570270958</v>
      </c>
      <c r="AJ223" s="8">
        <f t="shared" si="106"/>
        <v>24.340328421390822</v>
      </c>
      <c r="AK223" s="8">
        <f t="shared" si="107"/>
        <v>0</v>
      </c>
      <c r="AL223" s="8">
        <f t="shared" si="108"/>
        <v>5399.7906959778202</v>
      </c>
      <c r="AM223" s="8">
        <f t="shared" si="109"/>
        <v>7675.4928477551393</v>
      </c>
      <c r="AN223" s="8">
        <f t="shared" si="110"/>
        <v>44.227445486882843</v>
      </c>
      <c r="AO223" s="8">
        <f t="shared" si="111"/>
        <v>0</v>
      </c>
      <c r="AQ223" s="22"/>
    </row>
    <row r="224" spans="1:43">
      <c r="A224" s="1">
        <v>41951</v>
      </c>
      <c r="B224" s="5">
        <v>222</v>
      </c>
      <c r="C224" s="3">
        <f>B224/365+input!$K$2</f>
        <v>0.60821917808219184</v>
      </c>
      <c r="D224" s="4">
        <f t="shared" si="86"/>
        <v>25.228124118579579</v>
      </c>
      <c r="E224" s="10">
        <f t="shared" si="90"/>
        <v>24.389635345889261</v>
      </c>
      <c r="F224" s="20">
        <f>input!A223</f>
        <v>5300.46</v>
      </c>
      <c r="G224" s="19">
        <f t="shared" si="91"/>
        <v>0.11797405085069973</v>
      </c>
      <c r="H224" s="21">
        <f t="shared" si="92"/>
        <v>363.87335845827067</v>
      </c>
      <c r="I224" s="5">
        <v>587</v>
      </c>
      <c r="J224" s="3">
        <f>I224/365+input!$K$2</f>
        <v>1.6082191780821917</v>
      </c>
      <c r="K224" s="4">
        <f t="shared" si="112"/>
        <v>33.577677683311158</v>
      </c>
      <c r="L224" s="10">
        <f t="shared" si="113"/>
        <v>61.588859974686812</v>
      </c>
      <c r="M224" s="20">
        <f>input!B223</f>
        <v>96.21</v>
      </c>
      <c r="N224" s="19">
        <f t="shared" si="93"/>
        <v>0.95469924547244756</v>
      </c>
      <c r="O224" s="21">
        <f t="shared" si="94"/>
        <v>1337.1241032996818</v>
      </c>
      <c r="P224" s="5">
        <v>952</v>
      </c>
      <c r="Q224" s="3">
        <f>P224/365+input!$K$2</f>
        <v>2.6082191780821917</v>
      </c>
      <c r="R224" s="4">
        <f t="shared" si="87"/>
        <v>38.252579085754704</v>
      </c>
      <c r="S224" s="10">
        <f t="shared" si="88"/>
        <v>93.954758018337358</v>
      </c>
      <c r="T224" s="20">
        <f>input!C223</f>
        <v>0.25</v>
      </c>
      <c r="U224" s="19">
        <f t="shared" si="95"/>
        <v>0.99721595633478965</v>
      </c>
      <c r="V224" s="21">
        <f t="shared" si="96"/>
        <v>1818.0962323078968</v>
      </c>
      <c r="W224" s="21">
        <v>1317</v>
      </c>
      <c r="X224" s="3">
        <f>W224/365+input!$K$2</f>
        <v>3.6082191780821917</v>
      </c>
      <c r="Y224" s="4">
        <f t="shared" si="97"/>
        <v>39.469004015014669</v>
      </c>
      <c r="Z224" s="10">
        <f t="shared" si="89"/>
        <v>103.98435971907008</v>
      </c>
      <c r="AA224" s="20">
        <f>input!D223</f>
        <v>0</v>
      </c>
      <c r="AB224" s="19">
        <f t="shared" si="98"/>
        <v>0.99866597068041085</v>
      </c>
      <c r="AC224" s="21">
        <f t="shared" si="99"/>
        <v>1956.3459956959921</v>
      </c>
      <c r="AD224" s="8">
        <f t="shared" si="100"/>
        <v>129276.2865654722</v>
      </c>
      <c r="AE224" s="8">
        <f t="shared" si="101"/>
        <v>5925.4642181646177</v>
      </c>
      <c r="AF224" s="8">
        <f t="shared" si="102"/>
        <v>23.48868950458434</v>
      </c>
      <c r="AG224" s="8">
        <f t="shared" si="103"/>
        <v>0</v>
      </c>
      <c r="AH224" s="8">
        <f t="shared" si="104"/>
        <v>15251.247205064647</v>
      </c>
      <c r="AI224" s="8">
        <f t="shared" si="105"/>
        <v>5657.0362181557466</v>
      </c>
      <c r="AJ224" s="8">
        <f t="shared" si="106"/>
        <v>23.423295967365007</v>
      </c>
      <c r="AK224" s="8">
        <f t="shared" si="107"/>
        <v>0</v>
      </c>
      <c r="AL224" s="8">
        <f t="shared" si="108"/>
        <v>5549.5225411841866</v>
      </c>
      <c r="AM224" s="8">
        <f t="shared" si="109"/>
        <v>7564.1594805353252</v>
      </c>
      <c r="AN224" s="8">
        <f t="shared" si="110"/>
        <v>42.585806146499074</v>
      </c>
      <c r="AO224" s="8">
        <f t="shared" si="111"/>
        <v>0</v>
      </c>
      <c r="AQ224" s="22"/>
    </row>
    <row r="225" spans="1:43">
      <c r="A225" s="1">
        <v>41952</v>
      </c>
      <c r="B225" s="5">
        <v>223</v>
      </c>
      <c r="C225" s="3">
        <f>B225/365+input!$K$2</f>
        <v>0.61095890410958908</v>
      </c>
      <c r="D225" s="4">
        <f t="shared" si="86"/>
        <v>25.258247269220593</v>
      </c>
      <c r="E225" s="10">
        <f t="shared" si="90"/>
        <v>24.484116771677478</v>
      </c>
      <c r="F225" s="20">
        <f>input!A224</f>
        <v>5296.83</v>
      </c>
      <c r="G225" s="19">
        <f t="shared" si="91"/>
        <v>0.11988684394454446</v>
      </c>
      <c r="H225" s="21">
        <f t="shared" si="92"/>
        <v>367.63852165126951</v>
      </c>
      <c r="I225" s="5">
        <v>588</v>
      </c>
      <c r="J225" s="3">
        <f>I225/365+input!$K$2</f>
        <v>1.6109589041095891</v>
      </c>
      <c r="K225" s="4">
        <f t="shared" si="112"/>
        <v>33.59454358615087</v>
      </c>
      <c r="L225" s="10">
        <f t="shared" si="113"/>
        <v>61.689148308710763</v>
      </c>
      <c r="M225" s="20">
        <f>input!B224</f>
        <v>95.74</v>
      </c>
      <c r="N225" s="19">
        <f t="shared" si="93"/>
        <v>0.9551392294101404</v>
      </c>
      <c r="O225" s="21">
        <f t="shared" si="94"/>
        <v>1338.7470048050595</v>
      </c>
      <c r="P225" s="5">
        <v>953</v>
      </c>
      <c r="Q225" s="3">
        <f>P225/365+input!$K$2</f>
        <v>2.6109589041095891</v>
      </c>
      <c r="R225" s="4">
        <f t="shared" si="87"/>
        <v>38.262022277205311</v>
      </c>
      <c r="S225" s="10">
        <f t="shared" si="88"/>
        <v>94.02992756555625</v>
      </c>
      <c r="T225" s="20">
        <f>input!C224</f>
        <v>0.25</v>
      </c>
      <c r="U225" s="19">
        <f t="shared" si="95"/>
        <v>0.9972317987550966</v>
      </c>
      <c r="V225" s="21">
        <f t="shared" si="96"/>
        <v>1819.1472317613827</v>
      </c>
      <c r="W225" s="21">
        <v>1318</v>
      </c>
      <c r="X225" s="3">
        <f>W225/365+input!$K$2</f>
        <v>3.6109589041095891</v>
      </c>
      <c r="Y225" s="4">
        <f t="shared" si="97"/>
        <v>39.469004015014669</v>
      </c>
      <c r="Z225" s="10">
        <f t="shared" si="89"/>
        <v>103.98435971907008</v>
      </c>
      <c r="AA225" s="20">
        <f>input!D224</f>
        <v>0</v>
      </c>
      <c r="AB225" s="19">
        <f t="shared" si="98"/>
        <v>0.99866597068041085</v>
      </c>
      <c r="AC225" s="21">
        <f t="shared" si="99"/>
        <v>1956.3459956959921</v>
      </c>
      <c r="AD225" s="8">
        <f t="shared" si="100"/>
        <v>129688.20423972441</v>
      </c>
      <c r="AE225" s="8">
        <f t="shared" si="101"/>
        <v>5906.1190590759679</v>
      </c>
      <c r="AF225" s="8">
        <f t="shared" si="102"/>
        <v>23.507481891389062</v>
      </c>
      <c r="AG225" s="8">
        <f t="shared" si="103"/>
        <v>0</v>
      </c>
      <c r="AH225" s="8">
        <f t="shared" si="104"/>
        <v>15547.90950313605</v>
      </c>
      <c r="AI225" s="8">
        <f t="shared" si="105"/>
        <v>5641.1660068903639</v>
      </c>
      <c r="AJ225" s="8">
        <f t="shared" si="106"/>
        <v>23.442408450752776</v>
      </c>
      <c r="AK225" s="8">
        <f t="shared" si="107"/>
        <v>0</v>
      </c>
      <c r="AL225" s="8">
        <f t="shared" si="108"/>
        <v>5716.0104645006622</v>
      </c>
      <c r="AM225" s="8">
        <f t="shared" si="109"/>
        <v>7552.0940953325926</v>
      </c>
      <c r="AN225" s="8">
        <f t="shared" si="110"/>
        <v>42.645192439006557</v>
      </c>
      <c r="AO225" s="8">
        <f t="shared" si="111"/>
        <v>0</v>
      </c>
      <c r="AQ225" s="22"/>
    </row>
    <row r="226" spans="1:43">
      <c r="A226" s="1">
        <v>41953</v>
      </c>
      <c r="B226" s="5">
        <v>224</v>
      </c>
      <c r="C226" s="3">
        <f>B226/365+input!$K$2</f>
        <v>0.61369863013698633</v>
      </c>
      <c r="D226" s="4">
        <f t="shared" si="86"/>
        <v>25.288322590948418</v>
      </c>
      <c r="E226" s="10">
        <f t="shared" si="90"/>
        <v>24.578700318761598</v>
      </c>
      <c r="F226" s="20">
        <f>input!A225</f>
        <v>5285.64</v>
      </c>
      <c r="G226" s="19">
        <f t="shared" si="91"/>
        <v>0.12182326599664219</v>
      </c>
      <c r="H226" s="21">
        <f t="shared" si="92"/>
        <v>371.41227330728674</v>
      </c>
      <c r="I226" s="5">
        <v>589</v>
      </c>
      <c r="J226" s="3">
        <f>I226/365+input!$K$2</f>
        <v>1.6136986301369862</v>
      </c>
      <c r="K226" s="4">
        <f t="shared" si="112"/>
        <v>33.611382709660205</v>
      </c>
      <c r="L226" s="10">
        <f t="shared" si="113"/>
        <v>61.789389983652327</v>
      </c>
      <c r="M226" s="20">
        <f>input!B225</f>
        <v>94.18</v>
      </c>
      <c r="N226" s="19">
        <f t="shared" si="93"/>
        <v>0.95557444993500129</v>
      </c>
      <c r="O226" s="21">
        <f t="shared" si="94"/>
        <v>1340.3677044714084</v>
      </c>
      <c r="P226" s="5">
        <v>954</v>
      </c>
      <c r="Q226" s="3">
        <f>P226/365+input!$K$2</f>
        <v>2.6136986301369864</v>
      </c>
      <c r="R226" s="4">
        <f t="shared" si="87"/>
        <v>38.271450474952573</v>
      </c>
      <c r="S226" s="10">
        <f t="shared" si="88"/>
        <v>94.105019229340044</v>
      </c>
      <c r="T226" s="20">
        <f>input!C225</f>
        <v>0.25</v>
      </c>
      <c r="U226" s="19">
        <f t="shared" si="95"/>
        <v>0.99724752633343083</v>
      </c>
      <c r="V226" s="21">
        <f t="shared" si="96"/>
        <v>1820.1969078282766</v>
      </c>
      <c r="W226" s="21">
        <v>1319</v>
      </c>
      <c r="X226" s="3">
        <f>W226/365+input!$K$2</f>
        <v>3.6136986301369864</v>
      </c>
      <c r="Y226" s="4">
        <f t="shared" si="97"/>
        <v>39.469004015014669</v>
      </c>
      <c r="Z226" s="10">
        <f t="shared" si="89"/>
        <v>103.98435971907008</v>
      </c>
      <c r="AA226" s="20">
        <f>input!D225</f>
        <v>0</v>
      </c>
      <c r="AB226" s="19">
        <f t="shared" si="98"/>
        <v>0.99866597068041085</v>
      </c>
      <c r="AC226" s="21">
        <f t="shared" si="99"/>
        <v>1956.3459956959921</v>
      </c>
      <c r="AD226" s="8">
        <f t="shared" si="100"/>
        <v>129914.16155285906</v>
      </c>
      <c r="AE226" s="8">
        <f t="shared" si="101"/>
        <v>5819.3247486603768</v>
      </c>
      <c r="AF226" s="8">
        <f t="shared" si="102"/>
        <v>23.526254807335011</v>
      </c>
      <c r="AG226" s="8">
        <f t="shared" si="103"/>
        <v>0</v>
      </c>
      <c r="AH226" s="8">
        <f t="shared" si="104"/>
        <v>15826.567459584696</v>
      </c>
      <c r="AI226" s="8">
        <f t="shared" si="105"/>
        <v>5560.7980456942796</v>
      </c>
      <c r="AJ226" s="8">
        <f t="shared" si="106"/>
        <v>23.461499410504825</v>
      </c>
      <c r="AK226" s="8">
        <f t="shared" si="107"/>
        <v>0</v>
      </c>
      <c r="AL226" s="8">
        <f t="shared" si="108"/>
        <v>5878.1813988154818</v>
      </c>
      <c r="AM226" s="8">
        <f t="shared" si="109"/>
        <v>7453.5141115363349</v>
      </c>
      <c r="AN226" s="8">
        <f t="shared" si="110"/>
        <v>42.704548680015819</v>
      </c>
      <c r="AO226" s="8">
        <f t="shared" si="111"/>
        <v>0</v>
      </c>
      <c r="AQ226" s="22"/>
    </row>
    <row r="227" spans="1:43">
      <c r="A227" s="1">
        <v>41954</v>
      </c>
      <c r="B227" s="5">
        <v>225</v>
      </c>
      <c r="C227" s="3">
        <f>B227/365+input!$K$2</f>
        <v>0.61643835616438358</v>
      </c>
      <c r="D227" s="4">
        <f t="shared" si="86"/>
        <v>25.318350159704814</v>
      </c>
      <c r="E227" s="10">
        <f t="shared" si="90"/>
        <v>24.673385396104031</v>
      </c>
      <c r="F227" s="20">
        <f>input!A226</f>
        <v>5274.02</v>
      </c>
      <c r="G227" s="19">
        <f t="shared" si="91"/>
        <v>0.12378342748459936</v>
      </c>
      <c r="H227" s="21">
        <f t="shared" si="92"/>
        <v>375.19429698905327</v>
      </c>
      <c r="I227" s="5">
        <v>590</v>
      </c>
      <c r="J227" s="3">
        <f>I227/365+input!$K$2</f>
        <v>1.6164383561643836</v>
      </c>
      <c r="K227" s="4">
        <f t="shared" si="112"/>
        <v>33.628195096358844</v>
      </c>
      <c r="L227" s="10">
        <f t="shared" si="113"/>
        <v>61.889584786139672</v>
      </c>
      <c r="M227" s="20">
        <f>input!B226</f>
        <v>93.25</v>
      </c>
      <c r="N227" s="19">
        <f t="shared" si="93"/>
        <v>0.95600496115084554</v>
      </c>
      <c r="O227" s="21">
        <f t="shared" si="94"/>
        <v>1341.9862132971614</v>
      </c>
      <c r="P227" s="5">
        <v>955</v>
      </c>
      <c r="Q227" s="3">
        <f>P227/365+input!$K$2</f>
        <v>2.6164383561643834</v>
      </c>
      <c r="R227" s="4">
        <f t="shared" si="87"/>
        <v>38.280863702803209</v>
      </c>
      <c r="S227" s="10">
        <f t="shared" si="88"/>
        <v>94.180033014398603</v>
      </c>
      <c r="T227" s="20">
        <f>input!C226</f>
        <v>0.25</v>
      </c>
      <c r="U227" s="19">
        <f t="shared" si="95"/>
        <v>0.9972631400404508</v>
      </c>
      <c r="V227" s="21">
        <f t="shared" si="96"/>
        <v>1821.2452615636494</v>
      </c>
      <c r="W227" s="21">
        <v>1320</v>
      </c>
      <c r="X227" s="3">
        <f>W227/365+input!$K$2</f>
        <v>3.6164383561643834</v>
      </c>
      <c r="Y227" s="4">
        <f t="shared" si="97"/>
        <v>39.469004015014669</v>
      </c>
      <c r="Z227" s="10">
        <f t="shared" si="89"/>
        <v>103.98435971907008</v>
      </c>
      <c r="AA227" s="20">
        <f>input!D226</f>
        <v>0</v>
      </c>
      <c r="AB227" s="19">
        <f t="shared" si="98"/>
        <v>0.99866597068041085</v>
      </c>
      <c r="AC227" s="21">
        <f t="shared" si="99"/>
        <v>1956.3459956959921</v>
      </c>
      <c r="AD227" s="8">
        <f t="shared" si="100"/>
        <v>130127.92804676059</v>
      </c>
      <c r="AE227" s="8">
        <f t="shared" si="101"/>
        <v>5771.203781307524</v>
      </c>
      <c r="AF227" s="8">
        <f t="shared" si="102"/>
        <v>23.545008253599651</v>
      </c>
      <c r="AG227" s="8">
        <f t="shared" si="103"/>
        <v>0</v>
      </c>
      <c r="AH227" s="8">
        <f t="shared" si="104"/>
        <v>16107.680945097352</v>
      </c>
      <c r="AI227" s="8">
        <f t="shared" si="105"/>
        <v>5517.2994467425124</v>
      </c>
      <c r="AJ227" s="8">
        <f t="shared" si="106"/>
        <v>23.48056886326312</v>
      </c>
      <c r="AK227" s="8">
        <f t="shared" si="107"/>
        <v>0</v>
      </c>
      <c r="AL227" s="8">
        <f t="shared" si="108"/>
        <v>6043.5100283197708</v>
      </c>
      <c r="AM227" s="8">
        <f t="shared" si="109"/>
        <v>7404.1397921605076</v>
      </c>
      <c r="AN227" s="8">
        <f t="shared" si="110"/>
        <v>42.763874781036925</v>
      </c>
      <c r="AO227" s="8">
        <f t="shared" si="111"/>
        <v>0</v>
      </c>
      <c r="AQ227" s="22"/>
    </row>
    <row r="228" spans="1:43">
      <c r="A228" s="1">
        <v>41955</v>
      </c>
      <c r="B228" s="5">
        <v>226</v>
      </c>
      <c r="C228" s="3">
        <f>B228/365+input!$K$2</f>
        <v>0.61917808219178083</v>
      </c>
      <c r="D228" s="4">
        <f t="shared" si="86"/>
        <v>25.348330051310953</v>
      </c>
      <c r="E228" s="10">
        <f t="shared" si="90"/>
        <v>24.76817141330686</v>
      </c>
      <c r="F228" s="20">
        <f>input!A227</f>
        <v>5262.64</v>
      </c>
      <c r="G228" s="19">
        <f t="shared" si="91"/>
        <v>0.12576743462072965</v>
      </c>
      <c r="H228" s="21">
        <f t="shared" si="92"/>
        <v>378.98427665921525</v>
      </c>
      <c r="I228" s="5">
        <v>591</v>
      </c>
      <c r="J228" s="3">
        <f>I228/365+input!$K$2</f>
        <v>1.6191780821917807</v>
      </c>
      <c r="K228" s="4">
        <f t="shared" si="112"/>
        <v>33.644980788698923</v>
      </c>
      <c r="L228" s="10">
        <f t="shared" si="113"/>
        <v>61.989732503728305</v>
      </c>
      <c r="M228" s="20">
        <f>input!B227</f>
        <v>91.82</v>
      </c>
      <c r="N228" s="19">
        <f t="shared" si="93"/>
        <v>0.95643081656378337</v>
      </c>
      <c r="O228" s="21">
        <f t="shared" si="94"/>
        <v>1343.6025421173324</v>
      </c>
      <c r="P228" s="5">
        <v>956</v>
      </c>
      <c r="Q228" s="3">
        <f>P228/365+input!$K$2</f>
        <v>2.6191780821917807</v>
      </c>
      <c r="R228" s="4">
        <f t="shared" si="87"/>
        <v>38.29026198452609</v>
      </c>
      <c r="S228" s="10">
        <f t="shared" si="88"/>
        <v>94.254968925751712</v>
      </c>
      <c r="T228" s="20">
        <f>input!C227</f>
        <v>0.24</v>
      </c>
      <c r="U228" s="19">
        <f t="shared" si="95"/>
        <v>0.99727864083758588</v>
      </c>
      <c r="V228" s="21">
        <f t="shared" si="96"/>
        <v>1822.2922940237127</v>
      </c>
      <c r="W228" s="21">
        <v>1321</v>
      </c>
      <c r="X228" s="3">
        <f>W228/365+input!$K$2</f>
        <v>3.6191780821917807</v>
      </c>
      <c r="Y228" s="4">
        <f t="shared" si="97"/>
        <v>39.469004015014669</v>
      </c>
      <c r="Z228" s="10">
        <f t="shared" si="89"/>
        <v>103.98435971907008</v>
      </c>
      <c r="AA228" s="20">
        <f>input!D227</f>
        <v>0</v>
      </c>
      <c r="AB228" s="19">
        <f t="shared" si="98"/>
        <v>0.99866597068041085</v>
      </c>
      <c r="AC228" s="21">
        <f t="shared" si="99"/>
        <v>1956.3459956959921</v>
      </c>
      <c r="AD228" s="8">
        <f t="shared" si="100"/>
        <v>130345.96960652522</v>
      </c>
      <c r="AE228" s="8">
        <f t="shared" si="101"/>
        <v>5691.8972384923327</v>
      </c>
      <c r="AF228" s="8">
        <f t="shared" si="102"/>
        <v>22.62119254218041</v>
      </c>
      <c r="AG228" s="8">
        <f t="shared" si="103"/>
        <v>0</v>
      </c>
      <c r="AH228" s="8">
        <f t="shared" si="104"/>
        <v>16393.278210564273</v>
      </c>
      <c r="AI228" s="8">
        <f t="shared" si="105"/>
        <v>5443.9059236083658</v>
      </c>
      <c r="AJ228" s="8">
        <f t="shared" si="106"/>
        <v>22.559632152591014</v>
      </c>
      <c r="AK228" s="8">
        <f t="shared" si="107"/>
        <v>0</v>
      </c>
      <c r="AL228" s="8">
        <f t="shared" si="108"/>
        <v>6212.7946847039757</v>
      </c>
      <c r="AM228" s="8">
        <f t="shared" si="109"/>
        <v>7314.4458380078049</v>
      </c>
      <c r="AN228" s="8">
        <f t="shared" si="110"/>
        <v>41.110243827676193</v>
      </c>
      <c r="AO228" s="8">
        <f t="shared" si="111"/>
        <v>0</v>
      </c>
      <c r="AQ228" s="22"/>
    </row>
    <row r="229" spans="1:43">
      <c r="A229" s="1">
        <v>41956</v>
      </c>
      <c r="B229" s="5">
        <v>227</v>
      </c>
      <c r="C229" s="3">
        <f>B229/365+input!$K$2</f>
        <v>0.62191780821917808</v>
      </c>
      <c r="D229" s="4">
        <f t="shared" si="86"/>
        <v>25.378262341467625</v>
      </c>
      <c r="E229" s="10">
        <f t="shared" si="90"/>
        <v>24.863057780618643</v>
      </c>
      <c r="F229" s="20">
        <f>input!A228</f>
        <v>5259.04</v>
      </c>
      <c r="G229" s="19">
        <f t="shared" si="91"/>
        <v>0.12777538922604739</v>
      </c>
      <c r="H229" s="21">
        <f t="shared" si="92"/>
        <v>382.78189677932437</v>
      </c>
      <c r="I229" s="5">
        <v>592</v>
      </c>
      <c r="J229" s="3">
        <f>I229/365+input!$K$2</f>
        <v>1.6219178082191781</v>
      </c>
      <c r="K229" s="4">
        <f t="shared" si="112"/>
        <v>33.661739829065205</v>
      </c>
      <c r="L229" s="10">
        <f t="shared" si="113"/>
        <v>62.089832924899419</v>
      </c>
      <c r="M229" s="20">
        <f>input!B228</f>
        <v>91.36</v>
      </c>
      <c r="N229" s="19">
        <f t="shared" si="93"/>
        <v>0.95685206908757503</v>
      </c>
      <c r="O229" s="21">
        <f t="shared" si="94"/>
        <v>1345.2167016057215</v>
      </c>
      <c r="P229" s="5">
        <v>957</v>
      </c>
      <c r="Q229" s="3">
        <f>P229/365+input!$K$2</f>
        <v>2.6219178082191781</v>
      </c>
      <c r="R229" s="4">
        <f t="shared" si="87"/>
        <v>38.299645343852376</v>
      </c>
      <c r="S229" s="10">
        <f t="shared" si="88"/>
        <v>94.329826968729108</v>
      </c>
      <c r="T229" s="20">
        <f>input!C228</f>
        <v>0.24</v>
      </c>
      <c r="U229" s="19">
        <f t="shared" si="95"/>
        <v>0.99729402967713354</v>
      </c>
      <c r="V229" s="21">
        <f t="shared" si="96"/>
        <v>1823.3380062658607</v>
      </c>
      <c r="W229" s="21">
        <v>1322</v>
      </c>
      <c r="X229" s="3">
        <f>W229/365+input!$K$2</f>
        <v>3.6219178082191781</v>
      </c>
      <c r="Y229" s="4">
        <f t="shared" si="97"/>
        <v>39.469004015014669</v>
      </c>
      <c r="Z229" s="10">
        <f t="shared" si="89"/>
        <v>103.98435971907008</v>
      </c>
      <c r="AA229" s="20">
        <f>input!D228</f>
        <v>0</v>
      </c>
      <c r="AB229" s="19">
        <f t="shared" si="98"/>
        <v>0.99866597068041085</v>
      </c>
      <c r="AC229" s="21">
        <f t="shared" si="99"/>
        <v>1956.3459956959921</v>
      </c>
      <c r="AD229" s="8">
        <f t="shared" si="100"/>
        <v>130755.81539058467</v>
      </c>
      <c r="AE229" s="8">
        <f t="shared" si="101"/>
        <v>5672.5271360188108</v>
      </c>
      <c r="AF229" s="8">
        <f t="shared" si="102"/>
        <v>22.639158472494984</v>
      </c>
      <c r="AG229" s="8">
        <f t="shared" si="103"/>
        <v>0</v>
      </c>
      <c r="AH229" s="8">
        <f t="shared" si="104"/>
        <v>16707.375205101154</v>
      </c>
      <c r="AI229" s="8">
        <f t="shared" si="105"/>
        <v>5427.7693270550153</v>
      </c>
      <c r="AJ229" s="8">
        <f t="shared" si="106"/>
        <v>22.57789758153374</v>
      </c>
      <c r="AK229" s="8">
        <f t="shared" si="107"/>
        <v>0</v>
      </c>
      <c r="AL229" s="8">
        <f t="shared" si="108"/>
        <v>6395.2807712124732</v>
      </c>
      <c r="AM229" s="8">
        <f t="shared" si="109"/>
        <v>7301.5259512176544</v>
      </c>
      <c r="AN229" s="8">
        <f t="shared" si="110"/>
        <v>41.167138761988525</v>
      </c>
      <c r="AO229" s="8">
        <f t="shared" si="111"/>
        <v>0</v>
      </c>
      <c r="AQ229" s="22"/>
    </row>
    <row r="230" spans="1:43">
      <c r="A230" s="1">
        <v>41957</v>
      </c>
      <c r="B230" s="5">
        <v>228</v>
      </c>
      <c r="C230" s="3">
        <f>B230/365+input!$K$2</f>
        <v>0.62465753424657533</v>
      </c>
      <c r="D230" s="4">
        <f t="shared" si="86"/>
        <v>25.408147105755418</v>
      </c>
      <c r="E230" s="10">
        <f t="shared" si="90"/>
        <v>24.958043908941669</v>
      </c>
      <c r="F230" s="20">
        <f>input!A229</f>
        <v>5242.1099999999997</v>
      </c>
      <c r="G230" s="19">
        <f t="shared" si="91"/>
        <v>0.12980738860431304</v>
      </c>
      <c r="H230" s="21">
        <f t="shared" si="92"/>
        <v>386.58684240760033</v>
      </c>
      <c r="I230" s="5">
        <v>593</v>
      </c>
      <c r="J230" s="3">
        <f>I230/365+input!$K$2</f>
        <v>1.6246575342465754</v>
      </c>
      <c r="K230" s="4">
        <f t="shared" si="112"/>
        <v>33.678472259775141</v>
      </c>
      <c r="L230" s="10">
        <f t="shared" si="113"/>
        <v>62.189885839058107</v>
      </c>
      <c r="M230" s="20">
        <f>input!B229</f>
        <v>89.92</v>
      </c>
      <c r="N230" s="19">
        <f t="shared" si="93"/>
        <v>0.95726877104897801</v>
      </c>
      <c r="O230" s="21">
        <f t="shared" si="94"/>
        <v>1346.8287022770585</v>
      </c>
      <c r="P230" s="5">
        <v>958</v>
      </c>
      <c r="Q230" s="3">
        <f>P230/365+input!$K$2</f>
        <v>2.6246575342465754</v>
      </c>
      <c r="R230" s="4">
        <f t="shared" si="87"/>
        <v>38.309013804475534</v>
      </c>
      <c r="S230" s="10">
        <f t="shared" si="88"/>
        <v>94.404607148968338</v>
      </c>
      <c r="T230" s="20">
        <f>input!C229</f>
        <v>0.24</v>
      </c>
      <c r="U230" s="19">
        <f t="shared" si="95"/>
        <v>0.99730930750235314</v>
      </c>
      <c r="V230" s="21">
        <f t="shared" si="96"/>
        <v>1824.3823993486228</v>
      </c>
      <c r="W230" s="21">
        <v>1323</v>
      </c>
      <c r="X230" s="3">
        <f>W230/365+input!$K$2</f>
        <v>3.6246575342465754</v>
      </c>
      <c r="Y230" s="4">
        <f t="shared" si="97"/>
        <v>39.469004015014669</v>
      </c>
      <c r="Z230" s="10">
        <f t="shared" si="89"/>
        <v>103.98435971907008</v>
      </c>
      <c r="AA230" s="20">
        <f>input!D229</f>
        <v>0</v>
      </c>
      <c r="AB230" s="19">
        <f t="shared" si="98"/>
        <v>0.99866597068041085</v>
      </c>
      <c r="AC230" s="21">
        <f t="shared" si="99"/>
        <v>1956.3459956959921</v>
      </c>
      <c r="AD230" s="8">
        <f t="shared" si="100"/>
        <v>130832.81155550221</v>
      </c>
      <c r="AE230" s="8">
        <f t="shared" si="101"/>
        <v>5592.1145346481053</v>
      </c>
      <c r="AF230" s="8">
        <f t="shared" si="102"/>
        <v>22.657105715752401</v>
      </c>
      <c r="AG230" s="8">
        <f t="shared" si="103"/>
        <v>0</v>
      </c>
      <c r="AH230" s="8">
        <f t="shared" si="104"/>
        <v>16983.065611779934</v>
      </c>
      <c r="AI230" s="8">
        <f t="shared" si="105"/>
        <v>5353.1566081477195</v>
      </c>
      <c r="AJ230" s="8">
        <f t="shared" si="106"/>
        <v>22.596142411384633</v>
      </c>
      <c r="AK230" s="8">
        <f t="shared" si="107"/>
        <v>0</v>
      </c>
      <c r="AL230" s="8">
        <f t="shared" si="108"/>
        <v>6565.4297092591059</v>
      </c>
      <c r="AM230" s="8">
        <f t="shared" si="109"/>
        <v>7209.7849676374535</v>
      </c>
      <c r="AN230" s="8">
        <f t="shared" si="110"/>
        <v>41.224004508505075</v>
      </c>
      <c r="AO230" s="8">
        <f t="shared" si="111"/>
        <v>0</v>
      </c>
      <c r="AQ230" s="22"/>
    </row>
    <row r="231" spans="1:43">
      <c r="A231" s="1">
        <v>41958</v>
      </c>
      <c r="B231" s="5">
        <v>229</v>
      </c>
      <c r="C231" s="3">
        <f>B231/365+input!$K$2</f>
        <v>0.62739726027397258</v>
      </c>
      <c r="D231" s="4">
        <f t="shared" si="86"/>
        <v>25.437984419634933</v>
      </c>
      <c r="E231" s="10">
        <f t="shared" si="90"/>
        <v>25.053129209838922</v>
      </c>
      <c r="F231" s="20">
        <f>input!A230</f>
        <v>5238.5200000000004</v>
      </c>
      <c r="G231" s="19">
        <f t="shared" si="91"/>
        <v>0.13186352541625621</v>
      </c>
      <c r="H231" s="21">
        <f t="shared" si="92"/>
        <v>390.39879929542406</v>
      </c>
      <c r="I231" s="5">
        <v>594</v>
      </c>
      <c r="J231" s="3">
        <f>I231/365+input!$K$2</f>
        <v>1.6273972602739726</v>
      </c>
      <c r="K231" s="4">
        <f t="shared" si="112"/>
        <v>33.695178123078975</v>
      </c>
      <c r="L231" s="10">
        <f t="shared" si="113"/>
        <v>62.28989103653111</v>
      </c>
      <c r="M231" s="20">
        <f>input!B230</f>
        <v>89.47</v>
      </c>
      <c r="N231" s="19">
        <f t="shared" si="93"/>
        <v>0.95768097419309206</v>
      </c>
      <c r="O231" s="21">
        <f t="shared" si="94"/>
        <v>1348.4385544891363</v>
      </c>
      <c r="P231" s="5">
        <v>959</v>
      </c>
      <c r="Q231" s="3">
        <f>P231/365+input!$K$2</f>
        <v>2.6273972602739728</v>
      </c>
      <c r="R231" s="4">
        <f t="shared" si="87"/>
        <v>38.318367390051421</v>
      </c>
      <c r="S231" s="10">
        <f t="shared" si="88"/>
        <v>94.479309472413931</v>
      </c>
      <c r="T231" s="20">
        <f>input!C230</f>
        <v>0.24</v>
      </c>
      <c r="U231" s="19">
        <f t="shared" si="95"/>
        <v>0.99732447524756151</v>
      </c>
      <c r="V231" s="21">
        <f t="shared" si="96"/>
        <v>1825.4254743316974</v>
      </c>
      <c r="W231" s="21">
        <v>1324</v>
      </c>
      <c r="X231" s="3">
        <f>W231/365+input!$K$2</f>
        <v>3.6273972602739728</v>
      </c>
      <c r="Y231" s="4">
        <f t="shared" si="97"/>
        <v>39.469004015014669</v>
      </c>
      <c r="Z231" s="10">
        <f t="shared" si="89"/>
        <v>103.98435971907008</v>
      </c>
      <c r="AA231" s="20">
        <f>input!D230</f>
        <v>0</v>
      </c>
      <c r="AB231" s="19">
        <f t="shared" si="98"/>
        <v>0.99866597068041085</v>
      </c>
      <c r="AC231" s="21">
        <f t="shared" si="99"/>
        <v>1956.3459956959921</v>
      </c>
      <c r="AD231" s="8">
        <f t="shared" si="100"/>
        <v>131241.31842832541</v>
      </c>
      <c r="AE231" s="8">
        <f t="shared" si="101"/>
        <v>5573.0765510384381</v>
      </c>
      <c r="AF231" s="8">
        <f t="shared" si="102"/>
        <v>22.675034273379342</v>
      </c>
      <c r="AG231" s="8">
        <f t="shared" si="103"/>
        <v>0</v>
      </c>
      <c r="AH231" s="8">
        <f t="shared" si="104"/>
        <v>17305.942928236462</v>
      </c>
      <c r="AI231" s="8">
        <f t="shared" si="105"/>
        <v>5337.2293806511689</v>
      </c>
      <c r="AJ231" s="8">
        <f t="shared" si="106"/>
        <v>22.614366657918524</v>
      </c>
      <c r="AK231" s="8">
        <f t="shared" si="107"/>
        <v>0</v>
      </c>
      <c r="AL231" s="8">
        <f t="shared" si="108"/>
        <v>6756.2193398586496</v>
      </c>
      <c r="AM231" s="8">
        <f t="shared" si="109"/>
        <v>7196.9258710222102</v>
      </c>
      <c r="AN231" s="8">
        <f t="shared" si="110"/>
        <v>41.280840983241838</v>
      </c>
      <c r="AO231" s="8">
        <f t="shared" si="111"/>
        <v>0</v>
      </c>
      <c r="AQ231" s="22"/>
    </row>
    <row r="232" spans="1:43">
      <c r="A232" s="1">
        <v>41959</v>
      </c>
      <c r="B232" s="5">
        <v>230</v>
      </c>
      <c r="C232" s="3">
        <f>B232/365+input!$K$2</f>
        <v>0.63013698630136983</v>
      </c>
      <c r="D232" s="4">
        <f t="shared" si="86"/>
        <v>25.467774358446935</v>
      </c>
      <c r="E232" s="10">
        <f t="shared" si="90"/>
        <v>25.148313095540662</v>
      </c>
      <c r="F232" s="20">
        <f>input!A231</f>
        <v>5224.13</v>
      </c>
      <c r="G232" s="19">
        <f t="shared" si="91"/>
        <v>0.13394388755407635</v>
      </c>
      <c r="H232" s="21">
        <f t="shared" si="92"/>
        <v>394.21745398250948</v>
      </c>
      <c r="I232" s="5">
        <v>595</v>
      </c>
      <c r="J232" s="3">
        <f>I232/365+input!$K$2</f>
        <v>1.6301369863013699</v>
      </c>
      <c r="K232" s="4">
        <f t="shared" si="112"/>
        <v>33.711857461159894</v>
      </c>
      <c r="L232" s="10">
        <f t="shared" si="113"/>
        <v>62.389848308565639</v>
      </c>
      <c r="M232" s="20">
        <f>input!B231</f>
        <v>87.87</v>
      </c>
      <c r="N232" s="19">
        <f t="shared" si="93"/>
        <v>0.95808872968869685</v>
      </c>
      <c r="O232" s="21">
        <f t="shared" si="94"/>
        <v>1350.0462684449401</v>
      </c>
      <c r="P232" s="5">
        <v>960</v>
      </c>
      <c r="Q232" s="3">
        <f>P232/365+input!$K$2</f>
        <v>2.6301369863013697</v>
      </c>
      <c r="R232" s="4">
        <f t="shared" si="87"/>
        <v>38.327706124198315</v>
      </c>
      <c r="S232" s="10">
        <f t="shared" si="88"/>
        <v>94.553933945316317</v>
      </c>
      <c r="T232" s="20">
        <f>input!C231</f>
        <v>0.23</v>
      </c>
      <c r="U232" s="19">
        <f t="shared" si="95"/>
        <v>0.99733953383822604</v>
      </c>
      <c r="V232" s="21">
        <f t="shared" si="96"/>
        <v>1826.4672322759229</v>
      </c>
      <c r="W232" s="21">
        <v>1325</v>
      </c>
      <c r="X232" s="3">
        <f>W232/365+input!$K$2</f>
        <v>3.6301369863013697</v>
      </c>
      <c r="Y232" s="4">
        <f t="shared" si="97"/>
        <v>39.469004015014669</v>
      </c>
      <c r="Z232" s="10">
        <f t="shared" si="89"/>
        <v>103.98435971907008</v>
      </c>
      <c r="AA232" s="20">
        <f>input!D231</f>
        <v>0</v>
      </c>
      <c r="AB232" s="19">
        <f t="shared" si="98"/>
        <v>0.99866597068041085</v>
      </c>
      <c r="AC232" s="21">
        <f t="shared" si="99"/>
        <v>1956.3459956959921</v>
      </c>
      <c r="AD232" s="8">
        <f t="shared" si="100"/>
        <v>131378.05689180683</v>
      </c>
      <c r="AE232" s="8">
        <f t="shared" si="101"/>
        <v>5482.1959708736631</v>
      </c>
      <c r="AF232" s="8">
        <f t="shared" si="102"/>
        <v>21.747404807422754</v>
      </c>
      <c r="AG232" s="8">
        <f t="shared" si="103"/>
        <v>0</v>
      </c>
      <c r="AH232" s="8">
        <f t="shared" si="104"/>
        <v>17597.287679389221</v>
      </c>
      <c r="AI232" s="8">
        <f t="shared" si="105"/>
        <v>5252.4301736388397</v>
      </c>
      <c r="AJ232" s="8">
        <f t="shared" si="106"/>
        <v>21.689546572826206</v>
      </c>
      <c r="AK232" s="8">
        <f t="shared" si="107"/>
        <v>0</v>
      </c>
      <c r="AL232" s="8">
        <f t="shared" si="108"/>
        <v>6937.1579459666018</v>
      </c>
      <c r="AM232" s="8">
        <f t="shared" si="109"/>
        <v>7091.0237561887243</v>
      </c>
      <c r="AN232" s="8">
        <f t="shared" si="110"/>
        <v>39.615246098189608</v>
      </c>
      <c r="AO232" s="8">
        <f t="shared" si="111"/>
        <v>0</v>
      </c>
      <c r="AQ232" s="22"/>
    </row>
    <row r="233" spans="1:43">
      <c r="A233" s="1">
        <v>41960</v>
      </c>
      <c r="B233" s="5">
        <v>231</v>
      </c>
      <c r="C233" s="3">
        <f>B233/365+input!$K$2</f>
        <v>0.63287671232876708</v>
      </c>
      <c r="D233" s="4">
        <f t="shared" si="86"/>
        <v>25.497516997412571</v>
      </c>
      <c r="E233" s="10">
        <f t="shared" si="90"/>
        <v>25.243594978951553</v>
      </c>
      <c r="F233" s="20">
        <f>input!A232</f>
        <v>5215.21</v>
      </c>
      <c r="G233" s="19">
        <f t="shared" si="91"/>
        <v>0.13604855801636279</v>
      </c>
      <c r="H233" s="21">
        <f t="shared" si="92"/>
        <v>398.04249389073755</v>
      </c>
      <c r="I233" s="5">
        <v>596</v>
      </c>
      <c r="J233" s="3">
        <f>I233/365+input!$K$2</f>
        <v>1.6328767123287671</v>
      </c>
      <c r="K233" s="4">
        <f t="shared" si="112"/>
        <v>33.728510316134106</v>
      </c>
      <c r="L233" s="10">
        <f t="shared" si="113"/>
        <v>62.489757447326873</v>
      </c>
      <c r="M233" s="20">
        <f>input!B232</f>
        <v>87.3</v>
      </c>
      <c r="N233" s="19">
        <f t="shared" si="93"/>
        <v>0.95849208813358233</v>
      </c>
      <c r="O233" s="21">
        <f t="shared" si="94"/>
        <v>1351.6518541947453</v>
      </c>
      <c r="P233" s="5">
        <v>961</v>
      </c>
      <c r="Q233" s="3">
        <f>P233/365+input!$K$2</f>
        <v>2.6328767123287671</v>
      </c>
      <c r="R233" s="4">
        <f t="shared" si="87"/>
        <v>38.337030030497033</v>
      </c>
      <c r="S233" s="10">
        <f t="shared" si="88"/>
        <v>94.628480574230537</v>
      </c>
      <c r="T233" s="20">
        <f>input!C232</f>
        <v>0.23</v>
      </c>
      <c r="U233" s="19">
        <f t="shared" si="95"/>
        <v>0.99735448419105599</v>
      </c>
      <c r="V233" s="21">
        <f t="shared" si="96"/>
        <v>1827.5076742432798</v>
      </c>
      <c r="W233" s="21">
        <v>1326</v>
      </c>
      <c r="X233" s="3">
        <f>W233/365+input!$K$2</f>
        <v>3.6328767123287671</v>
      </c>
      <c r="Y233" s="4">
        <f t="shared" si="97"/>
        <v>39.469004015014669</v>
      </c>
      <c r="Z233" s="10">
        <f t="shared" si="89"/>
        <v>103.98435971907008</v>
      </c>
      <c r="AA233" s="20">
        <f>input!D232</f>
        <v>0</v>
      </c>
      <c r="AB233" s="19">
        <f t="shared" si="98"/>
        <v>0.99866597068041085</v>
      </c>
      <c r="AC233" s="21">
        <f t="shared" si="99"/>
        <v>1956.3459956959921</v>
      </c>
      <c r="AD233" s="8">
        <f t="shared" si="100"/>
        <v>131650.64897017792</v>
      </c>
      <c r="AE233" s="8">
        <f t="shared" si="101"/>
        <v>5455.3558251516361</v>
      </c>
      <c r="AF233" s="8">
        <f t="shared" si="102"/>
        <v>21.764550532073024</v>
      </c>
      <c r="AG233" s="8">
        <f t="shared" si="103"/>
        <v>0</v>
      </c>
      <c r="AH233" s="8">
        <f t="shared" si="104"/>
        <v>17910.880954311062</v>
      </c>
      <c r="AI233" s="8">
        <f t="shared" si="105"/>
        <v>5228.9153963612935</v>
      </c>
      <c r="AJ233" s="8">
        <f t="shared" si="106"/>
        <v>21.706972069565865</v>
      </c>
      <c r="AK233" s="8">
        <f t="shared" si="107"/>
        <v>0</v>
      </c>
      <c r="AL233" s="8">
        <f t="shared" si="108"/>
        <v>7129.2917228340875</v>
      </c>
      <c r="AM233" s="8">
        <f t="shared" si="109"/>
        <v>7067.6731909191931</v>
      </c>
      <c r="AN233" s="8">
        <f t="shared" si="110"/>
        <v>39.669658041716147</v>
      </c>
      <c r="AO233" s="8">
        <f t="shared" si="111"/>
        <v>0</v>
      </c>
      <c r="AQ233" s="22"/>
    </row>
    <row r="234" spans="1:43">
      <c r="A234" s="1">
        <v>41961</v>
      </c>
      <c r="B234" s="5">
        <v>232</v>
      </c>
      <c r="C234" s="3">
        <f>B234/365+input!$K$2</f>
        <v>0.63561643835616444</v>
      </c>
      <c r="D234" s="4">
        <f t="shared" si="86"/>
        <v>25.52721241163356</v>
      </c>
      <c r="E234" s="10">
        <f t="shared" si="90"/>
        <v>25.338974273657232</v>
      </c>
      <c r="F234" s="20">
        <f>input!A233</f>
        <v>5202.97</v>
      </c>
      <c r="G234" s="19">
        <f t="shared" si="91"/>
        <v>0.13817761478353766</v>
      </c>
      <c r="H234" s="21">
        <f t="shared" si="92"/>
        <v>401.87360741660422</v>
      </c>
      <c r="I234" s="5">
        <v>597</v>
      </c>
      <c r="J234" s="3">
        <f>I234/365+input!$K$2</f>
        <v>1.6356164383561644</v>
      </c>
      <c r="K234" s="4">
        <f t="shared" si="112"/>
        <v>33.745136730050923</v>
      </c>
      <c r="L234" s="10">
        <f t="shared" si="113"/>
        <v>62.589618245896119</v>
      </c>
      <c r="M234" s="20">
        <f>input!B233</f>
        <v>86.07</v>
      </c>
      <c r="N234" s="19">
        <f t="shared" si="93"/>
        <v>0.95889109955986807</v>
      </c>
      <c r="O234" s="21">
        <f t="shared" si="94"/>
        <v>1353.2553216381814</v>
      </c>
      <c r="P234" s="5">
        <v>962</v>
      </c>
      <c r="Q234" s="3">
        <f>P234/365+input!$K$2</f>
        <v>2.6356164383561644</v>
      </c>
      <c r="R234" s="4">
        <f t="shared" si="87"/>
        <v>38.34633913249089</v>
      </c>
      <c r="S234" s="10">
        <f t="shared" si="88"/>
        <v>94.702949366014749</v>
      </c>
      <c r="T234" s="20">
        <f>input!C233</f>
        <v>0.23</v>
      </c>
      <c r="U234" s="19">
        <f t="shared" si="95"/>
        <v>0.99736932721409466</v>
      </c>
      <c r="V234" s="21">
        <f t="shared" si="96"/>
        <v>1828.5468012968843</v>
      </c>
      <c r="W234" s="21">
        <v>1327</v>
      </c>
      <c r="X234" s="3">
        <f>W234/365+input!$K$2</f>
        <v>3.6356164383561644</v>
      </c>
      <c r="Y234" s="4">
        <f t="shared" si="97"/>
        <v>39.469004015014669</v>
      </c>
      <c r="Z234" s="10">
        <f t="shared" si="89"/>
        <v>103.98435971907008</v>
      </c>
      <c r="AA234" s="20">
        <f>input!D233</f>
        <v>0</v>
      </c>
      <c r="AB234" s="19">
        <f t="shared" si="98"/>
        <v>0.99866597068041085</v>
      </c>
      <c r="AC234" s="21">
        <f t="shared" si="99"/>
        <v>1956.3459956959921</v>
      </c>
      <c r="AD234" s="8">
        <f t="shared" si="100"/>
        <v>131837.92297661037</v>
      </c>
      <c r="AE234" s="8">
        <f t="shared" si="101"/>
        <v>5387.0884424242786</v>
      </c>
      <c r="AF234" s="8">
        <f t="shared" si="102"/>
        <v>21.781678354183395</v>
      </c>
      <c r="AG234" s="8">
        <f t="shared" si="103"/>
        <v>0</v>
      </c>
      <c r="AH234" s="8">
        <f t="shared" si="104"/>
        <v>18217.049734923774</v>
      </c>
      <c r="AI234" s="8">
        <f t="shared" si="105"/>
        <v>5165.6311599824739</v>
      </c>
      <c r="AJ234" s="8">
        <f t="shared" si="106"/>
        <v>21.724377885705699</v>
      </c>
      <c r="AK234" s="8">
        <f t="shared" si="107"/>
        <v>0</v>
      </c>
      <c r="AL234" s="8">
        <f t="shared" si="108"/>
        <v>7320.9514934615099</v>
      </c>
      <c r="AM234" s="8">
        <f t="shared" si="109"/>
        <v>6990.4178568662946</v>
      </c>
      <c r="AN234" s="8">
        <f t="shared" si="110"/>
        <v>39.724041693071932</v>
      </c>
      <c r="AO234" s="8">
        <f t="shared" si="111"/>
        <v>0</v>
      </c>
      <c r="AQ234" s="22"/>
    </row>
    <row r="235" spans="1:43">
      <c r="A235" s="1">
        <v>41962</v>
      </c>
      <c r="B235" s="5">
        <v>233</v>
      </c>
      <c r="C235" s="3">
        <f>B235/365+input!$K$2</f>
        <v>0.63835616438356169</v>
      </c>
      <c r="D235" s="4">
        <f t="shared" si="86"/>
        <v>25.556860676092366</v>
      </c>
      <c r="E235" s="10">
        <f t="shared" si="90"/>
        <v>25.434450393930959</v>
      </c>
      <c r="F235" s="20">
        <f>input!A234</f>
        <v>5199.41</v>
      </c>
      <c r="G235" s="19">
        <f t="shared" si="91"/>
        <v>0.14033113069396189</v>
      </c>
      <c r="H235" s="21">
        <f t="shared" si="92"/>
        <v>405.71048402224181</v>
      </c>
      <c r="I235" s="5">
        <v>598</v>
      </c>
      <c r="J235" s="3">
        <f>I235/365+input!$K$2</f>
        <v>1.6383561643835616</v>
      </c>
      <c r="K235" s="4">
        <f t="shared" si="112"/>
        <v>33.7617367448929</v>
      </c>
      <c r="L235" s="10">
        <f t="shared" si="113"/>
        <v>62.689430498269367</v>
      </c>
      <c r="M235" s="20">
        <f>input!B234</f>
        <v>85.63</v>
      </c>
      <c r="N235" s="19">
        <f t="shared" si="93"/>
        <v>0.95928581343931285</v>
      </c>
      <c r="O235" s="21">
        <f t="shared" si="94"/>
        <v>1354.856680526304</v>
      </c>
      <c r="P235" s="5">
        <v>963</v>
      </c>
      <c r="Q235" s="3">
        <f>P235/365+input!$K$2</f>
        <v>2.6383561643835618</v>
      </c>
      <c r="R235" s="4">
        <f t="shared" si="87"/>
        <v>38.355633453685883</v>
      </c>
      <c r="S235" s="10">
        <f t="shared" si="88"/>
        <v>94.777340327829634</v>
      </c>
      <c r="T235" s="20">
        <f>input!C234</f>
        <v>0.23</v>
      </c>
      <c r="U235" s="19">
        <f t="shared" si="95"/>
        <v>0.99738406380680911</v>
      </c>
      <c r="V235" s="21">
        <f t="shared" si="96"/>
        <v>1829.5846145009841</v>
      </c>
      <c r="W235" s="21">
        <v>1328</v>
      </c>
      <c r="X235" s="3">
        <f>W235/365+input!$K$2</f>
        <v>3.6383561643835618</v>
      </c>
      <c r="Y235" s="4">
        <f t="shared" si="97"/>
        <v>39.469004015014669</v>
      </c>
      <c r="Z235" s="10">
        <f t="shared" si="89"/>
        <v>103.98435971907008</v>
      </c>
      <c r="AA235" s="20">
        <f>input!D234</f>
        <v>0</v>
      </c>
      <c r="AB235" s="19">
        <f t="shared" si="98"/>
        <v>0.99866597068041085</v>
      </c>
      <c r="AC235" s="21">
        <f t="shared" si="99"/>
        <v>1956.3459956959921</v>
      </c>
      <c r="AD235" s="8">
        <f t="shared" si="100"/>
        <v>132244.13572270857</v>
      </c>
      <c r="AE235" s="8">
        <f t="shared" si="101"/>
        <v>5368.0959335668058</v>
      </c>
      <c r="AF235" s="8">
        <f t="shared" si="102"/>
        <v>21.798788275400817</v>
      </c>
      <c r="AG235" s="8">
        <f t="shared" si="103"/>
        <v>0</v>
      </c>
      <c r="AH235" s="8">
        <f t="shared" si="104"/>
        <v>18557.96909361345</v>
      </c>
      <c r="AI235" s="8">
        <f t="shared" si="105"/>
        <v>5149.5382742519005</v>
      </c>
      <c r="AJ235" s="8">
        <f t="shared" si="106"/>
        <v>21.74176403618349</v>
      </c>
      <c r="AK235" s="8">
        <f t="shared" si="107"/>
        <v>0</v>
      </c>
      <c r="AL235" s="8">
        <f t="shared" si="108"/>
        <v>7529.1626234397172</v>
      </c>
      <c r="AM235" s="8">
        <f t="shared" si="109"/>
        <v>6976.8863324960812</v>
      </c>
      <c r="AN235" s="8">
        <f t="shared" si="110"/>
        <v>39.77839697271213</v>
      </c>
      <c r="AO235" s="8">
        <f t="shared" si="111"/>
        <v>0</v>
      </c>
      <c r="AQ235" s="22"/>
    </row>
    <row r="236" spans="1:43">
      <c r="A236" s="1">
        <v>41963</v>
      </c>
      <c r="B236" s="5">
        <v>234</v>
      </c>
      <c r="C236" s="3">
        <f>B236/365+input!$K$2</f>
        <v>0.64109589041095894</v>
      </c>
      <c r="D236" s="4">
        <f t="shared" si="86"/>
        <v>25.586461865652403</v>
      </c>
      <c r="E236" s="10">
        <f t="shared" si="90"/>
        <v>25.530022754740372</v>
      </c>
      <c r="F236" s="20">
        <f>input!A235</f>
        <v>5181.54</v>
      </c>
      <c r="G236" s="19">
        <f t="shared" si="91"/>
        <v>0.14250917332082397</v>
      </c>
      <c r="H236" s="21">
        <f t="shared" si="92"/>
        <v>409.55281432499442</v>
      </c>
      <c r="I236" s="5">
        <v>599</v>
      </c>
      <c r="J236" s="3">
        <f>I236/365+input!$K$2</f>
        <v>1.6410958904109589</v>
      </c>
      <c r="K236" s="4">
        <f t="shared" si="112"/>
        <v>33.778310402575961</v>
      </c>
      <c r="L236" s="10">
        <f t="shared" si="113"/>
        <v>62.789193999355085</v>
      </c>
      <c r="M236" s="20">
        <f>input!B235</f>
        <v>84.27</v>
      </c>
      <c r="N236" s="19">
        <f t="shared" si="93"/>
        <v>0.95967627868861194</v>
      </c>
      <c r="O236" s="21">
        <f t="shared" si="94"/>
        <v>1356.4559404636314</v>
      </c>
      <c r="P236" s="5">
        <v>964</v>
      </c>
      <c r="Q236" s="3">
        <f>P236/365+input!$K$2</f>
        <v>2.6410958904109587</v>
      </c>
      <c r="R236" s="4">
        <f t="shared" si="87"/>
        <v>38.364913017550641</v>
      </c>
      <c r="S236" s="10">
        <f t="shared" si="88"/>
        <v>94.851653467135904</v>
      </c>
      <c r="T236" s="20">
        <f>input!C235</f>
        <v>0.22</v>
      </c>
      <c r="U236" s="19">
        <f t="shared" si="95"/>
        <v>0.99739869486017896</v>
      </c>
      <c r="V236" s="21">
        <f t="shared" si="96"/>
        <v>1830.6211149209612</v>
      </c>
      <c r="W236" s="21">
        <v>1329</v>
      </c>
      <c r="X236" s="3">
        <f>W236/365+input!$K$2</f>
        <v>3.6410958904109587</v>
      </c>
      <c r="Y236" s="4">
        <f t="shared" si="97"/>
        <v>39.469004015014669</v>
      </c>
      <c r="Z236" s="10">
        <f t="shared" si="89"/>
        <v>103.98435971907008</v>
      </c>
      <c r="AA236" s="20">
        <f>input!D235</f>
        <v>0</v>
      </c>
      <c r="AB236" s="19">
        <f t="shared" si="98"/>
        <v>0.99866597068041085</v>
      </c>
      <c r="AC236" s="21">
        <f t="shared" si="99"/>
        <v>1956.3459956959921</v>
      </c>
      <c r="AD236" s="8">
        <f t="shared" si="100"/>
        <v>132284.83410459742</v>
      </c>
      <c r="AE236" s="8">
        <f t="shared" si="101"/>
        <v>5291.2453783256524</v>
      </c>
      <c r="AF236" s="8">
        <f t="shared" si="102"/>
        <v>20.867363762769898</v>
      </c>
      <c r="AG236" s="8">
        <f t="shared" si="103"/>
        <v>0</v>
      </c>
      <c r="AH236" s="8">
        <f t="shared" si="104"/>
        <v>18851.802351128521</v>
      </c>
      <c r="AI236" s="8">
        <f t="shared" si="105"/>
        <v>5077.882674299879</v>
      </c>
      <c r="AJ236" s="8">
        <f t="shared" si="106"/>
        <v>20.813081382159289</v>
      </c>
      <c r="AK236" s="8">
        <f t="shared" si="107"/>
        <v>0</v>
      </c>
      <c r="AL236" s="8">
        <f t="shared" si="108"/>
        <v>7720.8087080032319</v>
      </c>
      <c r="AM236" s="8">
        <f t="shared" si="109"/>
        <v>6887.9241185314222</v>
      </c>
      <c r="AN236" s="8">
        <f t="shared" si="110"/>
        <v>38.100866244749135</v>
      </c>
      <c r="AO236" s="8">
        <f t="shared" si="111"/>
        <v>0</v>
      </c>
      <c r="AQ236" s="22"/>
    </row>
    <row r="237" spans="1:43">
      <c r="A237" s="1">
        <v>41964</v>
      </c>
      <c r="B237" s="5">
        <v>235</v>
      </c>
      <c r="C237" s="3">
        <f>B237/365+input!$K$2</f>
        <v>0.64383561643835618</v>
      </c>
      <c r="D237" s="4">
        <f t="shared" si="86"/>
        <v>25.616016055058225</v>
      </c>
      <c r="E237" s="10">
        <f t="shared" si="90"/>
        <v>25.625690771753995</v>
      </c>
      <c r="F237" s="20">
        <f>input!A236</f>
        <v>5175.53</v>
      </c>
      <c r="G237" s="19">
        <f t="shared" si="91"/>
        <v>0.14471180484995008</v>
      </c>
      <c r="H237" s="21">
        <f t="shared" si="92"/>
        <v>413.40029018550899</v>
      </c>
      <c r="I237" s="5">
        <v>600</v>
      </c>
      <c r="J237" s="3">
        <f>I237/365+input!$K$2</f>
        <v>1.6438356164383561</v>
      </c>
      <c r="K237" s="4">
        <f t="shared" si="112"/>
        <v>33.794857744949446</v>
      </c>
      <c r="L237" s="10">
        <f t="shared" si="113"/>
        <v>62.888908544972608</v>
      </c>
      <c r="M237" s="20">
        <f>input!B236</f>
        <v>83.54</v>
      </c>
      <c r="N237" s="19">
        <f t="shared" si="93"/>
        <v>0.96006254367467803</v>
      </c>
      <c r="O237" s="21">
        <f t="shared" si="94"/>
        <v>1358.0531109101646</v>
      </c>
      <c r="P237" s="5">
        <v>965</v>
      </c>
      <c r="Q237" s="3">
        <f>P237/365+input!$K$2</f>
        <v>2.6438356164383561</v>
      </c>
      <c r="R237" s="4">
        <f t="shared" si="87"/>
        <v>38.374177847516556</v>
      </c>
      <c r="S237" s="10">
        <f t="shared" si="88"/>
        <v>94.925888791694973</v>
      </c>
      <c r="T237" s="20">
        <f>input!C236</f>
        <v>0.22</v>
      </c>
      <c r="U237" s="19">
        <f t="shared" si="95"/>
        <v>0.99741322125678522</v>
      </c>
      <c r="V237" s="21">
        <f t="shared" si="96"/>
        <v>1831.6563036233063</v>
      </c>
      <c r="W237" s="21">
        <v>1330</v>
      </c>
      <c r="X237" s="3">
        <f>W237/365+input!$K$2</f>
        <v>3.6438356164383561</v>
      </c>
      <c r="Y237" s="4">
        <f t="shared" si="97"/>
        <v>39.469004015014669</v>
      </c>
      <c r="Z237" s="10">
        <f t="shared" si="89"/>
        <v>103.98435971907008</v>
      </c>
      <c r="AA237" s="20">
        <f>input!D236</f>
        <v>0</v>
      </c>
      <c r="AB237" s="19">
        <f t="shared" si="98"/>
        <v>0.99866597068041085</v>
      </c>
      <c r="AC237" s="21">
        <f t="shared" si="99"/>
        <v>1956.3459956959921</v>
      </c>
      <c r="AD237" s="8">
        <f t="shared" si="100"/>
        <v>132626.53135993594</v>
      </c>
      <c r="AE237" s="8">
        <f t="shared" si="101"/>
        <v>5253.739419847012</v>
      </c>
      <c r="AF237" s="8">
        <f t="shared" si="102"/>
        <v>20.883695534172894</v>
      </c>
      <c r="AG237" s="8">
        <f t="shared" si="103"/>
        <v>0</v>
      </c>
      <c r="AH237" s="8">
        <f t="shared" si="104"/>
        <v>19192.624724084835</v>
      </c>
      <c r="AI237" s="8">
        <f t="shared" si="105"/>
        <v>5043.9184312222496</v>
      </c>
      <c r="AJ237" s="8">
        <f t="shared" si="106"/>
        <v>20.829674034485326</v>
      </c>
      <c r="AK237" s="8">
        <f t="shared" si="107"/>
        <v>0</v>
      </c>
      <c r="AL237" s="8">
        <f t="shared" si="108"/>
        <v>7934.2366303582448</v>
      </c>
      <c r="AM237" s="8">
        <f t="shared" si="109"/>
        <v>6849.9091166984936</v>
      </c>
      <c r="AN237" s="8">
        <f t="shared" si="110"/>
        <v>38.152803747683748</v>
      </c>
      <c r="AO237" s="8">
        <f t="shared" si="111"/>
        <v>0</v>
      </c>
      <c r="AQ237" s="22"/>
    </row>
    <row r="238" spans="1:43">
      <c r="A238" s="1">
        <v>41965</v>
      </c>
      <c r="B238" s="5">
        <v>236</v>
      </c>
      <c r="C238" s="3">
        <f>B238/365+input!$K$2</f>
        <v>0.64657534246575343</v>
      </c>
      <c r="D238" s="4">
        <f t="shared" si="86"/>
        <v>25.645523318935698</v>
      </c>
      <c r="E238" s="10">
        <f t="shared" si="90"/>
        <v>25.721453861347559</v>
      </c>
      <c r="F238" s="20">
        <f>input!A237</f>
        <v>5162.75</v>
      </c>
      <c r="G238" s="19">
        <f t="shared" si="91"/>
        <v>0.14693908195866193</v>
      </c>
      <c r="H238" s="21">
        <f t="shared" si="92"/>
        <v>417.25260479430176</v>
      </c>
      <c r="I238" s="5">
        <v>601</v>
      </c>
      <c r="J238" s="3">
        <f>I238/365+input!$K$2</f>
        <v>1.6465753424657534</v>
      </c>
      <c r="K238" s="4">
        <f t="shared" si="112"/>
        <v>33.811378813796253</v>
      </c>
      <c r="L238" s="10">
        <f t="shared" si="113"/>
        <v>62.9885739318498</v>
      </c>
      <c r="M238" s="20">
        <f>input!B237</f>
        <v>82.29</v>
      </c>
      <c r="N238" s="19">
        <f t="shared" si="93"/>
        <v>0.96044465621990927</v>
      </c>
      <c r="O238" s="21">
        <f t="shared" si="94"/>
        <v>1359.6482011833773</v>
      </c>
      <c r="P238" s="5">
        <v>966</v>
      </c>
      <c r="Q238" s="3">
        <f>P238/365+input!$K$2</f>
        <v>2.6465753424657534</v>
      </c>
      <c r="R238" s="4">
        <f t="shared" si="87"/>
        <v>38.383427966977791</v>
      </c>
      <c r="S238" s="10">
        <f t="shared" si="88"/>
        <v>95.000046309566287</v>
      </c>
      <c r="T238" s="20">
        <f>input!C237</f>
        <v>0.22</v>
      </c>
      <c r="U238" s="19">
        <f t="shared" si="95"/>
        <v>0.99742764387089644</v>
      </c>
      <c r="V238" s="21">
        <f t="shared" si="96"/>
        <v>1832.6901816756404</v>
      </c>
      <c r="W238" s="21">
        <v>1331</v>
      </c>
      <c r="X238" s="3">
        <f>W238/365+input!$K$2</f>
        <v>3.6465753424657534</v>
      </c>
      <c r="Y238" s="4">
        <f t="shared" si="97"/>
        <v>39.469004015014669</v>
      </c>
      <c r="Z238" s="10">
        <f t="shared" si="89"/>
        <v>103.98435971907008</v>
      </c>
      <c r="AA238" s="20">
        <f>input!D237</f>
        <v>0</v>
      </c>
      <c r="AB238" s="19">
        <f t="shared" si="98"/>
        <v>0.99866597068041085</v>
      </c>
      <c r="AC238" s="21">
        <f t="shared" si="99"/>
        <v>1956.3459956959921</v>
      </c>
      <c r="AD238" s="8">
        <f t="shared" si="100"/>
        <v>132793.4359226721</v>
      </c>
      <c r="AE238" s="8">
        <f t="shared" si="101"/>
        <v>5183.3297488519202</v>
      </c>
      <c r="AF238" s="8">
        <f t="shared" si="102"/>
        <v>20.900010188104584</v>
      </c>
      <c r="AG238" s="8">
        <f t="shared" si="103"/>
        <v>0</v>
      </c>
      <c r="AH238" s="8">
        <f t="shared" si="104"/>
        <v>19512.545564613836</v>
      </c>
      <c r="AI238" s="8">
        <f t="shared" si="105"/>
        <v>4978.3013587105115</v>
      </c>
      <c r="AJ238" s="8">
        <f t="shared" si="106"/>
        <v>20.846247918798888</v>
      </c>
      <c r="AK238" s="8">
        <f t="shared" si="107"/>
        <v>0</v>
      </c>
      <c r="AL238" s="8">
        <f t="shared" si="108"/>
        <v>8141.6604630026231</v>
      </c>
      <c r="AM238" s="8">
        <f t="shared" si="109"/>
        <v>6768.7384873195106</v>
      </c>
      <c r="AN238" s="8">
        <f t="shared" si="110"/>
        <v>38.204713885558974</v>
      </c>
      <c r="AO238" s="8">
        <f t="shared" si="111"/>
        <v>0</v>
      </c>
      <c r="AQ238" s="22"/>
    </row>
    <row r="239" spans="1:43">
      <c r="A239" s="1">
        <v>41966</v>
      </c>
      <c r="B239" s="5">
        <v>237</v>
      </c>
      <c r="C239" s="3">
        <f>B239/365+input!$K$2</f>
        <v>0.64931506849315068</v>
      </c>
      <c r="D239" s="4">
        <f t="shared" si="86"/>
        <v>25.674983731792192</v>
      </c>
      <c r="E239" s="10">
        <f t="shared" si="90"/>
        <v>25.817311440610784</v>
      </c>
      <c r="F239" s="20">
        <f>input!A238</f>
        <v>5153.67</v>
      </c>
      <c r="G239" s="19">
        <f t="shared" si="91"/>
        <v>0.14919105569582383</v>
      </c>
      <c r="H239" s="21">
        <f t="shared" si="92"/>
        <v>421.10945275679205</v>
      </c>
      <c r="I239" s="5">
        <v>602</v>
      </c>
      <c r="J239" s="3">
        <f>I239/365+input!$K$2</f>
        <v>1.6493150684931508</v>
      </c>
      <c r="K239" s="4">
        <f t="shared" si="112"/>
        <v>33.827873650832949</v>
      </c>
      <c r="L239" s="10">
        <f t="shared" si="113"/>
        <v>63.088189957621509</v>
      </c>
      <c r="M239" s="20">
        <f>input!B238</f>
        <v>81.739999999999995</v>
      </c>
      <c r="N239" s="19">
        <f t="shared" si="93"/>
        <v>0.96082266360744095</v>
      </c>
      <c r="O239" s="21">
        <f t="shared" si="94"/>
        <v>1361.2412204602035</v>
      </c>
      <c r="P239" s="5">
        <v>967</v>
      </c>
      <c r="Q239" s="3">
        <f>P239/365+input!$K$2</f>
        <v>2.6493150684931508</v>
      </c>
      <c r="R239" s="4">
        <f t="shared" si="87"/>
        <v>38.392663399291408</v>
      </c>
      <c r="S239" s="10">
        <f t="shared" si="88"/>
        <v>95.074126029106793</v>
      </c>
      <c r="T239" s="20">
        <f>input!C238</f>
        <v>0.22</v>
      </c>
      <c r="U239" s="19">
        <f t="shared" si="95"/>
        <v>0.99744196356855619</v>
      </c>
      <c r="V239" s="21">
        <f t="shared" si="96"/>
        <v>1833.7227501466859</v>
      </c>
      <c r="W239" s="21">
        <v>1332</v>
      </c>
      <c r="X239" s="3">
        <f>W239/365+input!$K$2</f>
        <v>3.6493150684931508</v>
      </c>
      <c r="Y239" s="4">
        <f t="shared" si="97"/>
        <v>39.469004015014669</v>
      </c>
      <c r="Z239" s="10">
        <f t="shared" si="89"/>
        <v>103.98435971907008</v>
      </c>
      <c r="AA239" s="20">
        <f>input!D238</f>
        <v>0</v>
      </c>
      <c r="AB239" s="19">
        <f t="shared" si="98"/>
        <v>0.99866597068041085</v>
      </c>
      <c r="AC239" s="21">
        <f t="shared" si="99"/>
        <v>1956.3459956959921</v>
      </c>
      <c r="AD239" s="8">
        <f t="shared" si="100"/>
        <v>133053.90345213257</v>
      </c>
      <c r="AE239" s="8">
        <f t="shared" si="101"/>
        <v>5156.8286471359816</v>
      </c>
      <c r="AF239" s="8">
        <f t="shared" si="102"/>
        <v>20.916307726403495</v>
      </c>
      <c r="AG239" s="8">
        <f t="shared" si="103"/>
        <v>0</v>
      </c>
      <c r="AH239" s="8">
        <f t="shared" si="104"/>
        <v>19850.452320473876</v>
      </c>
      <c r="AI239" s="8">
        <f t="shared" si="105"/>
        <v>4954.79783650835</v>
      </c>
      <c r="AJ239" s="8">
        <f t="shared" si="106"/>
        <v>20.862803049228066</v>
      </c>
      <c r="AK239" s="8">
        <f t="shared" si="107"/>
        <v>0</v>
      </c>
      <c r="AL239" s="8">
        <f t="shared" si="108"/>
        <v>8359.2131136495464</v>
      </c>
      <c r="AM239" s="8">
        <f t="shared" si="109"/>
        <v>6744.675054102202</v>
      </c>
      <c r="AN239" s="8">
        <f t="shared" si="110"/>
        <v>38.256596583199155</v>
      </c>
      <c r="AO239" s="8">
        <f t="shared" si="111"/>
        <v>0</v>
      </c>
      <c r="AQ239" s="22"/>
    </row>
    <row r="240" spans="1:43">
      <c r="A240" s="1">
        <v>41967</v>
      </c>
      <c r="B240" s="5">
        <v>238</v>
      </c>
      <c r="C240" s="3">
        <f>B240/365+input!$K$2</f>
        <v>0.65205479452054793</v>
      </c>
      <c r="D240" s="4">
        <f t="shared" si="86"/>
        <v>25.704397368016796</v>
      </c>
      <c r="E240" s="10">
        <f t="shared" si="90"/>
        <v>25.913262927353351</v>
      </c>
      <c r="F240" s="20">
        <f>input!A239</f>
        <v>5140.71</v>
      </c>
      <c r="G240" s="19">
        <f t="shared" si="91"/>
        <v>0.15146777136321829</v>
      </c>
      <c r="H240" s="21">
        <f t="shared" si="92"/>
        <v>424.97053017676052</v>
      </c>
      <c r="I240" s="5">
        <v>603</v>
      </c>
      <c r="J240" s="3">
        <f>I240/365+input!$K$2</f>
        <v>1.6520547945205479</v>
      </c>
      <c r="K240" s="4">
        <f t="shared" si="112"/>
        <v>33.844342297709851</v>
      </c>
      <c r="L240" s="10">
        <f t="shared" si="113"/>
        <v>63.187756420827967</v>
      </c>
      <c r="M240" s="20">
        <f>input!B239</f>
        <v>80.489999999999995</v>
      </c>
      <c r="N240" s="19">
        <f t="shared" si="93"/>
        <v>0.96119661258637568</v>
      </c>
      <c r="O240" s="21">
        <f t="shared" si="94"/>
        <v>1362.8321777789924</v>
      </c>
      <c r="P240" s="5">
        <v>968</v>
      </c>
      <c r="Q240" s="3">
        <f>P240/365+input!$K$2</f>
        <v>2.6520547945205482</v>
      </c>
      <c r="R240" s="4">
        <f t="shared" si="87"/>
        <v>38.401884167777325</v>
      </c>
      <c r="S240" s="10">
        <f t="shared" si="88"/>
        <v>95.148127958969084</v>
      </c>
      <c r="T240" s="20">
        <f>input!C239</f>
        <v>0.21</v>
      </c>
      <c r="U240" s="19">
        <f t="shared" si="95"/>
        <v>0.99745618120766677</v>
      </c>
      <c r="V240" s="21">
        <f t="shared" si="96"/>
        <v>1834.7540101062755</v>
      </c>
      <c r="W240" s="21">
        <v>1333</v>
      </c>
      <c r="X240" s="3">
        <f>W240/365+input!$K$2</f>
        <v>3.6520547945205482</v>
      </c>
      <c r="Y240" s="4">
        <f t="shared" si="97"/>
        <v>39.469004015014669</v>
      </c>
      <c r="Z240" s="10">
        <f t="shared" si="89"/>
        <v>103.98435971907008</v>
      </c>
      <c r="AA240" s="20">
        <f>input!D239</f>
        <v>0</v>
      </c>
      <c r="AB240" s="19">
        <f t="shared" si="98"/>
        <v>0.99866597068041085</v>
      </c>
      <c r="AC240" s="21">
        <f t="shared" si="99"/>
        <v>1956.3459956959921</v>
      </c>
      <c r="AD240" s="8">
        <f t="shared" si="100"/>
        <v>133212.56986327464</v>
      </c>
      <c r="AE240" s="8">
        <f t="shared" si="101"/>
        <v>5085.9825143124426</v>
      </c>
      <c r="AF240" s="8">
        <f t="shared" si="102"/>
        <v>19.981106871383506</v>
      </c>
      <c r="AG240" s="8">
        <f t="shared" si="103"/>
        <v>0</v>
      </c>
      <c r="AH240" s="8">
        <f t="shared" si="104"/>
        <v>20177.411074757227</v>
      </c>
      <c r="AI240" s="8">
        <f t="shared" si="105"/>
        <v>4888.6291644306575</v>
      </c>
      <c r="AJ240" s="8">
        <f t="shared" si="106"/>
        <v>19.930278556232462</v>
      </c>
      <c r="AK240" s="8">
        <f t="shared" si="107"/>
        <v>0</v>
      </c>
      <c r="AL240" s="8">
        <f t="shared" si="108"/>
        <v>8574.8050820340177</v>
      </c>
      <c r="AM240" s="8">
        <f t="shared" si="109"/>
        <v>6662.3811305149293</v>
      </c>
      <c r="AN240" s="8">
        <f t="shared" si="110"/>
        <v>36.567158503582618</v>
      </c>
      <c r="AO240" s="8">
        <f t="shared" si="111"/>
        <v>0</v>
      </c>
      <c r="AQ240" s="22"/>
    </row>
    <row r="241" spans="1:43">
      <c r="A241" s="1">
        <v>41968</v>
      </c>
      <c r="B241" s="5">
        <v>239</v>
      </c>
      <c r="C241" s="3">
        <f>B241/365+input!$K$2</f>
        <v>0.65479452054794518</v>
      </c>
      <c r="D241" s="4">
        <f t="shared" si="86"/>
        <v>25.733764301880473</v>
      </c>
      <c r="E241" s="10">
        <f t="shared" si="90"/>
        <v>26.009307740111424</v>
      </c>
      <c r="F241" s="20">
        <f>input!A240</f>
        <v>5137.1899999999996</v>
      </c>
      <c r="G241" s="19">
        <f t="shared" si="91"/>
        <v>0.15376926839838445</v>
      </c>
      <c r="H241" s="21">
        <f t="shared" si="92"/>
        <v>428.83553473820683</v>
      </c>
      <c r="I241" s="5">
        <v>604</v>
      </c>
      <c r="J241" s="3">
        <f>I241/365+input!$K$2</f>
        <v>1.6547945205479453</v>
      </c>
      <c r="K241" s="4">
        <f t="shared" si="112"/>
        <v>33.86078479601116</v>
      </c>
      <c r="L241" s="10">
        <f t="shared" si="113"/>
        <v>63.287273120912161</v>
      </c>
      <c r="M241" s="20">
        <f>input!B240</f>
        <v>80.069999999999993</v>
      </c>
      <c r="N241" s="19">
        <f t="shared" si="93"/>
        <v>0.96156654937700059</v>
      </c>
      <c r="O241" s="21">
        <f t="shared" si="94"/>
        <v>1364.4210820414498</v>
      </c>
      <c r="P241" s="5">
        <v>969</v>
      </c>
      <c r="Q241" s="3">
        <f>P241/365+input!$K$2</f>
        <v>2.6547945205479451</v>
      </c>
      <c r="R241" s="4">
        <f t="shared" si="87"/>
        <v>38.411090295718481</v>
      </c>
      <c r="S241" s="10">
        <f t="shared" si="88"/>
        <v>95.222052108101579</v>
      </c>
      <c r="T241" s="20">
        <f>input!C240</f>
        <v>0.21</v>
      </c>
      <c r="U241" s="19">
        <f t="shared" si="95"/>
        <v>0.99747029763807415</v>
      </c>
      <c r="V241" s="21">
        <f t="shared" si="96"/>
        <v>1835.7839626253435</v>
      </c>
      <c r="W241" s="21">
        <v>1334</v>
      </c>
      <c r="X241" s="3">
        <f>W241/365+input!$K$2</f>
        <v>3.6547945205479451</v>
      </c>
      <c r="Y241" s="4">
        <f t="shared" si="97"/>
        <v>39.469004015014669</v>
      </c>
      <c r="Z241" s="10">
        <f t="shared" si="89"/>
        <v>103.98435971907008</v>
      </c>
      <c r="AA241" s="20">
        <f>input!D240</f>
        <v>0</v>
      </c>
      <c r="AB241" s="19">
        <f t="shared" si="98"/>
        <v>0.99866597068041085</v>
      </c>
      <c r="AC241" s="21">
        <f t="shared" si="99"/>
        <v>1956.3459956959921</v>
      </c>
      <c r="AD241" s="8">
        <f t="shared" si="100"/>
        <v>133614.75562942299</v>
      </c>
      <c r="AE241" s="8">
        <f t="shared" si="101"/>
        <v>5067.4119587914365</v>
      </c>
      <c r="AF241" s="8">
        <f t="shared" si="102"/>
        <v>19.99663094270133</v>
      </c>
      <c r="AG241" s="8">
        <f t="shared" si="103"/>
        <v>0</v>
      </c>
      <c r="AH241" s="8">
        <f t="shared" si="104"/>
        <v>20545.843220365292</v>
      </c>
      <c r="AI241" s="8">
        <f t="shared" si="105"/>
        <v>4872.6538314868294</v>
      </c>
      <c r="AJ241" s="8">
        <f t="shared" si="106"/>
        <v>19.946045418175018</v>
      </c>
      <c r="AK241" s="8">
        <f t="shared" si="107"/>
        <v>0</v>
      </c>
      <c r="AL241" s="8">
        <f t="shared" si="108"/>
        <v>8810.787664052712</v>
      </c>
      <c r="AM241" s="8">
        <f t="shared" si="109"/>
        <v>6648.3516131706756</v>
      </c>
      <c r="AN241" s="8">
        <f t="shared" si="110"/>
        <v>36.616630296482413</v>
      </c>
      <c r="AO241" s="8">
        <f t="shared" si="111"/>
        <v>0</v>
      </c>
      <c r="AQ241" s="22"/>
    </row>
    <row r="242" spans="1:43">
      <c r="A242" s="1">
        <v>41969</v>
      </c>
      <c r="B242" s="5">
        <v>240</v>
      </c>
      <c r="C242" s="3">
        <f>B242/365+input!$K$2</f>
        <v>0.65753424657534243</v>
      </c>
      <c r="D242" s="4">
        <f t="shared" si="86"/>
        <v>25.763084607536261</v>
      </c>
      <c r="E242" s="10">
        <f t="shared" si="90"/>
        <v>26.105445298153999</v>
      </c>
      <c r="F242" s="20">
        <f>input!A241</f>
        <v>5115.5200000000004</v>
      </c>
      <c r="G242" s="19">
        <f t="shared" si="91"/>
        <v>0.15609558025906514</v>
      </c>
      <c r="H242" s="21">
        <f t="shared" si="92"/>
        <v>432.70416578559116</v>
      </c>
      <c r="I242" s="5">
        <v>605</v>
      </c>
      <c r="J242" s="3">
        <f>I242/365+input!$K$2</f>
        <v>1.6575342465753424</v>
      </c>
      <c r="K242" s="4">
        <f t="shared" si="112"/>
        <v>33.877201187255039</v>
      </c>
      <c r="L242" s="10">
        <f t="shared" si="113"/>
        <v>63.386739858218469</v>
      </c>
      <c r="M242" s="20">
        <f>input!B241</f>
        <v>78.47</v>
      </c>
      <c r="N242" s="19">
        <f t="shared" si="93"/>
        <v>0.96193251967597793</v>
      </c>
      <c r="O242" s="21">
        <f t="shared" si="94"/>
        <v>1366.0079420145585</v>
      </c>
      <c r="P242" s="5">
        <v>970</v>
      </c>
      <c r="Q242" s="3">
        <f>P242/365+input!$K$2</f>
        <v>2.6575342465753424</v>
      </c>
      <c r="R242" s="4">
        <f t="shared" si="87"/>
        <v>38.420281806360826</v>
      </c>
      <c r="S242" s="10">
        <f t="shared" si="88"/>
        <v>95.29589848574544</v>
      </c>
      <c r="T242" s="20">
        <f>input!C241</f>
        <v>0.21</v>
      </c>
      <c r="U242" s="19">
        <f t="shared" si="95"/>
        <v>0.99748431370165147</v>
      </c>
      <c r="V242" s="21">
        <f t="shared" si="96"/>
        <v>1836.8126087759117</v>
      </c>
      <c r="W242" s="21">
        <v>1335</v>
      </c>
      <c r="X242" s="3">
        <f>W242/365+input!$K$2</f>
        <v>3.6575342465753424</v>
      </c>
      <c r="Y242" s="4">
        <f t="shared" si="97"/>
        <v>39.469004015014669</v>
      </c>
      <c r="Z242" s="10">
        <f t="shared" si="89"/>
        <v>103.98435971907008</v>
      </c>
      <c r="AA242" s="20">
        <f>input!D241</f>
        <v>0</v>
      </c>
      <c r="AB242" s="19">
        <f t="shared" si="98"/>
        <v>0.99866597068041085</v>
      </c>
      <c r="AC242" s="21">
        <f t="shared" si="99"/>
        <v>1956.3459956959921</v>
      </c>
      <c r="AD242" s="8">
        <f t="shared" si="100"/>
        <v>133542.92753161275</v>
      </c>
      <c r="AE242" s="8">
        <f t="shared" si="101"/>
        <v>4973.9574766744036</v>
      </c>
      <c r="AF242" s="8">
        <f t="shared" si="102"/>
        <v>20.01213868200654</v>
      </c>
      <c r="AG242" s="8">
        <f t="shared" si="103"/>
        <v>0</v>
      </c>
      <c r="AH242" s="8">
        <f t="shared" si="104"/>
        <v>20845.460762541377</v>
      </c>
      <c r="AI242" s="8">
        <f t="shared" si="105"/>
        <v>4784.6114482985786</v>
      </c>
      <c r="AJ242" s="8">
        <f t="shared" si="106"/>
        <v>19.961794418923567</v>
      </c>
      <c r="AK242" s="8">
        <f t="shared" si="107"/>
        <v>0</v>
      </c>
      <c r="AL242" s="8">
        <f t="shared" si="108"/>
        <v>9019.9177096717394</v>
      </c>
      <c r="AM242" s="8">
        <f t="shared" si="109"/>
        <v>6535.8172378296376</v>
      </c>
      <c r="AN242" s="8">
        <f t="shared" si="110"/>
        <v>36.666075682471437</v>
      </c>
      <c r="AO242" s="8">
        <f t="shared" si="111"/>
        <v>0</v>
      </c>
      <c r="AQ242" s="22"/>
    </row>
    <row r="243" spans="1:43">
      <c r="A243" s="1">
        <v>41970</v>
      </c>
      <c r="B243" s="5">
        <v>241</v>
      </c>
      <c r="C243" s="3">
        <f>B243/365+input!$K$2</f>
        <v>0.66027397260273968</v>
      </c>
      <c r="D243" s="4">
        <f t="shared" si="86"/>
        <v>25.792358359019463</v>
      </c>
      <c r="E243" s="10">
        <f t="shared" si="90"/>
        <v>26.201675021488924</v>
      </c>
      <c r="F243" s="20">
        <f>input!A242</f>
        <v>5112.01</v>
      </c>
      <c r="G243" s="19">
        <f t="shared" si="91"/>
        <v>0.15844673430940953</v>
      </c>
      <c r="H243" s="21">
        <f t="shared" si="92"/>
        <v>436.57612440242826</v>
      </c>
      <c r="I243" s="5">
        <v>606</v>
      </c>
      <c r="J243" s="3">
        <f>I243/365+input!$K$2</f>
        <v>1.6602739726027398</v>
      </c>
      <c r="K243" s="4">
        <f t="shared" si="112"/>
        <v>33.893591512893721</v>
      </c>
      <c r="L243" s="10">
        <f t="shared" si="113"/>
        <v>63.486156433990708</v>
      </c>
      <c r="M243" s="20">
        <f>input!B242</f>
        <v>78.06</v>
      </c>
      <c r="N243" s="19">
        <f t="shared" si="93"/>
        <v>0.96229456866151974</v>
      </c>
      <c r="O243" s="21">
        <f t="shared" si="94"/>
        <v>1367.5927663324703</v>
      </c>
      <c r="P243" s="5">
        <v>971</v>
      </c>
      <c r="Q243" s="3">
        <f>P243/365+input!$K$2</f>
        <v>2.6602739726027398</v>
      </c>
      <c r="R243" s="4">
        <f t="shared" si="87"/>
        <v>38.429458722913402</v>
      </c>
      <c r="S243" s="10">
        <f t="shared" si="88"/>
        <v>95.369667101435311</v>
      </c>
      <c r="T243" s="20">
        <f>input!C242</f>
        <v>0.21</v>
      </c>
      <c r="U243" s="19">
        <f t="shared" si="95"/>
        <v>0.99749823023238093</v>
      </c>
      <c r="V243" s="21">
        <f t="shared" si="96"/>
        <v>1837.8399496311056</v>
      </c>
      <c r="W243" s="21">
        <v>1336</v>
      </c>
      <c r="X243" s="3">
        <f>W243/365+input!$K$2</f>
        <v>3.6602739726027398</v>
      </c>
      <c r="Y243" s="4">
        <f t="shared" si="97"/>
        <v>39.469004015014669</v>
      </c>
      <c r="Z243" s="10">
        <f t="shared" si="89"/>
        <v>103.98435971907008</v>
      </c>
      <c r="AA243" s="20">
        <f>input!D242</f>
        <v>0</v>
      </c>
      <c r="AB243" s="19">
        <f t="shared" si="98"/>
        <v>0.99866597068041085</v>
      </c>
      <c r="AC243" s="21">
        <f t="shared" si="99"/>
        <v>1956.3459956959921</v>
      </c>
      <c r="AD243" s="8">
        <f t="shared" si="100"/>
        <v>133943.22472660159</v>
      </c>
      <c r="AE243" s="8">
        <f t="shared" si="101"/>
        <v>4955.7293712373148</v>
      </c>
      <c r="AF243" s="8">
        <f t="shared" si="102"/>
        <v>20.027630091301415</v>
      </c>
      <c r="AG243" s="8">
        <f t="shared" si="103"/>
        <v>0</v>
      </c>
      <c r="AH243" s="8">
        <f t="shared" si="104"/>
        <v>21222.866540801377</v>
      </c>
      <c r="AI243" s="8">
        <f t="shared" si="105"/>
        <v>4768.8714576980365</v>
      </c>
      <c r="AJ243" s="8">
        <f t="shared" si="106"/>
        <v>19.977525571821939</v>
      </c>
      <c r="AK243" s="8">
        <f t="shared" si="107"/>
        <v>0</v>
      </c>
      <c r="AL243" s="8">
        <f t="shared" si="108"/>
        <v>9265.396823093035</v>
      </c>
      <c r="AM243" s="8">
        <f t="shared" si="109"/>
        <v>6521.8741091172187</v>
      </c>
      <c r="AN243" s="8">
        <f t="shared" si="110"/>
        <v>36.715494590671355</v>
      </c>
      <c r="AO243" s="8">
        <f t="shared" si="111"/>
        <v>0</v>
      </c>
      <c r="AQ243" s="22"/>
    </row>
    <row r="244" spans="1:43">
      <c r="A244" s="1">
        <v>41971</v>
      </c>
      <c r="B244" s="5">
        <v>242</v>
      </c>
      <c r="C244" s="3">
        <f>B244/365+input!$K$2</f>
        <v>0.66301369863013704</v>
      </c>
      <c r="D244" s="4">
        <f t="shared" si="86"/>
        <v>25.821585630247821</v>
      </c>
      <c r="E244" s="10">
        <f t="shared" si="90"/>
        <v>26.29799633086887</v>
      </c>
      <c r="F244" s="20">
        <f>input!A243</f>
        <v>5098.49</v>
      </c>
      <c r="G244" s="19">
        <f t="shared" si="91"/>
        <v>0.16082275170806945</v>
      </c>
      <c r="H244" s="21">
        <f t="shared" si="92"/>
        <v>440.45111348821587</v>
      </c>
      <c r="I244" s="5">
        <v>607</v>
      </c>
      <c r="J244" s="3">
        <f>I244/365+input!$K$2</f>
        <v>1.6630136986301369</v>
      </c>
      <c r="K244" s="4">
        <f t="shared" si="112"/>
        <v>33.909955814313641</v>
      </c>
      <c r="L244" s="10">
        <f t="shared" si="113"/>
        <v>63.58552265037018</v>
      </c>
      <c r="M244" s="20">
        <f>input!B243</f>
        <v>76.83</v>
      </c>
      <c r="N244" s="19">
        <f t="shared" si="93"/>
        <v>0.9626527409985377</v>
      </c>
      <c r="O244" s="21">
        <f t="shared" si="94"/>
        <v>1369.1755634983933</v>
      </c>
      <c r="P244" s="5">
        <v>972</v>
      </c>
      <c r="Q244" s="3">
        <f>P244/365+input!$K$2</f>
        <v>2.6630136986301371</v>
      </c>
      <c r="R244" s="4">
        <f t="shared" si="87"/>
        <v>38.4386210685484</v>
      </c>
      <c r="S244" s="10">
        <f t="shared" si="88"/>
        <v>95.443357964996622</v>
      </c>
      <c r="T244" s="20">
        <f>input!C243</f>
        <v>0.2</v>
      </c>
      <c r="U244" s="19">
        <f t="shared" si="95"/>
        <v>0.99751204805643556</v>
      </c>
      <c r="V244" s="21">
        <f t="shared" si="96"/>
        <v>1838.8659862651191</v>
      </c>
      <c r="W244" s="21">
        <v>1337</v>
      </c>
      <c r="X244" s="3">
        <f>W244/365+input!$K$2</f>
        <v>3.6630136986301371</v>
      </c>
      <c r="Y244" s="4">
        <f t="shared" si="97"/>
        <v>39.469004015014669</v>
      </c>
      <c r="Z244" s="10">
        <f t="shared" si="89"/>
        <v>103.98435971907008</v>
      </c>
      <c r="AA244" s="20">
        <f>input!D243</f>
        <v>0</v>
      </c>
      <c r="AB244" s="19">
        <f t="shared" si="98"/>
        <v>0.99866597068041085</v>
      </c>
      <c r="AC244" s="21">
        <f t="shared" si="99"/>
        <v>1956.3459956959921</v>
      </c>
      <c r="AD244" s="8">
        <f t="shared" si="100"/>
        <v>134080.07131297162</v>
      </c>
      <c r="AE244" s="8">
        <f t="shared" si="101"/>
        <v>4885.2757052279412</v>
      </c>
      <c r="AF244" s="8">
        <f t="shared" si="102"/>
        <v>19.088671592999326</v>
      </c>
      <c r="AG244" s="8">
        <f t="shared" si="103"/>
        <v>0</v>
      </c>
      <c r="AH244" s="8">
        <f t="shared" si="104"/>
        <v>21563.126017766281</v>
      </c>
      <c r="AI244" s="8">
        <f t="shared" si="105"/>
        <v>4702.8240481712419</v>
      </c>
      <c r="AJ244" s="8">
        <f t="shared" si="106"/>
        <v>19.04117989540946</v>
      </c>
      <c r="AK244" s="8">
        <f t="shared" si="107"/>
        <v>0</v>
      </c>
      <c r="AL244" s="8">
        <f t="shared" si="108"/>
        <v>9497.5028648118769</v>
      </c>
      <c r="AM244" s="8">
        <f t="shared" si="109"/>
        <v>6438.9917661886548</v>
      </c>
      <c r="AN244" s="8">
        <f t="shared" si="110"/>
        <v>35.014178048023673</v>
      </c>
      <c r="AO244" s="8">
        <f t="shared" si="111"/>
        <v>0</v>
      </c>
      <c r="AQ244" s="22"/>
    </row>
    <row r="245" spans="1:43">
      <c r="A245" s="1">
        <v>41972</v>
      </c>
      <c r="B245" s="5">
        <v>243</v>
      </c>
      <c r="C245" s="3">
        <f>B245/365+input!$K$2</f>
        <v>0.66575342465753429</v>
      </c>
      <c r="D245" s="4">
        <f t="shared" si="86"/>
        <v>25.850766495021727</v>
      </c>
      <c r="E245" s="10">
        <f t="shared" si="90"/>
        <v>26.394408647797938</v>
      </c>
      <c r="F245" s="20">
        <f>input!A244</f>
        <v>5089.1899999999996</v>
      </c>
      <c r="G245" s="19">
        <f t="shared" si="91"/>
        <v>0.1632236472983449</v>
      </c>
      <c r="H245" s="21">
        <f t="shared" si="92"/>
        <v>444.32883783367987</v>
      </c>
      <c r="I245" s="5">
        <v>608</v>
      </c>
      <c r="J245" s="3">
        <f>I245/365+input!$K$2</f>
        <v>1.6657534246575343</v>
      </c>
      <c r="K245" s="4">
        <f t="shared" si="112"/>
        <v>33.926294132835515</v>
      </c>
      <c r="L245" s="10">
        <f t="shared" si="113"/>
        <v>63.684838310393857</v>
      </c>
      <c r="M245" s="20">
        <f>input!B244</f>
        <v>76.290000000000006</v>
      </c>
      <c r="N245" s="19">
        <f t="shared" si="93"/>
        <v>0.96300708084377085</v>
      </c>
      <c r="O245" s="21">
        <f t="shared" si="94"/>
        <v>1370.7563418864463</v>
      </c>
      <c r="P245" s="5">
        <v>973</v>
      </c>
      <c r="Q245" s="3">
        <f>P245/365+input!$K$2</f>
        <v>2.6657534246575341</v>
      </c>
      <c r="R245" s="4">
        <f t="shared" si="87"/>
        <v>38.447768866401219</v>
      </c>
      <c r="S245" s="10">
        <f t="shared" si="88"/>
        <v>95.516971086545013</v>
      </c>
      <c r="T245" s="20">
        <f>input!C244</f>
        <v>0.2</v>
      </c>
      <c r="U245" s="19">
        <f t="shared" si="95"/>
        <v>0.99752576799225934</v>
      </c>
      <c r="V245" s="21">
        <f t="shared" si="96"/>
        <v>1839.8907197532342</v>
      </c>
      <c r="W245" s="21">
        <v>1338</v>
      </c>
      <c r="X245" s="3">
        <f>W245/365+input!$K$2</f>
        <v>3.6657534246575341</v>
      </c>
      <c r="Y245" s="4">
        <f t="shared" si="97"/>
        <v>39.469004015014669</v>
      </c>
      <c r="Z245" s="10">
        <f t="shared" si="89"/>
        <v>103.98435971907008</v>
      </c>
      <c r="AA245" s="20">
        <f>input!D244</f>
        <v>0</v>
      </c>
      <c r="AB245" s="19">
        <f t="shared" si="98"/>
        <v>0.99866597068041085</v>
      </c>
      <c r="AC245" s="21">
        <f t="shared" si="99"/>
        <v>1956.3459956959921</v>
      </c>
      <c r="AD245" s="8">
        <f t="shared" si="100"/>
        <v>134326.16054628679</v>
      </c>
      <c r="AE245" s="8">
        <f t="shared" si="101"/>
        <v>4858.5163146999475</v>
      </c>
      <c r="AF245" s="8">
        <f t="shared" si="102"/>
        <v>19.103394217309003</v>
      </c>
      <c r="AG245" s="8">
        <f t="shared" si="103"/>
        <v>0</v>
      </c>
      <c r="AH245" s="8">
        <f t="shared" si="104"/>
        <v>21925.205851947969</v>
      </c>
      <c r="AI245" s="8">
        <f t="shared" si="105"/>
        <v>4678.7856134510321</v>
      </c>
      <c r="AJ245" s="8">
        <f t="shared" si="106"/>
        <v>19.05612798788005</v>
      </c>
      <c r="AK245" s="8">
        <f t="shared" si="107"/>
        <v>0</v>
      </c>
      <c r="AL245" s="8">
        <f t="shared" si="108"/>
        <v>9742.0012354602386</v>
      </c>
      <c r="AM245" s="8">
        <f t="shared" si="109"/>
        <v>6413.4750519650688</v>
      </c>
      <c r="AN245" s="8">
        <f t="shared" si="110"/>
        <v>35.061193039330377</v>
      </c>
      <c r="AO245" s="8">
        <f t="shared" si="111"/>
        <v>0</v>
      </c>
      <c r="AQ245" s="22"/>
    </row>
    <row r="246" spans="1:43">
      <c r="A246" s="1">
        <v>41973</v>
      </c>
      <c r="B246" s="5">
        <v>244</v>
      </c>
      <c r="C246" s="3">
        <f>B246/365+input!$K$2</f>
        <v>0.66849315068493154</v>
      </c>
      <c r="D246" s="4">
        <f t="shared" si="86"/>
        <v>25.879901027024381</v>
      </c>
      <c r="E246" s="10">
        <f t="shared" si="90"/>
        <v>26.490911394536987</v>
      </c>
      <c r="F246" s="20">
        <f>input!A245</f>
        <v>5075.3500000000004</v>
      </c>
      <c r="G246" s="19">
        <f t="shared" si="91"/>
        <v>0.1656494295005162</v>
      </c>
      <c r="H246" s="21">
        <f t="shared" si="92"/>
        <v>448.20900419431194</v>
      </c>
      <c r="I246" s="5">
        <v>609</v>
      </c>
      <c r="J246" s="3">
        <f>I246/365+input!$K$2</f>
        <v>1.6684931506849314</v>
      </c>
      <c r="K246" s="4">
        <f t="shared" si="112"/>
        <v>33.942606509714452</v>
      </c>
      <c r="L246" s="10">
        <f t="shared" si="113"/>
        <v>63.784103217992282</v>
      </c>
      <c r="M246" s="20">
        <f>input!B245</f>
        <v>75.069999999999993</v>
      </c>
      <c r="N246" s="19">
        <f t="shared" si="93"/>
        <v>0.96335763185088763</v>
      </c>
      <c r="O246" s="21">
        <f t="shared" si="94"/>
        <v>1372.3351097435102</v>
      </c>
      <c r="P246" s="5">
        <v>974</v>
      </c>
      <c r="Q246" s="3">
        <f>P246/365+input!$K$2</f>
        <v>2.6684931506849314</v>
      </c>
      <c r="R246" s="4">
        <f t="shared" si="87"/>
        <v>38.456902139570538</v>
      </c>
      <c r="S246" s="10">
        <f t="shared" si="88"/>
        <v>95.590506476485615</v>
      </c>
      <c r="T246" s="20">
        <f>input!C245</f>
        <v>0.2</v>
      </c>
      <c r="U246" s="19">
        <f t="shared" si="95"/>
        <v>0.99753939085064736</v>
      </c>
      <c r="V246" s="21">
        <f t="shared" si="96"/>
        <v>1840.9141511718019</v>
      </c>
      <c r="W246" s="21">
        <v>1339</v>
      </c>
      <c r="X246" s="3">
        <f>W246/365+input!$K$2</f>
        <v>3.6684931506849314</v>
      </c>
      <c r="Y246" s="4">
        <f t="shared" si="97"/>
        <v>39.469004015014669</v>
      </c>
      <c r="Z246" s="10">
        <f t="shared" si="89"/>
        <v>103.98435971907008</v>
      </c>
      <c r="AA246" s="20">
        <f>input!D245</f>
        <v>0</v>
      </c>
      <c r="AB246" s="19">
        <f t="shared" si="98"/>
        <v>0.99866597068041085</v>
      </c>
      <c r="AC246" s="21">
        <f t="shared" si="99"/>
        <v>1956.3459956959921</v>
      </c>
      <c r="AD246" s="8">
        <f t="shared" si="100"/>
        <v>134450.64714626331</v>
      </c>
      <c r="AE246" s="8">
        <f t="shared" si="101"/>
        <v>4788.2726285746803</v>
      </c>
      <c r="AF246" s="8">
        <f t="shared" si="102"/>
        <v>19.118101295297123</v>
      </c>
      <c r="AG246" s="8">
        <f t="shared" si="103"/>
        <v>0</v>
      </c>
      <c r="AH246" s="8">
        <f t="shared" si="104"/>
        <v>22271.672995753725</v>
      </c>
      <c r="AI246" s="8">
        <f t="shared" si="105"/>
        <v>4612.8189801201288</v>
      </c>
      <c r="AJ246" s="8">
        <f t="shared" si="106"/>
        <v>19.071059120331665</v>
      </c>
      <c r="AK246" s="8">
        <f t="shared" si="107"/>
        <v>0</v>
      </c>
      <c r="AL246" s="8">
        <f t="shared" si="108"/>
        <v>9982.3643751681266</v>
      </c>
      <c r="AM246" s="8">
        <f t="shared" si="109"/>
        <v>6330.3334413101038</v>
      </c>
      <c r="AN246" s="8">
        <f t="shared" si="110"/>
        <v>35.108182612452623</v>
      </c>
      <c r="AO246" s="8">
        <f t="shared" si="111"/>
        <v>0</v>
      </c>
      <c r="AQ246" s="22"/>
    </row>
    <row r="247" spans="1:43">
      <c r="A247" s="1">
        <v>41974</v>
      </c>
      <c r="B247" s="5">
        <v>245</v>
      </c>
      <c r="C247" s="3">
        <f>B247/365+input!$K$2</f>
        <v>0.67123287671232879</v>
      </c>
      <c r="D247" s="4">
        <f t="shared" si="86"/>
        <v>25.908989299821997</v>
      </c>
      <c r="E247" s="10">
        <f t="shared" si="90"/>
        <v>26.58750399411004</v>
      </c>
      <c r="F247" s="20">
        <f>input!A246</f>
        <v>5069.72</v>
      </c>
      <c r="G247" s="19">
        <f t="shared" si="91"/>
        <v>0.16810010020652189</v>
      </c>
      <c r="H247" s="21">
        <f t="shared" si="92"/>
        <v>452.09132136218705</v>
      </c>
      <c r="I247" s="5">
        <v>610</v>
      </c>
      <c r="J247" s="3">
        <f>I247/365+input!$K$2</f>
        <v>1.6712328767123288</v>
      </c>
      <c r="K247" s="4">
        <f t="shared" si="112"/>
        <v>33.958892986140043</v>
      </c>
      <c r="L247" s="10">
        <f t="shared" si="113"/>
        <v>63.883317177987948</v>
      </c>
      <c r="M247" s="20">
        <f>input!B246</f>
        <v>74.52</v>
      </c>
      <c r="N247" s="19">
        <f t="shared" si="93"/>
        <v>0.96370443717556553</v>
      </c>
      <c r="O247" s="21">
        <f t="shared" si="94"/>
        <v>1373.9118751910307</v>
      </c>
      <c r="P247" s="5">
        <v>975</v>
      </c>
      <c r="Q247" s="3">
        <f>P247/365+input!$K$2</f>
        <v>2.6712328767123288</v>
      </c>
      <c r="R247" s="4">
        <f t="shared" si="87"/>
        <v>38.466020911118335</v>
      </c>
      <c r="S247" s="10">
        <f t="shared" si="88"/>
        <v>95.663964145511159</v>
      </c>
      <c r="T247" s="20">
        <f>input!C246</f>
        <v>0.2</v>
      </c>
      <c r="U247" s="19">
        <f t="shared" si="95"/>
        <v>0.99755291743482377</v>
      </c>
      <c r="V247" s="21">
        <f t="shared" si="96"/>
        <v>1841.9362815982454</v>
      </c>
      <c r="W247" s="21">
        <v>1340</v>
      </c>
      <c r="X247" s="3">
        <f>W247/365+input!$K$2</f>
        <v>3.6712328767123288</v>
      </c>
      <c r="Y247" s="4">
        <f t="shared" si="97"/>
        <v>39.469004015014669</v>
      </c>
      <c r="Z247" s="10">
        <f t="shared" si="89"/>
        <v>103.98435971907008</v>
      </c>
      <c r="AA247" s="20">
        <f>input!D246</f>
        <v>0</v>
      </c>
      <c r="AB247" s="19">
        <f t="shared" si="98"/>
        <v>0.99866597068041085</v>
      </c>
      <c r="AC247" s="21">
        <f t="shared" si="99"/>
        <v>1956.3459956959921</v>
      </c>
      <c r="AD247" s="8">
        <f t="shared" si="100"/>
        <v>134791.20074901957</v>
      </c>
      <c r="AE247" s="8">
        <f t="shared" si="101"/>
        <v>4760.5847961036616</v>
      </c>
      <c r="AF247" s="8">
        <f t="shared" si="102"/>
        <v>19.132792829102232</v>
      </c>
      <c r="AG247" s="8">
        <f t="shared" si="103"/>
        <v>0</v>
      </c>
      <c r="AH247" s="8">
        <f t="shared" si="104"/>
        <v>22658.414352867596</v>
      </c>
      <c r="AI247" s="8">
        <f t="shared" si="105"/>
        <v>4587.7966915556335</v>
      </c>
      <c r="AJ247" s="8">
        <f t="shared" si="106"/>
        <v>19.085973305347007</v>
      </c>
      <c r="AK247" s="8">
        <f t="shared" si="107"/>
        <v>0</v>
      </c>
      <c r="AL247" s="8">
        <f t="shared" si="108"/>
        <v>10243.672484759856</v>
      </c>
      <c r="AM247" s="8">
        <f t="shared" si="109"/>
        <v>6303.228355490407</v>
      </c>
      <c r="AN247" s="8">
        <f t="shared" si="110"/>
        <v>35.155146700734235</v>
      </c>
      <c r="AO247" s="8">
        <f t="shared" si="111"/>
        <v>0</v>
      </c>
      <c r="AQ247" s="22"/>
    </row>
    <row r="248" spans="1:43">
      <c r="A248" s="1">
        <v>41975</v>
      </c>
      <c r="B248" s="5">
        <v>246</v>
      </c>
      <c r="C248" s="3">
        <f>B248/365+input!$K$2</f>
        <v>0.67397260273972603</v>
      </c>
      <c r="D248" s="4">
        <f t="shared" si="86"/>
        <v>25.938031386863976</v>
      </c>
      <c r="E248" s="10">
        <f t="shared" si="90"/>
        <v>26.684185870310127</v>
      </c>
      <c r="F248" s="20">
        <f>input!A247</f>
        <v>5054.7</v>
      </c>
      <c r="G248" s="19">
        <f t="shared" si="91"/>
        <v>0.17057565467712449</v>
      </c>
      <c r="H248" s="21">
        <f t="shared" si="92"/>
        <v>455.97550023604731</v>
      </c>
      <c r="I248" s="5">
        <v>611</v>
      </c>
      <c r="J248" s="3">
        <f>I248/365+input!$K$2</f>
        <v>1.6739726027397259</v>
      </c>
      <c r="K248" s="4">
        <f t="shared" si="112"/>
        <v>33.9751536032365</v>
      </c>
      <c r="L248" s="10">
        <f t="shared" si="113"/>
        <v>63.98247999609297</v>
      </c>
      <c r="M248" s="20">
        <f>input!B247</f>
        <v>73.41</v>
      </c>
      <c r="N248" s="19">
        <f t="shared" si="93"/>
        <v>0.96404753948054256</v>
      </c>
      <c r="O248" s="21">
        <f t="shared" si="94"/>
        <v>1375.4866462268305</v>
      </c>
      <c r="P248" s="5">
        <v>976</v>
      </c>
      <c r="Q248" s="3">
        <f>P248/365+input!$K$2</f>
        <v>2.6739726027397261</v>
      </c>
      <c r="R248" s="4">
        <f t="shared" si="87"/>
        <v>38.475125204069982</v>
      </c>
      <c r="S248" s="10">
        <f t="shared" si="88"/>
        <v>95.737344104600695</v>
      </c>
      <c r="T248" s="20">
        <f>input!C247</f>
        <v>0.2</v>
      </c>
      <c r="U248" s="19">
        <f t="shared" si="95"/>
        <v>0.99756634854052073</v>
      </c>
      <c r="V248" s="21">
        <f t="shared" si="96"/>
        <v>1842.9571121110325</v>
      </c>
      <c r="W248" s="21">
        <v>1341</v>
      </c>
      <c r="X248" s="3">
        <f>W248/365+input!$K$2</f>
        <v>3.6739726027397261</v>
      </c>
      <c r="Y248" s="4">
        <f t="shared" si="97"/>
        <v>39.469004015014669</v>
      </c>
      <c r="Z248" s="10">
        <f t="shared" si="89"/>
        <v>103.98435971907008</v>
      </c>
      <c r="AA248" s="20">
        <f>input!D247</f>
        <v>0</v>
      </c>
      <c r="AB248" s="19">
        <f t="shared" si="98"/>
        <v>0.99866597068041085</v>
      </c>
      <c r="AC248" s="21">
        <f t="shared" si="99"/>
        <v>1956.3459956959921</v>
      </c>
      <c r="AD248" s="8">
        <f t="shared" si="100"/>
        <v>134880.55431865659</v>
      </c>
      <c r="AE248" s="8">
        <f t="shared" si="101"/>
        <v>4696.9538565131843</v>
      </c>
      <c r="AF248" s="8">
        <f t="shared" si="102"/>
        <v>19.147468820920139</v>
      </c>
      <c r="AG248" s="8">
        <f t="shared" si="103"/>
        <v>0</v>
      </c>
      <c r="AH248" s="8">
        <f t="shared" si="104"/>
        <v>23007.338856118298</v>
      </c>
      <c r="AI248" s="8">
        <f t="shared" si="105"/>
        <v>4528.0868084251806</v>
      </c>
      <c r="AJ248" s="8">
        <f t="shared" si="106"/>
        <v>19.100870555478775</v>
      </c>
      <c r="AK248" s="8">
        <f t="shared" si="107"/>
        <v>0</v>
      </c>
      <c r="AL248" s="8">
        <f t="shared" si="108"/>
        <v>10490.78284401879</v>
      </c>
      <c r="AM248" s="8">
        <f t="shared" si="109"/>
        <v>6228.3229379447048</v>
      </c>
      <c r="AN248" s="8">
        <f t="shared" si="110"/>
        <v>35.202085237731815</v>
      </c>
      <c r="AO248" s="8">
        <f t="shared" si="111"/>
        <v>0</v>
      </c>
      <c r="AQ248" s="22"/>
    </row>
    <row r="249" spans="1:43">
      <c r="A249" s="1">
        <v>41976</v>
      </c>
      <c r="B249" s="5">
        <v>247</v>
      </c>
      <c r="C249" s="3">
        <f>B249/365+input!$K$2</f>
        <v>0.67671232876712328</v>
      </c>
      <c r="D249" s="4">
        <f t="shared" si="86"/>
        <v>25.967027361483101</v>
      </c>
      <c r="E249" s="10">
        <f t="shared" si="90"/>
        <v>26.780956447704973</v>
      </c>
      <c r="F249" s="20">
        <f>input!A248</f>
        <v>5051.24</v>
      </c>
      <c r="G249" s="19">
        <f t="shared" si="91"/>
        <v>0.17307608144171821</v>
      </c>
      <c r="H249" s="21">
        <f t="shared" si="92"/>
        <v>459.86125388963052</v>
      </c>
      <c r="I249" s="5">
        <v>612</v>
      </c>
      <c r="J249" s="3">
        <f>I249/365+input!$K$2</f>
        <v>1.6767123287671233</v>
      </c>
      <c r="K249" s="4">
        <f t="shared" si="112"/>
        <v>33.991388402062718</v>
      </c>
      <c r="L249" s="10">
        <f t="shared" si="113"/>
        <v>64.081591478907839</v>
      </c>
      <c r="M249" s="20">
        <f>input!B248</f>
        <v>73.010000000000005</v>
      </c>
      <c r="N249" s="19">
        <f t="shared" si="93"/>
        <v>0.96438698094064379</v>
      </c>
      <c r="O249" s="21">
        <f t="shared" si="94"/>
        <v>1377.0594307268946</v>
      </c>
      <c r="P249" s="5">
        <v>977</v>
      </c>
      <c r="Q249" s="3">
        <f>P249/365+input!$K$2</f>
        <v>2.6767123287671235</v>
      </c>
      <c r="R249" s="4">
        <f t="shared" si="87"/>
        <v>38.484215041414302</v>
      </c>
      <c r="S249" s="10">
        <f t="shared" si="88"/>
        <v>95.81064636501948</v>
      </c>
      <c r="T249" s="20">
        <f>input!C248</f>
        <v>0.19</v>
      </c>
      <c r="U249" s="19">
        <f t="shared" si="95"/>
        <v>0.99757968495605442</v>
      </c>
      <c r="V249" s="21">
        <f t="shared" si="96"/>
        <v>1843.9766437897131</v>
      </c>
      <c r="W249" s="21">
        <v>1342</v>
      </c>
      <c r="X249" s="3">
        <f>W249/365+input!$K$2</f>
        <v>3.6767123287671235</v>
      </c>
      <c r="Y249" s="4">
        <f t="shared" si="97"/>
        <v>39.469004015014669</v>
      </c>
      <c r="Z249" s="10">
        <f t="shared" si="89"/>
        <v>103.98435971907008</v>
      </c>
      <c r="AA249" s="20">
        <f>input!D248</f>
        <v>0</v>
      </c>
      <c r="AB249" s="19">
        <f t="shared" si="98"/>
        <v>0.99866597068041085</v>
      </c>
      <c r="AC249" s="21">
        <f t="shared" si="99"/>
        <v>1956.3459956959921</v>
      </c>
      <c r="AD249" s="8">
        <f t="shared" si="100"/>
        <v>135277.03844690527</v>
      </c>
      <c r="AE249" s="8">
        <f t="shared" si="101"/>
        <v>4678.5969938750613</v>
      </c>
      <c r="AF249" s="8">
        <f t="shared" si="102"/>
        <v>18.204022809353702</v>
      </c>
      <c r="AG249" s="8">
        <f t="shared" si="103"/>
        <v>0</v>
      </c>
      <c r="AH249" s="8">
        <f t="shared" si="104"/>
        <v>23413.219723431022</v>
      </c>
      <c r="AI249" s="8">
        <f t="shared" si="105"/>
        <v>4511.9780299611421</v>
      </c>
      <c r="AJ249" s="8">
        <f t="shared" si="106"/>
        <v>18.159963339087895</v>
      </c>
      <c r="AK249" s="8">
        <f t="shared" si="107"/>
        <v>0</v>
      </c>
      <c r="AL249" s="8">
        <f t="shared" si="108"/>
        <v>10766.832579610418</v>
      </c>
      <c r="AM249" s="8">
        <f t="shared" si="109"/>
        <v>6213.2618973905455</v>
      </c>
      <c r="AN249" s="8">
        <f t="shared" si="110"/>
        <v>33.486548249355522</v>
      </c>
      <c r="AO249" s="8">
        <f t="shared" si="111"/>
        <v>0</v>
      </c>
      <c r="AQ249" s="22"/>
    </row>
    <row r="250" spans="1:43">
      <c r="A250" s="1">
        <v>41977</v>
      </c>
      <c r="B250" s="5">
        <v>248</v>
      </c>
      <c r="C250" s="3">
        <f>B250/365+input!$K$2</f>
        <v>0.67945205479452053</v>
      </c>
      <c r="D250" s="4">
        <f t="shared" si="86"/>
        <v>25.995977296895731</v>
      </c>
      <c r="E250" s="10">
        <f t="shared" si="90"/>
        <v>26.877815151642778</v>
      </c>
      <c r="F250" s="20">
        <f>input!A249</f>
        <v>5039.17</v>
      </c>
      <c r="G250" s="19">
        <f t="shared" si="91"/>
        <v>0.17560136220092754</v>
      </c>
      <c r="H250" s="21">
        <f t="shared" si="92"/>
        <v>463.74829763823828</v>
      </c>
      <c r="I250" s="5">
        <v>613</v>
      </c>
      <c r="J250" s="3">
        <f>I250/365+input!$K$2</f>
        <v>1.6794520547945206</v>
      </c>
      <c r="K250" s="4">
        <f t="shared" si="112"/>
        <v>34.007597423612424</v>
      </c>
      <c r="L250" s="10">
        <f t="shared" si="113"/>
        <v>64.180651433918953</v>
      </c>
      <c r="M250" s="20">
        <f>input!B249</f>
        <v>71.98</v>
      </c>
      <c r="N250" s="19">
        <f t="shared" si="93"/>
        <v>0.96472280324777981</v>
      </c>
      <c r="O250" s="21">
        <f t="shared" si="94"/>
        <v>1378.6302364471173</v>
      </c>
      <c r="P250" s="5">
        <v>978</v>
      </c>
      <c r="Q250" s="3">
        <f>P250/365+input!$K$2</f>
        <v>2.6794520547945204</v>
      </c>
      <c r="R250" s="4">
        <f t="shared" si="87"/>
        <v>38.4932904461036</v>
      </c>
      <c r="S250" s="10">
        <f t="shared" si="88"/>
        <v>95.883870938316562</v>
      </c>
      <c r="T250" s="20">
        <f>input!C249</f>
        <v>0.19</v>
      </c>
      <c r="U250" s="19">
        <f t="shared" si="95"/>
        <v>0.99759292746240114</v>
      </c>
      <c r="V250" s="21">
        <f t="shared" si="96"/>
        <v>1844.9948777148625</v>
      </c>
      <c r="W250" s="21">
        <v>1343</v>
      </c>
      <c r="X250" s="3">
        <f>W250/365+input!$K$2</f>
        <v>3.6794520547945204</v>
      </c>
      <c r="Y250" s="4">
        <f t="shared" si="97"/>
        <v>39.469004015014669</v>
      </c>
      <c r="Z250" s="10">
        <f t="shared" si="89"/>
        <v>103.98435971907008</v>
      </c>
      <c r="AA250" s="20">
        <f>input!D249</f>
        <v>0</v>
      </c>
      <c r="AB250" s="19">
        <f t="shared" si="98"/>
        <v>0.99866597068041085</v>
      </c>
      <c r="AC250" s="21">
        <f t="shared" si="99"/>
        <v>1956.3459956959921</v>
      </c>
      <c r="AD250" s="8">
        <f t="shared" si="100"/>
        <v>135441.87977770375</v>
      </c>
      <c r="AE250" s="8">
        <f t="shared" si="101"/>
        <v>4619.7232902134865</v>
      </c>
      <c r="AF250" s="8">
        <f t="shared" si="102"/>
        <v>18.217935478280147</v>
      </c>
      <c r="AG250" s="8">
        <f t="shared" si="103"/>
        <v>0</v>
      </c>
      <c r="AH250" s="8">
        <f t="shared" si="104"/>
        <v>23783.778588019039</v>
      </c>
      <c r="AI250" s="8">
        <f t="shared" si="105"/>
        <v>4456.752402763811</v>
      </c>
      <c r="AJ250" s="8">
        <f t="shared" si="106"/>
        <v>18.174083586098632</v>
      </c>
      <c r="AK250" s="8">
        <f t="shared" si="107"/>
        <v>0</v>
      </c>
      <c r="AL250" s="8">
        <f t="shared" si="108"/>
        <v>11029.686831598612</v>
      </c>
      <c r="AM250" s="8">
        <f t="shared" si="109"/>
        <v>6144.2136188085315</v>
      </c>
      <c r="AN250" s="8">
        <f t="shared" si="110"/>
        <v>33.531091123513733</v>
      </c>
      <c r="AO250" s="8">
        <f t="shared" si="111"/>
        <v>0</v>
      </c>
      <c r="AQ250" s="22"/>
    </row>
    <row r="251" spans="1:43">
      <c r="A251" s="1">
        <v>41978</v>
      </c>
      <c r="B251" s="5">
        <v>249</v>
      </c>
      <c r="C251" s="3">
        <f>B251/365+input!$K$2</f>
        <v>0.68219178082191778</v>
      </c>
      <c r="D251" s="4">
        <f t="shared" si="86"/>
        <v>26.024881266201959</v>
      </c>
      <c r="E251" s="10">
        <f t="shared" si="90"/>
        <v>26.974761408258097</v>
      </c>
      <c r="F251" s="20">
        <f>input!A250</f>
        <v>5032.5600000000004</v>
      </c>
      <c r="G251" s="19">
        <f t="shared" si="91"/>
        <v>0.17815147173214199</v>
      </c>
      <c r="H251" s="21">
        <f t="shared" si="92"/>
        <v>467.63634910352636</v>
      </c>
      <c r="I251" s="5">
        <v>614</v>
      </c>
      <c r="J251" s="3">
        <f>I251/365+input!$K$2</f>
        <v>1.6821917808219178</v>
      </c>
      <c r="K251" s="4">
        <f t="shared" si="112"/>
        <v>34.023780708814236</v>
      </c>
      <c r="L251" s="10">
        <f t="shared" si="113"/>
        <v>64.279659669497164</v>
      </c>
      <c r="M251" s="20">
        <f>input!B250</f>
        <v>71.52</v>
      </c>
      <c r="N251" s="19">
        <f t="shared" si="93"/>
        <v>0.96505504761591687</v>
      </c>
      <c r="O251" s="21">
        <f t="shared" si="94"/>
        <v>1380.1990710250634</v>
      </c>
      <c r="P251" s="5">
        <v>979</v>
      </c>
      <c r="Q251" s="3">
        <f>P251/365+input!$K$2</f>
        <v>2.6821917808219178</v>
      </c>
      <c r="R251" s="4">
        <f t="shared" si="87"/>
        <v>38.502351441053762</v>
      </c>
      <c r="S251" s="10">
        <f t="shared" si="88"/>
        <v>95.957017836324738</v>
      </c>
      <c r="T251" s="20">
        <f>input!C250</f>
        <v>0.19</v>
      </c>
      <c r="U251" s="19">
        <f t="shared" si="95"/>
        <v>0.99760607683327363</v>
      </c>
      <c r="V251" s="21">
        <f t="shared" si="96"/>
        <v>1846.0118149681111</v>
      </c>
      <c r="W251" s="21">
        <v>1344</v>
      </c>
      <c r="X251" s="3">
        <f>W251/365+input!$K$2</f>
        <v>3.6821917808219178</v>
      </c>
      <c r="Y251" s="4">
        <f t="shared" si="97"/>
        <v>39.469004015014669</v>
      </c>
      <c r="Z251" s="10">
        <f t="shared" si="89"/>
        <v>103.98435971907008</v>
      </c>
      <c r="AA251" s="20">
        <f>input!D250</f>
        <v>0</v>
      </c>
      <c r="AB251" s="19">
        <f t="shared" si="98"/>
        <v>0.99866597068041085</v>
      </c>
      <c r="AC251" s="21">
        <f t="shared" si="99"/>
        <v>1956.3459956959921</v>
      </c>
      <c r="AD251" s="8">
        <f t="shared" si="100"/>
        <v>135752.10527274339</v>
      </c>
      <c r="AE251" s="8">
        <f t="shared" si="101"/>
        <v>4597.2812595624373</v>
      </c>
      <c r="AF251" s="8">
        <f t="shared" si="102"/>
        <v>18.231833388901702</v>
      </c>
      <c r="AG251" s="8">
        <f t="shared" si="103"/>
        <v>0</v>
      </c>
      <c r="AH251" s="8">
        <f t="shared" si="104"/>
        <v>24184.437345075909</v>
      </c>
      <c r="AI251" s="8">
        <f t="shared" si="105"/>
        <v>4436.6294848507905</v>
      </c>
      <c r="AJ251" s="8">
        <f t="shared" si="106"/>
        <v>18.188187780580115</v>
      </c>
      <c r="AK251" s="8">
        <f t="shared" si="107"/>
        <v>0</v>
      </c>
      <c r="AL251" s="8">
        <f t="shared" si="108"/>
        <v>11309.521985174279</v>
      </c>
      <c r="AM251" s="8">
        <f t="shared" si="109"/>
        <v>6123.4318934734665</v>
      </c>
      <c r="AN251" s="8">
        <f t="shared" si="110"/>
        <v>33.575609535809519</v>
      </c>
      <c r="AO251" s="8">
        <f t="shared" si="111"/>
        <v>0</v>
      </c>
      <c r="AQ251" s="22"/>
    </row>
    <row r="252" spans="1:43">
      <c r="A252" s="1">
        <v>41979</v>
      </c>
      <c r="B252" s="5">
        <v>250</v>
      </c>
      <c r="C252" s="3">
        <f>B252/365+input!$K$2</f>
        <v>0.68493150684931503</v>
      </c>
      <c r="D252" s="4">
        <f t="shared" si="86"/>
        <v>26.0537393423858</v>
      </c>
      <c r="E252" s="10">
        <f t="shared" si="90"/>
        <v>27.071794644477308</v>
      </c>
      <c r="F252" s="20">
        <f>input!A251</f>
        <v>5017.87</v>
      </c>
      <c r="G252" s="19">
        <f t="shared" si="91"/>
        <v>0.18072637779814615</v>
      </c>
      <c r="H252" s="21">
        <f t="shared" si="92"/>
        <v>471.52512827651037</v>
      </c>
      <c r="I252" s="5">
        <v>615</v>
      </c>
      <c r="J252" s="3">
        <f>I252/365+input!$K$2</f>
        <v>1.6849315068493151</v>
      </c>
      <c r="K252" s="4">
        <f t="shared" si="112"/>
        <v>34.039938298531794</v>
      </c>
      <c r="L252" s="10">
        <f t="shared" si="113"/>
        <v>64.378615994895171</v>
      </c>
      <c r="M252" s="20">
        <f>input!B251</f>
        <v>70.37</v>
      </c>
      <c r="N252" s="19">
        <f t="shared" si="93"/>
        <v>0.9653837547860189</v>
      </c>
      <c r="O252" s="21">
        <f t="shared" si="94"/>
        <v>1381.7659419816744</v>
      </c>
      <c r="P252" s="5">
        <v>980</v>
      </c>
      <c r="Q252" s="3">
        <f>P252/365+input!$K$2</f>
        <v>2.6849315068493151</v>
      </c>
      <c r="R252" s="4">
        <f t="shared" si="87"/>
        <v>38.511398049144255</v>
      </c>
      <c r="S252" s="10">
        <f t="shared" si="88"/>
        <v>96.03008707115842</v>
      </c>
      <c r="T252" s="20">
        <f>input!C251</f>
        <v>0.19</v>
      </c>
      <c r="U252" s="19">
        <f t="shared" si="95"/>
        <v>0.99761913383519474</v>
      </c>
      <c r="V252" s="21">
        <f t="shared" si="96"/>
        <v>1847.0274566321214</v>
      </c>
      <c r="W252" s="21">
        <v>1345</v>
      </c>
      <c r="X252" s="3">
        <f>W252/365+input!$K$2</f>
        <v>3.6849315068493151</v>
      </c>
      <c r="Y252" s="4">
        <f t="shared" si="97"/>
        <v>39.469004015014669</v>
      </c>
      <c r="Z252" s="10">
        <f t="shared" si="89"/>
        <v>103.98435971907008</v>
      </c>
      <c r="AA252" s="20">
        <f>input!D251</f>
        <v>0</v>
      </c>
      <c r="AB252" s="19">
        <f t="shared" si="98"/>
        <v>0.99866597068041085</v>
      </c>
      <c r="AC252" s="21">
        <f t="shared" si="99"/>
        <v>1956.3459956959921</v>
      </c>
      <c r="AD252" s="8">
        <f t="shared" si="100"/>
        <v>135842.74619268335</v>
      </c>
      <c r="AE252" s="8">
        <f t="shared" si="101"/>
        <v>4530.3232075607739</v>
      </c>
      <c r="AF252" s="8">
        <f t="shared" si="102"/>
        <v>18.2457165435201</v>
      </c>
      <c r="AG252" s="8">
        <f t="shared" si="103"/>
        <v>0</v>
      </c>
      <c r="AH252" s="8">
        <f t="shared" si="104"/>
        <v>24550.367469556571</v>
      </c>
      <c r="AI252" s="8">
        <f t="shared" si="105"/>
        <v>4373.5004285092609</v>
      </c>
      <c r="AJ252" s="8">
        <f t="shared" si="106"/>
        <v>18.202275934349004</v>
      </c>
      <c r="AK252" s="8">
        <f t="shared" si="107"/>
        <v>0</v>
      </c>
      <c r="AL252" s="8">
        <f t="shared" si="108"/>
        <v>11576.115170318131</v>
      </c>
      <c r="AM252" s="8">
        <f t="shared" si="109"/>
        <v>6043.1539393563553</v>
      </c>
      <c r="AN252" s="8">
        <f t="shared" si="110"/>
        <v>33.620103423936705</v>
      </c>
      <c r="AO252" s="8">
        <f t="shared" si="111"/>
        <v>0</v>
      </c>
      <c r="AQ252" s="22"/>
    </row>
    <row r="253" spans="1:43">
      <c r="A253" s="1">
        <v>41980</v>
      </c>
      <c r="B253" s="5">
        <v>251</v>
      </c>
      <c r="C253" s="3">
        <f>B253/365+input!$K$2</f>
        <v>0.68767123287671228</v>
      </c>
      <c r="D253" s="4">
        <f t="shared" si="86"/>
        <v>26.082551598315419</v>
      </c>
      <c r="E253" s="10">
        <f t="shared" si="90"/>
        <v>27.168914288024364</v>
      </c>
      <c r="F253" s="20">
        <f>input!A252</f>
        <v>5014.43</v>
      </c>
      <c r="G253" s="19">
        <f t="shared" si="91"/>
        <v>0.18332604105899242</v>
      </c>
      <c r="H253" s="21">
        <f t="shared" si="92"/>
        <v>475.41435757878298</v>
      </c>
      <c r="I253" s="5">
        <v>616</v>
      </c>
      <c r="J253" s="3">
        <f>I253/365+input!$K$2</f>
        <v>1.6876712328767123</v>
      </c>
      <c r="K253" s="4">
        <f t="shared" si="112"/>
        <v>34.056070233563851</v>
      </c>
      <c r="L253" s="10">
        <f t="shared" si="113"/>
        <v>64.47752022024649</v>
      </c>
      <c r="M253" s="20">
        <f>input!B252</f>
        <v>69.98</v>
      </c>
      <c r="N253" s="19">
        <f t="shared" si="93"/>
        <v>0.96570896503095938</v>
      </c>
      <c r="O253" s="21">
        <f t="shared" si="94"/>
        <v>1383.3308567229872</v>
      </c>
      <c r="P253" s="5">
        <v>981</v>
      </c>
      <c r="Q253" s="3">
        <f>P253/365+input!$K$2</f>
        <v>2.6876712328767125</v>
      </c>
      <c r="R253" s="4">
        <f t="shared" si="87"/>
        <v>38.52043029321824</v>
      </c>
      <c r="S253" s="10">
        <f t="shared" si="88"/>
        <v>96.103078655213011</v>
      </c>
      <c r="T253" s="20">
        <f>input!C252</f>
        <v>0.19</v>
      </c>
      <c r="U253" s="19">
        <f t="shared" si="95"/>
        <v>0.99763209922757035</v>
      </c>
      <c r="V253" s="21">
        <f t="shared" si="96"/>
        <v>1848.0418037905952</v>
      </c>
      <c r="W253" s="21">
        <v>1346</v>
      </c>
      <c r="X253" s="3">
        <f>W253/365+input!$K$2</f>
        <v>3.6876712328767125</v>
      </c>
      <c r="Y253" s="4">
        <f t="shared" si="97"/>
        <v>39.469004015014669</v>
      </c>
      <c r="Z253" s="10">
        <f t="shared" si="89"/>
        <v>103.98435971907008</v>
      </c>
      <c r="AA253" s="20">
        <f>input!D252</f>
        <v>0</v>
      </c>
      <c r="AB253" s="19">
        <f t="shared" si="98"/>
        <v>0.99866597068041085</v>
      </c>
      <c r="AC253" s="21">
        <f t="shared" si="99"/>
        <v>1956.3459956959921</v>
      </c>
      <c r="AD253" s="8">
        <f t="shared" si="100"/>
        <v>136236.61887329802</v>
      </c>
      <c r="AE253" s="8">
        <f t="shared" si="101"/>
        <v>4512.1368650128497</v>
      </c>
      <c r="AF253" s="8">
        <f t="shared" si="102"/>
        <v>18.259584944490474</v>
      </c>
      <c r="AG253" s="8">
        <f t="shared" si="103"/>
        <v>0</v>
      </c>
      <c r="AH253" s="8">
        <f t="shared" si="104"/>
        <v>24975.719985304535</v>
      </c>
      <c r="AI253" s="8">
        <f t="shared" si="105"/>
        <v>4357.4110219895965</v>
      </c>
      <c r="AJ253" s="8">
        <f t="shared" si="106"/>
        <v>18.216348059196172</v>
      </c>
      <c r="AK253" s="8">
        <f t="shared" si="107"/>
        <v>0</v>
      </c>
      <c r="AL253" s="8">
        <f t="shared" si="108"/>
        <v>11873.815871881128</v>
      </c>
      <c r="AM253" s="8">
        <f t="shared" si="109"/>
        <v>6027.7411221430557</v>
      </c>
      <c r="AN253" s="8">
        <f t="shared" si="110"/>
        <v>33.664572725794201</v>
      </c>
      <c r="AO253" s="8">
        <f t="shared" si="111"/>
        <v>0</v>
      </c>
      <c r="AQ253" s="22"/>
    </row>
    <row r="254" spans="1:43">
      <c r="A254" s="1">
        <v>41981</v>
      </c>
      <c r="B254" s="5">
        <v>252</v>
      </c>
      <c r="C254" s="3">
        <f>B254/365+input!$K$2</f>
        <v>0.69041095890410964</v>
      </c>
      <c r="D254" s="4">
        <f t="shared" si="86"/>
        <v>26.111318106743251</v>
      </c>
      <c r="E254" s="10">
        <f t="shared" si="90"/>
        <v>27.266119767426208</v>
      </c>
      <c r="F254" s="20">
        <f>input!A253</f>
        <v>4998.6000000000004</v>
      </c>
      <c r="G254" s="19">
        <f t="shared" si="91"/>
        <v>0.18595041498725154</v>
      </c>
      <c r="H254" s="21">
        <f t="shared" si="92"/>
        <v>479.30376192191983</v>
      </c>
      <c r="I254" s="5">
        <v>617</v>
      </c>
      <c r="J254" s="3">
        <f>I254/365+input!$K$2</f>
        <v>1.6904109589041096</v>
      </c>
      <c r="K254" s="4">
        <f t="shared" si="112"/>
        <v>34.072176554644386</v>
      </c>
      <c r="L254" s="10">
        <f t="shared" si="113"/>
        <v>64.576372156562954</v>
      </c>
      <c r="M254" s="20">
        <f>input!B253</f>
        <v>68.900000000000006</v>
      </c>
      <c r="N254" s="19">
        <f t="shared" si="93"/>
        <v>0.96603071816040509</v>
      </c>
      <c r="O254" s="21">
        <f t="shared" si="94"/>
        <v>1384.8938225418024</v>
      </c>
      <c r="P254" s="5">
        <v>982</v>
      </c>
      <c r="Q254" s="3">
        <f>P254/365+input!$K$2</f>
        <v>2.6904109589041094</v>
      </c>
      <c r="R254" s="4">
        <f t="shared" si="87"/>
        <v>38.529448196082605</v>
      </c>
      <c r="S254" s="10">
        <f t="shared" si="88"/>
        <v>96.175992601163642</v>
      </c>
      <c r="T254" s="20">
        <f>input!C253</f>
        <v>0.18</v>
      </c>
      <c r="U254" s="19">
        <f t="shared" si="95"/>
        <v>0.99764497376276429</v>
      </c>
      <c r="V254" s="21">
        <f t="shared" si="96"/>
        <v>1849.0548575282471</v>
      </c>
      <c r="W254" s="21">
        <v>1347</v>
      </c>
      <c r="X254" s="3">
        <f>W254/365+input!$K$2</f>
        <v>3.6904109589041094</v>
      </c>
      <c r="Y254" s="4">
        <f t="shared" si="97"/>
        <v>39.469004015014669</v>
      </c>
      <c r="Z254" s="10">
        <f t="shared" si="89"/>
        <v>103.98435971907008</v>
      </c>
      <c r="AA254" s="20">
        <f>input!D253</f>
        <v>0</v>
      </c>
      <c r="AB254" s="19">
        <f t="shared" si="98"/>
        <v>0.99866597068041085</v>
      </c>
      <c r="AC254" s="21">
        <f t="shared" si="99"/>
        <v>1956.3459956959921</v>
      </c>
      <c r="AD254" s="8">
        <f t="shared" si="100"/>
        <v>136292.42626945666</v>
      </c>
      <c r="AE254" s="8">
        <f t="shared" si="101"/>
        <v>4449.3120415871881</v>
      </c>
      <c r="AF254" s="8">
        <f t="shared" si="102"/>
        <v>17.311678668209456</v>
      </c>
      <c r="AG254" s="8">
        <f t="shared" si="103"/>
        <v>0</v>
      </c>
      <c r="AH254" s="8">
        <f t="shared" si="104"/>
        <v>25343.633224424848</v>
      </c>
      <c r="AI254" s="8">
        <f t="shared" si="105"/>
        <v>4298.1721068542092</v>
      </c>
      <c r="AJ254" s="8">
        <f t="shared" si="106"/>
        <v>17.27090921073523</v>
      </c>
      <c r="AK254" s="8">
        <f t="shared" si="107"/>
        <v>0</v>
      </c>
      <c r="AL254" s="8">
        <f t="shared" si="108"/>
        <v>12147.298745236185</v>
      </c>
      <c r="AM254" s="8">
        <f t="shared" si="109"/>
        <v>5952.5119990038775</v>
      </c>
      <c r="AN254" s="8">
        <f t="shared" si="110"/>
        <v>31.934858570039321</v>
      </c>
      <c r="AO254" s="8">
        <f t="shared" si="111"/>
        <v>0</v>
      </c>
      <c r="AQ254" s="22"/>
    </row>
    <row r="255" spans="1:43">
      <c r="A255" s="1">
        <v>41982</v>
      </c>
      <c r="B255" s="5">
        <v>253</v>
      </c>
      <c r="C255" s="3">
        <f>B255/365+input!$K$2</f>
        <v>0.69315068493150689</v>
      </c>
      <c r="D255" s="4">
        <f t="shared" si="86"/>
        <v>26.140038940306241</v>
      </c>
      <c r="E255" s="10">
        <f t="shared" si="90"/>
        <v>27.363410512018326</v>
      </c>
      <c r="F255" s="20">
        <f>input!A254</f>
        <v>4995.18</v>
      </c>
      <c r="G255" s="19">
        <f t="shared" si="91"/>
        <v>0.18859944578681342</v>
      </c>
      <c r="H255" s="21">
        <f t="shared" si="92"/>
        <v>483.19306876509091</v>
      </c>
      <c r="I255" s="5">
        <v>618</v>
      </c>
      <c r="J255" s="3">
        <f>I255/365+input!$K$2</f>
        <v>1.6931506849315068</v>
      </c>
      <c r="K255" s="4">
        <f t="shared" si="112"/>
        <v>34.088257302442699</v>
      </c>
      <c r="L255" s="10">
        <f t="shared" si="113"/>
        <v>64.675171615733092</v>
      </c>
      <c r="M255" s="20">
        <f>input!B254</f>
        <v>68.52</v>
      </c>
      <c r="N255" s="19">
        <f t="shared" si="93"/>
        <v>0.96634905352566547</v>
      </c>
      <c r="O255" s="21">
        <f t="shared" si="94"/>
        <v>1386.4548466193655</v>
      </c>
      <c r="P255" s="5">
        <v>983</v>
      </c>
      <c r="Q255" s="3">
        <f>P255/365+input!$K$2</f>
        <v>2.6931506849315068</v>
      </c>
      <c r="R255" s="4">
        <f t="shared" si="87"/>
        <v>38.538451780508034</v>
      </c>
      <c r="S255" s="10">
        <f t="shared" si="88"/>
        <v>96.248828921964062</v>
      </c>
      <c r="T255" s="20">
        <f>input!C254</f>
        <v>0.18</v>
      </c>
      <c r="U255" s="19">
        <f t="shared" si="95"/>
        <v>0.99765775818616775</v>
      </c>
      <c r="V255" s="21">
        <f t="shared" si="96"/>
        <v>1850.0666189308274</v>
      </c>
      <c r="W255" s="21">
        <v>1348</v>
      </c>
      <c r="X255" s="3">
        <f>W255/365+input!$K$2</f>
        <v>3.6931506849315068</v>
      </c>
      <c r="Y255" s="4">
        <f t="shared" si="97"/>
        <v>39.469004015014669</v>
      </c>
      <c r="Z255" s="10">
        <f t="shared" si="89"/>
        <v>103.98435971907008</v>
      </c>
      <c r="AA255" s="20">
        <f>input!D254</f>
        <v>0</v>
      </c>
      <c r="AB255" s="19">
        <f t="shared" si="98"/>
        <v>0.99866597068041085</v>
      </c>
      <c r="AC255" s="21">
        <f t="shared" si="99"/>
        <v>1956.3459956959921</v>
      </c>
      <c r="AD255" s="8">
        <f t="shared" si="100"/>
        <v>136685.16092142373</v>
      </c>
      <c r="AE255" s="8">
        <f t="shared" si="101"/>
        <v>4431.5427591100315</v>
      </c>
      <c r="AF255" s="8">
        <f t="shared" si="102"/>
        <v>17.324789205953529</v>
      </c>
      <c r="AG255" s="8">
        <f t="shared" si="103"/>
        <v>0</v>
      </c>
      <c r="AH255" s="8">
        <f t="shared" si="104"/>
        <v>25778.745597061923</v>
      </c>
      <c r="AI255" s="8">
        <f t="shared" si="105"/>
        <v>4282.4171509244952</v>
      </c>
      <c r="AJ255" s="8">
        <f t="shared" si="106"/>
        <v>17.284210360259515</v>
      </c>
      <c r="AK255" s="8">
        <f t="shared" si="107"/>
        <v>0</v>
      </c>
      <c r="AL255" s="8">
        <f t="shared" si="108"/>
        <v>12456.111193958926</v>
      </c>
      <c r="AM255" s="8">
        <f t="shared" si="109"/>
        <v>5937.3780141451607</v>
      </c>
      <c r="AN255" s="8">
        <f t="shared" si="110"/>
        <v>31.976940622094499</v>
      </c>
      <c r="AO255" s="8">
        <f t="shared" si="111"/>
        <v>0</v>
      </c>
      <c r="AQ255" s="22"/>
    </row>
    <row r="256" spans="1:43">
      <c r="A256" s="1">
        <v>41983</v>
      </c>
      <c r="B256" s="5">
        <v>254</v>
      </c>
      <c r="C256" s="3">
        <f>B256/365+input!$K$2</f>
        <v>0.69589041095890414</v>
      </c>
      <c r="D256" s="4">
        <f t="shared" si="86"/>
        <v>26.168714171525988</v>
      </c>
      <c r="E256" s="10">
        <f t="shared" si="90"/>
        <v>27.460785951950253</v>
      </c>
      <c r="F256" s="20">
        <f>input!A255</f>
        <v>4982.3</v>
      </c>
      <c r="G256" s="19">
        <f t="shared" si="91"/>
        <v>0.19127307231535901</v>
      </c>
      <c r="H256" s="21">
        <f t="shared" si="92"/>
        <v>487.08200817084901</v>
      </c>
      <c r="I256" s="5">
        <v>619</v>
      </c>
      <c r="J256" s="3">
        <f>I256/365+input!$K$2</f>
        <v>1.6958904109589041</v>
      </c>
      <c r="K256" s="4">
        <f t="shared" si="112"/>
        <v>34.104312517563521</v>
      </c>
      <c r="L256" s="10">
        <f t="shared" si="113"/>
        <v>64.773918410519983</v>
      </c>
      <c r="M256" s="20">
        <f>input!B255</f>
        <v>67.540000000000006</v>
      </c>
      <c r="N256" s="19">
        <f t="shared" si="93"/>
        <v>0.96666401002451585</v>
      </c>
      <c r="O256" s="21">
        <f t="shared" si="94"/>
        <v>1388.0139360270086</v>
      </c>
      <c r="P256" s="5">
        <v>984</v>
      </c>
      <c r="Q256" s="3">
        <f>P256/365+input!$K$2</f>
        <v>2.6958904109589041</v>
      </c>
      <c r="R256" s="4">
        <f t="shared" si="87"/>
        <v>38.547441069229038</v>
      </c>
      <c r="S256" s="10">
        <f t="shared" si="88"/>
        <v>96.321587630845698</v>
      </c>
      <c r="T256" s="20">
        <f>input!C255</f>
        <v>0.18</v>
      </c>
      <c r="U256" s="19">
        <f t="shared" si="95"/>
        <v>0.99767045323627301</v>
      </c>
      <c r="V256" s="21">
        <f t="shared" si="96"/>
        <v>1851.0770890850806</v>
      </c>
      <c r="W256" s="21">
        <v>1349</v>
      </c>
      <c r="X256" s="3">
        <f>W256/365+input!$K$2</f>
        <v>3.6958904109589041</v>
      </c>
      <c r="Y256" s="4">
        <f t="shared" si="97"/>
        <v>39.469004015014669</v>
      </c>
      <c r="Z256" s="10">
        <f t="shared" si="89"/>
        <v>103.98435971907008</v>
      </c>
      <c r="AA256" s="20">
        <f>input!D255</f>
        <v>0</v>
      </c>
      <c r="AB256" s="19">
        <f t="shared" si="98"/>
        <v>0.99866597068041085</v>
      </c>
      <c r="AC256" s="21">
        <f t="shared" si="99"/>
        <v>1956.3459956959921</v>
      </c>
      <c r="AD256" s="8">
        <f t="shared" si="100"/>
        <v>136817.87384840174</v>
      </c>
      <c r="AE256" s="8">
        <f t="shared" si="101"/>
        <v>4374.8304494465201</v>
      </c>
      <c r="AF256" s="8">
        <f t="shared" si="102"/>
        <v>17.337885773552227</v>
      </c>
      <c r="AG256" s="8">
        <f t="shared" si="103"/>
        <v>0</v>
      </c>
      <c r="AH256" s="8">
        <f t="shared" si="104"/>
        <v>26169.575078639013</v>
      </c>
      <c r="AI256" s="8">
        <f t="shared" si="105"/>
        <v>4228.9911454393277</v>
      </c>
      <c r="AJ256" s="8">
        <f t="shared" si="106"/>
        <v>17.297496357858581</v>
      </c>
      <c r="AK256" s="8">
        <f t="shared" si="107"/>
        <v>0</v>
      </c>
      <c r="AL256" s="8">
        <f t="shared" si="108"/>
        <v>12746.729182281295</v>
      </c>
      <c r="AM256" s="8">
        <f t="shared" si="109"/>
        <v>5869.8986452046092</v>
      </c>
      <c r="AN256" s="8">
        <f t="shared" si="110"/>
        <v>32.018999206564644</v>
      </c>
      <c r="AO256" s="8">
        <f t="shared" si="111"/>
        <v>0</v>
      </c>
      <c r="AQ256" s="22"/>
    </row>
    <row r="257" spans="1:43">
      <c r="A257" s="1">
        <v>41984</v>
      </c>
      <c r="B257" s="5">
        <v>255</v>
      </c>
      <c r="C257" s="3">
        <f>B257/365+input!$K$2</f>
        <v>0.69863013698630139</v>
      </c>
      <c r="D257" s="4">
        <f t="shared" si="86"/>
        <v>26.197343872808936</v>
      </c>
      <c r="E257" s="10">
        <f t="shared" si="90"/>
        <v>27.558245518190748</v>
      </c>
      <c r="F257" s="20">
        <f>input!A256</f>
        <v>4973.08</v>
      </c>
      <c r="G257" s="19">
        <f t="shared" si="91"/>
        <v>0.19397122601066599</v>
      </c>
      <c r="H257" s="21">
        <f t="shared" si="92"/>
        <v>490.97031285910873</v>
      </c>
      <c r="I257" s="5">
        <v>620</v>
      </c>
      <c r="J257" s="3">
        <f>I257/365+input!$K$2</f>
        <v>1.6986301369863013</v>
      </c>
      <c r="K257" s="4">
        <f t="shared" si="112"/>
        <v>34.120342240547096</v>
      </c>
      <c r="L257" s="10">
        <f t="shared" si="113"/>
        <v>64.872612354559394</v>
      </c>
      <c r="M257" s="20">
        <f>input!B256</f>
        <v>66.97</v>
      </c>
      <c r="N257" s="19">
        <f t="shared" si="93"/>
        <v>0.96697562610598464</v>
      </c>
      <c r="O257" s="21">
        <f t="shared" si="94"/>
        <v>1389.5710977277731</v>
      </c>
      <c r="P257" s="5">
        <v>985</v>
      </c>
      <c r="Q257" s="3">
        <f>P257/365+input!$K$2</f>
        <v>2.6986301369863015</v>
      </c>
      <c r="R257" s="4">
        <f t="shared" si="87"/>
        <v>38.55641608494404</v>
      </c>
      <c r="S257" s="10">
        <f t="shared" si="88"/>
        <v>96.394268741315983</v>
      </c>
      <c r="T257" s="20">
        <f>input!C256</f>
        <v>0.18</v>
      </c>
      <c r="U257" s="19">
        <f t="shared" si="95"/>
        <v>0.99768305964474135</v>
      </c>
      <c r="V257" s="21">
        <f t="shared" si="96"/>
        <v>1852.0862690787765</v>
      </c>
      <c r="W257" s="21">
        <v>1350</v>
      </c>
      <c r="X257" s="3">
        <f>W257/365+input!$K$2</f>
        <v>3.6986301369863015</v>
      </c>
      <c r="Y257" s="4">
        <f t="shared" si="97"/>
        <v>39.469004015014669</v>
      </c>
      <c r="Z257" s="10">
        <f t="shared" si="89"/>
        <v>103.98435971907008</v>
      </c>
      <c r="AA257" s="20">
        <f>input!D256</f>
        <v>0</v>
      </c>
      <c r="AB257" s="19">
        <f t="shared" si="98"/>
        <v>0.99866597068041085</v>
      </c>
      <c r="AC257" s="21">
        <f t="shared" si="99"/>
        <v>1956.3459956959921</v>
      </c>
      <c r="AD257" s="8">
        <f t="shared" si="100"/>
        <v>137049.35962160403</v>
      </c>
      <c r="AE257" s="8">
        <f t="shared" si="101"/>
        <v>4344.5188493848427</v>
      </c>
      <c r="AF257" s="8">
        <f t="shared" si="102"/>
        <v>17.350968373436878</v>
      </c>
      <c r="AG257" s="8">
        <f t="shared" si="103"/>
        <v>0</v>
      </c>
      <c r="AH257" s="8">
        <f t="shared" si="104"/>
        <v>26583.632309779197</v>
      </c>
      <c r="AI257" s="8">
        <f t="shared" si="105"/>
        <v>4201.0438345131606</v>
      </c>
      <c r="AJ257" s="8">
        <f t="shared" si="106"/>
        <v>17.310767214609644</v>
      </c>
      <c r="AK257" s="8">
        <f t="shared" si="107"/>
        <v>0</v>
      </c>
      <c r="AL257" s="8">
        <f t="shared" si="108"/>
        <v>13051.774272063803</v>
      </c>
      <c r="AM257" s="8">
        <f t="shared" si="109"/>
        <v>5837.649092726946</v>
      </c>
      <c r="AN257" s="8">
        <f t="shared" si="110"/>
        <v>32.061034265397581</v>
      </c>
      <c r="AO257" s="8">
        <f t="shared" si="111"/>
        <v>0</v>
      </c>
      <c r="AQ257" s="22"/>
    </row>
    <row r="258" spans="1:43">
      <c r="A258" s="1">
        <v>41985</v>
      </c>
      <c r="B258" s="5">
        <v>256</v>
      </c>
      <c r="C258" s="3">
        <f>B258/365+input!$K$2</f>
        <v>0.70136986301369864</v>
      </c>
      <c r="D258" s="4">
        <f t="shared" si="86"/>
        <v>26.225928116446582</v>
      </c>
      <c r="E258" s="10">
        <f t="shared" si="90"/>
        <v>27.655788642533341</v>
      </c>
      <c r="F258" s="20">
        <f>input!A257</f>
        <v>4960.07</v>
      </c>
      <c r="G258" s="19">
        <f t="shared" si="91"/>
        <v>0.19669383082088623</v>
      </c>
      <c r="H258" s="21">
        <f t="shared" si="92"/>
        <v>494.85771825930925</v>
      </c>
      <c r="I258" s="5">
        <v>621</v>
      </c>
      <c r="J258" s="3">
        <f>I258/365+input!$K$2</f>
        <v>1.7013698630136986</v>
      </c>
      <c r="K258" s="4">
        <f t="shared" si="112"/>
        <v>34.136346511869327</v>
      </c>
      <c r="L258" s="10">
        <f t="shared" si="113"/>
        <v>64.971253262358218</v>
      </c>
      <c r="M258" s="20">
        <f>input!B257</f>
        <v>66</v>
      </c>
      <c r="N258" s="19">
        <f t="shared" si="93"/>
        <v>0.96728393977511118</v>
      </c>
      <c r="O258" s="21">
        <f t="shared" si="94"/>
        <v>1391.1263385780269</v>
      </c>
      <c r="P258" s="5">
        <v>986</v>
      </c>
      <c r="Q258" s="3">
        <f>P258/365+input!$K$2</f>
        <v>2.7013698630136984</v>
      </c>
      <c r="R258" s="4">
        <f t="shared" si="87"/>
        <v>38.565376850315424</v>
      </c>
      <c r="S258" s="10">
        <f t="shared" si="88"/>
        <v>96.466872267157257</v>
      </c>
      <c r="T258" s="20">
        <f>input!C257</f>
        <v>0.18</v>
      </c>
      <c r="U258" s="19">
        <f t="shared" si="95"/>
        <v>0.99769557813647458</v>
      </c>
      <c r="V258" s="21">
        <f t="shared" si="96"/>
        <v>1853.0941600006665</v>
      </c>
      <c r="W258" s="21">
        <v>1351</v>
      </c>
      <c r="X258" s="3">
        <f>W258/365+input!$K$2</f>
        <v>3.7013698630136984</v>
      </c>
      <c r="Y258" s="4">
        <f t="shared" si="97"/>
        <v>39.469004015014669</v>
      </c>
      <c r="Z258" s="10">
        <f t="shared" si="89"/>
        <v>103.98435971907008</v>
      </c>
      <c r="AA258" s="20">
        <f>input!D257</f>
        <v>0</v>
      </c>
      <c r="AB258" s="19">
        <f t="shared" si="98"/>
        <v>0.99866597068041085</v>
      </c>
      <c r="AC258" s="21">
        <f t="shared" si="99"/>
        <v>1956.3459956959921</v>
      </c>
      <c r="AD258" s="8">
        <f t="shared" si="100"/>
        <v>137174.64757217033</v>
      </c>
      <c r="AE258" s="8">
        <f t="shared" si="101"/>
        <v>4288.1027153156419</v>
      </c>
      <c r="AF258" s="8">
        <f t="shared" si="102"/>
        <v>17.364037008088307</v>
      </c>
      <c r="AG258" s="8">
        <f t="shared" si="103"/>
        <v>0</v>
      </c>
      <c r="AH258" s="8">
        <f t="shared" si="104"/>
        <v>26981.406922475166</v>
      </c>
      <c r="AI258" s="8">
        <f t="shared" si="105"/>
        <v>4147.8128886308659</v>
      </c>
      <c r="AJ258" s="8">
        <f t="shared" si="106"/>
        <v>17.324022941567804</v>
      </c>
      <c r="AK258" s="8">
        <f t="shared" si="107"/>
        <v>0</v>
      </c>
      <c r="AL258" s="8">
        <f t="shared" si="108"/>
        <v>13351.957465081992</v>
      </c>
      <c r="AM258" s="8">
        <f t="shared" si="109"/>
        <v>5770.1317568678051</v>
      </c>
      <c r="AN258" s="8">
        <f t="shared" si="110"/>
        <v>32.103045740736867</v>
      </c>
      <c r="AO258" s="8">
        <f t="shared" si="111"/>
        <v>0</v>
      </c>
      <c r="AQ258" s="22"/>
    </row>
    <row r="259" spans="1:43">
      <c r="A259" s="1">
        <v>41986</v>
      </c>
      <c r="B259" s="5">
        <v>257</v>
      </c>
      <c r="C259" s="3">
        <f>B259/365+input!$K$2</f>
        <v>0.70410958904109588</v>
      </c>
      <c r="D259" s="4">
        <f t="shared" ref="D259:D322" si="114">44.2*(1-EXP(-0.58*(C259+0.85)))</f>
        <v>26.254466974615635</v>
      </c>
      <c r="E259" s="10">
        <f t="shared" si="90"/>
        <v>27.753414757601448</v>
      </c>
      <c r="F259" s="20">
        <f>input!A258</f>
        <v>4956.67</v>
      </c>
      <c r="G259" s="19">
        <f t="shared" si="91"/>
        <v>0.19944080313893053</v>
      </c>
      <c r="H259" s="21">
        <f t="shared" si="92"/>
        <v>498.74396256075767</v>
      </c>
      <c r="I259" s="5">
        <v>622</v>
      </c>
      <c r="J259" s="3">
        <f>I259/365+input!$K$2</f>
        <v>1.704109589041096</v>
      </c>
      <c r="K259" s="4">
        <f t="shared" si="112"/>
        <v>34.152325371941821</v>
      </c>
      <c r="L259" s="10">
        <f t="shared" si="113"/>
        <v>65.069840949292299</v>
      </c>
      <c r="M259" s="20">
        <f>input!B258</f>
        <v>65.63</v>
      </c>
      <c r="N259" s="19">
        <f t="shared" si="93"/>
        <v>0.96758898859766951</v>
      </c>
      <c r="O259" s="21">
        <f t="shared" si="94"/>
        <v>1392.6796653290503</v>
      </c>
      <c r="P259" s="5">
        <v>987</v>
      </c>
      <c r="Q259" s="3">
        <f>P259/365+input!$K$2</f>
        <v>2.7041095890410958</v>
      </c>
      <c r="R259" s="4">
        <f t="shared" ref="R259:R322" si="115">44.2*(1-EXP(-0.58*(Q259+0.85)))</f>
        <v>38.574323387969592</v>
      </c>
      <c r="S259" s="10">
        <f t="shared" ref="S259:S322" si="116">0.0007*R259^3.24</f>
        <v>96.539398222426641</v>
      </c>
      <c r="T259" s="20">
        <f>input!C258</f>
        <v>0.18</v>
      </c>
      <c r="U259" s="19">
        <f t="shared" si="95"/>
        <v>0.99770800942968341</v>
      </c>
      <c r="V259" s="21">
        <f t="shared" si="96"/>
        <v>1854.1007629405171</v>
      </c>
      <c r="W259" s="21">
        <v>1352</v>
      </c>
      <c r="X259" s="3">
        <f>W259/365+input!$K$2</f>
        <v>3.7041095890410958</v>
      </c>
      <c r="Y259" s="4">
        <f t="shared" si="97"/>
        <v>39.469004015014669</v>
      </c>
      <c r="Z259" s="10">
        <f t="shared" ref="Z259:Z322" si="117">0.0007*Y259^3.24</f>
        <v>103.98435971907008</v>
      </c>
      <c r="AA259" s="20">
        <f>input!D258</f>
        <v>0</v>
      </c>
      <c r="AB259" s="19">
        <f t="shared" si="98"/>
        <v>0.99866597068041085</v>
      </c>
      <c r="AC259" s="21">
        <f t="shared" si="99"/>
        <v>1956.3459956959921</v>
      </c>
      <c r="AD259" s="8">
        <f t="shared" si="100"/>
        <v>137564.51832656036</v>
      </c>
      <c r="AE259" s="8">
        <f t="shared" si="101"/>
        <v>4270.5336615020533</v>
      </c>
      <c r="AF259" s="8">
        <f t="shared" si="102"/>
        <v>17.377091680036795</v>
      </c>
      <c r="AG259" s="8">
        <f t="shared" si="103"/>
        <v>0</v>
      </c>
      <c r="AH259" s="8">
        <f t="shared" si="104"/>
        <v>27435.978018469326</v>
      </c>
      <c r="AI259" s="8">
        <f t="shared" si="105"/>
        <v>4132.1213463050744</v>
      </c>
      <c r="AJ259" s="8">
        <f t="shared" si="106"/>
        <v>17.337263549766625</v>
      </c>
      <c r="AK259" s="8">
        <f t="shared" si="107"/>
        <v>0</v>
      </c>
      <c r="AL259" s="8">
        <f t="shared" si="108"/>
        <v>13683.528393661236</v>
      </c>
      <c r="AM259" s="8">
        <f t="shared" si="109"/>
        <v>5754.7213736711756</v>
      </c>
      <c r="AN259" s="8">
        <f t="shared" si="110"/>
        <v>32.145033574923119</v>
      </c>
      <c r="AO259" s="8">
        <f t="shared" si="111"/>
        <v>0</v>
      </c>
      <c r="AQ259" s="22"/>
    </row>
    <row r="260" spans="1:43">
      <c r="A260" s="1">
        <v>41987</v>
      </c>
      <c r="B260" s="5">
        <v>258</v>
      </c>
      <c r="C260" s="3">
        <f>B260/365+input!$K$2</f>
        <v>0.70684931506849313</v>
      </c>
      <c r="D260" s="4">
        <f t="shared" si="114"/>
        <v>26.2829605193782</v>
      </c>
      <c r="E260" s="10">
        <f t="shared" ref="E260:E323" si="118">0.0007*D260^3.24</f>
        <v>27.851123296853682</v>
      </c>
      <c r="F260" s="20">
        <f>input!A259</f>
        <v>4939.8999999999996</v>
      </c>
      <c r="G260" s="19">
        <f t="shared" ref="G260:G323" si="119">1/(1+EXP(-0.606*D260+17.3))</f>
        <v>0.20221205174110476</v>
      </c>
      <c r="H260" s="21">
        <f t="shared" ref="H260:H323" si="120">0.3586*D260^2.341*_xlfn.NORM.DIST(D260,25,3,TRUE)</f>
        <v>502.62878676115065</v>
      </c>
      <c r="I260" s="5">
        <v>623</v>
      </c>
      <c r="J260" s="3">
        <f>I260/365+input!$K$2</f>
        <v>1.7068493150684931</v>
      </c>
      <c r="K260" s="4">
        <f t="shared" si="112"/>
        <v>34.168278861112029</v>
      </c>
      <c r="L260" s="10">
        <f t="shared" si="113"/>
        <v>65.168375231604045</v>
      </c>
      <c r="M260" s="20">
        <f>input!B259</f>
        <v>64.61</v>
      </c>
      <c r="N260" s="19">
        <f t="shared" ref="N260:N323" si="121">1/(1+EXP(-0.606*K260+17.3))</f>
        <v>0.96789080970486052</v>
      </c>
      <c r="O260" s="21">
        <f t="shared" ref="O260:O323" si="122">0.3586*K260^2.341*_xlfn.NORM.DIST(K260,25,3,TRUE)</f>
        <v>1394.231084628603</v>
      </c>
      <c r="P260" s="5">
        <v>988</v>
      </c>
      <c r="Q260" s="3">
        <f>P260/365+input!$K$2</f>
        <v>2.7068493150684931</v>
      </c>
      <c r="R260" s="4">
        <f t="shared" si="115"/>
        <v>38.583255720497014</v>
      </c>
      <c r="S260" s="10">
        <f t="shared" si="116"/>
        <v>96.61184662145368</v>
      </c>
      <c r="T260" s="20">
        <f>input!C259</f>
        <v>0.17</v>
      </c>
      <c r="U260" s="19">
        <f t="shared" ref="U260:U323" si="123">1/(1+EXP(-0.606*R260+17.3))</f>
        <v>0.99772035423595484</v>
      </c>
      <c r="V260" s="21">
        <f t="shared" ref="V260:V323" si="124">0.3586*R260^2.341*_xlfn.NORM.DIST(R260,25,3,TRUE)</f>
        <v>1855.1060789890632</v>
      </c>
      <c r="W260" s="21">
        <v>1353</v>
      </c>
      <c r="X260" s="3">
        <f>W260/365+input!$K$2</f>
        <v>3.7068493150684931</v>
      </c>
      <c r="Y260" s="4">
        <f t="shared" ref="Y260:Y323" si="125">44.2*(1-EXP(-0.58*(X$3+0.85)))</f>
        <v>39.469004015014669</v>
      </c>
      <c r="Z260" s="10">
        <f t="shared" si="117"/>
        <v>103.98435971907008</v>
      </c>
      <c r="AA260" s="20">
        <f>input!D259</f>
        <v>0</v>
      </c>
      <c r="AB260" s="19">
        <f t="shared" ref="AB260:AB323" si="126">1/(1+EXP(-0.606*Y260+17.3))</f>
        <v>0.99866597068041085</v>
      </c>
      <c r="AC260" s="21">
        <f t="shared" ref="AC260:AC323" si="127">0.3586*Y260^2.341*_xlfn.NORM.DIST(Y260,25,3,TRUE)</f>
        <v>1956.3459956959921</v>
      </c>
      <c r="AD260" s="8">
        <f t="shared" ref="AD260:AD323" si="128">E260*F260</f>
        <v>137581.76397412751</v>
      </c>
      <c r="AE260" s="8">
        <f t="shared" ref="AE260:AE323" si="129">L260*M260</f>
        <v>4210.5287237139373</v>
      </c>
      <c r="AF260" s="8">
        <f t="shared" ref="AF260:AF323" si="130">S260*T260</f>
        <v>16.424013925647127</v>
      </c>
      <c r="AG260" s="8">
        <f t="shared" ref="AG260:AG323" si="131">Z260*AA260</f>
        <v>0</v>
      </c>
      <c r="AH260" s="8">
        <f t="shared" ref="AH260:AH323" si="132">E260*F260*G260</f>
        <v>27820.690775368734</v>
      </c>
      <c r="AI260" s="8">
        <f t="shared" ref="AI260:AI323" si="133">L260*M260*N260</f>
        <v>4075.3320556810559</v>
      </c>
      <c r="AJ260" s="8">
        <f t="shared" ref="AJ260:AJ323" si="134">S260*T260*U260</f>
        <v>16.386572991872907</v>
      </c>
      <c r="AK260" s="8">
        <f t="shared" ref="AK260:AK323" si="135">Z260*AA260*AB260</f>
        <v>0</v>
      </c>
      <c r="AL260" s="8">
        <f t="shared" ref="AL260:AL323" si="136">AH260*H260/1000</f>
        <v>13983.480051280721</v>
      </c>
      <c r="AM260" s="8">
        <f t="shared" ref="AM260:AM323" si="137">AI260*O260/1000</f>
        <v>5681.9546322139131</v>
      </c>
      <c r="AN260" s="8">
        <f t="shared" ref="AN260:AN323" si="138">AJ260*V260/1000</f>
        <v>30.398831171021428</v>
      </c>
      <c r="AO260" s="8">
        <f t="shared" ref="AO260:AO323" si="139">AK260*AC260/1000</f>
        <v>0</v>
      </c>
      <c r="AQ260" s="22"/>
    </row>
    <row r="261" spans="1:43">
      <c r="A261" s="1">
        <v>41988</v>
      </c>
      <c r="B261" s="5">
        <v>259</v>
      </c>
      <c r="C261" s="3">
        <f>B261/365+input!$K$2</f>
        <v>0.70958904109589038</v>
      </c>
      <c r="D261" s="4">
        <f t="shared" si="114"/>
        <v>26.311408822681944</v>
      </c>
      <c r="E261" s="10">
        <f t="shared" si="118"/>
        <v>27.948913694588772</v>
      </c>
      <c r="F261" s="20">
        <f>input!A260</f>
        <v>4936.5200000000004</v>
      </c>
      <c r="G261" s="19">
        <f t="shared" si="119"/>
        <v>0.20500747773013225</v>
      </c>
      <c r="H261" s="21">
        <f t="shared" si="120"/>
        <v>506.5119347132831</v>
      </c>
      <c r="I261" s="5">
        <v>624</v>
      </c>
      <c r="J261" s="3">
        <f>I261/365+input!$K$2</f>
        <v>1.7095890410958905</v>
      </c>
      <c r="K261" s="4">
        <f t="shared" si="112"/>
        <v>34.184207019663361</v>
      </c>
      <c r="L261" s="10">
        <f t="shared" si="113"/>
        <v>65.266855926401533</v>
      </c>
      <c r="M261" s="20">
        <f>input!B260</f>
        <v>64.239999999999995</v>
      </c>
      <c r="N261" s="19">
        <f t="shared" si="121"/>
        <v>0.96818943979796979</v>
      </c>
      <c r="O261" s="21">
        <f t="shared" si="122"/>
        <v>1395.7806030224892</v>
      </c>
      <c r="P261" s="5">
        <v>989</v>
      </c>
      <c r="Q261" s="3">
        <f>P261/365+input!$K$2</f>
        <v>2.7095890410958905</v>
      </c>
      <c r="R261" s="4">
        <f t="shared" si="115"/>
        <v>38.592173870452299</v>
      </c>
      <c r="S261" s="10">
        <f t="shared" si="116"/>
        <v>96.684217478839514</v>
      </c>
      <c r="T261" s="20">
        <f>input!C260</f>
        <v>0.17</v>
      </c>
      <c r="U261" s="19">
        <f t="shared" si="123"/>
        <v>0.99773261326032081</v>
      </c>
      <c r="V261" s="21">
        <f t="shared" si="124"/>
        <v>1856.1101092380356</v>
      </c>
      <c r="W261" s="21">
        <v>1354</v>
      </c>
      <c r="X261" s="3">
        <f>W261/365+input!$K$2</f>
        <v>3.7095890410958905</v>
      </c>
      <c r="Y261" s="4">
        <f t="shared" si="125"/>
        <v>39.469004015014669</v>
      </c>
      <c r="Z261" s="10">
        <f t="shared" si="117"/>
        <v>103.98435971907008</v>
      </c>
      <c r="AA261" s="20">
        <f>input!D260</f>
        <v>0</v>
      </c>
      <c r="AB261" s="19">
        <f t="shared" si="126"/>
        <v>0.99866597068041085</v>
      </c>
      <c r="AC261" s="21">
        <f t="shared" si="127"/>
        <v>1956.3459956959921</v>
      </c>
      <c r="AD261" s="8">
        <f t="shared" si="128"/>
        <v>137970.37143161136</v>
      </c>
      <c r="AE261" s="8">
        <f t="shared" si="129"/>
        <v>4192.7428247120342</v>
      </c>
      <c r="AF261" s="8">
        <f t="shared" si="130"/>
        <v>16.436316971402718</v>
      </c>
      <c r="AG261" s="8">
        <f t="shared" si="131"/>
        <v>0</v>
      </c>
      <c r="AH261" s="8">
        <f t="shared" si="132"/>
        <v>28284.957848684142</v>
      </c>
      <c r="AI261" s="8">
        <f t="shared" si="133"/>
        <v>4059.3693266749019</v>
      </c>
      <c r="AJ261" s="8">
        <f t="shared" si="134"/>
        <v>16.399049484252597</v>
      </c>
      <c r="AK261" s="8">
        <f t="shared" si="135"/>
        <v>0</v>
      </c>
      <c r="AL261" s="8">
        <f t="shared" si="136"/>
        <v>14326.668723220668</v>
      </c>
      <c r="AM261" s="8">
        <f t="shared" si="137"/>
        <v>5665.9889666772906</v>
      </c>
      <c r="AN261" s="8">
        <f t="shared" si="138"/>
        <v>30.438441529616039</v>
      </c>
      <c r="AO261" s="8">
        <f t="shared" si="139"/>
        <v>0</v>
      </c>
      <c r="AQ261" s="22"/>
    </row>
    <row r="262" spans="1:43">
      <c r="A262" s="1">
        <v>41989</v>
      </c>
      <c r="B262" s="5">
        <v>260</v>
      </c>
      <c r="C262" s="3">
        <f>B262/365+input!$K$2</f>
        <v>0.71232876712328763</v>
      </c>
      <c r="D262" s="4">
        <f t="shared" si="114"/>
        <v>26.339811956360339</v>
      </c>
      <c r="E262" s="10">
        <f t="shared" si="118"/>
        <v>28.046785385951232</v>
      </c>
      <c r="F262" s="20">
        <f>input!A261</f>
        <v>4920.5</v>
      </c>
      <c r="G262" s="19">
        <f t="shared" si="119"/>
        <v>0.20782697448270143</v>
      </c>
      <c r="H262" s="21">
        <f t="shared" si="120"/>
        <v>510.39315316994987</v>
      </c>
      <c r="I262" s="5">
        <v>625</v>
      </c>
      <c r="J262" s="3">
        <f>I262/365+input!$K$2</f>
        <v>1.7123287671232876</v>
      </c>
      <c r="K262" s="4">
        <f t="shared" si="112"/>
        <v>34.200109887815231</v>
      </c>
      <c r="L262" s="10">
        <f t="shared" si="113"/>
        <v>65.365282851655692</v>
      </c>
      <c r="M262" s="20">
        <f>input!B261</f>
        <v>63.18</v>
      </c>
      <c r="N262" s="19">
        <f t="shared" si="121"/>
        <v>0.96848491515299051</v>
      </c>
      <c r="O262" s="21">
        <f t="shared" si="122"/>
        <v>1397.3282269560818</v>
      </c>
      <c r="P262" s="5">
        <v>990</v>
      </c>
      <c r="Q262" s="3">
        <f>P262/365+input!$K$2</f>
        <v>2.7123287671232879</v>
      </c>
      <c r="R262" s="4">
        <f t="shared" si="115"/>
        <v>38.601077860354231</v>
      </c>
      <c r="S262" s="10">
        <f t="shared" si="116"/>
        <v>96.756510809456287</v>
      </c>
      <c r="T262" s="20">
        <f>input!C261</f>
        <v>0.17</v>
      </c>
      <c r="U262" s="19">
        <f t="shared" si="123"/>
        <v>0.99774478720132287</v>
      </c>
      <c r="V262" s="21">
        <f t="shared" si="124"/>
        <v>1857.1128547801327</v>
      </c>
      <c r="W262" s="21">
        <v>1355</v>
      </c>
      <c r="X262" s="3">
        <f>W262/365+input!$K$2</f>
        <v>3.7123287671232879</v>
      </c>
      <c r="Y262" s="4">
        <f t="shared" si="125"/>
        <v>39.469004015014669</v>
      </c>
      <c r="Z262" s="10">
        <f t="shared" si="117"/>
        <v>103.98435971907008</v>
      </c>
      <c r="AA262" s="20">
        <f>input!D261</f>
        <v>0</v>
      </c>
      <c r="AB262" s="19">
        <f t="shared" si="126"/>
        <v>0.99866597068041085</v>
      </c>
      <c r="AC262" s="21">
        <f t="shared" si="127"/>
        <v>1956.3459956959921</v>
      </c>
      <c r="AD262" s="8">
        <f t="shared" si="128"/>
        <v>138004.20749157303</v>
      </c>
      <c r="AE262" s="8">
        <f t="shared" si="129"/>
        <v>4129.7785705676069</v>
      </c>
      <c r="AF262" s="8">
        <f t="shared" si="130"/>
        <v>16.448606837607571</v>
      </c>
      <c r="AG262" s="8">
        <f t="shared" si="131"/>
        <v>0</v>
      </c>
      <c r="AH262" s="8">
        <f t="shared" si="132"/>
        <v>28680.996908856581</v>
      </c>
      <c r="AI262" s="8">
        <f t="shared" si="133"/>
        <v>3999.6282485168072</v>
      </c>
      <c r="AJ262" s="8">
        <f t="shared" si="134"/>
        <v>16.411511728946991</v>
      </c>
      <c r="AK262" s="8">
        <f t="shared" si="135"/>
        <v>0</v>
      </c>
      <c r="AL262" s="8">
        <f t="shared" si="136"/>
        <v>14638.584448368896</v>
      </c>
      <c r="AM262" s="8">
        <f t="shared" si="137"/>
        <v>5588.7934489834497</v>
      </c>
      <c r="AN262" s="8">
        <f t="shared" si="138"/>
        <v>30.478029398202377</v>
      </c>
      <c r="AO262" s="8">
        <f t="shared" si="139"/>
        <v>0</v>
      </c>
      <c r="AQ262" s="22"/>
    </row>
    <row r="263" spans="1:43">
      <c r="A263" s="1">
        <v>41990</v>
      </c>
      <c r="B263" s="5">
        <v>261</v>
      </c>
      <c r="C263" s="3">
        <f>B263/365+input!$K$2</f>
        <v>0.71506849315068488</v>
      </c>
      <c r="D263" s="4">
        <f t="shared" si="114"/>
        <v>26.368169992132767</v>
      </c>
      <c r="E263" s="10">
        <f t="shared" si="118"/>
        <v>28.144737806935563</v>
      </c>
      <c r="F263" s="20">
        <f>input!A262</f>
        <v>4913.6000000000004</v>
      </c>
      <c r="G263" s="19">
        <f t="shared" si="119"/>
        <v>0.21067042760164736</v>
      </c>
      <c r="H263" s="21">
        <f t="shared" si="120"/>
        <v>514.27219182702015</v>
      </c>
      <c r="I263" s="5">
        <v>626</v>
      </c>
      <c r="J263" s="3">
        <f>I263/365+input!$K$2</f>
        <v>1.715068493150685</v>
      </c>
      <c r="K263" s="4">
        <f t="shared" si="112"/>
        <v>34.21598750572322</v>
      </c>
      <c r="L263" s="10">
        <f t="shared" si="113"/>
        <v>65.463655826198931</v>
      </c>
      <c r="M263" s="20">
        <f>input!B262</f>
        <v>62.74</v>
      </c>
      <c r="N263" s="19">
        <f t="shared" si="121"/>
        <v>0.96877727162521698</v>
      </c>
      <c r="O263" s="21">
        <f t="shared" si="122"/>
        <v>1398.8739627758484</v>
      </c>
      <c r="P263" s="5">
        <v>991</v>
      </c>
      <c r="Q263" s="3">
        <f>P263/365+input!$K$2</f>
        <v>2.7150684931506848</v>
      </c>
      <c r="R263" s="4">
        <f t="shared" si="115"/>
        <v>38.609967712685865</v>
      </c>
      <c r="S263" s="10">
        <f t="shared" si="116"/>
        <v>96.82872662844548</v>
      </c>
      <c r="T263" s="20">
        <f>input!C262</f>
        <v>0.17</v>
      </c>
      <c r="U263" s="19">
        <f t="shared" si="123"/>
        <v>0.99775687675108049</v>
      </c>
      <c r="V263" s="21">
        <f t="shared" si="124"/>
        <v>1858.1143167090222</v>
      </c>
      <c r="W263" s="21">
        <v>1356</v>
      </c>
      <c r="X263" s="3">
        <f>W263/365+input!$K$2</f>
        <v>3.7150684931506848</v>
      </c>
      <c r="Y263" s="4">
        <f t="shared" si="125"/>
        <v>39.469004015014669</v>
      </c>
      <c r="Z263" s="10">
        <f t="shared" si="117"/>
        <v>103.98435971907008</v>
      </c>
      <c r="AA263" s="20">
        <f>input!D262</f>
        <v>0</v>
      </c>
      <c r="AB263" s="19">
        <f t="shared" si="126"/>
        <v>0.99866597068041085</v>
      </c>
      <c r="AC263" s="21">
        <f t="shared" si="127"/>
        <v>1956.3459956959921</v>
      </c>
      <c r="AD263" s="8">
        <f t="shared" si="128"/>
        <v>138291.98368815859</v>
      </c>
      <c r="AE263" s="8">
        <f t="shared" si="129"/>
        <v>4107.189766535721</v>
      </c>
      <c r="AF263" s="8">
        <f t="shared" si="130"/>
        <v>16.460883526835733</v>
      </c>
      <c r="AG263" s="8">
        <f t="shared" si="131"/>
        <v>0</v>
      </c>
      <c r="AH263" s="8">
        <f t="shared" si="132"/>
        <v>29134.031337464414</v>
      </c>
      <c r="AI263" s="8">
        <f t="shared" si="133"/>
        <v>3978.9520960714876</v>
      </c>
      <c r="AJ263" s="8">
        <f t="shared" si="134"/>
        <v>16.423959736298933</v>
      </c>
      <c r="AK263" s="8">
        <f t="shared" si="135"/>
        <v>0</v>
      </c>
      <c r="AL263" s="8">
        <f t="shared" si="136"/>
        <v>14982.822152674915</v>
      </c>
      <c r="AM263" s="8">
        <f t="shared" si="137"/>
        <v>5566.0524863267901</v>
      </c>
      <c r="AN263" s="8">
        <f t="shared" si="138"/>
        <v>30.517594723069585</v>
      </c>
      <c r="AO263" s="8">
        <f t="shared" si="139"/>
        <v>0</v>
      </c>
      <c r="AQ263" s="22"/>
    </row>
    <row r="264" spans="1:43">
      <c r="A264" s="1">
        <v>41991</v>
      </c>
      <c r="B264" s="5">
        <v>262</v>
      </c>
      <c r="C264" s="3">
        <f>B264/365+input!$K$2</f>
        <v>0.71780821917808224</v>
      </c>
      <c r="D264" s="4">
        <f t="shared" si="114"/>
        <v>26.396483001604746</v>
      </c>
      <c r="E264" s="10">
        <f t="shared" si="118"/>
        <v>28.242770394391979</v>
      </c>
      <c r="F264" s="20">
        <f>input!A263</f>
        <v>4899.79</v>
      </c>
      <c r="G264" s="19">
        <f t="shared" si="119"/>
        <v>0.21353771487292184</v>
      </c>
      <c r="H264" s="21">
        <f t="shared" si="120"/>
        <v>518.14880336472595</v>
      </c>
      <c r="I264" s="5">
        <v>627</v>
      </c>
      <c r="J264" s="3">
        <f>I264/365+input!$K$2</f>
        <v>1.7178082191780821</v>
      </c>
      <c r="K264" s="4">
        <f t="shared" si="112"/>
        <v>34.231839913479128</v>
      </c>
      <c r="L264" s="10">
        <f t="shared" si="113"/>
        <v>65.561974669722886</v>
      </c>
      <c r="M264" s="20">
        <f>input!B263</f>
        <v>61.84</v>
      </c>
      <c r="N264" s="19">
        <f t="shared" si="121"/>
        <v>0.96906654465379716</v>
      </c>
      <c r="O264" s="21">
        <f t="shared" si="122"/>
        <v>1400.4178167308385</v>
      </c>
      <c r="P264" s="5">
        <v>992</v>
      </c>
      <c r="Q264" s="3">
        <f>P264/365+input!$K$2</f>
        <v>2.7178082191780821</v>
      </c>
      <c r="R264" s="4">
        <f t="shared" si="115"/>
        <v>38.618843449894527</v>
      </c>
      <c r="S264" s="10">
        <f t="shared" si="116"/>
        <v>96.900864951216775</v>
      </c>
      <c r="T264" s="20">
        <f>input!C263</f>
        <v>0.17</v>
      </c>
      <c r="U264" s="19">
        <f t="shared" si="123"/>
        <v>0.99776888259535434</v>
      </c>
      <c r="V264" s="21">
        <f t="shared" si="124"/>
        <v>1859.1144961193429</v>
      </c>
      <c r="W264" s="21">
        <v>1357</v>
      </c>
      <c r="X264" s="3">
        <f>W264/365+input!$K$2</f>
        <v>3.7178082191780821</v>
      </c>
      <c r="Y264" s="4">
        <f t="shared" si="125"/>
        <v>39.469004015014669</v>
      </c>
      <c r="Z264" s="10">
        <f t="shared" si="117"/>
        <v>103.98435971907008</v>
      </c>
      <c r="AA264" s="20">
        <f>input!D263</f>
        <v>0</v>
      </c>
      <c r="AB264" s="19">
        <f t="shared" si="126"/>
        <v>0.99866597068041085</v>
      </c>
      <c r="AC264" s="21">
        <f t="shared" si="127"/>
        <v>1956.3459956959921</v>
      </c>
      <c r="AD264" s="8">
        <f t="shared" si="128"/>
        <v>138383.64395073787</v>
      </c>
      <c r="AE264" s="8">
        <f t="shared" si="129"/>
        <v>4054.3525135756636</v>
      </c>
      <c r="AF264" s="8">
        <f t="shared" si="130"/>
        <v>16.473147041706852</v>
      </c>
      <c r="AG264" s="8">
        <f t="shared" si="131"/>
        <v>0</v>
      </c>
      <c r="AH264" s="8">
        <f t="shared" si="132"/>
        <v>29550.127105028598</v>
      </c>
      <c r="AI264" s="8">
        <f t="shared" si="133"/>
        <v>3928.9373811392056</v>
      </c>
      <c r="AJ264" s="8">
        <f t="shared" si="134"/>
        <v>16.436393516632812</v>
      </c>
      <c r="AK264" s="8">
        <f t="shared" si="135"/>
        <v>0</v>
      </c>
      <c r="AL264" s="8">
        <f t="shared" si="136"/>
        <v>15311.362998746121</v>
      </c>
      <c r="AM264" s="8">
        <f t="shared" si="137"/>
        <v>5502.1539093671445</v>
      </c>
      <c r="AN264" s="8">
        <f t="shared" si="138"/>
        <v>30.557137450694043</v>
      </c>
      <c r="AO264" s="8">
        <f t="shared" si="139"/>
        <v>0</v>
      </c>
      <c r="AQ264" s="22"/>
    </row>
    <row r="265" spans="1:43">
      <c r="A265" s="1">
        <v>41992</v>
      </c>
      <c r="B265" s="5">
        <v>263</v>
      </c>
      <c r="C265" s="3">
        <f>B265/365+input!$K$2</f>
        <v>0.72054794520547949</v>
      </c>
      <c r="D265" s="4">
        <f t="shared" si="114"/>
        <v>26.424751056268111</v>
      </c>
      <c r="E265" s="10">
        <f t="shared" si="118"/>
        <v>28.340882586031118</v>
      </c>
      <c r="F265" s="20">
        <f>input!A264</f>
        <v>4896.43</v>
      </c>
      <c r="G265" s="19">
        <f t="shared" si="119"/>
        <v>0.2164287062274545</v>
      </c>
      <c r="H265" s="21">
        <f t="shared" si="120"/>
        <v>522.02274348713888</v>
      </c>
      <c r="I265" s="5">
        <v>628</v>
      </c>
      <c r="J265" s="3">
        <f>I265/365+input!$K$2</f>
        <v>1.7205479452054795</v>
      </c>
      <c r="K265" s="4">
        <f t="shared" si="112"/>
        <v>34.247667151111131</v>
      </c>
      <c r="L265" s="10">
        <f t="shared" si="113"/>
        <v>65.660239202776665</v>
      </c>
      <c r="M265" s="20">
        <f>input!B264</f>
        <v>61.48</v>
      </c>
      <c r="N265" s="19">
        <f t="shared" si="121"/>
        <v>0.96935276926625602</v>
      </c>
      <c r="O265" s="21">
        <f t="shared" si="122"/>
        <v>1401.9597949741715</v>
      </c>
      <c r="P265" s="5">
        <v>993</v>
      </c>
      <c r="Q265" s="3">
        <f>P265/365+input!$K$2</f>
        <v>2.7205479452054795</v>
      </c>
      <c r="R265" s="4">
        <f t="shared" si="115"/>
        <v>38.627705094391928</v>
      </c>
      <c r="S265" s="10">
        <f t="shared" si="116"/>
        <v>96.972925793447743</v>
      </c>
      <c r="T265" s="20">
        <f>input!C264</f>
        <v>0.17</v>
      </c>
      <c r="U265" s="19">
        <f t="shared" si="123"/>
        <v>0.99778080541361125</v>
      </c>
      <c r="V265" s="21">
        <f t="shared" si="124"/>
        <v>1860.113394106678</v>
      </c>
      <c r="W265" s="21">
        <v>1358</v>
      </c>
      <c r="X265" s="3">
        <f>W265/365+input!$K$2</f>
        <v>3.7205479452054795</v>
      </c>
      <c r="Y265" s="4">
        <f t="shared" si="125"/>
        <v>39.469004015014669</v>
      </c>
      <c r="Z265" s="10">
        <f t="shared" si="117"/>
        <v>103.98435971907008</v>
      </c>
      <c r="AA265" s="20">
        <f>input!D264</f>
        <v>0</v>
      </c>
      <c r="AB265" s="19">
        <f t="shared" si="126"/>
        <v>0.99866597068041085</v>
      </c>
      <c r="AC265" s="21">
        <f t="shared" si="127"/>
        <v>1956.3459956959921</v>
      </c>
      <c r="AD265" s="8">
        <f t="shared" si="128"/>
        <v>138769.14772072036</v>
      </c>
      <c r="AE265" s="8">
        <f t="shared" si="129"/>
        <v>4036.7915061867093</v>
      </c>
      <c r="AF265" s="8">
        <f t="shared" si="130"/>
        <v>16.485397384886117</v>
      </c>
      <c r="AG265" s="8">
        <f t="shared" si="131"/>
        <v>0</v>
      </c>
      <c r="AH265" s="8">
        <f t="shared" si="132"/>
        <v>30033.627105482024</v>
      </c>
      <c r="AI265" s="8">
        <f t="shared" si="133"/>
        <v>3913.0750254725872</v>
      </c>
      <c r="AJ265" s="8">
        <f t="shared" si="134"/>
        <v>16.44881308025511</v>
      </c>
      <c r="AK265" s="8">
        <f t="shared" si="135"/>
        <v>0</v>
      </c>
      <c r="AL265" s="8">
        <f t="shared" si="136"/>
        <v>15678.236418473425</v>
      </c>
      <c r="AM265" s="8">
        <f t="shared" si="137"/>
        <v>5485.9738604300992</v>
      </c>
      <c r="AN265" s="8">
        <f t="shared" si="138"/>
        <v>30.596657527739655</v>
      </c>
      <c r="AO265" s="8">
        <f t="shared" si="139"/>
        <v>0</v>
      </c>
      <c r="AQ265" s="22"/>
    </row>
    <row r="266" spans="1:43">
      <c r="A266" s="1">
        <v>41993</v>
      </c>
      <c r="B266" s="5">
        <v>264</v>
      </c>
      <c r="C266" s="3">
        <f>B266/365+input!$K$2</f>
        <v>0.72328767123287674</v>
      </c>
      <c r="D266" s="4">
        <f t="shared" si="114"/>
        <v>26.452974227501166</v>
      </c>
      <c r="E266" s="10">
        <f t="shared" si="118"/>
        <v>28.439073820428771</v>
      </c>
      <c r="F266" s="20">
        <f>input!A265</f>
        <v>4878.8999999999996</v>
      </c>
      <c r="G266" s="19">
        <f t="shared" si="119"/>
        <v>0.21934326370802507</v>
      </c>
      <c r="H266" s="21">
        <f t="shared" si="120"/>
        <v>525.89377095985924</v>
      </c>
      <c r="I266" s="5">
        <v>629</v>
      </c>
      <c r="J266" s="3">
        <f>I266/365+input!$K$2</f>
        <v>1.7232876712328766</v>
      </c>
      <c r="K266" s="4">
        <f t="shared" si="112"/>
        <v>34.263469258583811</v>
      </c>
      <c r="L266" s="10">
        <f t="shared" si="113"/>
        <v>65.758449246764783</v>
      </c>
      <c r="M266" s="20">
        <f>input!B265</f>
        <v>60.48</v>
      </c>
      <c r="N266" s="19">
        <f t="shared" si="121"/>
        <v>0.96963598008298146</v>
      </c>
      <c r="O266" s="21">
        <f t="shared" si="122"/>
        <v>1403.4999035645035</v>
      </c>
      <c r="P266" s="5">
        <v>994</v>
      </c>
      <c r="Q266" s="3">
        <f>P266/365+input!$K$2</f>
        <v>2.7232876712328768</v>
      </c>
      <c r="R266" s="4">
        <f t="shared" si="115"/>
        <v>38.636552668554174</v>
      </c>
      <c r="S266" s="10">
        <f t="shared" si="116"/>
        <v>97.044909171081471</v>
      </c>
      <c r="T266" s="20">
        <f>input!C265</f>
        <v>0.16</v>
      </c>
      <c r="U266" s="19">
        <f t="shared" si="123"/>
        <v>0.997792645879088</v>
      </c>
      <c r="V266" s="21">
        <f t="shared" si="124"/>
        <v>1861.1110117675646</v>
      </c>
      <c r="W266" s="21">
        <v>1359</v>
      </c>
      <c r="X266" s="3">
        <f>W266/365+input!$K$2</f>
        <v>3.7232876712328768</v>
      </c>
      <c r="Y266" s="4">
        <f t="shared" si="125"/>
        <v>39.469004015014669</v>
      </c>
      <c r="Z266" s="10">
        <f t="shared" si="117"/>
        <v>103.98435971907008</v>
      </c>
      <c r="AA266" s="20">
        <f>input!D265</f>
        <v>0</v>
      </c>
      <c r="AB266" s="19">
        <f t="shared" si="126"/>
        <v>0.99866597068041085</v>
      </c>
      <c r="AC266" s="21">
        <f t="shared" si="127"/>
        <v>1956.3459956959921</v>
      </c>
      <c r="AD266" s="8">
        <f t="shared" si="128"/>
        <v>138751.39726248992</v>
      </c>
      <c r="AE266" s="8">
        <f t="shared" si="129"/>
        <v>3977.0710104443338</v>
      </c>
      <c r="AF266" s="8">
        <f t="shared" si="130"/>
        <v>15.527185467373036</v>
      </c>
      <c r="AG266" s="8">
        <f t="shared" si="131"/>
        <v>0</v>
      </c>
      <c r="AH266" s="8">
        <f t="shared" si="132"/>
        <v>30434.184319603275</v>
      </c>
      <c r="AI266" s="8">
        <f t="shared" si="133"/>
        <v>3856.311147071805</v>
      </c>
      <c r="AJ266" s="8">
        <f t="shared" si="134"/>
        <v>15.492911470545465</v>
      </c>
      <c r="AK266" s="8">
        <f t="shared" si="135"/>
        <v>0</v>
      </c>
      <c r="AL266" s="8">
        <f t="shared" si="136"/>
        <v>16005.147957923584</v>
      </c>
      <c r="AM266" s="8">
        <f t="shared" si="137"/>
        <v>5412.3323230299975</v>
      </c>
      <c r="AN266" s="8">
        <f t="shared" si="138"/>
        <v>28.834028142172176</v>
      </c>
      <c r="AO266" s="8">
        <f t="shared" si="139"/>
        <v>0</v>
      </c>
      <c r="AQ266" s="22"/>
    </row>
    <row r="267" spans="1:43">
      <c r="A267" s="1">
        <v>41994</v>
      </c>
      <c r="B267" s="5">
        <v>265</v>
      </c>
      <c r="C267" s="3">
        <f>B267/365+input!$K$2</f>
        <v>0.72602739726027399</v>
      </c>
      <c r="D267" s="4">
        <f t="shared" si="114"/>
        <v>26.481152586568889</v>
      </c>
      <c r="E267" s="10">
        <f t="shared" si="118"/>
        <v>28.537343537030956</v>
      </c>
      <c r="F267" s="20">
        <f>input!A266</f>
        <v>4872.83</v>
      </c>
      <c r="G267" s="19">
        <f t="shared" si="119"/>
        <v>0.22228124144127176</v>
      </c>
      <c r="H267" s="21">
        <f t="shared" si="120"/>
        <v>529.76164764592227</v>
      </c>
      <c r="I267" s="5">
        <v>630</v>
      </c>
      <c r="J267" s="3">
        <f>I267/365+input!$K$2</f>
        <v>1.726027397260274</v>
      </c>
      <c r="K267" s="4">
        <f t="shared" si="112"/>
        <v>34.279246275798322</v>
      </c>
      <c r="L267" s="10">
        <f t="shared" si="113"/>
        <v>65.856604623945827</v>
      </c>
      <c r="M267" s="20">
        <f>input!B266</f>
        <v>60.02</v>
      </c>
      <c r="N267" s="19">
        <f t="shared" si="121"/>
        <v>0.96991621132167538</v>
      </c>
      <c r="O267" s="21">
        <f t="shared" si="122"/>
        <v>1405.038148467461</v>
      </c>
      <c r="P267" s="5">
        <v>995</v>
      </c>
      <c r="Q267" s="3">
        <f>P267/365+input!$K$2</f>
        <v>2.7260273972602738</v>
      </c>
      <c r="R267" s="4">
        <f t="shared" si="115"/>
        <v>38.645386194721851</v>
      </c>
      <c r="S267" s="10">
        <f t="shared" si="116"/>
        <v>97.116815100326036</v>
      </c>
      <c r="T267" s="20">
        <f>input!C266</f>
        <v>0.16</v>
      </c>
      <c r="U267" s="19">
        <f t="shared" si="123"/>
        <v>0.997804404658855</v>
      </c>
      <c r="V267" s="21">
        <f t="shared" si="124"/>
        <v>1862.1073501994849</v>
      </c>
      <c r="W267" s="21">
        <v>1360</v>
      </c>
      <c r="X267" s="3">
        <f>W267/365+input!$K$2</f>
        <v>3.7260273972602738</v>
      </c>
      <c r="Y267" s="4">
        <f t="shared" si="125"/>
        <v>39.469004015014669</v>
      </c>
      <c r="Z267" s="10">
        <f t="shared" si="117"/>
        <v>103.98435971907008</v>
      </c>
      <c r="AA267" s="20">
        <f>input!D266</f>
        <v>0</v>
      </c>
      <c r="AB267" s="19">
        <f t="shared" si="126"/>
        <v>0.99866597068041085</v>
      </c>
      <c r="AC267" s="21">
        <f t="shared" si="127"/>
        <v>1956.3459956959921</v>
      </c>
      <c r="AD267" s="8">
        <f t="shared" si="128"/>
        <v>139057.62370755055</v>
      </c>
      <c r="AE267" s="8">
        <f t="shared" si="129"/>
        <v>3952.7134095292286</v>
      </c>
      <c r="AF267" s="8">
        <f t="shared" si="130"/>
        <v>15.538690416052166</v>
      </c>
      <c r="AG267" s="8">
        <f t="shared" si="131"/>
        <v>0</v>
      </c>
      <c r="AH267" s="8">
        <f t="shared" si="132"/>
        <v>30909.901229587558</v>
      </c>
      <c r="AI267" s="8">
        <f t="shared" si="133"/>
        <v>3833.8008146109714</v>
      </c>
      <c r="AJ267" s="8">
        <f t="shared" si="134"/>
        <v>15.504573739767187</v>
      </c>
      <c r="AK267" s="8">
        <f t="shared" si="135"/>
        <v>0</v>
      </c>
      <c r="AL267" s="8">
        <f t="shared" si="136"/>
        <v>16374.880203959023</v>
      </c>
      <c r="AM267" s="8">
        <f t="shared" si="137"/>
        <v>5386.6363981540435</v>
      </c>
      <c r="AN267" s="8">
        <f t="shared" si="138"/>
        <v>28.871180722530394</v>
      </c>
      <c r="AO267" s="8">
        <f t="shared" si="139"/>
        <v>0</v>
      </c>
      <c r="AQ267" s="22"/>
    </row>
    <row r="268" spans="1:43">
      <c r="A268" s="1">
        <v>41995</v>
      </c>
      <c r="B268" s="5">
        <v>266</v>
      </c>
      <c r="C268" s="3">
        <f>B268/365+input!$K$2</f>
        <v>0.72876712328767124</v>
      </c>
      <c r="D268" s="4">
        <f t="shared" si="114"/>
        <v>26.509286204623105</v>
      </c>
      <c r="E268" s="10">
        <f t="shared" si="118"/>
        <v>28.635691176158335</v>
      </c>
      <c r="F268" s="20">
        <f>input!A267</f>
        <v>4858.53</v>
      </c>
      <c r="G268" s="19">
        <f t="shared" si="119"/>
        <v>0.2252424856149314</v>
      </c>
      <c r="H268" s="21">
        <f t="shared" si="120"/>
        <v>533.62613853992491</v>
      </c>
      <c r="I268" s="5">
        <v>631</v>
      </c>
      <c r="J268" s="3">
        <f>I268/365+input!$K$2</f>
        <v>1.7287671232876711</v>
      </c>
      <c r="K268" s="4">
        <f t="shared" si="112"/>
        <v>34.294998242592456</v>
      </c>
      <c r="L268" s="10">
        <f t="shared" si="113"/>
        <v>65.954705157429416</v>
      </c>
      <c r="M268" s="20">
        <f>input!B267</f>
        <v>59.15</v>
      </c>
      <c r="N268" s="19">
        <f t="shared" si="121"/>
        <v>0.97019349680176958</v>
      </c>
      <c r="O268" s="21">
        <f t="shared" si="122"/>
        <v>1406.5745355570753</v>
      </c>
      <c r="P268" s="5">
        <v>996</v>
      </c>
      <c r="Q268" s="3">
        <f>P268/365+input!$K$2</f>
        <v>2.7287671232876711</v>
      </c>
      <c r="R268" s="4">
        <f t="shared" si="115"/>
        <v>38.654205695200076</v>
      </c>
      <c r="S268" s="10">
        <f t="shared" si="116"/>
        <v>97.18864359765422</v>
      </c>
      <c r="T268" s="20">
        <f>input!C267</f>
        <v>0.16</v>
      </c>
      <c r="U268" s="19">
        <f t="shared" si="123"/>
        <v>0.99781608241387709</v>
      </c>
      <c r="V268" s="21">
        <f t="shared" si="124"/>
        <v>1863.1024105008571</v>
      </c>
      <c r="W268" s="21">
        <v>1361</v>
      </c>
      <c r="X268" s="3">
        <f>W268/365+input!$K$2</f>
        <v>3.7287671232876711</v>
      </c>
      <c r="Y268" s="4">
        <f t="shared" si="125"/>
        <v>39.469004015014669</v>
      </c>
      <c r="Z268" s="10">
        <f t="shared" si="117"/>
        <v>103.98435971907008</v>
      </c>
      <c r="AA268" s="20">
        <f>input!D267</f>
        <v>0</v>
      </c>
      <c r="AB268" s="19">
        <f t="shared" si="126"/>
        <v>0.99866597068041085</v>
      </c>
      <c r="AC268" s="21">
        <f t="shared" si="127"/>
        <v>1956.3459956959921</v>
      </c>
      <c r="AD268" s="8">
        <f t="shared" si="128"/>
        <v>139127.36465010056</v>
      </c>
      <c r="AE268" s="8">
        <f t="shared" si="129"/>
        <v>3901.22081006195</v>
      </c>
      <c r="AF268" s="8">
        <f t="shared" si="130"/>
        <v>15.550182975624676</v>
      </c>
      <c r="AG268" s="8">
        <f t="shared" si="131"/>
        <v>0</v>
      </c>
      <c r="AH268" s="8">
        <f t="shared" si="132"/>
        <v>31337.393430843589</v>
      </c>
      <c r="AI268" s="8">
        <f t="shared" si="133"/>
        <v>3784.9390595098353</v>
      </c>
      <c r="AJ268" s="8">
        <f t="shared" si="134"/>
        <v>15.51622265755678</v>
      </c>
      <c r="AK268" s="8">
        <f t="shared" si="135"/>
        <v>0</v>
      </c>
      <c r="AL268" s="8">
        <f t="shared" si="136"/>
        <v>16722.452248407473</v>
      </c>
      <c r="AM268" s="8">
        <f t="shared" si="137"/>
        <v>5323.7988997418797</v>
      </c>
      <c r="AN268" s="8">
        <f t="shared" si="138"/>
        <v>28.908311835162049</v>
      </c>
      <c r="AO268" s="8">
        <f t="shared" si="139"/>
        <v>0</v>
      </c>
      <c r="AQ268" s="22"/>
    </row>
    <row r="269" spans="1:43">
      <c r="A269" s="1">
        <v>41996</v>
      </c>
      <c r="B269" s="5">
        <v>267</v>
      </c>
      <c r="C269" s="3">
        <f>B269/365+input!$K$2</f>
        <v>0.73150684931506849</v>
      </c>
      <c r="D269" s="4">
        <f t="shared" si="114"/>
        <v>26.537375152702673</v>
      </c>
      <c r="E269" s="10">
        <f t="shared" si="118"/>
        <v>28.734116179011568</v>
      </c>
      <c r="F269" s="20">
        <f>input!A268</f>
        <v>4851.49</v>
      </c>
      <c r="G269" s="19">
        <f t="shared" si="119"/>
        <v>0.22822683446042305</v>
      </c>
      <c r="H269" s="21">
        <f t="shared" si="120"/>
        <v>537.48701180039802</v>
      </c>
      <c r="I269" s="5">
        <v>632</v>
      </c>
      <c r="J269" s="3">
        <f>I269/365+input!$K$2</f>
        <v>1.7315068493150685</v>
      </c>
      <c r="K269" s="4">
        <f t="shared" si="112"/>
        <v>34.310725198740748</v>
      </c>
      <c r="L269" s="10">
        <f t="shared" si="113"/>
        <v>66.052750671175403</v>
      </c>
      <c r="M269" s="20">
        <f>input!B268</f>
        <v>58.73</v>
      </c>
      <c r="N269" s="19">
        <f t="shared" si="121"/>
        <v>0.97046786994880629</v>
      </c>
      <c r="O269" s="21">
        <f t="shared" si="122"/>
        <v>1408.1090706171867</v>
      </c>
      <c r="P269" s="5">
        <v>997</v>
      </c>
      <c r="Q269" s="3">
        <f>P269/365+input!$K$2</f>
        <v>2.7315068493150685</v>
      </c>
      <c r="R269" s="4">
        <f t="shared" si="115"/>
        <v>38.663011192258551</v>
      </c>
      <c r="S269" s="10">
        <f t="shared" si="116"/>
        <v>97.260394679800399</v>
      </c>
      <c r="T269" s="20">
        <f>input!C268</f>
        <v>0.16</v>
      </c>
      <c r="U269" s="19">
        <f t="shared" si="123"/>
        <v>0.99782767979907649</v>
      </c>
      <c r="V269" s="21">
        <f t="shared" si="124"/>
        <v>1864.0961937710224</v>
      </c>
      <c r="W269" s="21">
        <v>1362</v>
      </c>
      <c r="X269" s="3">
        <f>W269/365+input!$K$2</f>
        <v>3.7315068493150685</v>
      </c>
      <c r="Y269" s="4">
        <f t="shared" si="125"/>
        <v>39.469004015014669</v>
      </c>
      <c r="Z269" s="10">
        <f t="shared" si="117"/>
        <v>103.98435971907008</v>
      </c>
      <c r="AA269" s="20">
        <f>input!D268</f>
        <v>0</v>
      </c>
      <c r="AB269" s="19">
        <f t="shared" si="126"/>
        <v>0.99866597068041085</v>
      </c>
      <c r="AC269" s="21">
        <f t="shared" si="127"/>
        <v>1956.3459956959921</v>
      </c>
      <c r="AD269" s="8">
        <f t="shared" si="128"/>
        <v>139403.27730131283</v>
      </c>
      <c r="AE269" s="8">
        <f t="shared" si="129"/>
        <v>3879.2780469181312</v>
      </c>
      <c r="AF269" s="8">
        <f t="shared" si="130"/>
        <v>15.561663148768064</v>
      </c>
      <c r="AG269" s="8">
        <f t="shared" si="131"/>
        <v>0</v>
      </c>
      <c r="AH269" s="8">
        <f t="shared" si="132"/>
        <v>31815.568691887172</v>
      </c>
      <c r="AI269" s="8">
        <f t="shared" si="133"/>
        <v>3764.7147031318041</v>
      </c>
      <c r="AJ269" s="8">
        <f t="shared" si="134"/>
        <v>15.527858233550027</v>
      </c>
      <c r="AK269" s="8">
        <f t="shared" si="135"/>
        <v>0</v>
      </c>
      <c r="AL269" s="8">
        <f t="shared" si="136"/>
        <v>17100.454944932731</v>
      </c>
      <c r="AM269" s="8">
        <f t="shared" si="137"/>
        <v>5301.1289217657832</v>
      </c>
      <c r="AN269" s="8">
        <f t="shared" si="138"/>
        <v>28.945421430576637</v>
      </c>
      <c r="AO269" s="8">
        <f t="shared" si="139"/>
        <v>0</v>
      </c>
      <c r="AQ269" s="22"/>
    </row>
    <row r="270" spans="1:43">
      <c r="A270" s="1">
        <v>41997</v>
      </c>
      <c r="B270" s="5">
        <v>268</v>
      </c>
      <c r="C270" s="3">
        <f>B270/365+input!$K$2</f>
        <v>0.73424657534246573</v>
      </c>
      <c r="D270" s="4">
        <f t="shared" si="114"/>
        <v>26.565419501733643</v>
      </c>
      <c r="E270" s="10">
        <f t="shared" si="118"/>
        <v>28.832617987675398</v>
      </c>
      <c r="F270" s="20">
        <f>input!A269</f>
        <v>4837.09</v>
      </c>
      <c r="G270" s="19">
        <f t="shared" si="119"/>
        <v>0.2312341182408704</v>
      </c>
      <c r="H270" s="21">
        <f t="shared" si="120"/>
        <v>541.3440387804086</v>
      </c>
      <c r="I270" s="5">
        <v>633</v>
      </c>
      <c r="J270" s="3">
        <f>I270/365+input!$K$2</f>
        <v>1.7342465753424658</v>
      </c>
      <c r="K270" s="4">
        <f t="shared" si="112"/>
        <v>34.326427183954571</v>
      </c>
      <c r="L270" s="10">
        <f t="shared" si="113"/>
        <v>66.150740989991149</v>
      </c>
      <c r="M270" s="20">
        <f>input!B269</f>
        <v>57.84</v>
      </c>
      <c r="N270" s="19">
        <f t="shared" si="121"/>
        <v>0.97073936379878267</v>
      </c>
      <c r="O270" s="21">
        <f t="shared" si="122"/>
        <v>1409.6417593428459</v>
      </c>
      <c r="P270" s="5">
        <v>998</v>
      </c>
      <c r="Q270" s="3">
        <f>P270/365+input!$K$2</f>
        <v>2.7342465753424658</v>
      </c>
      <c r="R270" s="4">
        <f t="shared" si="115"/>
        <v>38.671802708131615</v>
      </c>
      <c r="S270" s="10">
        <f t="shared" si="116"/>
        <v>97.332068363762076</v>
      </c>
      <c r="T270" s="20">
        <f>input!C269</f>
        <v>0.16</v>
      </c>
      <c r="U270" s="19">
        <f t="shared" si="123"/>
        <v>0.99783919746339378</v>
      </c>
      <c r="V270" s="21">
        <f t="shared" si="124"/>
        <v>1865.0887011102609</v>
      </c>
      <c r="W270" s="21">
        <v>1363</v>
      </c>
      <c r="X270" s="3">
        <f>W270/365+input!$K$2</f>
        <v>3.7342465753424658</v>
      </c>
      <c r="Y270" s="4">
        <f t="shared" si="125"/>
        <v>39.469004015014669</v>
      </c>
      <c r="Z270" s="10">
        <f t="shared" si="117"/>
        <v>103.98435971907008</v>
      </c>
      <c r="AA270" s="20">
        <f>input!D269</f>
        <v>0</v>
      </c>
      <c r="AB270" s="19">
        <f t="shared" si="126"/>
        <v>0.99866597068041085</v>
      </c>
      <c r="AC270" s="21">
        <f t="shared" si="127"/>
        <v>1956.3459956959921</v>
      </c>
      <c r="AD270" s="8">
        <f t="shared" si="128"/>
        <v>139465.9681420048</v>
      </c>
      <c r="AE270" s="8">
        <f t="shared" si="129"/>
        <v>3826.1588588610884</v>
      </c>
      <c r="AF270" s="8">
        <f t="shared" si="130"/>
        <v>15.573130938201933</v>
      </c>
      <c r="AG270" s="8">
        <f t="shared" si="131"/>
        <v>0</v>
      </c>
      <c r="AH270" s="8">
        <f t="shared" si="132"/>
        <v>32249.290167925803</v>
      </c>
      <c r="AI270" s="8">
        <f t="shared" si="133"/>
        <v>3714.2030164438893</v>
      </c>
      <c r="AJ270" s="8">
        <f t="shared" si="134"/>
        <v>15.539480477367766</v>
      </c>
      <c r="AK270" s="8">
        <f t="shared" si="135"/>
        <v>0</v>
      </c>
      <c r="AL270" s="8">
        <f t="shared" si="136"/>
        <v>17457.960987306273</v>
      </c>
      <c r="AM270" s="8">
        <f t="shared" si="137"/>
        <v>5235.6956746564692</v>
      </c>
      <c r="AN270" s="8">
        <f t="shared" si="138"/>
        <v>28.982509459462104</v>
      </c>
      <c r="AO270" s="8">
        <f t="shared" si="139"/>
        <v>0</v>
      </c>
      <c r="AQ270" s="22"/>
    </row>
    <row r="271" spans="1:43">
      <c r="A271" s="1">
        <v>41998</v>
      </c>
      <c r="B271" s="5">
        <v>269</v>
      </c>
      <c r="C271" s="3">
        <f>B271/365+input!$K$2</f>
        <v>0.73698630136986298</v>
      </c>
      <c r="D271" s="4">
        <f t="shared" si="114"/>
        <v>26.593419322529467</v>
      </c>
      <c r="E271" s="10">
        <f t="shared" si="118"/>
        <v>28.931196045123485</v>
      </c>
      <c r="F271" s="20">
        <f>input!A270</f>
        <v>4833.78</v>
      </c>
      <c r="G271" s="19">
        <f t="shared" si="119"/>
        <v>0.23426415924466026</v>
      </c>
      <c r="H271" s="21">
        <f t="shared" si="120"/>
        <v>545.19699405643894</v>
      </c>
      <c r="I271" s="5">
        <v>634</v>
      </c>
      <c r="J271" s="3">
        <f>I271/365+input!$K$2</f>
        <v>1.736986301369863</v>
      </c>
      <c r="K271" s="4">
        <f t="shared" si="112"/>
        <v>34.342104237882282</v>
      </c>
      <c r="L271" s="10">
        <f t="shared" si="113"/>
        <v>66.24867593953023</v>
      </c>
      <c r="M271" s="20">
        <f>input!B270</f>
        <v>57.5</v>
      </c>
      <c r="N271" s="19">
        <f t="shared" si="121"/>
        <v>0.97100801100246015</v>
      </c>
      <c r="O271" s="21">
        <f t="shared" si="122"/>
        <v>1411.1726073416773</v>
      </c>
      <c r="P271" s="5">
        <v>999</v>
      </c>
      <c r="Q271" s="3">
        <f>P271/365+input!$K$2</f>
        <v>2.7369863013698632</v>
      </c>
      <c r="R271" s="4">
        <f t="shared" si="115"/>
        <v>38.680580265018293</v>
      </c>
      <c r="S271" s="10">
        <f t="shared" si="116"/>
        <v>97.403664666796374</v>
      </c>
      <c r="T271" s="20">
        <f>input!C270</f>
        <v>0.15</v>
      </c>
      <c r="U271" s="19">
        <f t="shared" si="123"/>
        <v>0.99785063604984692</v>
      </c>
      <c r="V271" s="21">
        <f t="shared" si="124"/>
        <v>1866.079933619752</v>
      </c>
      <c r="W271" s="21">
        <v>1364</v>
      </c>
      <c r="X271" s="3">
        <f>W271/365+input!$K$2</f>
        <v>3.7369863013698632</v>
      </c>
      <c r="Y271" s="4">
        <f t="shared" si="125"/>
        <v>39.469004015014669</v>
      </c>
      <c r="Z271" s="10">
        <f t="shared" si="117"/>
        <v>103.98435971907008</v>
      </c>
      <c r="AA271" s="20">
        <f>input!D270</f>
        <v>0</v>
      </c>
      <c r="AB271" s="19">
        <f t="shared" si="126"/>
        <v>0.99866597068041085</v>
      </c>
      <c r="AC271" s="21">
        <f t="shared" si="127"/>
        <v>1956.3459956959921</v>
      </c>
      <c r="AD271" s="8">
        <f t="shared" si="128"/>
        <v>139847.036818997</v>
      </c>
      <c r="AE271" s="8">
        <f t="shared" si="129"/>
        <v>3809.2988665229882</v>
      </c>
      <c r="AF271" s="8">
        <f t="shared" si="130"/>
        <v>14.610549700019455</v>
      </c>
      <c r="AG271" s="8">
        <f t="shared" si="131"/>
        <v>0</v>
      </c>
      <c r="AH271" s="8">
        <f t="shared" si="132"/>
        <v>32761.148503259381</v>
      </c>
      <c r="AI271" s="8">
        <f t="shared" si="133"/>
        <v>3698.8597156964129</v>
      </c>
      <c r="AJ271" s="8">
        <f t="shared" si="134"/>
        <v>14.579146311202313</v>
      </c>
      <c r="AK271" s="8">
        <f t="shared" si="135"/>
        <v>0</v>
      </c>
      <c r="AL271" s="8">
        <f t="shared" si="136"/>
        <v>17861.279685813617</v>
      </c>
      <c r="AM271" s="8">
        <f t="shared" si="137"/>
        <v>5219.7295091904016</v>
      </c>
      <c r="AN271" s="8">
        <f t="shared" si="138"/>
        <v>27.205852380641062</v>
      </c>
      <c r="AO271" s="8">
        <f t="shared" si="139"/>
        <v>0</v>
      </c>
      <c r="AQ271" s="22"/>
    </row>
    <row r="272" spans="1:43">
      <c r="A272" s="1">
        <v>41999</v>
      </c>
      <c r="B272" s="5">
        <v>270</v>
      </c>
      <c r="C272" s="3">
        <f>B272/365+input!$K$2</f>
        <v>0.73972602739726023</v>
      </c>
      <c r="D272" s="4">
        <f t="shared" si="114"/>
        <v>26.621374685791142</v>
      </c>
      <c r="E272" s="10">
        <f t="shared" si="118"/>
        <v>29.02984979522309</v>
      </c>
      <c r="F272" s="20">
        <f>input!A271</f>
        <v>4812.28</v>
      </c>
      <c r="G272" s="19">
        <f t="shared" si="119"/>
        <v>0.23731677178461644</v>
      </c>
      <c r="H272" s="21">
        <f t="shared" si="120"/>
        <v>549.04565545552089</v>
      </c>
      <c r="I272" s="5">
        <v>635</v>
      </c>
      <c r="J272" s="3">
        <f>I272/365+input!$K$2</f>
        <v>1.7397260273972603</v>
      </c>
      <c r="K272" s="4">
        <f t="shared" si="112"/>
        <v>34.357756400109238</v>
      </c>
      <c r="L272" s="10">
        <f t="shared" si="113"/>
        <v>66.34655534629006</v>
      </c>
      <c r="M272" s="20">
        <f>input!B271</f>
        <v>56.48</v>
      </c>
      <c r="N272" s="19">
        <f t="shared" si="121"/>
        <v>0.97127384382963577</v>
      </c>
      <c r="O272" s="21">
        <f t="shared" si="122"/>
        <v>1412.7016201352478</v>
      </c>
      <c r="P272" s="5">
        <v>1000</v>
      </c>
      <c r="Q272" s="3">
        <f>P272/365+input!$K$2</f>
        <v>2.7397260273972601</v>
      </c>
      <c r="R272" s="4">
        <f t="shared" si="115"/>
        <v>38.68934388508238</v>
      </c>
      <c r="S272" s="10">
        <f t="shared" si="116"/>
        <v>97.475183606420046</v>
      </c>
      <c r="T272" s="20">
        <f>input!C271</f>
        <v>0.15</v>
      </c>
      <c r="U272" s="19">
        <f t="shared" si="123"/>
        <v>0.99786199619559246</v>
      </c>
      <c r="V272" s="21">
        <f t="shared" si="124"/>
        <v>1867.0698924015937</v>
      </c>
      <c r="W272" s="21">
        <v>1365</v>
      </c>
      <c r="X272" s="3">
        <f>W272/365+input!$K$2</f>
        <v>3.7397260273972601</v>
      </c>
      <c r="Y272" s="4">
        <f t="shared" si="125"/>
        <v>39.469004015014669</v>
      </c>
      <c r="Z272" s="10">
        <f t="shared" si="117"/>
        <v>103.98435971907008</v>
      </c>
      <c r="AA272" s="20">
        <f>input!D271</f>
        <v>0</v>
      </c>
      <c r="AB272" s="19">
        <f t="shared" si="126"/>
        <v>0.99866597068041085</v>
      </c>
      <c r="AC272" s="21">
        <f t="shared" si="127"/>
        <v>1956.3459956959921</v>
      </c>
      <c r="AD272" s="8">
        <f t="shared" si="128"/>
        <v>139699.76557255615</v>
      </c>
      <c r="AE272" s="8">
        <f t="shared" si="129"/>
        <v>3747.2534459584622</v>
      </c>
      <c r="AF272" s="8">
        <f t="shared" si="130"/>
        <v>14.621277540963007</v>
      </c>
      <c r="AG272" s="8">
        <f t="shared" si="131"/>
        <v>0</v>
      </c>
      <c r="AH272" s="8">
        <f t="shared" si="132"/>
        <v>33153.097384746725</v>
      </c>
      <c r="AI272" s="8">
        <f t="shared" si="133"/>
        <v>3639.609258259924</v>
      </c>
      <c r="AJ272" s="8">
        <f t="shared" si="134"/>
        <v>14.590017193955129</v>
      </c>
      <c r="AK272" s="8">
        <f t="shared" si="135"/>
        <v>0</v>
      </c>
      <c r="AL272" s="8">
        <f t="shared" si="136"/>
        <v>18202.564083988978</v>
      </c>
      <c r="AM272" s="8">
        <f t="shared" si="137"/>
        <v>5141.6818958030426</v>
      </c>
      <c r="AN272" s="8">
        <f t="shared" si="138"/>
        <v>27.240581832455206</v>
      </c>
      <c r="AO272" s="8">
        <f t="shared" si="139"/>
        <v>0</v>
      </c>
      <c r="AQ272" s="22"/>
    </row>
    <row r="273" spans="1:43">
      <c r="A273" s="1">
        <v>42000</v>
      </c>
      <c r="B273" s="5">
        <v>271</v>
      </c>
      <c r="C273" s="3">
        <f>B273/365+input!$K$2</f>
        <v>0.74246575342465748</v>
      </c>
      <c r="D273" s="4">
        <f t="shared" si="114"/>
        <v>26.649285662107438</v>
      </c>
      <c r="E273" s="10">
        <f t="shared" si="118"/>
        <v>29.128578682739604</v>
      </c>
      <c r="F273" s="20">
        <f>input!A272</f>
        <v>4808.99</v>
      </c>
      <c r="G273" s="19">
        <f t="shared" si="119"/>
        <v>0.2403917622028843</v>
      </c>
      <c r="H273" s="21">
        <f t="shared" si="120"/>
        <v>552.88980408066607</v>
      </c>
      <c r="I273" s="5">
        <v>636</v>
      </c>
      <c r="J273" s="3">
        <f>I273/365+input!$K$2</f>
        <v>1.7424657534246575</v>
      </c>
      <c r="K273" s="4">
        <f t="shared" si="112"/>
        <v>34.373383710157967</v>
      </c>
      <c r="L273" s="10">
        <f t="shared" si="113"/>
        <v>66.444379037609963</v>
      </c>
      <c r="M273" s="20">
        <f>input!B272</f>
        <v>56.14</v>
      </c>
      <c r="N273" s="19">
        <f t="shared" si="121"/>
        <v>0.97153689417337974</v>
      </c>
      <c r="O273" s="21">
        <f t="shared" si="122"/>
        <v>1414.2288031603962</v>
      </c>
      <c r="P273" s="5">
        <v>1001</v>
      </c>
      <c r="Q273" s="3">
        <f>P273/365+input!$K$2</f>
        <v>2.7424657534246575</v>
      </c>
      <c r="R273" s="4">
        <f t="shared" si="115"/>
        <v>38.69809359045248</v>
      </c>
      <c r="S273" s="10">
        <f t="shared" si="116"/>
        <v>97.5466252004083</v>
      </c>
      <c r="T273" s="20">
        <f>input!C272</f>
        <v>0.15</v>
      </c>
      <c r="U273" s="19">
        <f t="shared" si="123"/>
        <v>0.99787327853198349</v>
      </c>
      <c r="V273" s="21">
        <f t="shared" si="124"/>
        <v>1868.0585785587866</v>
      </c>
      <c r="W273" s="21">
        <v>1366</v>
      </c>
      <c r="X273" s="3">
        <f>W273/365+input!$K$2</f>
        <v>3.7424657534246575</v>
      </c>
      <c r="Y273" s="4">
        <f t="shared" si="125"/>
        <v>39.469004015014669</v>
      </c>
      <c r="Z273" s="10">
        <f t="shared" si="117"/>
        <v>103.98435971907008</v>
      </c>
      <c r="AA273" s="20">
        <f>input!D272</f>
        <v>0</v>
      </c>
      <c r="AB273" s="19">
        <f t="shared" si="126"/>
        <v>0.99866597068041085</v>
      </c>
      <c r="AC273" s="21">
        <f t="shared" si="127"/>
        <v>1956.3459956959921</v>
      </c>
      <c r="AD273" s="8">
        <f t="shared" si="128"/>
        <v>140079.04359950792</v>
      </c>
      <c r="AE273" s="8">
        <f t="shared" si="129"/>
        <v>3730.1874391714232</v>
      </c>
      <c r="AF273" s="8">
        <f t="shared" si="130"/>
        <v>14.631993780061244</v>
      </c>
      <c r="AG273" s="8">
        <f t="shared" si="131"/>
        <v>0</v>
      </c>
      <c r="AH273" s="8">
        <f t="shared" si="132"/>
        <v>33673.848138580368</v>
      </c>
      <c r="AI273" s="8">
        <f t="shared" si="133"/>
        <v>3624.0147193371572</v>
      </c>
      <c r="AJ273" s="8">
        <f t="shared" si="134"/>
        <v>14.600875604769303</v>
      </c>
      <c r="AK273" s="8">
        <f t="shared" si="135"/>
        <v>0</v>
      </c>
      <c r="AL273" s="8">
        <f t="shared" si="136"/>
        <v>18617.927299981802</v>
      </c>
      <c r="AM273" s="8">
        <f t="shared" si="137"/>
        <v>5125.1859991638466</v>
      </c>
      <c r="AN273" s="8">
        <f t="shared" si="138"/>
        <v>27.275290927959009</v>
      </c>
      <c r="AO273" s="8">
        <f t="shared" si="139"/>
        <v>0</v>
      </c>
      <c r="AQ273" s="22"/>
    </row>
    <row r="274" spans="1:43">
      <c r="A274" s="1">
        <v>42001</v>
      </c>
      <c r="B274" s="5">
        <v>272</v>
      </c>
      <c r="C274" s="3">
        <f>B274/365+input!$K$2</f>
        <v>0.74520547945205484</v>
      </c>
      <c r="D274" s="4">
        <f t="shared" si="114"/>
        <v>26.677152321954996</v>
      </c>
      <c r="E274" s="10">
        <f t="shared" si="118"/>
        <v>29.227382153340695</v>
      </c>
      <c r="F274" s="20">
        <f>input!A273</f>
        <v>4794.26</v>
      </c>
      <c r="G274" s="19">
        <f t="shared" si="119"/>
        <v>0.24348892888157855</v>
      </c>
      <c r="H274" s="21">
        <f t="shared" si="120"/>
        <v>556.72922433458712</v>
      </c>
      <c r="I274" s="5">
        <v>637</v>
      </c>
      <c r="J274" s="3">
        <f>I274/365+input!$K$2</f>
        <v>1.7452054794520548</v>
      </c>
      <c r="K274" s="4">
        <f t="shared" si="112"/>
        <v>34.388986207488259</v>
      </c>
      <c r="L274" s="10">
        <f t="shared" si="113"/>
        <v>66.542146841669833</v>
      </c>
      <c r="M274" s="20">
        <f>input!B273</f>
        <v>55.27</v>
      </c>
      <c r="N274" s="19">
        <f t="shared" si="121"/>
        <v>0.97179719355423666</v>
      </c>
      <c r="O274" s="21">
        <f t="shared" si="122"/>
        <v>1415.7541617705631</v>
      </c>
      <c r="P274" s="5">
        <v>1002</v>
      </c>
      <c r="Q274" s="3">
        <f>P274/365+input!$K$2</f>
        <v>2.7452054794520548</v>
      </c>
      <c r="R274" s="4">
        <f t="shared" si="115"/>
        <v>38.706829403222045</v>
      </c>
      <c r="S274" s="10">
        <f t="shared" si="116"/>
        <v>97.617989466794214</v>
      </c>
      <c r="T274" s="20">
        <f>input!C273</f>
        <v>0.15</v>
      </c>
      <c r="U274" s="19">
        <f t="shared" si="123"/>
        <v>0.99788448368462856</v>
      </c>
      <c r="V274" s="21">
        <f t="shared" si="124"/>
        <v>1869.0459931952314</v>
      </c>
      <c r="W274" s="21">
        <v>1367</v>
      </c>
      <c r="X274" s="3">
        <f>W274/365+input!$K$2</f>
        <v>3.7452054794520548</v>
      </c>
      <c r="Y274" s="4">
        <f t="shared" si="125"/>
        <v>39.469004015014669</v>
      </c>
      <c r="Z274" s="10">
        <f t="shared" si="117"/>
        <v>103.98435971907008</v>
      </c>
      <c r="AA274" s="20">
        <f>input!D273</f>
        <v>0</v>
      </c>
      <c r="AB274" s="19">
        <f t="shared" si="126"/>
        <v>0.99866597068041085</v>
      </c>
      <c r="AC274" s="21">
        <f t="shared" si="127"/>
        <v>1956.3459956959921</v>
      </c>
      <c r="AD274" s="8">
        <f t="shared" si="128"/>
        <v>140123.66916247515</v>
      </c>
      <c r="AE274" s="8">
        <f t="shared" si="129"/>
        <v>3677.7844559390919</v>
      </c>
      <c r="AF274" s="8">
        <f t="shared" si="130"/>
        <v>14.642698420019132</v>
      </c>
      <c r="AG274" s="8">
        <f t="shared" si="131"/>
        <v>0</v>
      </c>
      <c r="AH274" s="8">
        <f t="shared" si="132"/>
        <v>34118.562115327753</v>
      </c>
      <c r="AI274" s="8">
        <f t="shared" si="133"/>
        <v>3574.0606127790047</v>
      </c>
      <c r="AJ274" s="8">
        <f t="shared" si="134"/>
        <v>14.611721552610518</v>
      </c>
      <c r="AK274" s="8">
        <f t="shared" si="135"/>
        <v>0</v>
      </c>
      <c r="AL274" s="8">
        <f t="shared" si="136"/>
        <v>18994.80062187785</v>
      </c>
      <c r="AM274" s="8">
        <f t="shared" si="137"/>
        <v>5059.9911869621246</v>
      </c>
      <c r="AN274" s="8">
        <f t="shared" si="138"/>
        <v>27.309979621591093</v>
      </c>
      <c r="AO274" s="8">
        <f t="shared" si="139"/>
        <v>0</v>
      </c>
      <c r="AQ274" s="22"/>
    </row>
    <row r="275" spans="1:43">
      <c r="A275" s="1">
        <v>42002</v>
      </c>
      <c r="B275" s="5">
        <v>273</v>
      </c>
      <c r="C275" s="3">
        <f>B275/365+input!$K$2</f>
        <v>0.74794520547945209</v>
      </c>
      <c r="D275" s="4">
        <f t="shared" si="114"/>
        <v>26.704974735698606</v>
      </c>
      <c r="E275" s="10">
        <f t="shared" si="118"/>
        <v>29.32625965360117</v>
      </c>
      <c r="F275" s="20">
        <f>input!A274</f>
        <v>4787.01</v>
      </c>
      <c r="G275" s="19">
        <f t="shared" si="119"/>
        <v>0.2466080622592971</v>
      </c>
      <c r="H275" s="21">
        <f t="shared" si="120"/>
        <v>560.56370394174439</v>
      </c>
      <c r="I275" s="5">
        <v>638</v>
      </c>
      <c r="J275" s="3">
        <f>I275/365+input!$K$2</f>
        <v>1.747945205479452</v>
      </c>
      <c r="K275" s="4">
        <f t="shared" si="112"/>
        <v>34.404563931497208</v>
      </c>
      <c r="L275" s="10">
        <f t="shared" si="113"/>
        <v>66.639858587487325</v>
      </c>
      <c r="M275" s="20">
        <f>input!B274</f>
        <v>54.86</v>
      </c>
      <c r="N275" s="19">
        <f t="shared" si="121"/>
        <v>0.97205477312438759</v>
      </c>
      <c r="O275" s="21">
        <f t="shared" si="122"/>
        <v>1417.2777012370996</v>
      </c>
      <c r="P275" s="5">
        <v>1003</v>
      </c>
      <c r="Q275" s="3">
        <f>P275/365+input!$K$2</f>
        <v>2.7479452054794522</v>
      </c>
      <c r="R275" s="4">
        <f t="shared" si="115"/>
        <v>38.71555134544947</v>
      </c>
      <c r="S275" s="10">
        <f t="shared" si="116"/>
        <v>97.689276423866573</v>
      </c>
      <c r="T275" s="20">
        <f>input!C274</f>
        <v>0.15</v>
      </c>
      <c r="U275" s="19">
        <f t="shared" si="123"/>
        <v>0.99789561227344881</v>
      </c>
      <c r="V275" s="21">
        <f t="shared" si="124"/>
        <v>1870.0321374157118</v>
      </c>
      <c r="W275" s="21">
        <v>1368</v>
      </c>
      <c r="X275" s="3">
        <f>W275/365+input!$K$2</f>
        <v>3.7479452054794522</v>
      </c>
      <c r="Y275" s="4">
        <f t="shared" si="125"/>
        <v>39.469004015014669</v>
      </c>
      <c r="Z275" s="10">
        <f t="shared" si="117"/>
        <v>103.98435971907008</v>
      </c>
      <c r="AA275" s="20">
        <f>input!D274</f>
        <v>0</v>
      </c>
      <c r="AB275" s="19">
        <f t="shared" si="126"/>
        <v>0.99866597068041085</v>
      </c>
      <c r="AC275" s="21">
        <f t="shared" si="127"/>
        <v>1956.3459956959921</v>
      </c>
      <c r="AD275" s="8">
        <f t="shared" si="128"/>
        <v>140385.09822438535</v>
      </c>
      <c r="AE275" s="8">
        <f t="shared" si="129"/>
        <v>3655.8626421095546</v>
      </c>
      <c r="AF275" s="8">
        <f t="shared" si="130"/>
        <v>14.653391463579986</v>
      </c>
      <c r="AG275" s="8">
        <f t="shared" si="131"/>
        <v>0</v>
      </c>
      <c r="AH275" s="8">
        <f t="shared" si="132"/>
        <v>34620.097043196758</v>
      </c>
      <c r="AI275" s="8">
        <f t="shared" si="133"/>
        <v>3553.6987311497273</v>
      </c>
      <c r="AJ275" s="8">
        <f t="shared" si="134"/>
        <v>14.622555046431678</v>
      </c>
      <c r="AK275" s="8">
        <f t="shared" si="135"/>
        <v>0</v>
      </c>
      <c r="AL275" s="8">
        <f t="shared" si="136"/>
        <v>19406.76982935701</v>
      </c>
      <c r="AM275" s="8">
        <f t="shared" si="137"/>
        <v>5036.5779685730831</v>
      </c>
      <c r="AN275" s="8">
        <f t="shared" si="138"/>
        <v>27.344647867957534</v>
      </c>
      <c r="AO275" s="8">
        <f t="shared" si="139"/>
        <v>0</v>
      </c>
      <c r="AQ275" s="22"/>
    </row>
    <row r="276" spans="1:43">
      <c r="A276" s="1">
        <v>42003</v>
      </c>
      <c r="B276" s="5">
        <v>274</v>
      </c>
      <c r="C276" s="3">
        <f>B276/365+input!$K$2</f>
        <v>0.75068493150684934</v>
      </c>
      <c r="D276" s="4">
        <f t="shared" si="114"/>
        <v>26.732752973591307</v>
      </c>
      <c r="E276" s="10">
        <f t="shared" si="118"/>
        <v>29.425210631007118</v>
      </c>
      <c r="F276" s="20">
        <f>input!A275</f>
        <v>4771.58</v>
      </c>
      <c r="G276" s="19">
        <f t="shared" si="119"/>
        <v>0.24974894485351767</v>
      </c>
      <c r="H276" s="21">
        <f t="shared" si="120"/>
        <v>564.39303396871071</v>
      </c>
      <c r="I276" s="5">
        <v>639</v>
      </c>
      <c r="J276" s="3">
        <f>I276/365+input!$K$2</f>
        <v>1.7506849315068493</v>
      </c>
      <c r="K276" s="4">
        <f t="shared" si="112"/>
        <v>34.420116921519394</v>
      </c>
      <c r="L276" s="10">
        <f t="shared" si="113"/>
        <v>66.737514104916599</v>
      </c>
      <c r="M276" s="20">
        <f>input!B275</f>
        <v>54.05</v>
      </c>
      <c r="N276" s="19">
        <f t="shared" si="121"/>
        <v>0.97230966367177918</v>
      </c>
      <c r="O276" s="21">
        <f t="shared" si="122"/>
        <v>1418.7994267505535</v>
      </c>
      <c r="P276" s="5">
        <v>1004</v>
      </c>
      <c r="Q276" s="3">
        <f>P276/365+input!$K$2</f>
        <v>2.7506849315068491</v>
      </c>
      <c r="R276" s="4">
        <f t="shared" si="115"/>
        <v>38.724259439158097</v>
      </c>
      <c r="S276" s="10">
        <f t="shared" si="116"/>
        <v>97.760486090168897</v>
      </c>
      <c r="T276" s="20">
        <f>input!C275</f>
        <v>0.15</v>
      </c>
      <c r="U276" s="19">
        <f t="shared" si="123"/>
        <v>0.99790666491273594</v>
      </c>
      <c r="V276" s="21">
        <f t="shared" si="124"/>
        <v>1871.0170123258943</v>
      </c>
      <c r="W276" s="21">
        <v>1369</v>
      </c>
      <c r="X276" s="3">
        <f>W276/365+input!$K$2</f>
        <v>3.7506849315068491</v>
      </c>
      <c r="Y276" s="4">
        <f t="shared" si="125"/>
        <v>39.469004015014669</v>
      </c>
      <c r="Z276" s="10">
        <f t="shared" si="117"/>
        <v>103.98435971907008</v>
      </c>
      <c r="AA276" s="20">
        <f>input!D275</f>
        <v>0</v>
      </c>
      <c r="AB276" s="19">
        <f t="shared" si="126"/>
        <v>0.99866597068041085</v>
      </c>
      <c r="AC276" s="21">
        <f t="shared" si="127"/>
        <v>1956.3459956959921</v>
      </c>
      <c r="AD276" s="8">
        <f t="shared" si="128"/>
        <v>140404.74654270094</v>
      </c>
      <c r="AE276" s="8">
        <f t="shared" si="129"/>
        <v>3607.1626373707418</v>
      </c>
      <c r="AF276" s="8">
        <f t="shared" si="130"/>
        <v>14.664072913525334</v>
      </c>
      <c r="AG276" s="8">
        <f t="shared" si="131"/>
        <v>0</v>
      </c>
      <c r="AH276" s="8">
        <f t="shared" si="132"/>
        <v>35065.937301465143</v>
      </c>
      <c r="AI276" s="8">
        <f t="shared" si="133"/>
        <v>3507.279090751354</v>
      </c>
      <c r="AJ276" s="8">
        <f t="shared" si="134"/>
        <v>14.633376095173253</v>
      </c>
      <c r="AK276" s="8">
        <f t="shared" si="135"/>
        <v>0</v>
      </c>
      <c r="AL276" s="8">
        <f t="shared" si="136"/>
        <v>19790.970742530495</v>
      </c>
      <c r="AM276" s="8">
        <f t="shared" si="137"/>
        <v>4976.1255634122235</v>
      </c>
      <c r="AN276" s="8">
        <f t="shared" si="138"/>
        <v>27.37929562183222</v>
      </c>
      <c r="AO276" s="8">
        <f t="shared" si="139"/>
        <v>0</v>
      </c>
      <c r="AQ276" s="22"/>
    </row>
    <row r="277" spans="1:43">
      <c r="A277" s="1">
        <v>42004</v>
      </c>
      <c r="B277" s="5">
        <v>275</v>
      </c>
      <c r="C277" s="3">
        <f>B277/365+input!$K$2</f>
        <v>0.75342465753424659</v>
      </c>
      <c r="D277" s="4">
        <f t="shared" si="114"/>
        <v>26.760487105774601</v>
      </c>
      <c r="E277" s="10">
        <f t="shared" si="118"/>
        <v>29.524234533960303</v>
      </c>
      <c r="F277" s="20">
        <f>input!A276</f>
        <v>4765.21</v>
      </c>
      <c r="G277" s="19">
        <f t="shared" si="119"/>
        <v>0.25291135128897779</v>
      </c>
      <c r="H277" s="21">
        <f t="shared" si="120"/>
        <v>568.21700884289544</v>
      </c>
      <c r="I277" s="5">
        <v>640</v>
      </c>
      <c r="J277" s="3">
        <f>I277/365+input!$K$2</f>
        <v>1.7534246575342465</v>
      </c>
      <c r="K277" s="4">
        <f t="shared" si="112"/>
        <v>34.435645216826934</v>
      </c>
      <c r="L277" s="10">
        <f t="shared" si="113"/>
        <v>66.835113224646136</v>
      </c>
      <c r="M277" s="20">
        <f>input!B276</f>
        <v>53.61</v>
      </c>
      <c r="N277" s="19">
        <f t="shared" si="121"/>
        <v>0.97256189562421502</v>
      </c>
      <c r="O277" s="21">
        <f t="shared" si="122"/>
        <v>1420.3193434219374</v>
      </c>
      <c r="P277" s="5">
        <v>1005</v>
      </c>
      <c r="Q277" s="3">
        <f>P277/365+input!$K$2</f>
        <v>2.7534246575342465</v>
      </c>
      <c r="R277" s="4">
        <f t="shared" si="115"/>
        <v>38.732953706336332</v>
      </c>
      <c r="S277" s="10">
        <f t="shared" si="116"/>
        <v>97.831618484499884</v>
      </c>
      <c r="T277" s="20">
        <f>input!C276</f>
        <v>0.14000000000000001</v>
      </c>
      <c r="U277" s="19">
        <f t="shared" si="123"/>
        <v>0.99791764221120749</v>
      </c>
      <c r="V277" s="21">
        <f t="shared" si="124"/>
        <v>1872.0006190323331</v>
      </c>
      <c r="W277" s="21">
        <v>1370</v>
      </c>
      <c r="X277" s="3">
        <f>W277/365+input!$K$2</f>
        <v>3.7534246575342465</v>
      </c>
      <c r="Y277" s="4">
        <f t="shared" si="125"/>
        <v>39.469004015014669</v>
      </c>
      <c r="Z277" s="10">
        <f t="shared" si="117"/>
        <v>103.98435971907008</v>
      </c>
      <c r="AA277" s="20">
        <f>input!D276</f>
        <v>0</v>
      </c>
      <c r="AB277" s="19">
        <f t="shared" si="126"/>
        <v>0.99866597068041085</v>
      </c>
      <c r="AC277" s="21">
        <f t="shared" si="127"/>
        <v>1956.3459956959921</v>
      </c>
      <c r="AD277" s="8">
        <f t="shared" si="128"/>
        <v>140689.17764357297</v>
      </c>
      <c r="AE277" s="8">
        <f t="shared" si="129"/>
        <v>3583.0304199732791</v>
      </c>
      <c r="AF277" s="8">
        <f t="shared" si="130"/>
        <v>13.696426587829984</v>
      </c>
      <c r="AG277" s="8">
        <f t="shared" si="131"/>
        <v>0</v>
      </c>
      <c r="AH277" s="8">
        <f t="shared" si="132"/>
        <v>35581.890029571085</v>
      </c>
      <c r="AI277" s="8">
        <f t="shared" si="133"/>
        <v>3484.7188573284398</v>
      </c>
      <c r="AJ277" s="8">
        <f t="shared" si="134"/>
        <v>13.667905727246191</v>
      </c>
      <c r="AK277" s="8">
        <f t="shared" si="135"/>
        <v>0</v>
      </c>
      <c r="AL277" s="8">
        <f t="shared" si="136"/>
        <v>20218.235121579724</v>
      </c>
      <c r="AM277" s="8">
        <f t="shared" si="137"/>
        <v>4949.4135994507733</v>
      </c>
      <c r="AN277" s="8">
        <f t="shared" si="138"/>
        <v>25.586327982280444</v>
      </c>
      <c r="AO277" s="8">
        <f t="shared" si="139"/>
        <v>0</v>
      </c>
      <c r="AQ277" s="22"/>
    </row>
    <row r="278" spans="1:43">
      <c r="A278" s="1">
        <v>42005</v>
      </c>
      <c r="B278" s="5">
        <v>276</v>
      </c>
      <c r="C278" s="3">
        <f>B278/365+input!$K$2</f>
        <v>0.75616438356164384</v>
      </c>
      <c r="D278" s="4">
        <f t="shared" si="114"/>
        <v>26.788177202278614</v>
      </c>
      <c r="E278" s="10">
        <f t="shared" si="118"/>
        <v>29.623330811782374</v>
      </c>
      <c r="F278" s="20">
        <f>input!A277</f>
        <v>4751.83</v>
      </c>
      <c r="G278" s="19">
        <f t="shared" si="119"/>
        <v>0.25609504833205088</v>
      </c>
      <c r="H278" s="21">
        <f t="shared" si="120"/>
        <v>572.03542636962754</v>
      </c>
      <c r="I278" s="5">
        <v>641</v>
      </c>
      <c r="J278" s="3">
        <f>I278/365+input!$K$2</f>
        <v>1.7561643835616438</v>
      </c>
      <c r="K278" s="4">
        <f t="shared" ref="K278:K341" si="140">44.2*(1-EXP(-0.58*(J278+0.85)))</f>
        <v>34.451148856629572</v>
      </c>
      <c r="L278" s="10">
        <f t="shared" si="113"/>
        <v>66.932655778196818</v>
      </c>
      <c r="M278" s="20">
        <f>input!B277</f>
        <v>52.94</v>
      </c>
      <c r="N278" s="19">
        <f t="shared" si="121"/>
        <v>0.97281149905340947</v>
      </c>
      <c r="O278" s="21">
        <f t="shared" si="122"/>
        <v>1421.8374562840079</v>
      </c>
      <c r="P278" s="5">
        <v>1006</v>
      </c>
      <c r="Q278" s="3">
        <f>P278/365+input!$K$2</f>
        <v>2.7561643835616438</v>
      </c>
      <c r="R278" s="4">
        <f t="shared" si="115"/>
        <v>38.741634168937644</v>
      </c>
      <c r="S278" s="10">
        <f t="shared" si="116"/>
        <v>97.902673625910154</v>
      </c>
      <c r="T278" s="20">
        <f>input!C277</f>
        <v>0.14000000000000001</v>
      </c>
      <c r="U278" s="19">
        <f t="shared" si="123"/>
        <v>0.99792854477206394</v>
      </c>
      <c r="V278" s="21">
        <f t="shared" si="124"/>
        <v>1872.9829586424412</v>
      </c>
      <c r="W278" s="21">
        <v>1371</v>
      </c>
      <c r="X278" s="3">
        <f>W278/365+input!$K$2</f>
        <v>3.7561643835616438</v>
      </c>
      <c r="Y278" s="4">
        <f t="shared" si="125"/>
        <v>39.469004015014669</v>
      </c>
      <c r="Z278" s="10">
        <f t="shared" si="117"/>
        <v>103.98435971907008</v>
      </c>
      <c r="AA278" s="20">
        <f>input!D277</f>
        <v>0</v>
      </c>
      <c r="AB278" s="19">
        <f t="shared" si="126"/>
        <v>0.99866597068041085</v>
      </c>
      <c r="AC278" s="21">
        <f t="shared" si="127"/>
        <v>1956.3459956959921</v>
      </c>
      <c r="AD278" s="8">
        <f t="shared" si="128"/>
        <v>140765.03205135182</v>
      </c>
      <c r="AE278" s="8">
        <f t="shared" si="129"/>
        <v>3543.4147968977395</v>
      </c>
      <c r="AF278" s="8">
        <f t="shared" si="130"/>
        <v>13.706374307627422</v>
      </c>
      <c r="AG278" s="8">
        <f t="shared" si="131"/>
        <v>0</v>
      </c>
      <c r="AH278" s="8">
        <f t="shared" si="132"/>
        <v>36049.227686653634</v>
      </c>
      <c r="AI278" s="8">
        <f t="shared" si="133"/>
        <v>3447.0746603381226</v>
      </c>
      <c r="AJ278" s="8">
        <f t="shared" si="134"/>
        <v>13.677982166911839</v>
      </c>
      <c r="AK278" s="8">
        <f t="shared" si="135"/>
        <v>0</v>
      </c>
      <c r="AL278" s="8">
        <f t="shared" si="136"/>
        <v>20621.435330030694</v>
      </c>
      <c r="AM278" s="8">
        <f t="shared" si="137"/>
        <v>4901.179866676217</v>
      </c>
      <c r="AN278" s="8">
        <f t="shared" si="138"/>
        <v>25.618627507241087</v>
      </c>
      <c r="AO278" s="8">
        <f t="shared" si="139"/>
        <v>0</v>
      </c>
      <c r="AQ278" s="22"/>
    </row>
    <row r="279" spans="1:43">
      <c r="A279" s="1">
        <v>42006</v>
      </c>
      <c r="B279" s="5">
        <v>277</v>
      </c>
      <c r="C279" s="3">
        <f>B279/365+input!$K$2</f>
        <v>0.75890410958904109</v>
      </c>
      <c r="D279" s="4">
        <f t="shared" si="114"/>
        <v>26.81582333302228</v>
      </c>
      <c r="E279" s="10">
        <f t="shared" si="118"/>
        <v>29.722498914719118</v>
      </c>
      <c r="F279" s="20">
        <f>input!A278</f>
        <v>4748.58</v>
      </c>
      <c r="G279" s="19">
        <f t="shared" si="119"/>
        <v>0.25929979493117816</v>
      </c>
      <c r="H279" s="21">
        <f t="shared" si="120"/>
        <v>575.84808774762382</v>
      </c>
      <c r="I279" s="5">
        <v>642</v>
      </c>
      <c r="J279" s="3">
        <f>I279/365+input!$K$2</f>
        <v>1.7589041095890412</v>
      </c>
      <c r="K279" s="4">
        <f t="shared" si="140"/>
        <v>34.466627880074803</v>
      </c>
      <c r="L279" s="10">
        <f t="shared" ref="L279:L342" si="141">0.0007*K279^3.24</f>
        <v>67.030141597919908</v>
      </c>
      <c r="M279" s="20">
        <f>input!B278</f>
        <v>52.6</v>
      </c>
      <c r="N279" s="19">
        <f t="shared" si="121"/>
        <v>0.97305850367900626</v>
      </c>
      <c r="O279" s="21">
        <f t="shared" si="122"/>
        <v>1423.3537702924707</v>
      </c>
      <c r="P279" s="5">
        <v>1007</v>
      </c>
      <c r="Q279" s="3">
        <f>P279/365+input!$K$2</f>
        <v>2.7589041095890412</v>
      </c>
      <c r="R279" s="4">
        <f t="shared" si="115"/>
        <v>38.750300848880656</v>
      </c>
      <c r="S279" s="10">
        <f t="shared" si="116"/>
        <v>97.973651533702949</v>
      </c>
      <c r="T279" s="20">
        <f>input!C278</f>
        <v>0.14000000000000001</v>
      </c>
      <c r="U279" s="19">
        <f t="shared" si="123"/>
        <v>0.99793937319304316</v>
      </c>
      <c r="V279" s="21">
        <f t="shared" si="124"/>
        <v>1873.9640322644957</v>
      </c>
      <c r="W279" s="21">
        <v>1372</v>
      </c>
      <c r="X279" s="3">
        <f>W279/365+input!$K$2</f>
        <v>3.7589041095890412</v>
      </c>
      <c r="Y279" s="4">
        <f t="shared" si="125"/>
        <v>39.469004015014669</v>
      </c>
      <c r="Z279" s="10">
        <f t="shared" si="117"/>
        <v>103.98435971907008</v>
      </c>
      <c r="AA279" s="20">
        <f>input!D278</f>
        <v>0</v>
      </c>
      <c r="AB279" s="19">
        <f t="shared" si="126"/>
        <v>0.99866597068041085</v>
      </c>
      <c r="AC279" s="21">
        <f t="shared" si="127"/>
        <v>1956.3459956959921</v>
      </c>
      <c r="AD279" s="8">
        <f t="shared" si="128"/>
        <v>141139.66389645691</v>
      </c>
      <c r="AE279" s="8">
        <f t="shared" si="129"/>
        <v>3525.7854480505871</v>
      </c>
      <c r="AF279" s="8">
        <f t="shared" si="130"/>
        <v>13.716311214718415</v>
      </c>
      <c r="AG279" s="8">
        <f t="shared" si="131"/>
        <v>0</v>
      </c>
      <c r="AH279" s="8">
        <f t="shared" si="132"/>
        <v>36597.485905006688</v>
      </c>
      <c r="AI279" s="8">
        <f t="shared" si="133"/>
        <v>3430.7955123733191</v>
      </c>
      <c r="AJ279" s="8">
        <f t="shared" si="134"/>
        <v>13.688047016136803</v>
      </c>
      <c r="AK279" s="8">
        <f t="shared" si="135"/>
        <v>0</v>
      </c>
      <c r="AL279" s="8">
        <f t="shared" si="136"/>
        <v>21074.592274768718</v>
      </c>
      <c r="AM279" s="8">
        <f t="shared" si="137"/>
        <v>4883.2357276390521</v>
      </c>
      <c r="AN279" s="8">
        <f t="shared" si="138"/>
        <v>25.650907780185722</v>
      </c>
      <c r="AO279" s="8">
        <f t="shared" si="139"/>
        <v>0</v>
      </c>
      <c r="AQ279" s="22"/>
    </row>
    <row r="280" spans="1:43">
      <c r="A280" s="1">
        <v>42007</v>
      </c>
      <c r="B280" s="5">
        <v>278</v>
      </c>
      <c r="C280" s="3">
        <f>B280/365+input!$K$2</f>
        <v>0.76164383561643834</v>
      </c>
      <c r="D280" s="4">
        <f t="shared" si="114"/>
        <v>26.843425567813522</v>
      </c>
      <c r="E280" s="10">
        <f t="shared" si="118"/>
        <v>29.821738293944737</v>
      </c>
      <c r="F280" s="20">
        <f>input!A279</f>
        <v>4736.47</v>
      </c>
      <c r="G280" s="19">
        <f t="shared" si="119"/>
        <v>0.2625253422633817</v>
      </c>
      <c r="H280" s="21">
        <f t="shared" si="120"/>
        <v>579.65479758286392</v>
      </c>
      <c r="I280" s="5">
        <v>643</v>
      </c>
      <c r="J280" s="3">
        <f>I280/365+input!$K$2</f>
        <v>1.7616438356164383</v>
      </c>
      <c r="K280" s="4">
        <f t="shared" si="140"/>
        <v>34.482082326247969</v>
      </c>
      <c r="L280" s="10">
        <f t="shared" si="141"/>
        <v>67.127570516995618</v>
      </c>
      <c r="M280" s="20">
        <f>input!B279</f>
        <v>51.94</v>
      </c>
      <c r="N280" s="19">
        <f t="shared" si="121"/>
        <v>0.9733029388725617</v>
      </c>
      <c r="O280" s="21">
        <f t="shared" si="122"/>
        <v>1424.8682903272436</v>
      </c>
      <c r="P280" s="5">
        <v>1008</v>
      </c>
      <c r="Q280" s="3">
        <f>P280/365+input!$K$2</f>
        <v>2.7616438356164386</v>
      </c>
      <c r="R280" s="4">
        <f t="shared" si="115"/>
        <v>38.758953768049189</v>
      </c>
      <c r="S280" s="10">
        <f t="shared" si="116"/>
        <v>98.044552227431637</v>
      </c>
      <c r="T280" s="20">
        <f>input!C279</f>
        <v>0.14000000000000001</v>
      </c>
      <c r="U280" s="19">
        <f t="shared" si="123"/>
        <v>0.99795012806647476</v>
      </c>
      <c r="V280" s="21">
        <f t="shared" si="124"/>
        <v>1874.9438410076364</v>
      </c>
      <c r="W280" s="21">
        <v>1373</v>
      </c>
      <c r="X280" s="3">
        <f>W280/365+input!$K$2</f>
        <v>3.7616438356164386</v>
      </c>
      <c r="Y280" s="4">
        <f t="shared" si="125"/>
        <v>39.469004015014669</v>
      </c>
      <c r="Z280" s="10">
        <f t="shared" si="117"/>
        <v>103.98435971907008</v>
      </c>
      <c r="AA280" s="20">
        <f>input!D279</f>
        <v>0</v>
      </c>
      <c r="AB280" s="19">
        <f t="shared" si="126"/>
        <v>0.99866597068041085</v>
      </c>
      <c r="AC280" s="21">
        <f t="shared" si="127"/>
        <v>1956.3459956959921</v>
      </c>
      <c r="AD280" s="8">
        <f t="shared" si="128"/>
        <v>141249.76877712042</v>
      </c>
      <c r="AE280" s="8">
        <f t="shared" si="129"/>
        <v>3486.6060126527523</v>
      </c>
      <c r="AF280" s="8">
        <f t="shared" si="130"/>
        <v>13.72623731184043</v>
      </c>
      <c r="AG280" s="8">
        <f t="shared" si="131"/>
        <v>0</v>
      </c>
      <c r="AH280" s="8">
        <f t="shared" si="132"/>
        <v>37081.643892837063</v>
      </c>
      <c r="AI280" s="8">
        <f t="shared" si="133"/>
        <v>3393.5238788056677</v>
      </c>
      <c r="AJ280" s="8">
        <f t="shared" si="134"/>
        <v>13.698100283221981</v>
      </c>
      <c r="AK280" s="8">
        <f t="shared" si="135"/>
        <v>0</v>
      </c>
      <c r="AL280" s="8">
        <f t="shared" si="136"/>
        <v>21494.552784742311</v>
      </c>
      <c r="AM280" s="8">
        <f t="shared" si="137"/>
        <v>4835.3245673785077</v>
      </c>
      <c r="AN280" s="8">
        <f t="shared" si="138"/>
        <v>25.683168759532016</v>
      </c>
      <c r="AO280" s="8">
        <f t="shared" si="139"/>
        <v>0</v>
      </c>
      <c r="AQ280" s="22"/>
    </row>
    <row r="281" spans="1:43">
      <c r="A281" s="1">
        <v>42008</v>
      </c>
      <c r="B281" s="5">
        <v>279</v>
      </c>
      <c r="C281" s="3">
        <f>B281/365+input!$K$2</f>
        <v>0.76438356164383559</v>
      </c>
      <c r="D281" s="4">
        <f t="shared" si="114"/>
        <v>26.870983976349432</v>
      </c>
      <c r="E281" s="10">
        <f t="shared" si="118"/>
        <v>29.921048401565969</v>
      </c>
      <c r="F281" s="20">
        <f>input!A280</f>
        <v>4731.6400000000003</v>
      </c>
      <c r="G281" s="19">
        <f t="shared" si="119"/>
        <v>0.26577143378688139</v>
      </c>
      <c r="H281" s="21">
        <f t="shared" si="120"/>
        <v>583.45536390088625</v>
      </c>
      <c r="I281" s="5">
        <v>644</v>
      </c>
      <c r="J281" s="3">
        <f>I281/365+input!$K$2</f>
        <v>1.7643835616438357</v>
      </c>
      <c r="K281" s="4">
        <f t="shared" si="140"/>
        <v>34.497512234172369</v>
      </c>
      <c r="L281" s="10">
        <f t="shared" si="141"/>
        <v>67.224942369430337</v>
      </c>
      <c r="M281" s="20">
        <f>input!B280</f>
        <v>51.58</v>
      </c>
      <c r="N281" s="19">
        <f t="shared" si="121"/>
        <v>0.97354483366148858</v>
      </c>
      <c r="O281" s="21">
        <f t="shared" si="122"/>
        <v>1426.3810211936375</v>
      </c>
      <c r="P281" s="5">
        <v>1009</v>
      </c>
      <c r="Q281" s="3">
        <f>P281/365+input!$K$2</f>
        <v>2.7643835616438355</v>
      </c>
      <c r="R281" s="4">
        <f t="shared" si="115"/>
        <v>38.767592948292311</v>
      </c>
      <c r="S281" s="10">
        <f t="shared" si="116"/>
        <v>98.115375726900069</v>
      </c>
      <c r="T281" s="20">
        <f>input!C280</f>
        <v>0.14000000000000001</v>
      </c>
      <c r="U281" s="19">
        <f t="shared" si="123"/>
        <v>0.99796080997933545</v>
      </c>
      <c r="V281" s="21">
        <f t="shared" si="124"/>
        <v>1875.9223859818455</v>
      </c>
      <c r="W281" s="21">
        <v>1374</v>
      </c>
      <c r="X281" s="3">
        <f>W281/365+input!$K$2</f>
        <v>3.7643835616438355</v>
      </c>
      <c r="Y281" s="4">
        <f t="shared" si="125"/>
        <v>39.469004015014669</v>
      </c>
      <c r="Z281" s="10">
        <f t="shared" si="117"/>
        <v>103.98435971907008</v>
      </c>
      <c r="AA281" s="20">
        <f>input!D280</f>
        <v>0</v>
      </c>
      <c r="AB281" s="19">
        <f t="shared" si="126"/>
        <v>0.99866597068041085</v>
      </c>
      <c r="AC281" s="21">
        <f t="shared" si="127"/>
        <v>1956.3459956959921</v>
      </c>
      <c r="AD281" s="8">
        <f t="shared" si="128"/>
        <v>141575.62945878561</v>
      </c>
      <c r="AE281" s="8">
        <f t="shared" si="129"/>
        <v>3467.4625274152168</v>
      </c>
      <c r="AF281" s="8">
        <f t="shared" si="130"/>
        <v>13.736152601766012</v>
      </c>
      <c r="AG281" s="8">
        <f t="shared" si="131"/>
        <v>0</v>
      </c>
      <c r="AH281" s="8">
        <f t="shared" si="132"/>
        <v>37626.758030541692</v>
      </c>
      <c r="AI281" s="8">
        <f t="shared" si="133"/>
        <v>3375.7302294798919</v>
      </c>
      <c r="AJ281" s="8">
        <f t="shared" si="134"/>
        <v>13.708141976458165</v>
      </c>
      <c r="AK281" s="8">
        <f t="shared" si="135"/>
        <v>0</v>
      </c>
      <c r="AL281" s="8">
        <f t="shared" si="136"/>
        <v>21953.533799120294</v>
      </c>
      <c r="AM281" s="8">
        <f t="shared" si="137"/>
        <v>4815.0775319997601</v>
      </c>
      <c r="AN281" s="8">
        <f t="shared" si="138"/>
        <v>25.715410403855294</v>
      </c>
      <c r="AO281" s="8">
        <f t="shared" si="139"/>
        <v>0</v>
      </c>
      <c r="AQ281" s="22"/>
    </row>
    <row r="282" spans="1:43">
      <c r="A282" s="1">
        <v>42009</v>
      </c>
      <c r="B282" s="5">
        <v>280</v>
      </c>
      <c r="C282" s="3">
        <f>B282/365+input!$K$2</f>
        <v>0.76712328767123283</v>
      </c>
      <c r="D282" s="4">
        <f t="shared" si="114"/>
        <v>26.898498628216423</v>
      </c>
      <c r="E282" s="10">
        <f t="shared" si="118"/>
        <v>30.020428690625913</v>
      </c>
      <c r="F282" s="20">
        <f>input!A281</f>
        <v>4718.71</v>
      </c>
      <c r="G282" s="19">
        <f t="shared" si="119"/>
        <v>0.26903780529984056</v>
      </c>
      <c r="H282" s="21">
        <f t="shared" si="120"/>
        <v>587.24959815752015</v>
      </c>
      <c r="I282" s="5">
        <v>645</v>
      </c>
      <c r="J282" s="3">
        <f>I282/365+input!$K$2</f>
        <v>1.7671232876712328</v>
      </c>
      <c r="K282" s="4">
        <f t="shared" si="140"/>
        <v>34.512917642809313</v>
      </c>
      <c r="L282" s="10">
        <f t="shared" si="141"/>
        <v>67.322256990055607</v>
      </c>
      <c r="M282" s="20">
        <f>input!B281</f>
        <v>50.85</v>
      </c>
      <c r="N282" s="19">
        <f t="shared" si="121"/>
        <v>0.97378421673296556</v>
      </c>
      <c r="O282" s="21">
        <f t="shared" si="122"/>
        <v>1427.8919676235669</v>
      </c>
      <c r="P282" s="5">
        <v>1010</v>
      </c>
      <c r="Q282" s="3">
        <f>P282/365+input!$K$2</f>
        <v>2.7671232876712328</v>
      </c>
      <c r="R282" s="4">
        <f t="shared" si="115"/>
        <v>38.776218411424409</v>
      </c>
      <c r="S282" s="10">
        <f t="shared" si="116"/>
        <v>98.186122052160087</v>
      </c>
      <c r="T282" s="20">
        <f>input!C281</f>
        <v>0.14000000000000001</v>
      </c>
      <c r="U282" s="19">
        <f t="shared" si="123"/>
        <v>0.99797141951330115</v>
      </c>
      <c r="V282" s="21">
        <f t="shared" si="124"/>
        <v>1876.8996682979528</v>
      </c>
      <c r="W282" s="21">
        <v>1375</v>
      </c>
      <c r="X282" s="3">
        <f>W282/365+input!$K$2</f>
        <v>3.7671232876712328</v>
      </c>
      <c r="Y282" s="4">
        <f t="shared" si="125"/>
        <v>39.469004015014669</v>
      </c>
      <c r="Z282" s="10">
        <f t="shared" si="117"/>
        <v>103.98435971907008</v>
      </c>
      <c r="AA282" s="20">
        <f>input!D281</f>
        <v>0</v>
      </c>
      <c r="AB282" s="19">
        <f t="shared" si="126"/>
        <v>0.99866597068041085</v>
      </c>
      <c r="AC282" s="21">
        <f t="shared" si="127"/>
        <v>1956.3459956959921</v>
      </c>
      <c r="AD282" s="8">
        <f t="shared" si="128"/>
        <v>141657.69706674339</v>
      </c>
      <c r="AE282" s="8">
        <f t="shared" si="129"/>
        <v>3423.3367679443277</v>
      </c>
      <c r="AF282" s="8">
        <f t="shared" si="130"/>
        <v>13.746057087302413</v>
      </c>
      <c r="AG282" s="8">
        <f t="shared" si="131"/>
        <v>0</v>
      </c>
      <c r="AH282" s="8">
        <f t="shared" si="132"/>
        <v>38111.275922666304</v>
      </c>
      <c r="AI282" s="8">
        <f t="shared" si="133"/>
        <v>3333.5913131858292</v>
      </c>
      <c r="AJ282" s="8">
        <f t="shared" si="134"/>
        <v>13.718172104126063</v>
      </c>
      <c r="AK282" s="8">
        <f t="shared" si="135"/>
        <v>0</v>
      </c>
      <c r="AL282" s="8">
        <f t="shared" si="136"/>
        <v>22380.831470856159</v>
      </c>
      <c r="AM282" s="8">
        <f t="shared" si="137"/>
        <v>4760.0082594377436</v>
      </c>
      <c r="AN282" s="8">
        <f t="shared" si="138"/>
        <v>25.747632671888436</v>
      </c>
      <c r="AO282" s="8">
        <f t="shared" si="139"/>
        <v>0</v>
      </c>
      <c r="AQ282" s="22"/>
    </row>
    <row r="283" spans="1:43">
      <c r="A283" s="1">
        <v>42010</v>
      </c>
      <c r="B283" s="5">
        <v>281</v>
      </c>
      <c r="C283" s="3">
        <f>B283/365+input!$K$2</f>
        <v>0.76986301369863008</v>
      </c>
      <c r="D283" s="4">
        <f t="shared" si="114"/>
        <v>26.925969592890414</v>
      </c>
      <c r="E283" s="10">
        <f t="shared" si="118"/>
        <v>30.119878615108391</v>
      </c>
      <c r="F283" s="20">
        <f>input!A282</f>
        <v>4715.4799999999996</v>
      </c>
      <c r="G283" s="19">
        <f t="shared" si="119"/>
        <v>0.2723241850052352</v>
      </c>
      <c r="H283" s="21">
        <f t="shared" si="120"/>
        <v>591.03731524809473</v>
      </c>
      <c r="I283" s="5">
        <v>646</v>
      </c>
      <c r="J283" s="3">
        <f>I283/365+input!$K$2</f>
        <v>1.7698630136986302</v>
      </c>
      <c r="K283" s="4">
        <f t="shared" si="140"/>
        <v>34.52829859105826</v>
      </c>
      <c r="L283" s="10">
        <f t="shared" si="141"/>
        <v>67.41951421452552</v>
      </c>
      <c r="M283" s="20">
        <f>input!B282</f>
        <v>50.52</v>
      </c>
      <c r="N283" s="19">
        <f t="shared" si="121"/>
        <v>0.9740211164378102</v>
      </c>
      <c r="O283" s="21">
        <f t="shared" si="122"/>
        <v>1429.4011342767149</v>
      </c>
      <c r="P283" s="5">
        <v>1011</v>
      </c>
      <c r="Q283" s="3">
        <f>P283/365+input!$K$2</f>
        <v>2.7698630136986302</v>
      </c>
      <c r="R283" s="4">
        <f t="shared" si="115"/>
        <v>38.784830179225217</v>
      </c>
      <c r="S283" s="10">
        <f t="shared" si="116"/>
        <v>98.256791223511826</v>
      </c>
      <c r="T283" s="20">
        <f>input!C282</f>
        <v>0.14000000000000001</v>
      </c>
      <c r="U283" s="19">
        <f t="shared" si="123"/>
        <v>0.99798195724480032</v>
      </c>
      <c r="V283" s="21">
        <f t="shared" si="124"/>
        <v>1877.8756890676198</v>
      </c>
      <c r="W283" s="21">
        <v>1376</v>
      </c>
      <c r="X283" s="3">
        <f>W283/365+input!$K$2</f>
        <v>3.7698630136986302</v>
      </c>
      <c r="Y283" s="4">
        <f t="shared" si="125"/>
        <v>39.469004015014669</v>
      </c>
      <c r="Z283" s="10">
        <f t="shared" si="117"/>
        <v>103.98435971907008</v>
      </c>
      <c r="AA283" s="20">
        <f>input!D282</f>
        <v>0</v>
      </c>
      <c r="AB283" s="19">
        <f t="shared" si="126"/>
        <v>0.99866597068041085</v>
      </c>
      <c r="AC283" s="21">
        <f t="shared" si="127"/>
        <v>1956.3459956959921</v>
      </c>
      <c r="AD283" s="8">
        <f t="shared" si="128"/>
        <v>142029.68521197131</v>
      </c>
      <c r="AE283" s="8">
        <f t="shared" si="129"/>
        <v>3406.0338581178294</v>
      </c>
      <c r="AF283" s="8">
        <f t="shared" si="130"/>
        <v>13.755950771291657</v>
      </c>
      <c r="AG283" s="8">
        <f t="shared" si="131"/>
        <v>0</v>
      </c>
      <c r="AH283" s="8">
        <f t="shared" si="132"/>
        <v>38678.118271900195</v>
      </c>
      <c r="AI283" s="8">
        <f t="shared" si="133"/>
        <v>3317.5489011089103</v>
      </c>
      <c r="AJ283" s="8">
        <f t="shared" si="134"/>
        <v>13.728190674496767</v>
      </c>
      <c r="AK283" s="8">
        <f t="shared" si="135"/>
        <v>0</v>
      </c>
      <c r="AL283" s="8">
        <f t="shared" si="136"/>
        <v>22860.211182272171</v>
      </c>
      <c r="AM283" s="8">
        <f t="shared" si="137"/>
        <v>4742.1081622635456</v>
      </c>
      <c r="AN283" s="8">
        <f t="shared" si="138"/>
        <v>25.779835522522287</v>
      </c>
      <c r="AO283" s="8">
        <f t="shared" si="139"/>
        <v>0</v>
      </c>
      <c r="AQ283" s="22"/>
    </row>
    <row r="284" spans="1:43">
      <c r="A284" s="1">
        <v>42011</v>
      </c>
      <c r="B284" s="5">
        <v>282</v>
      </c>
      <c r="C284" s="3">
        <f>B284/365+input!$K$2</f>
        <v>0.77260273972602744</v>
      </c>
      <c r="D284" s="4">
        <f t="shared" si="114"/>
        <v>26.953396939737043</v>
      </c>
      <c r="E284" s="10">
        <f t="shared" si="118"/>
        <v>30.219397629941835</v>
      </c>
      <c r="F284" s="20">
        <f>input!A283</f>
        <v>4701.8900000000003</v>
      </c>
      <c r="G284" s="19">
        <f t="shared" si="119"/>
        <v>0.27563029358187269</v>
      </c>
      <c r="H284" s="21">
        <f t="shared" si="120"/>
        <v>594.81833351512694</v>
      </c>
      <c r="I284" s="5">
        <v>647</v>
      </c>
      <c r="J284" s="3">
        <f>I284/365+input!$K$2</f>
        <v>1.7726027397260273</v>
      </c>
      <c r="K284" s="4">
        <f t="shared" si="140"/>
        <v>34.543655117756906</v>
      </c>
      <c r="L284" s="10">
        <f t="shared" si="141"/>
        <v>67.516713879314906</v>
      </c>
      <c r="M284" s="20">
        <f>input!B283</f>
        <v>49.83</v>
      </c>
      <c r="N284" s="19">
        <f t="shared" si="121"/>
        <v>0.97425556079431497</v>
      </c>
      <c r="O284" s="21">
        <f t="shared" si="122"/>
        <v>1430.9085257416978</v>
      </c>
      <c r="P284" s="5">
        <v>1012</v>
      </c>
      <c r="Q284" s="3">
        <f>P284/365+input!$K$2</f>
        <v>2.7726027397260276</v>
      </c>
      <c r="R284" s="4">
        <f t="shared" si="115"/>
        <v>38.793428273439915</v>
      </c>
      <c r="S284" s="10">
        <f t="shared" si="116"/>
        <v>98.327383261501382</v>
      </c>
      <c r="T284" s="20">
        <f>input!C283</f>
        <v>0.13</v>
      </c>
      <c r="U284" s="19">
        <f t="shared" si="123"/>
        <v>0.99799242374506658</v>
      </c>
      <c r="V284" s="21">
        <f t="shared" si="124"/>
        <v>1878.85044940334</v>
      </c>
      <c r="W284" s="21">
        <v>1377</v>
      </c>
      <c r="X284" s="3">
        <f>W284/365+input!$K$2</f>
        <v>3.7726027397260276</v>
      </c>
      <c r="Y284" s="4">
        <f t="shared" si="125"/>
        <v>39.469004015014669</v>
      </c>
      <c r="Z284" s="10">
        <f t="shared" si="117"/>
        <v>103.98435971907008</v>
      </c>
      <c r="AA284" s="20">
        <f>input!D283</f>
        <v>0</v>
      </c>
      <c r="AB284" s="19">
        <f t="shared" si="126"/>
        <v>0.99866597068041085</v>
      </c>
      <c r="AC284" s="21">
        <f t="shared" si="127"/>
        <v>1956.3459956959921</v>
      </c>
      <c r="AD284" s="8">
        <f t="shared" si="128"/>
        <v>142088.28352224722</v>
      </c>
      <c r="AE284" s="8">
        <f t="shared" si="129"/>
        <v>3364.3578526062615</v>
      </c>
      <c r="AF284" s="8">
        <f t="shared" si="130"/>
        <v>12.782559823995181</v>
      </c>
      <c r="AG284" s="8">
        <f t="shared" si="131"/>
        <v>0</v>
      </c>
      <c r="AH284" s="8">
        <f t="shared" si="132"/>
        <v>39163.835301781364</v>
      </c>
      <c r="AI284" s="8">
        <f t="shared" si="133"/>
        <v>3277.7443464036705</v>
      </c>
      <c r="AJ284" s="8">
        <f t="shared" si="134"/>
        <v>12.756897860415261</v>
      </c>
      <c r="AK284" s="8">
        <f t="shared" si="135"/>
        <v>0</v>
      </c>
      <c r="AL284" s="8">
        <f t="shared" si="136"/>
        <v>23295.367248266488</v>
      </c>
      <c r="AM284" s="8">
        <f t="shared" si="137"/>
        <v>4690.1523304706607</v>
      </c>
      <c r="AN284" s="8">
        <f t="shared" si="138"/>
        <v>23.968303278033719</v>
      </c>
      <c r="AO284" s="8">
        <f t="shared" si="139"/>
        <v>0</v>
      </c>
      <c r="AQ284" s="22"/>
    </row>
    <row r="285" spans="1:43">
      <c r="A285" s="1">
        <v>42012</v>
      </c>
      <c r="B285" s="5">
        <v>283</v>
      </c>
      <c r="C285" s="3">
        <f>B285/365+input!$K$2</f>
        <v>0.77534246575342469</v>
      </c>
      <c r="D285" s="4">
        <f t="shared" si="114"/>
        <v>26.980780738011774</v>
      </c>
      <c r="E285" s="10">
        <f t="shared" si="118"/>
        <v>30.318985191003126</v>
      </c>
      <c r="F285" s="20">
        <f>input!A284</f>
        <v>4698.67</v>
      </c>
      <c r="G285" s="19">
        <f t="shared" si="119"/>
        <v>0.27895584426151021</v>
      </c>
      <c r="H285" s="21">
        <f t="shared" si="120"/>
        <v>598.59247475450957</v>
      </c>
      <c r="I285" s="5">
        <v>648</v>
      </c>
      <c r="J285" s="3">
        <f>I285/365+input!$K$2</f>
        <v>1.7753424657534247</v>
      </c>
      <c r="K285" s="4">
        <f t="shared" si="140"/>
        <v>34.558987261681281</v>
      </c>
      <c r="L285" s="10">
        <f t="shared" si="141"/>
        <v>67.613855821717664</v>
      </c>
      <c r="M285" s="20">
        <f>input!B284</f>
        <v>49.5</v>
      </c>
      <c r="N285" s="19">
        <f t="shared" si="121"/>
        <v>0.97448757749204651</v>
      </c>
      <c r="O285" s="21">
        <f t="shared" si="122"/>
        <v>1432.4141465372263</v>
      </c>
      <c r="P285" s="5">
        <v>1013</v>
      </c>
      <c r="Q285" s="3">
        <f>P285/365+input!$K$2</f>
        <v>2.7753424657534245</v>
      </c>
      <c r="R285" s="4">
        <f t="shared" si="115"/>
        <v>38.802012715779121</v>
      </c>
      <c r="S285" s="10">
        <f t="shared" si="116"/>
        <v>98.3978981869205</v>
      </c>
      <c r="T285" s="20">
        <f>input!C284</f>
        <v>0.13</v>
      </c>
      <c r="U285" s="19">
        <f t="shared" si="123"/>
        <v>0.99800281958018977</v>
      </c>
      <c r="V285" s="21">
        <f t="shared" si="124"/>
        <v>1879.8239504184273</v>
      </c>
      <c r="W285" s="21">
        <v>1378</v>
      </c>
      <c r="X285" s="3">
        <f>W285/365+input!$K$2</f>
        <v>3.7753424657534245</v>
      </c>
      <c r="Y285" s="4">
        <f t="shared" si="125"/>
        <v>39.469004015014669</v>
      </c>
      <c r="Z285" s="10">
        <f t="shared" si="117"/>
        <v>103.98435971907008</v>
      </c>
      <c r="AA285" s="20">
        <f>input!D284</f>
        <v>0</v>
      </c>
      <c r="AB285" s="19">
        <f t="shared" si="126"/>
        <v>0.99866597068041085</v>
      </c>
      <c r="AC285" s="21">
        <f t="shared" si="127"/>
        <v>1956.3459956959921</v>
      </c>
      <c r="AD285" s="8">
        <f t="shared" si="128"/>
        <v>142458.90614741066</v>
      </c>
      <c r="AE285" s="8">
        <f t="shared" si="129"/>
        <v>3346.8858631750245</v>
      </c>
      <c r="AF285" s="8">
        <f t="shared" si="130"/>
        <v>12.791726764299666</v>
      </c>
      <c r="AG285" s="8">
        <f t="shared" si="131"/>
        <v>0</v>
      </c>
      <c r="AH285" s="8">
        <f t="shared" si="132"/>
        <v>39739.744436922185</v>
      </c>
      <c r="AI285" s="8">
        <f t="shared" si="133"/>
        <v>3261.4986969478068</v>
      </c>
      <c r="AJ285" s="8">
        <f t="shared" si="134"/>
        <v>12.766179378070444</v>
      </c>
      <c r="AK285" s="8">
        <f t="shared" si="135"/>
        <v>0</v>
      </c>
      <c r="AL285" s="8">
        <f t="shared" si="136"/>
        <v>23787.911968609005</v>
      </c>
      <c r="AM285" s="8">
        <f t="shared" si="137"/>
        <v>4671.816872420768</v>
      </c>
      <c r="AN285" s="8">
        <f t="shared" si="138"/>
        <v>23.998169750234645</v>
      </c>
      <c r="AO285" s="8">
        <f t="shared" si="139"/>
        <v>0</v>
      </c>
      <c r="AQ285" s="22"/>
    </row>
    <row r="286" spans="1:43">
      <c r="A286" s="1">
        <v>42013</v>
      </c>
      <c r="B286" s="5">
        <v>284</v>
      </c>
      <c r="C286" s="3">
        <f>B286/365+input!$K$2</f>
        <v>0.77808219178082194</v>
      </c>
      <c r="D286" s="4">
        <f t="shared" si="114"/>
        <v>27.00812105686013</v>
      </c>
      <c r="E286" s="10">
        <f t="shared" si="118"/>
        <v>30.41864075512159</v>
      </c>
      <c r="F286" s="20">
        <f>input!A285</f>
        <v>4686.2700000000004</v>
      </c>
      <c r="G286" s="19">
        <f t="shared" si="119"/>
        <v>0.28230054291210877</v>
      </c>
      <c r="H286" s="21">
        <f t="shared" si="120"/>
        <v>602.35956422024776</v>
      </c>
      <c r="I286" s="5">
        <v>649</v>
      </c>
      <c r="J286" s="3">
        <f>I286/365+input!$K$2</f>
        <v>1.7780821917808218</v>
      </c>
      <c r="K286" s="4">
        <f t="shared" si="140"/>
        <v>34.574295061545854</v>
      </c>
      <c r="L286" s="10">
        <f t="shared" si="141"/>
        <v>67.710939879844901</v>
      </c>
      <c r="M286" s="20">
        <f>input!B285</f>
        <v>48.82</v>
      </c>
      <c r="N286" s="19">
        <f t="shared" si="121"/>
        <v>0.97471719389561062</v>
      </c>
      <c r="O286" s="21">
        <f t="shared" si="122"/>
        <v>1433.9180011132087</v>
      </c>
      <c r="P286" s="5">
        <v>1014</v>
      </c>
      <c r="Q286" s="3">
        <f>P286/365+input!$K$2</f>
        <v>2.7780821917808218</v>
      </c>
      <c r="R286" s="4">
        <f t="shared" si="115"/>
        <v>38.810583527919007</v>
      </c>
      <c r="S286" s="10">
        <f t="shared" si="116"/>
        <v>98.468336020805594</v>
      </c>
      <c r="T286" s="20">
        <f>input!C285</f>
        <v>0.13</v>
      </c>
      <c r="U286" s="19">
        <f t="shared" si="123"/>
        <v>0.99801314531116825</v>
      </c>
      <c r="V286" s="21">
        <f t="shared" si="124"/>
        <v>1880.796193227013</v>
      </c>
      <c r="W286" s="21">
        <v>1379</v>
      </c>
      <c r="X286" s="3">
        <f>W286/365+input!$K$2</f>
        <v>3.7780821917808218</v>
      </c>
      <c r="Y286" s="4">
        <f t="shared" si="125"/>
        <v>39.469004015014669</v>
      </c>
      <c r="Z286" s="10">
        <f t="shared" si="117"/>
        <v>103.98435971907008</v>
      </c>
      <c r="AA286" s="20">
        <f>input!D285</f>
        <v>0</v>
      </c>
      <c r="AB286" s="19">
        <f t="shared" si="126"/>
        <v>0.99866597068041085</v>
      </c>
      <c r="AC286" s="21">
        <f t="shared" si="127"/>
        <v>1956.3459956959921</v>
      </c>
      <c r="AD286" s="8">
        <f t="shared" si="128"/>
        <v>142549.96361150366</v>
      </c>
      <c r="AE286" s="8">
        <f t="shared" si="129"/>
        <v>3305.6480849340282</v>
      </c>
      <c r="AF286" s="8">
        <f t="shared" si="130"/>
        <v>12.800883682704727</v>
      </c>
      <c r="AG286" s="8">
        <f t="shared" si="131"/>
        <v>0</v>
      </c>
      <c r="AH286" s="8">
        <f t="shared" si="132"/>
        <v>40241.932119628829</v>
      </c>
      <c r="AI286" s="8">
        <f t="shared" si="133"/>
        <v>3222.072025353295</v>
      </c>
      <c r="AJ286" s="8">
        <f t="shared" si="134"/>
        <v>12.775450186938555</v>
      </c>
      <c r="AK286" s="8">
        <f t="shared" si="135"/>
        <v>0</v>
      </c>
      <c r="AL286" s="8">
        <f t="shared" si="136"/>
        <v>24240.112694960411</v>
      </c>
      <c r="AM286" s="8">
        <f t="shared" si="137"/>
        <v>4620.1870780373847</v>
      </c>
      <c r="AN286" s="8">
        <f t="shared" si="138"/>
        <v>24.028018078355366</v>
      </c>
      <c r="AO286" s="8">
        <f t="shared" si="139"/>
        <v>0</v>
      </c>
      <c r="AQ286" s="22"/>
    </row>
    <row r="287" spans="1:43">
      <c r="A287" s="1">
        <v>42014</v>
      </c>
      <c r="B287" s="5">
        <v>285</v>
      </c>
      <c r="C287" s="3">
        <f>B287/365+input!$K$2</f>
        <v>0.78082191780821919</v>
      </c>
      <c r="D287" s="4">
        <f t="shared" si="114"/>
        <v>27.035417965317851</v>
      </c>
      <c r="E287" s="10">
        <f t="shared" si="118"/>
        <v>30.518363780082968</v>
      </c>
      <c r="F287" s="20">
        <f>input!A286</f>
        <v>4679.99</v>
      </c>
      <c r="G287" s="19">
        <f t="shared" si="119"/>
        <v>0.28566408812715416</v>
      </c>
      <c r="H287" s="21">
        <f t="shared" si="120"/>
        <v>606.11943062773173</v>
      </c>
      <c r="I287" s="5">
        <v>650</v>
      </c>
      <c r="J287" s="3">
        <f>I287/365+input!$K$2</f>
        <v>1.7808219178082192</v>
      </c>
      <c r="K287" s="4">
        <f t="shared" si="140"/>
        <v>34.589578556003623</v>
      </c>
      <c r="L287" s="10">
        <f t="shared" si="141"/>
        <v>67.807965892622349</v>
      </c>
      <c r="M287" s="20">
        <f>input!B286</f>
        <v>48.43</v>
      </c>
      <c r="N287" s="19">
        <f t="shared" si="121"/>
        <v>0.9749444370483793</v>
      </c>
      <c r="O287" s="21">
        <f t="shared" si="122"/>
        <v>1435.4200938518941</v>
      </c>
      <c r="P287" s="5">
        <v>1015</v>
      </c>
      <c r="Q287" s="3">
        <f>P287/365+input!$K$2</f>
        <v>2.7808219178082192</v>
      </c>
      <c r="R287" s="4">
        <f t="shared" si="115"/>
        <v>38.819140731501314</v>
      </c>
      <c r="S287" s="10">
        <f t="shared" si="116"/>
        <v>98.538696784436056</v>
      </c>
      <c r="T287" s="20">
        <f>input!C286</f>
        <v>0.13</v>
      </c>
      <c r="U287" s="19">
        <f t="shared" si="123"/>
        <v>0.99802340149395796</v>
      </c>
      <c r="V287" s="21">
        <f t="shared" si="124"/>
        <v>1881.7671789440346</v>
      </c>
      <c r="W287" s="21">
        <v>1380</v>
      </c>
      <c r="X287" s="3">
        <f>W287/365+input!$K$2</f>
        <v>3.7808219178082192</v>
      </c>
      <c r="Y287" s="4">
        <f t="shared" si="125"/>
        <v>39.469004015014669</v>
      </c>
      <c r="Z287" s="10">
        <f t="shared" si="117"/>
        <v>103.98435971907008</v>
      </c>
      <c r="AA287" s="20">
        <f>input!D286</f>
        <v>0</v>
      </c>
      <c r="AB287" s="19">
        <f t="shared" si="126"/>
        <v>0.99866597068041085</v>
      </c>
      <c r="AC287" s="21">
        <f t="shared" si="127"/>
        <v>1956.3459956959921</v>
      </c>
      <c r="AD287" s="8">
        <f t="shared" si="128"/>
        <v>142825.63730715049</v>
      </c>
      <c r="AE287" s="8">
        <f t="shared" si="129"/>
        <v>3283.9397881797004</v>
      </c>
      <c r="AF287" s="8">
        <f t="shared" si="130"/>
        <v>12.810030581976688</v>
      </c>
      <c r="AG287" s="8">
        <f t="shared" si="131"/>
        <v>0</v>
      </c>
      <c r="AH287" s="8">
        <f t="shared" si="132"/>
        <v>40800.155442526797</v>
      </c>
      <c r="AI287" s="8">
        <f t="shared" si="133"/>
        <v>3201.6588280876317</v>
      </c>
      <c r="AJ287" s="8">
        <f t="shared" si="134"/>
        <v>12.784710294666001</v>
      </c>
      <c r="AK287" s="8">
        <f t="shared" si="135"/>
        <v>0</v>
      </c>
      <c r="AL287" s="8">
        <f t="shared" si="136"/>
        <v>24729.766986347291</v>
      </c>
      <c r="AM287" s="8">
        <f t="shared" si="137"/>
        <v>4595.7254154952934</v>
      </c>
      <c r="AN287" s="8">
        <f t="shared" si="138"/>
        <v>24.057848224810396</v>
      </c>
      <c r="AO287" s="8">
        <f t="shared" si="139"/>
        <v>0</v>
      </c>
      <c r="AQ287" s="22"/>
    </row>
    <row r="288" spans="1:43">
      <c r="A288" s="1">
        <v>42015</v>
      </c>
      <c r="B288" s="5">
        <v>286</v>
      </c>
      <c r="C288" s="3">
        <f>B288/365+input!$K$2</f>
        <v>0.78356164383561644</v>
      </c>
      <c r="D288" s="4">
        <f t="shared" si="114"/>
        <v>27.062671532311036</v>
      </c>
      <c r="E288" s="10">
        <f t="shared" si="118"/>
        <v>30.618153724632769</v>
      </c>
      <c r="F288" s="20">
        <f>input!A287</f>
        <v>4667.5</v>
      </c>
      <c r="G288" s="19">
        <f t="shared" si="119"/>
        <v>0.28904617132102706</v>
      </c>
      <c r="H288" s="21">
        <f t="shared" si="120"/>
        <v>609.87190615558768</v>
      </c>
      <c r="I288" s="5">
        <v>651</v>
      </c>
      <c r="J288" s="3">
        <f>I288/365+input!$K$2</f>
        <v>1.7835616438356163</v>
      </c>
      <c r="K288" s="4">
        <f t="shared" si="140"/>
        <v>34.604837783646182</v>
      </c>
      <c r="L288" s="10">
        <f t="shared" si="141"/>
        <v>67.904933699789112</v>
      </c>
      <c r="M288" s="20">
        <f>input!B287</f>
        <v>47.76</v>
      </c>
      <c r="N288" s="19">
        <f t="shared" si="121"/>
        <v>0.97516933367618108</v>
      </c>
      <c r="O288" s="21">
        <f t="shared" si="122"/>
        <v>1436.9204290689538</v>
      </c>
      <c r="P288" s="5">
        <v>1016</v>
      </c>
      <c r="Q288" s="3">
        <f>P288/365+input!$K$2</f>
        <v>2.7835616438356166</v>
      </c>
      <c r="R288" s="4">
        <f t="shared" si="115"/>
        <v>38.827684348133438</v>
      </c>
      <c r="S288" s="10">
        <f t="shared" si="116"/>
        <v>98.608980499333796</v>
      </c>
      <c r="T288" s="20">
        <f>input!C287</f>
        <v>0.13</v>
      </c>
      <c r="U288" s="19">
        <f t="shared" si="123"/>
        <v>0.99803358867952419</v>
      </c>
      <c r="V288" s="21">
        <f t="shared" si="124"/>
        <v>1882.7369086852307</v>
      </c>
      <c r="W288" s="21">
        <v>1381</v>
      </c>
      <c r="X288" s="3">
        <f>W288/365+input!$K$2</f>
        <v>3.7835616438356166</v>
      </c>
      <c r="Y288" s="4">
        <f t="shared" si="125"/>
        <v>39.469004015014669</v>
      </c>
      <c r="Z288" s="10">
        <f t="shared" si="117"/>
        <v>103.98435971907008</v>
      </c>
      <c r="AA288" s="20">
        <f>input!D287</f>
        <v>0</v>
      </c>
      <c r="AB288" s="19">
        <f t="shared" si="126"/>
        <v>0.99866597068041085</v>
      </c>
      <c r="AC288" s="21">
        <f t="shared" si="127"/>
        <v>1956.3459956959921</v>
      </c>
      <c r="AD288" s="8">
        <f t="shared" si="128"/>
        <v>142910.23250972346</v>
      </c>
      <c r="AE288" s="8">
        <f t="shared" si="129"/>
        <v>3243.1396335019276</v>
      </c>
      <c r="AF288" s="8">
        <f t="shared" si="130"/>
        <v>12.819167464913393</v>
      </c>
      <c r="AG288" s="8">
        <f t="shared" si="131"/>
        <v>0</v>
      </c>
      <c r="AH288" s="8">
        <f t="shared" si="132"/>
        <v>41307.655549533338</v>
      </c>
      <c r="AI288" s="8">
        <f t="shared" si="133"/>
        <v>3162.610315420889</v>
      </c>
      <c r="AJ288" s="8">
        <f t="shared" si="134"/>
        <v>12.793959708891313</v>
      </c>
      <c r="AK288" s="8">
        <f t="shared" si="135"/>
        <v>0</v>
      </c>
      <c r="AL288" s="8">
        <f t="shared" si="136"/>
        <v>25192.378628812334</v>
      </c>
      <c r="AM288" s="8">
        <f t="shared" si="137"/>
        <v>4544.4193714124831</v>
      </c>
      <c r="AN288" s="8">
        <f t="shared" si="138"/>
        <v>24.087660152161426</v>
      </c>
      <c r="AO288" s="8">
        <f t="shared" si="139"/>
        <v>0</v>
      </c>
      <c r="AQ288" s="22"/>
    </row>
    <row r="289" spans="1:43">
      <c r="A289" s="1">
        <v>42016</v>
      </c>
      <c r="B289" s="5">
        <v>287</v>
      </c>
      <c r="C289" s="3">
        <f>B289/365+input!$K$2</f>
        <v>0.78630136986301369</v>
      </c>
      <c r="D289" s="4">
        <f t="shared" si="114"/>
        <v>27.089881826656377</v>
      </c>
      <c r="E289" s="10">
        <f t="shared" si="118"/>
        <v>30.71801004848059</v>
      </c>
      <c r="F289" s="20">
        <f>input!A288</f>
        <v>4664.3</v>
      </c>
      <c r="G289" s="19">
        <f t="shared" si="119"/>
        <v>0.29244647683039976</v>
      </c>
      <c r="H289" s="21">
        <f t="shared" si="120"/>
        <v>613.61682644614439</v>
      </c>
      <c r="I289" s="5">
        <v>652</v>
      </c>
      <c r="J289" s="3">
        <f>I289/365+input!$K$2</f>
        <v>1.7863013698630137</v>
      </c>
      <c r="K289" s="4">
        <f t="shared" si="140"/>
        <v>34.620072783003906</v>
      </c>
      <c r="L289" s="10">
        <f t="shared" si="141"/>
        <v>68.001843141895776</v>
      </c>
      <c r="M289" s="20">
        <f>input!B288</f>
        <v>47.44</v>
      </c>
      <c r="N289" s="19">
        <f t="shared" si="121"/>
        <v>0.97539191019095883</v>
      </c>
      <c r="O289" s="21">
        <f t="shared" si="122"/>
        <v>1438.4190110145853</v>
      </c>
      <c r="P289" s="5">
        <v>1017</v>
      </c>
      <c r="Q289" s="3">
        <f>P289/365+input!$K$2</f>
        <v>2.7863013698630139</v>
      </c>
      <c r="R289" s="4">
        <f t="shared" si="115"/>
        <v>38.836214399388453</v>
      </c>
      <c r="S289" s="10">
        <f t="shared" si="116"/>
        <v>98.679187187261988</v>
      </c>
      <c r="T289" s="20">
        <f>input!C288</f>
        <v>0.13</v>
      </c>
      <c r="U289" s="19">
        <f t="shared" si="123"/>
        <v>0.9980437074138897</v>
      </c>
      <c r="V289" s="21">
        <f t="shared" si="124"/>
        <v>1883.7053835671347</v>
      </c>
      <c r="W289" s="21">
        <v>1382</v>
      </c>
      <c r="X289" s="3">
        <f>W289/365+input!$K$2</f>
        <v>3.7863013698630139</v>
      </c>
      <c r="Y289" s="4">
        <f t="shared" si="125"/>
        <v>39.469004015014669</v>
      </c>
      <c r="Z289" s="10">
        <f t="shared" si="117"/>
        <v>103.98435971907008</v>
      </c>
      <c r="AA289" s="20">
        <f>input!D288</f>
        <v>0</v>
      </c>
      <c r="AB289" s="19">
        <f t="shared" si="126"/>
        <v>0.99866597068041085</v>
      </c>
      <c r="AC289" s="21">
        <f t="shared" si="127"/>
        <v>1956.3459956959921</v>
      </c>
      <c r="AD289" s="8">
        <f t="shared" si="128"/>
        <v>143278.01426912803</v>
      </c>
      <c r="AE289" s="8">
        <f t="shared" si="129"/>
        <v>3226.0074386515353</v>
      </c>
      <c r="AF289" s="8">
        <f t="shared" si="130"/>
        <v>12.82829433434406</v>
      </c>
      <c r="AG289" s="8">
        <f t="shared" si="131"/>
        <v>0</v>
      </c>
      <c r="AH289" s="8">
        <f t="shared" si="132"/>
        <v>41901.150480262237</v>
      </c>
      <c r="AI289" s="8">
        <f t="shared" si="133"/>
        <v>3146.6215578765632</v>
      </c>
      <c r="AJ289" s="8">
        <f t="shared" si="134"/>
        <v>12.803198437245342</v>
      </c>
      <c r="AK289" s="8">
        <f t="shared" si="135"/>
        <v>0</v>
      </c>
      <c r="AL289" s="8">
        <f t="shared" si="136"/>
        <v>25711.250982140853</v>
      </c>
      <c r="AM289" s="8">
        <f t="shared" si="137"/>
        <v>4526.1602693179802</v>
      </c>
      <c r="AN289" s="8">
        <f t="shared" si="138"/>
        <v>24.117453823117376</v>
      </c>
      <c r="AO289" s="8">
        <f t="shared" si="139"/>
        <v>0</v>
      </c>
      <c r="AQ289" s="22"/>
    </row>
    <row r="290" spans="1:43">
      <c r="A290" s="1">
        <v>42017</v>
      </c>
      <c r="B290" s="5">
        <v>288</v>
      </c>
      <c r="C290" s="3">
        <f>B290/365+input!$K$2</f>
        <v>0.78904109589041094</v>
      </c>
      <c r="D290" s="4">
        <f t="shared" si="114"/>
        <v>27.117048917061286</v>
      </c>
      <c r="E290" s="10">
        <f t="shared" si="118"/>
        <v>30.817932212303536</v>
      </c>
      <c r="F290" s="20">
        <f>input!A289</f>
        <v>4649.66</v>
      </c>
      <c r="G290" s="19">
        <f t="shared" si="119"/>
        <v>0.29586468202156874</v>
      </c>
      <c r="H290" s="21">
        <f t="shared" si="120"/>
        <v>617.35403060450631</v>
      </c>
      <c r="I290" s="5">
        <v>653</v>
      </c>
      <c r="J290" s="3">
        <f>I290/365+input!$K$2</f>
        <v>1.789041095890411</v>
      </c>
      <c r="K290" s="4">
        <f t="shared" si="140"/>
        <v>34.635283592545946</v>
      </c>
      <c r="L290" s="10">
        <f t="shared" si="141"/>
        <v>68.098694060301597</v>
      </c>
      <c r="M290" s="20">
        <f>input!B289</f>
        <v>46.77</v>
      </c>
      <c r="N290" s="19">
        <f t="shared" si="121"/>
        <v>0.9756121926943877</v>
      </c>
      <c r="O290" s="21">
        <f t="shared" si="122"/>
        <v>1439.9158438745665</v>
      </c>
      <c r="P290" s="5">
        <v>1018</v>
      </c>
      <c r="Q290" s="3">
        <f>P290/365+input!$K$2</f>
        <v>2.7890410958904108</v>
      </c>
      <c r="R290" s="4">
        <f t="shared" si="115"/>
        <v>38.844730906805175</v>
      </c>
      <c r="S290" s="10">
        <f t="shared" si="116"/>
        <v>98.74931687022405</v>
      </c>
      <c r="T290" s="20">
        <f>input!C289</f>
        <v>0.13</v>
      </c>
      <c r="U290" s="19">
        <f t="shared" si="123"/>
        <v>0.99805375823818465</v>
      </c>
      <c r="V290" s="21">
        <f t="shared" si="124"/>
        <v>1884.6726047070713</v>
      </c>
      <c r="W290" s="21">
        <v>1383</v>
      </c>
      <c r="X290" s="3">
        <f>W290/365+input!$K$2</f>
        <v>3.7890410958904108</v>
      </c>
      <c r="Y290" s="4">
        <f t="shared" si="125"/>
        <v>39.469004015014669</v>
      </c>
      <c r="Z290" s="10">
        <f t="shared" si="117"/>
        <v>103.98435971907008</v>
      </c>
      <c r="AA290" s="20">
        <f>input!D289</f>
        <v>0</v>
      </c>
      <c r="AB290" s="19">
        <f t="shared" si="126"/>
        <v>0.99866597068041085</v>
      </c>
      <c r="AC290" s="21">
        <f t="shared" si="127"/>
        <v>1956.3459956959921</v>
      </c>
      <c r="AD290" s="8">
        <f t="shared" si="128"/>
        <v>143292.90669025926</v>
      </c>
      <c r="AE290" s="8">
        <f t="shared" si="129"/>
        <v>3184.9759212003059</v>
      </c>
      <c r="AF290" s="8">
        <f t="shared" si="130"/>
        <v>12.837411193129126</v>
      </c>
      <c r="AG290" s="8">
        <f t="shared" si="131"/>
        <v>0</v>
      </c>
      <c r="AH290" s="8">
        <f t="shared" si="132"/>
        <v>42395.310273859875</v>
      </c>
      <c r="AI290" s="8">
        <f t="shared" si="133"/>
        <v>3107.3013421610581</v>
      </c>
      <c r="AJ290" s="8">
        <f t="shared" si="134"/>
        <v>12.812426487351463</v>
      </c>
      <c r="AK290" s="8">
        <f t="shared" si="135"/>
        <v>0</v>
      </c>
      <c r="AL290" s="8">
        <f t="shared" si="136"/>
        <v>26172.91567629603</v>
      </c>
      <c r="AM290" s="8">
        <f t="shared" si="137"/>
        <v>4474.2524342704128</v>
      </c>
      <c r="AN290" s="8">
        <f t="shared" si="138"/>
        <v>24.14722920053455</v>
      </c>
      <c r="AO290" s="8">
        <f t="shared" si="139"/>
        <v>0</v>
      </c>
      <c r="AQ290" s="22"/>
    </row>
    <row r="291" spans="1:43">
      <c r="A291" s="1">
        <v>42018</v>
      </c>
      <c r="B291" s="5">
        <v>289</v>
      </c>
      <c r="C291" s="3">
        <f>B291/365+input!$K$2</f>
        <v>0.79178082191780819</v>
      </c>
      <c r="D291" s="4">
        <f t="shared" si="114"/>
        <v>27.144172872124074</v>
      </c>
      <c r="E291" s="10">
        <f t="shared" si="118"/>
        <v>30.917919677749826</v>
      </c>
      <c r="F291" s="20">
        <f>input!A290</f>
        <v>4646.4799999999996</v>
      </c>
      <c r="G291" s="19">
        <f t="shared" si="119"/>
        <v>0.29930045740369909</v>
      </c>
      <c r="H291" s="21">
        <f t="shared" si="120"/>
        <v>621.08336119628188</v>
      </c>
      <c r="I291" s="5">
        <v>654</v>
      </c>
      <c r="J291" s="3">
        <f>I291/365+input!$K$2</f>
        <v>1.7917808219178082</v>
      </c>
      <c r="K291" s="4">
        <f t="shared" si="140"/>
        <v>34.650470250680392</v>
      </c>
      <c r="L291" s="10">
        <f t="shared" si="141"/>
        <v>68.195486297173659</v>
      </c>
      <c r="M291" s="20">
        <f>input!B290</f>
        <v>46.45</v>
      </c>
      <c r="N291" s="19">
        <f t="shared" si="121"/>
        <v>0.97583020698145972</v>
      </c>
      <c r="O291" s="21">
        <f t="shared" si="122"/>
        <v>1441.4109317713203</v>
      </c>
      <c r="P291" s="5">
        <v>1019</v>
      </c>
      <c r="Q291" s="3">
        <f>P291/365+input!$K$2</f>
        <v>2.7917808219178082</v>
      </c>
      <c r="R291" s="4">
        <f t="shared" si="115"/>
        <v>38.853233891888245</v>
      </c>
      <c r="S291" s="10">
        <f t="shared" si="116"/>
        <v>98.819369570462456</v>
      </c>
      <c r="T291" s="20">
        <f>input!C290</f>
        <v>0.13</v>
      </c>
      <c r="U291" s="19">
        <f t="shared" si="123"/>
        <v>0.99806374168869438</v>
      </c>
      <c r="V291" s="21">
        <f t="shared" si="124"/>
        <v>1885.6385732231402</v>
      </c>
      <c r="W291" s="21">
        <v>1384</v>
      </c>
      <c r="X291" s="3">
        <f>W291/365+input!$K$2</f>
        <v>3.7917808219178082</v>
      </c>
      <c r="Y291" s="4">
        <f t="shared" si="125"/>
        <v>39.469004015014669</v>
      </c>
      <c r="Z291" s="10">
        <f t="shared" si="117"/>
        <v>103.98435971907008</v>
      </c>
      <c r="AA291" s="20">
        <f>input!D290</f>
        <v>0</v>
      </c>
      <c r="AB291" s="19">
        <f t="shared" si="126"/>
        <v>0.99866597068041085</v>
      </c>
      <c r="AC291" s="21">
        <f t="shared" si="127"/>
        <v>1956.3459956959921</v>
      </c>
      <c r="AD291" s="8">
        <f t="shared" si="128"/>
        <v>143659.49542427101</v>
      </c>
      <c r="AE291" s="8">
        <f t="shared" si="129"/>
        <v>3167.6803385037165</v>
      </c>
      <c r="AF291" s="8">
        <f t="shared" si="130"/>
        <v>12.846518044160121</v>
      </c>
      <c r="AG291" s="8">
        <f t="shared" si="131"/>
        <v>0</v>
      </c>
      <c r="AH291" s="8">
        <f t="shared" si="132"/>
        <v>42997.352690868931</v>
      </c>
      <c r="AI291" s="8">
        <f t="shared" si="133"/>
        <v>3091.118160373182</v>
      </c>
      <c r="AJ291" s="8">
        <f t="shared" si="134"/>
        <v>12.821643866825777</v>
      </c>
      <c r="AK291" s="8">
        <f t="shared" si="135"/>
        <v>0</v>
      </c>
      <c r="AL291" s="8">
        <f t="shared" si="136"/>
        <v>26704.940331786871</v>
      </c>
      <c r="AM291" s="8">
        <f t="shared" si="137"/>
        <v>4455.5715077587583</v>
      </c>
      <c r="AN291" s="8">
        <f t="shared" si="138"/>
        <v>24.176986247416586</v>
      </c>
      <c r="AO291" s="8">
        <f t="shared" si="139"/>
        <v>0</v>
      </c>
      <c r="AQ291" s="22"/>
    </row>
    <row r="292" spans="1:43">
      <c r="A292" s="1">
        <v>42019</v>
      </c>
      <c r="B292" s="5">
        <v>290</v>
      </c>
      <c r="C292" s="3">
        <f>B292/365+input!$K$2</f>
        <v>0.79452054794520544</v>
      </c>
      <c r="D292" s="4">
        <f t="shared" si="114"/>
        <v>27.171253760334142</v>
      </c>
      <c r="E292" s="10">
        <f t="shared" si="118"/>
        <v>31.017971907442568</v>
      </c>
      <c r="F292" s="20">
        <f>input!A291</f>
        <v>4630.8999999999996</v>
      </c>
      <c r="G292" s="19">
        <f t="shared" si="119"/>
        <v>0.30275346674789877</v>
      </c>
      <c r="H292" s="21">
        <f t="shared" si="120"/>
        <v>624.80466424399333</v>
      </c>
      <c r="I292" s="5">
        <v>655</v>
      </c>
      <c r="J292" s="3">
        <f>I292/365+input!$K$2</f>
        <v>1.7945205479452055</v>
      </c>
      <c r="K292" s="4">
        <f t="shared" si="140"/>
        <v>34.665632795754355</v>
      </c>
      <c r="L292" s="10">
        <f t="shared" si="141"/>
        <v>68.292219695484349</v>
      </c>
      <c r="M292" s="20">
        <f>input!B291</f>
        <v>45.72</v>
      </c>
      <c r="N292" s="19">
        <f t="shared" si="121"/>
        <v>0.97604597854403319</v>
      </c>
      <c r="O292" s="21">
        <f t="shared" si="122"/>
        <v>1442.9042787649621</v>
      </c>
      <c r="P292" s="5">
        <v>1020</v>
      </c>
      <c r="Q292" s="3">
        <f>P292/365+input!$K$2</f>
        <v>2.7945205479452055</v>
      </c>
      <c r="R292" s="4">
        <f t="shared" si="115"/>
        <v>38.861723376108124</v>
      </c>
      <c r="S292" s="10">
        <f t="shared" si="116"/>
        <v>98.889345310457486</v>
      </c>
      <c r="T292" s="20">
        <f>input!C291</f>
        <v>0.12</v>
      </c>
      <c r="U292" s="19">
        <f t="shared" si="123"/>
        <v>0.99807365829690808</v>
      </c>
      <c r="V292" s="21">
        <f t="shared" si="124"/>
        <v>1886.6032902342158</v>
      </c>
      <c r="W292" s="21">
        <v>1385</v>
      </c>
      <c r="X292" s="3">
        <f>W292/365+input!$K$2</f>
        <v>3.7945205479452055</v>
      </c>
      <c r="Y292" s="4">
        <f t="shared" si="125"/>
        <v>39.469004015014669</v>
      </c>
      <c r="Z292" s="10">
        <f t="shared" si="117"/>
        <v>103.98435971907008</v>
      </c>
      <c r="AA292" s="20">
        <f>input!D291</f>
        <v>0</v>
      </c>
      <c r="AB292" s="19">
        <f t="shared" si="126"/>
        <v>0.99866597068041085</v>
      </c>
      <c r="AC292" s="21">
        <f t="shared" si="127"/>
        <v>1956.3459956959921</v>
      </c>
      <c r="AD292" s="8">
        <f t="shared" si="128"/>
        <v>143641.12610617577</v>
      </c>
      <c r="AE292" s="8">
        <f t="shared" si="129"/>
        <v>3122.3202844775442</v>
      </c>
      <c r="AF292" s="8">
        <f t="shared" si="130"/>
        <v>11.866721437254897</v>
      </c>
      <c r="AG292" s="8">
        <f t="shared" si="131"/>
        <v>0</v>
      </c>
      <c r="AH292" s="8">
        <f t="shared" si="132"/>
        <v>43487.848896216819</v>
      </c>
      <c r="AI292" s="8">
        <f t="shared" si="133"/>
        <v>3047.5281573907687</v>
      </c>
      <c r="AJ292" s="8">
        <f t="shared" si="134"/>
        <v>11.843862076871339</v>
      </c>
      <c r="AK292" s="8">
        <f t="shared" si="135"/>
        <v>0</v>
      </c>
      <c r="AL292" s="8">
        <f t="shared" si="136"/>
        <v>27171.410828294265</v>
      </c>
      <c r="AM292" s="8">
        <f t="shared" si="137"/>
        <v>4397.2914179558411</v>
      </c>
      <c r="AN292" s="8">
        <f t="shared" si="138"/>
        <v>22.344669163305721</v>
      </c>
      <c r="AO292" s="8">
        <f t="shared" si="139"/>
        <v>0</v>
      </c>
      <c r="AQ292" s="22"/>
    </row>
    <row r="293" spans="1:43">
      <c r="A293" s="1">
        <v>42020</v>
      </c>
      <c r="B293" s="5">
        <v>291</v>
      </c>
      <c r="C293" s="3">
        <f>B293/365+input!$K$2</f>
        <v>0.79726027397260268</v>
      </c>
      <c r="D293" s="4">
        <f t="shared" si="114"/>
        <v>27.19829165007215</v>
      </c>
      <c r="E293" s="10">
        <f t="shared" si="118"/>
        <v>31.118088364983279</v>
      </c>
      <c r="F293" s="20">
        <f>input!A292</f>
        <v>4625.95</v>
      </c>
      <c r="G293" s="19">
        <f t="shared" si="119"/>
        <v>0.30622336721204513</v>
      </c>
      <c r="H293" s="21">
        <f t="shared" si="120"/>
        <v>628.51778922217602</v>
      </c>
      <c r="I293" s="5">
        <v>656</v>
      </c>
      <c r="J293" s="3">
        <f>I293/365+input!$K$2</f>
        <v>1.7972602739726027</v>
      </c>
      <c r="K293" s="4">
        <f t="shared" si="140"/>
        <v>34.680771266054045</v>
      </c>
      <c r="L293" s="10">
        <f t="shared" si="141"/>
        <v>68.388894099009306</v>
      </c>
      <c r="M293" s="20">
        <f>input!B292</f>
        <v>45.39</v>
      </c>
      <c r="N293" s="19">
        <f t="shared" si="121"/>
        <v>0.97625953257434328</v>
      </c>
      <c r="O293" s="21">
        <f t="shared" si="122"/>
        <v>1444.3958888543198</v>
      </c>
      <c r="P293" s="5">
        <v>1021</v>
      </c>
      <c r="Q293" s="3">
        <f>P293/365+input!$K$2</f>
        <v>2.7972602739726029</v>
      </c>
      <c r="R293" s="4">
        <f t="shared" si="115"/>
        <v>38.870199380901219</v>
      </c>
      <c r="S293" s="10">
        <f t="shared" si="116"/>
        <v>98.959244112927522</v>
      </c>
      <c r="T293" s="20">
        <f>input!C292</f>
        <v>0.12</v>
      </c>
      <c r="U293" s="19">
        <f t="shared" si="123"/>
        <v>0.99808350858956585</v>
      </c>
      <c r="V293" s="21">
        <f t="shared" si="124"/>
        <v>1887.5667568599483</v>
      </c>
      <c r="W293" s="21">
        <v>1386</v>
      </c>
      <c r="X293" s="3">
        <f>W293/365+input!$K$2</f>
        <v>3.7972602739726029</v>
      </c>
      <c r="Y293" s="4">
        <f t="shared" si="125"/>
        <v>39.469004015014669</v>
      </c>
      <c r="Z293" s="10">
        <f t="shared" si="117"/>
        <v>103.98435971907008</v>
      </c>
      <c r="AA293" s="20">
        <f>input!D292</f>
        <v>0</v>
      </c>
      <c r="AB293" s="19">
        <f t="shared" si="126"/>
        <v>0.99866597068041085</v>
      </c>
      <c r="AC293" s="21">
        <f t="shared" si="127"/>
        <v>1956.3459956959921</v>
      </c>
      <c r="AD293" s="8">
        <f t="shared" si="128"/>
        <v>143950.72087199439</v>
      </c>
      <c r="AE293" s="8">
        <f t="shared" si="129"/>
        <v>3104.1719031540324</v>
      </c>
      <c r="AF293" s="8">
        <f t="shared" si="130"/>
        <v>11.875109293551303</v>
      </c>
      <c r="AG293" s="8">
        <f t="shared" si="131"/>
        <v>0</v>
      </c>
      <c r="AH293" s="8">
        <f t="shared" si="132"/>
        <v>44081.074458023344</v>
      </c>
      <c r="AI293" s="8">
        <f t="shared" si="133"/>
        <v>3030.4774112035652</v>
      </c>
      <c r="AJ293" s="8">
        <f t="shared" si="134"/>
        <v>11.852350748592245</v>
      </c>
      <c r="AK293" s="8">
        <f t="shared" si="135"/>
        <v>0</v>
      </c>
      <c r="AL293" s="8">
        <f t="shared" si="136"/>
        <v>27705.739464894963</v>
      </c>
      <c r="AM293" s="8">
        <f t="shared" si="137"/>
        <v>4377.2091140083112</v>
      </c>
      <c r="AN293" s="8">
        <f t="shared" si="138"/>
        <v>22.372103263686846</v>
      </c>
      <c r="AO293" s="8">
        <f t="shared" si="139"/>
        <v>0</v>
      </c>
      <c r="AQ293" s="22"/>
    </row>
    <row r="294" spans="1:43">
      <c r="A294" s="1">
        <v>42021</v>
      </c>
      <c r="B294" s="5">
        <v>292</v>
      </c>
      <c r="C294" s="3">
        <f>B294/365+input!$K$2</f>
        <v>0.8</v>
      </c>
      <c r="D294" s="4">
        <f t="shared" si="114"/>
        <v>27.225286609610176</v>
      </c>
      <c r="E294" s="10">
        <f t="shared" si="118"/>
        <v>31.21826851495528</v>
      </c>
      <c r="F294" s="20">
        <f>input!A293</f>
        <v>4612.6000000000004</v>
      </c>
      <c r="G294" s="19">
        <f t="shared" si="119"/>
        <v>0.3097098094712778</v>
      </c>
      <c r="H294" s="21">
        <f t="shared" si="120"/>
        <v>632.22258905120839</v>
      </c>
      <c r="I294" s="5">
        <v>657</v>
      </c>
      <c r="J294" s="3">
        <f>I294/365+input!$K$2</f>
        <v>1.8</v>
      </c>
      <c r="K294" s="4">
        <f t="shared" si="140"/>
        <v>34.695885699804883</v>
      </c>
      <c r="L294" s="10">
        <f t="shared" si="141"/>
        <v>68.485509352326062</v>
      </c>
      <c r="M294" s="20">
        <f>input!B293</f>
        <v>44.76</v>
      </c>
      <c r="N294" s="19">
        <f t="shared" si="121"/>
        <v>0.97647089396848208</v>
      </c>
      <c r="O294" s="21">
        <f t="shared" si="122"/>
        <v>1445.8857659779492</v>
      </c>
      <c r="P294" s="5">
        <v>1022</v>
      </c>
      <c r="Q294" s="3">
        <f>P294/365+input!$K$2</f>
        <v>2.8</v>
      </c>
      <c r="R294" s="4">
        <f t="shared" si="115"/>
        <v>38.878661927669874</v>
      </c>
      <c r="S294" s="10">
        <f t="shared" si="116"/>
        <v>99.029066000825736</v>
      </c>
      <c r="T294" s="20">
        <f>input!C293</f>
        <v>0.12</v>
      </c>
      <c r="U294" s="19">
        <f t="shared" si="123"/>
        <v>0.9980932930887052</v>
      </c>
      <c r="V294" s="21">
        <f t="shared" si="124"/>
        <v>1888.5289742207365</v>
      </c>
      <c r="W294" s="21">
        <v>1387</v>
      </c>
      <c r="X294" s="3">
        <f>W294/365+input!$K$2</f>
        <v>3.8</v>
      </c>
      <c r="Y294" s="4">
        <f t="shared" si="125"/>
        <v>39.469004015014669</v>
      </c>
      <c r="Z294" s="10">
        <f t="shared" si="117"/>
        <v>103.98435971907008</v>
      </c>
      <c r="AA294" s="20">
        <f>input!D293</f>
        <v>0</v>
      </c>
      <c r="AB294" s="19">
        <f t="shared" si="126"/>
        <v>0.99866597068041085</v>
      </c>
      <c r="AC294" s="21">
        <f t="shared" si="127"/>
        <v>1956.3459956959921</v>
      </c>
      <c r="AD294" s="8">
        <f t="shared" si="128"/>
        <v>143997.38535208273</v>
      </c>
      <c r="AE294" s="8">
        <f t="shared" si="129"/>
        <v>3065.4113986101142</v>
      </c>
      <c r="AF294" s="8">
        <f t="shared" si="130"/>
        <v>11.883487920099087</v>
      </c>
      <c r="AG294" s="8">
        <f t="shared" si="131"/>
        <v>0</v>
      </c>
      <c r="AH294" s="8">
        <f t="shared" si="132"/>
        <v>44597.402781755707</v>
      </c>
      <c r="AI294" s="8">
        <f t="shared" si="133"/>
        <v>2993.2850087819934</v>
      </c>
      <c r="AJ294" s="8">
        <f t="shared" si="134"/>
        <v>11.860829591551546</v>
      </c>
      <c r="AK294" s="8">
        <f t="shared" si="135"/>
        <v>0</v>
      </c>
      <c r="AL294" s="8">
        <f t="shared" si="136"/>
        <v>28195.485451641158</v>
      </c>
      <c r="AM294" s="8">
        <f t="shared" si="137"/>
        <v>4327.9481877130656</v>
      </c>
      <c r="AN294" s="8">
        <f t="shared" si="138"/>
        <v>22.399520341939798</v>
      </c>
      <c r="AO294" s="8">
        <f t="shared" si="139"/>
        <v>0</v>
      </c>
      <c r="AQ294" s="22"/>
    </row>
    <row r="295" spans="1:43">
      <c r="A295" s="1">
        <v>42022</v>
      </c>
      <c r="B295" s="5">
        <v>293</v>
      </c>
      <c r="C295" s="3">
        <f>B295/365+input!$K$2</f>
        <v>0.80273972602739729</v>
      </c>
      <c r="D295" s="4">
        <f t="shared" si="114"/>
        <v>27.252238707111914</v>
      </c>
      <c r="E295" s="10">
        <f t="shared" si="118"/>
        <v>31.31851182292754</v>
      </c>
      <c r="F295" s="20">
        <f>input!A294</f>
        <v>4609.4399999999996</v>
      </c>
      <c r="G295" s="19">
        <f t="shared" si="119"/>
        <v>0.31321243785407715</v>
      </c>
      <c r="H295" s="21">
        <f t="shared" si="120"/>
        <v>635.91892008989407</v>
      </c>
      <c r="I295" s="5">
        <v>658</v>
      </c>
      <c r="J295" s="3">
        <f>I295/365+input!$K$2</f>
        <v>1.8027397260273972</v>
      </c>
      <c r="K295" s="4">
        <f t="shared" si="140"/>
        <v>34.710976135171613</v>
      </c>
      <c r="L295" s="10">
        <f t="shared" si="141"/>
        <v>68.582065300811522</v>
      </c>
      <c r="M295" s="20">
        <f>input!B294</f>
        <v>44.45</v>
      </c>
      <c r="N295" s="19">
        <f t="shared" si="121"/>
        <v>0.97668008732983991</v>
      </c>
      <c r="O295" s="21">
        <f t="shared" si="122"/>
        <v>1447.3739140151381</v>
      </c>
      <c r="P295" s="5">
        <v>1023</v>
      </c>
      <c r="Q295" s="3">
        <f>P295/365+input!$K$2</f>
        <v>2.8027397260273972</v>
      </c>
      <c r="R295" s="4">
        <f t="shared" si="115"/>
        <v>38.887111037782468</v>
      </c>
      <c r="S295" s="10">
        <f t="shared" si="116"/>
        <v>99.098810997341161</v>
      </c>
      <c r="T295" s="20">
        <f>input!C294</f>
        <v>0.12</v>
      </c>
      <c r="U295" s="19">
        <f t="shared" si="123"/>
        <v>0.99810301231170839</v>
      </c>
      <c r="V295" s="21">
        <f t="shared" si="124"/>
        <v>1889.4899434377378</v>
      </c>
      <c r="W295" s="21">
        <v>1388</v>
      </c>
      <c r="X295" s="3">
        <f>W295/365+input!$K$2</f>
        <v>3.8027397260273972</v>
      </c>
      <c r="Y295" s="4">
        <f t="shared" si="125"/>
        <v>39.469004015014669</v>
      </c>
      <c r="Z295" s="10">
        <f t="shared" si="117"/>
        <v>103.98435971907008</v>
      </c>
      <c r="AA295" s="20">
        <f>input!D294</f>
        <v>0</v>
      </c>
      <c r="AB295" s="19">
        <f t="shared" si="126"/>
        <v>0.99866597068041085</v>
      </c>
      <c r="AC295" s="21">
        <f t="shared" si="127"/>
        <v>1956.3459956959921</v>
      </c>
      <c r="AD295" s="8">
        <f t="shared" si="128"/>
        <v>144360.80113707512</v>
      </c>
      <c r="AE295" s="8">
        <f t="shared" si="129"/>
        <v>3048.4728026210723</v>
      </c>
      <c r="AF295" s="8">
        <f t="shared" si="130"/>
        <v>11.891857319680939</v>
      </c>
      <c r="AG295" s="8">
        <f t="shared" si="131"/>
        <v>0</v>
      </c>
      <c r="AH295" s="8">
        <f t="shared" si="132"/>
        <v>45215.598454710933</v>
      </c>
      <c r="AI295" s="8">
        <f t="shared" si="133"/>
        <v>2977.3826830865905</v>
      </c>
      <c r="AJ295" s="8">
        <f t="shared" si="134"/>
        <v>11.869298612754584</v>
      </c>
      <c r="AK295" s="8">
        <f t="shared" si="135"/>
        <v>0</v>
      </c>
      <c r="AL295" s="8">
        <f t="shared" si="136"/>
        <v>28753.454540538063</v>
      </c>
      <c r="AM295" s="8">
        <f t="shared" si="137"/>
        <v>4309.386027539932</v>
      </c>
      <c r="AN295" s="8">
        <f t="shared" si="138"/>
        <v>22.426920364459278</v>
      </c>
      <c r="AO295" s="8">
        <f t="shared" si="139"/>
        <v>0</v>
      </c>
      <c r="AQ295" s="22"/>
    </row>
    <row r="296" spans="1:43">
      <c r="A296" s="1">
        <v>42023</v>
      </c>
      <c r="B296" s="5">
        <v>294</v>
      </c>
      <c r="C296" s="3">
        <f>B296/365+input!$K$2</f>
        <v>0.80547945205479454</v>
      </c>
      <c r="D296" s="4">
        <f t="shared" si="114"/>
        <v>27.279148010632788</v>
      </c>
      <c r="E296" s="10">
        <f t="shared" si="118"/>
        <v>31.418817755457731</v>
      </c>
      <c r="F296" s="20">
        <f>input!A295</f>
        <v>4593.59</v>
      </c>
      <c r="G296" s="19">
        <f t="shared" si="119"/>
        <v>0.31673089048379821</v>
      </c>
      <c r="H296" s="21">
        <f t="shared" si="120"/>
        <v>639.6066421268124</v>
      </c>
      <c r="I296" s="5">
        <v>659</v>
      </c>
      <c r="J296" s="3">
        <f>I296/365+input!$K$2</f>
        <v>1.8054794520547945</v>
      </c>
      <c r="K296" s="4">
        <f t="shared" si="140"/>
        <v>34.726042610258368</v>
      </c>
      <c r="L296" s="10">
        <f t="shared" si="141"/>
        <v>68.678561790640543</v>
      </c>
      <c r="M296" s="20">
        <f>input!B295</f>
        <v>43.79</v>
      </c>
      <c r="N296" s="19">
        <f t="shared" si="121"/>
        <v>0.97688713697251284</v>
      </c>
      <c r="O296" s="21">
        <f t="shared" si="122"/>
        <v>1448.860336786898</v>
      </c>
      <c r="P296" s="5">
        <v>1024</v>
      </c>
      <c r="Q296" s="3">
        <f>P296/365+input!$K$2</f>
        <v>2.8054794520547945</v>
      </c>
      <c r="R296" s="4">
        <f t="shared" si="115"/>
        <v>38.895546732573443</v>
      </c>
      <c r="S296" s="10">
        <f t="shared" si="116"/>
        <v>99.168479125896468</v>
      </c>
      <c r="T296" s="20">
        <f>input!C295</f>
        <v>0.12</v>
      </c>
      <c r="U296" s="19">
        <f t="shared" si="123"/>
        <v>0.99811266677134758</v>
      </c>
      <c r="V296" s="21">
        <f t="shared" si="124"/>
        <v>1890.4496656328533</v>
      </c>
      <c r="W296" s="21">
        <v>1389</v>
      </c>
      <c r="X296" s="3">
        <f>W296/365+input!$K$2</f>
        <v>3.8054794520547945</v>
      </c>
      <c r="Y296" s="4">
        <f t="shared" si="125"/>
        <v>39.469004015014669</v>
      </c>
      <c r="Z296" s="10">
        <f t="shared" si="117"/>
        <v>103.98435971907008</v>
      </c>
      <c r="AA296" s="20">
        <f>input!D295</f>
        <v>0</v>
      </c>
      <c r="AB296" s="19">
        <f t="shared" si="126"/>
        <v>0.99866597068041085</v>
      </c>
      <c r="AC296" s="21">
        <f t="shared" si="127"/>
        <v>1956.3459956959921</v>
      </c>
      <c r="AD296" s="8">
        <f t="shared" si="128"/>
        <v>144325.16705329309</v>
      </c>
      <c r="AE296" s="8">
        <f t="shared" si="129"/>
        <v>3007.4342208121493</v>
      </c>
      <c r="AF296" s="8">
        <f t="shared" si="130"/>
        <v>11.900217495107576</v>
      </c>
      <c r="AG296" s="8">
        <f t="shared" si="131"/>
        <v>0</v>
      </c>
      <c r="AH296" s="8">
        <f t="shared" si="132"/>
        <v>45712.238680012451</v>
      </c>
      <c r="AI296" s="8">
        <f t="shared" si="133"/>
        <v>2937.9238056023405</v>
      </c>
      <c r="AJ296" s="8">
        <f t="shared" si="134"/>
        <v>11.877757819200868</v>
      </c>
      <c r="AK296" s="8">
        <f t="shared" si="135"/>
        <v>0</v>
      </c>
      <c r="AL296" s="8">
        <f t="shared" si="136"/>
        <v>29237.851486222156</v>
      </c>
      <c r="AM296" s="8">
        <f t="shared" si="137"/>
        <v>4256.6412744392519</v>
      </c>
      <c r="AN296" s="8">
        <f t="shared" si="138"/>
        <v>22.454303297776288</v>
      </c>
      <c r="AO296" s="8">
        <f t="shared" si="139"/>
        <v>0</v>
      </c>
      <c r="AQ296" s="22"/>
    </row>
    <row r="297" spans="1:43">
      <c r="A297" s="1">
        <v>42024</v>
      </c>
      <c r="B297" s="5">
        <v>295</v>
      </c>
      <c r="C297" s="3">
        <f>B297/365+input!$K$2</f>
        <v>0.80821917808219179</v>
      </c>
      <c r="D297" s="4">
        <f t="shared" si="114"/>
        <v>27.306014588120217</v>
      </c>
      <c r="E297" s="10">
        <f t="shared" si="118"/>
        <v>31.519185780095743</v>
      </c>
      <c r="F297" s="20">
        <f>input!A296</f>
        <v>4588.8599999999997</v>
      </c>
      <c r="G297" s="19">
        <f t="shared" si="119"/>
        <v>0.32026479942559716</v>
      </c>
      <c r="H297" s="21">
        <f t="shared" si="120"/>
        <v>643.28561837048767</v>
      </c>
      <c r="I297" s="5">
        <v>660</v>
      </c>
      <c r="J297" s="3">
        <f>I297/365+input!$K$2</f>
        <v>1.8082191780821917</v>
      </c>
      <c r="K297" s="4">
        <f t="shared" si="140"/>
        <v>34.741085163108778</v>
      </c>
      <c r="L297" s="10">
        <f t="shared" si="141"/>
        <v>68.774998668783482</v>
      </c>
      <c r="M297" s="20">
        <f>input!B296</f>
        <v>43.45</v>
      </c>
      <c r="N297" s="19">
        <f t="shared" si="121"/>
        <v>0.97709206692467654</v>
      </c>
      <c r="O297" s="21">
        <f t="shared" si="122"/>
        <v>1450.3450380569157</v>
      </c>
      <c r="P297" s="5">
        <v>1025</v>
      </c>
      <c r="Q297" s="3">
        <f>P297/365+input!$K$2</f>
        <v>2.8082191780821919</v>
      </c>
      <c r="R297" s="4">
        <f t="shared" si="115"/>
        <v>38.903969033343358</v>
      </c>
      <c r="S297" s="10">
        <f t="shared" si="116"/>
        <v>99.238070410147316</v>
      </c>
      <c r="T297" s="20">
        <f>input!C296</f>
        <v>0.12</v>
      </c>
      <c r="U297" s="19">
        <f t="shared" si="123"/>
        <v>0.99812225697583112</v>
      </c>
      <c r="V297" s="21">
        <f t="shared" si="124"/>
        <v>1891.4081419287284</v>
      </c>
      <c r="W297" s="21">
        <v>1390</v>
      </c>
      <c r="X297" s="3">
        <f>W297/365+input!$K$2</f>
        <v>3.8082191780821919</v>
      </c>
      <c r="Y297" s="4">
        <f t="shared" si="125"/>
        <v>39.469004015014669</v>
      </c>
      <c r="Z297" s="10">
        <f t="shared" si="117"/>
        <v>103.98435971907008</v>
      </c>
      <c r="AA297" s="20">
        <f>input!D296</f>
        <v>0</v>
      </c>
      <c r="AB297" s="19">
        <f t="shared" si="126"/>
        <v>0.99866597068041085</v>
      </c>
      <c r="AC297" s="21">
        <f t="shared" si="127"/>
        <v>1956.3459956959921</v>
      </c>
      <c r="AD297" s="8">
        <f t="shared" si="128"/>
        <v>144637.13085885014</v>
      </c>
      <c r="AE297" s="8">
        <f t="shared" si="129"/>
        <v>2988.2736921586425</v>
      </c>
      <c r="AF297" s="8">
        <f t="shared" si="130"/>
        <v>11.908568449217677</v>
      </c>
      <c r="AG297" s="8">
        <f t="shared" si="131"/>
        <v>0</v>
      </c>
      <c r="AH297" s="8">
        <f t="shared" si="132"/>
        <v>46322.181704003488</v>
      </c>
      <c r="AI297" s="8">
        <f t="shared" si="133"/>
        <v>2919.8185184079225</v>
      </c>
      <c r="AJ297" s="8">
        <f t="shared" si="134"/>
        <v>11.886207217884321</v>
      </c>
      <c r="AK297" s="8">
        <f t="shared" si="135"/>
        <v>0</v>
      </c>
      <c r="AL297" s="8">
        <f t="shared" si="136"/>
        <v>29798.393301729975</v>
      </c>
      <c r="AM297" s="8">
        <f t="shared" si="137"/>
        <v>4234.7443001996253</v>
      </c>
      <c r="AN297" s="8">
        <f t="shared" si="138"/>
        <v>22.481669108558425</v>
      </c>
      <c r="AO297" s="8">
        <f t="shared" si="139"/>
        <v>0</v>
      </c>
      <c r="AQ297" s="22"/>
    </row>
    <row r="298" spans="1:43">
      <c r="A298" s="1">
        <v>42025</v>
      </c>
      <c r="B298" s="5">
        <v>296</v>
      </c>
      <c r="C298" s="3">
        <f>B298/365+input!$K$2</f>
        <v>0.81095890410958904</v>
      </c>
      <c r="D298" s="4">
        <f t="shared" si="114"/>
        <v>27.332838507413697</v>
      </c>
      <c r="E298" s="10">
        <f t="shared" si="118"/>
        <v>31.619615365387286</v>
      </c>
      <c r="F298" s="20">
        <f>input!A297</f>
        <v>4575.1899999999996</v>
      </c>
      <c r="G298" s="19">
        <f t="shared" si="119"/>
        <v>0.32381379083856898</v>
      </c>
      <c r="H298" s="21">
        <f t="shared" si="120"/>
        <v>646.95571543837525</v>
      </c>
      <c r="I298" s="5">
        <v>661</v>
      </c>
      <c r="J298" s="3">
        <f>I298/365+input!$K$2</f>
        <v>1.810958904109589</v>
      </c>
      <c r="K298" s="4">
        <f t="shared" si="140"/>
        <v>34.756103831706078</v>
      </c>
      <c r="L298" s="10">
        <f t="shared" si="141"/>
        <v>68.871375783004765</v>
      </c>
      <c r="M298" s="20">
        <f>input!B297</f>
        <v>42.84</v>
      </c>
      <c r="N298" s="19">
        <f t="shared" si="121"/>
        <v>0.97729490093192173</v>
      </c>
      <c r="O298" s="21">
        <f t="shared" si="122"/>
        <v>1451.8280215325383</v>
      </c>
      <c r="P298" s="5">
        <v>1026</v>
      </c>
      <c r="Q298" s="3">
        <f>P298/365+input!$K$2</f>
        <v>2.8109589041095893</v>
      </c>
      <c r="R298" s="4">
        <f t="shared" si="115"/>
        <v>38.912377961358978</v>
      </c>
      <c r="S298" s="10">
        <f t="shared" si="116"/>
        <v>99.307584873981355</v>
      </c>
      <c r="T298" s="20">
        <f>input!C297</f>
        <v>0.12</v>
      </c>
      <c r="U298" s="19">
        <f t="shared" si="123"/>
        <v>0.99813178342884723</v>
      </c>
      <c r="V298" s="21">
        <f t="shared" si="124"/>
        <v>1892.3653734487343</v>
      </c>
      <c r="W298" s="21">
        <v>1391</v>
      </c>
      <c r="X298" s="3">
        <f>W298/365+input!$K$2</f>
        <v>3.8109589041095893</v>
      </c>
      <c r="Y298" s="4">
        <f t="shared" si="125"/>
        <v>39.469004015014669</v>
      </c>
      <c r="Z298" s="10">
        <f t="shared" si="117"/>
        <v>103.98435971907008</v>
      </c>
      <c r="AA298" s="20">
        <f>input!D297</f>
        <v>0</v>
      </c>
      <c r="AB298" s="19">
        <f t="shared" si="126"/>
        <v>0.99866597068041085</v>
      </c>
      <c r="AC298" s="21">
        <f t="shared" si="127"/>
        <v>1956.3459956959921</v>
      </c>
      <c r="AD298" s="8">
        <f t="shared" si="128"/>
        <v>144665.74802356624</v>
      </c>
      <c r="AE298" s="8">
        <f t="shared" si="129"/>
        <v>2950.4497385439245</v>
      </c>
      <c r="AF298" s="8">
        <f t="shared" si="130"/>
        <v>11.916910184877763</v>
      </c>
      <c r="AG298" s="8">
        <f t="shared" si="131"/>
        <v>0</v>
      </c>
      <c r="AH298" s="8">
        <f t="shared" si="132"/>
        <v>46844.7642720082</v>
      </c>
      <c r="AI298" s="8">
        <f t="shared" si="133"/>
        <v>2883.4594849348991</v>
      </c>
      <c r="AJ298" s="8">
        <f t="shared" si="134"/>
        <v>11.894646815793434</v>
      </c>
      <c r="AK298" s="8">
        <f t="shared" si="135"/>
        <v>0</v>
      </c>
      <c r="AL298" s="8">
        <f t="shared" si="136"/>
        <v>30306.487984139105</v>
      </c>
      <c r="AM298" s="8">
        <f t="shared" si="137"/>
        <v>4186.2872791822665</v>
      </c>
      <c r="AN298" s="8">
        <f t="shared" si="138"/>
        <v>22.509017763609741</v>
      </c>
      <c r="AO298" s="8">
        <f t="shared" si="139"/>
        <v>0</v>
      </c>
      <c r="AQ298" s="22"/>
    </row>
    <row r="299" spans="1:43">
      <c r="A299" s="1">
        <v>42026</v>
      </c>
      <c r="B299" s="5">
        <v>297</v>
      </c>
      <c r="C299" s="3">
        <f>B299/365+input!$K$2</f>
        <v>0.81369863013698629</v>
      </c>
      <c r="D299" s="4">
        <f t="shared" si="114"/>
        <v>27.359619836245027</v>
      </c>
      <c r="E299" s="10">
        <f t="shared" si="118"/>
        <v>31.720105980876752</v>
      </c>
      <c r="F299" s="20">
        <f>input!A298</f>
        <v>4570.1000000000004</v>
      </c>
      <c r="G299" s="19">
        <f t="shared" si="119"/>
        <v>0.32737748513303028</v>
      </c>
      <c r="H299" s="21">
        <f t="shared" si="120"/>
        <v>650.61680334470714</v>
      </c>
      <c r="I299" s="5">
        <v>662</v>
      </c>
      <c r="J299" s="3">
        <f>I299/365+input!$K$2</f>
        <v>1.8136986301369864</v>
      </c>
      <c r="K299" s="4">
        <f t="shared" si="140"/>
        <v>34.771098653973191</v>
      </c>
      <c r="L299" s="10">
        <f t="shared" si="141"/>
        <v>68.96769298186048</v>
      </c>
      <c r="M299" s="20">
        <f>input!B298</f>
        <v>42.53</v>
      </c>
      <c r="N299" s="19">
        <f t="shared" si="121"/>
        <v>0.97749566246056085</v>
      </c>
      <c r="O299" s="21">
        <f t="shared" si="122"/>
        <v>1453.3092908656968</v>
      </c>
      <c r="P299" s="5">
        <v>1027</v>
      </c>
      <c r="Q299" s="3">
        <f>P299/365+input!$K$2</f>
        <v>2.8136986301369862</v>
      </c>
      <c r="R299" s="4">
        <f t="shared" si="115"/>
        <v>38.920773537853272</v>
      </c>
      <c r="S299" s="10">
        <f t="shared" si="116"/>
        <v>99.377022541517064</v>
      </c>
      <c r="T299" s="20">
        <f>input!C298</f>
        <v>0.11</v>
      </c>
      <c r="U299" s="19">
        <f t="shared" si="123"/>
        <v>0.99814124662960979</v>
      </c>
      <c r="V299" s="21">
        <f t="shared" si="124"/>
        <v>1893.3213613169733</v>
      </c>
      <c r="W299" s="21">
        <v>1392</v>
      </c>
      <c r="X299" s="3">
        <f>W299/365+input!$K$2</f>
        <v>3.8136986301369862</v>
      </c>
      <c r="Y299" s="4">
        <f t="shared" si="125"/>
        <v>39.469004015014669</v>
      </c>
      <c r="Z299" s="10">
        <f t="shared" si="117"/>
        <v>103.98435971907008</v>
      </c>
      <c r="AA299" s="20">
        <f>input!D298</f>
        <v>0</v>
      </c>
      <c r="AB299" s="19">
        <f t="shared" si="126"/>
        <v>0.99866597068041085</v>
      </c>
      <c r="AC299" s="21">
        <f t="shared" si="127"/>
        <v>1956.3459956959921</v>
      </c>
      <c r="AD299" s="8">
        <f t="shared" si="128"/>
        <v>144964.05634320487</v>
      </c>
      <c r="AE299" s="8">
        <f t="shared" si="129"/>
        <v>2933.1959825185263</v>
      </c>
      <c r="AF299" s="8">
        <f t="shared" si="130"/>
        <v>10.931472479566876</v>
      </c>
      <c r="AG299" s="8">
        <f t="shared" si="131"/>
        <v>0</v>
      </c>
      <c r="AH299" s="8">
        <f t="shared" si="132"/>
        <v>47457.968200321317</v>
      </c>
      <c r="AI299" s="8">
        <f t="shared" si="133"/>
        <v>2867.1863500586023</v>
      </c>
      <c r="AJ299" s="8">
        <f t="shared" si="134"/>
        <v>10.911153568252153</v>
      </c>
      <c r="AK299" s="8">
        <f t="shared" si="135"/>
        <v>0</v>
      </c>
      <c r="AL299" s="8">
        <f t="shared" si="136"/>
        <v>30876.95156372782</v>
      </c>
      <c r="AM299" s="8">
        <f t="shared" si="137"/>
        <v>4166.9085611834726</v>
      </c>
      <c r="AN299" s="8">
        <f t="shared" si="138"/>
        <v>20.658320127381717</v>
      </c>
      <c r="AO299" s="8">
        <f t="shared" si="139"/>
        <v>0</v>
      </c>
      <c r="AQ299" s="22"/>
    </row>
    <row r="300" spans="1:43">
      <c r="A300" s="1">
        <v>42027</v>
      </c>
      <c r="B300" s="5">
        <v>298</v>
      </c>
      <c r="C300" s="3">
        <f>B300/365+input!$K$2</f>
        <v>0.81643835616438354</v>
      </c>
      <c r="D300" s="4">
        <f t="shared" si="114"/>
        <v>27.386358642238459</v>
      </c>
      <c r="E300" s="10">
        <f t="shared" si="118"/>
        <v>31.820657097110868</v>
      </c>
      <c r="F300" s="20">
        <f>input!A299</f>
        <v>4555.8500000000004</v>
      </c>
      <c r="G300" s="19">
        <f t="shared" si="119"/>
        <v>0.33095549713277278</v>
      </c>
      <c r="H300" s="21">
        <f t="shared" si="120"/>
        <v>654.26875548722899</v>
      </c>
      <c r="I300" s="5">
        <v>663</v>
      </c>
      <c r="J300" s="3">
        <f>I300/365+input!$K$2</f>
        <v>1.8164383561643835</v>
      </c>
      <c r="K300" s="4">
        <f t="shared" si="140"/>
        <v>34.786069667772821</v>
      </c>
      <c r="L300" s="10">
        <f t="shared" si="141"/>
        <v>69.06395011469688</v>
      </c>
      <c r="M300" s="20">
        <f>input!B299</f>
        <v>41.91</v>
      </c>
      <c r="N300" s="19">
        <f t="shared" si="121"/>
        <v>0.97769437470089449</v>
      </c>
      <c r="O300" s="21">
        <f t="shared" si="122"/>
        <v>1454.7888496538546</v>
      </c>
      <c r="P300" s="5">
        <v>1028</v>
      </c>
      <c r="Q300" s="3">
        <f>P300/365+input!$K$2</f>
        <v>2.8164383561643835</v>
      </c>
      <c r="R300" s="4">
        <f t="shared" si="115"/>
        <v>38.929155784025511</v>
      </c>
      <c r="S300" s="10">
        <f t="shared" si="116"/>
        <v>99.446383437102867</v>
      </c>
      <c r="T300" s="20">
        <f>input!C299</f>
        <v>0.11</v>
      </c>
      <c r="U300" s="19">
        <f t="shared" si="123"/>
        <v>0.9981506470729008</v>
      </c>
      <c r="V300" s="21">
        <f t="shared" si="124"/>
        <v>1894.2761066582616</v>
      </c>
      <c r="W300" s="21">
        <v>1393</v>
      </c>
      <c r="X300" s="3">
        <f>W300/365+input!$K$2</f>
        <v>3.8164383561643835</v>
      </c>
      <c r="Y300" s="4">
        <f t="shared" si="125"/>
        <v>39.469004015014669</v>
      </c>
      <c r="Z300" s="10">
        <f t="shared" si="117"/>
        <v>103.98435971907008</v>
      </c>
      <c r="AA300" s="20">
        <f>input!D299</f>
        <v>0</v>
      </c>
      <c r="AB300" s="19">
        <f t="shared" si="126"/>
        <v>0.99866597068041085</v>
      </c>
      <c r="AC300" s="21">
        <f t="shared" si="127"/>
        <v>1956.3459956959921</v>
      </c>
      <c r="AD300" s="8">
        <f t="shared" si="128"/>
        <v>144970.14063587255</v>
      </c>
      <c r="AE300" s="8">
        <f t="shared" si="129"/>
        <v>2894.470149306946</v>
      </c>
      <c r="AF300" s="8">
        <f t="shared" si="130"/>
        <v>10.939102178081315</v>
      </c>
      <c r="AG300" s="8">
        <f t="shared" si="131"/>
        <v>0</v>
      </c>
      <c r="AH300" s="8">
        <f t="shared" si="132"/>
        <v>47978.664963553187</v>
      </c>
      <c r="AI300" s="8">
        <f t="shared" si="133"/>
        <v>2829.9071827170592</v>
      </c>
      <c r="AJ300" s="8">
        <f t="shared" si="134"/>
        <v>10.918871917448444</v>
      </c>
      <c r="AK300" s="8">
        <f t="shared" si="135"/>
        <v>0</v>
      </c>
      <c r="AL300" s="8">
        <f t="shared" si="136"/>
        <v>31390.941415642661</v>
      </c>
      <c r="AM300" s="8">
        <f t="shared" si="137"/>
        <v>4116.9174149721312</v>
      </c>
      <c r="AN300" s="8">
        <f t="shared" si="138"/>
        <v>20.683358184884465</v>
      </c>
      <c r="AO300" s="8">
        <f t="shared" si="139"/>
        <v>0</v>
      </c>
      <c r="AQ300" s="22"/>
    </row>
    <row r="301" spans="1:43">
      <c r="A301" s="1">
        <v>42028</v>
      </c>
      <c r="B301" s="5">
        <v>299</v>
      </c>
      <c r="C301" s="3">
        <f>B301/365+input!$K$2</f>
        <v>0.81917808219178079</v>
      </c>
      <c r="D301" s="4">
        <f t="shared" si="114"/>
        <v>27.413054992910869</v>
      </c>
      <c r="E301" s="10">
        <f t="shared" si="118"/>
        <v>31.921268185641679</v>
      </c>
      <c r="F301" s="20">
        <f>input!A300</f>
        <v>4552.7299999999996</v>
      </c>
      <c r="G301" s="19">
        <f t="shared" si="119"/>
        <v>0.33454743624216216</v>
      </c>
      <c r="H301" s="21">
        <f t="shared" si="120"/>
        <v>657.9114486328358</v>
      </c>
      <c r="I301" s="5">
        <v>664</v>
      </c>
      <c r="J301" s="3">
        <f>I301/365+input!$K$2</f>
        <v>1.8191780821917809</v>
      </c>
      <c r="K301" s="4">
        <f t="shared" si="140"/>
        <v>34.801016910907563</v>
      </c>
      <c r="L301" s="10">
        <f t="shared" si="141"/>
        <v>69.160147031648307</v>
      </c>
      <c r="M301" s="20">
        <f>input!B300</f>
        <v>41.62</v>
      </c>
      <c r="N301" s="19">
        <f t="shared" si="121"/>
        <v>0.97789106057044839</v>
      </c>
      <c r="O301" s="21">
        <f t="shared" si="122"/>
        <v>1456.2667014409203</v>
      </c>
      <c r="P301" s="5">
        <v>1029</v>
      </c>
      <c r="Q301" s="3">
        <f>P301/365+input!$K$2</f>
        <v>2.8191780821917809</v>
      </c>
      <c r="R301" s="4">
        <f t="shared" si="115"/>
        <v>38.937524721041306</v>
      </c>
      <c r="S301" s="10">
        <f t="shared" si="116"/>
        <v>99.515667585316038</v>
      </c>
      <c r="T301" s="20">
        <f>input!C300</f>
        <v>0.11</v>
      </c>
      <c r="U301" s="19">
        <f t="shared" si="123"/>
        <v>0.99815998524911576</v>
      </c>
      <c r="V301" s="21">
        <f t="shared" si="124"/>
        <v>1895.2296105981304</v>
      </c>
      <c r="W301" s="21">
        <v>1394</v>
      </c>
      <c r="X301" s="3">
        <f>W301/365+input!$K$2</f>
        <v>3.8191780821917809</v>
      </c>
      <c r="Y301" s="4">
        <f t="shared" si="125"/>
        <v>39.469004015014669</v>
      </c>
      <c r="Z301" s="10">
        <f t="shared" si="117"/>
        <v>103.98435971907008</v>
      </c>
      <c r="AA301" s="20">
        <f>input!D300</f>
        <v>0</v>
      </c>
      <c r="AB301" s="19">
        <f t="shared" si="126"/>
        <v>0.99866597068041085</v>
      </c>
      <c r="AC301" s="21">
        <f t="shared" si="127"/>
        <v>1956.3459956959921</v>
      </c>
      <c r="AD301" s="8">
        <f t="shared" si="128"/>
        <v>145328.91530681643</v>
      </c>
      <c r="AE301" s="8">
        <f t="shared" si="129"/>
        <v>2878.4453194572025</v>
      </c>
      <c r="AF301" s="8">
        <f t="shared" si="130"/>
        <v>10.946723434384765</v>
      </c>
      <c r="AG301" s="8">
        <f t="shared" si="131"/>
        <v>0</v>
      </c>
      <c r="AH301" s="8">
        <f t="shared" si="132"/>
        <v>48619.41602774975</v>
      </c>
      <c r="AI301" s="8">
        <f t="shared" si="133"/>
        <v>2814.805946238047</v>
      </c>
      <c r="AJ301" s="8">
        <f t="shared" si="134"/>
        <v>10.926581301791646</v>
      </c>
      <c r="AK301" s="8">
        <f t="shared" si="135"/>
        <v>0</v>
      </c>
      <c r="AL301" s="8">
        <f t="shared" si="136"/>
        <v>31987.270430499353</v>
      </c>
      <c r="AM301" s="8">
        <f t="shared" si="137"/>
        <v>4099.1081705243687</v>
      </c>
      <c r="AN301" s="8">
        <f t="shared" si="138"/>
        <v>20.708380425763398</v>
      </c>
      <c r="AO301" s="8">
        <f t="shared" si="139"/>
        <v>0</v>
      </c>
      <c r="AQ301" s="22"/>
    </row>
    <row r="302" spans="1:43">
      <c r="A302" s="1">
        <v>42029</v>
      </c>
      <c r="B302" s="5">
        <v>300</v>
      </c>
      <c r="C302" s="3">
        <f>B302/365+input!$K$2</f>
        <v>0.82191780821917804</v>
      </c>
      <c r="D302" s="4">
        <f t="shared" si="114"/>
        <v>27.439708955671929</v>
      </c>
      <c r="E302" s="10">
        <f t="shared" si="118"/>
        <v>32.021938719029976</v>
      </c>
      <c r="F302" s="20">
        <f>input!A301</f>
        <v>4534.7</v>
      </c>
      <c r="G302" s="19">
        <f t="shared" si="119"/>
        <v>0.33815290661793146</v>
      </c>
      <c r="H302" s="21">
        <f t="shared" si="120"/>
        <v>661.54476290215541</v>
      </c>
      <c r="I302" s="5">
        <v>665</v>
      </c>
      <c r="J302" s="3">
        <f>I302/365+input!$K$2</f>
        <v>1.821917808219178</v>
      </c>
      <c r="K302" s="4">
        <f t="shared" si="140"/>
        <v>34.815940421119976</v>
      </c>
      <c r="L302" s="10">
        <f t="shared" si="141"/>
        <v>69.256283583634882</v>
      </c>
      <c r="M302" s="20">
        <f>input!B301</f>
        <v>40.98</v>
      </c>
      <c r="N302" s="19">
        <f t="shared" si="121"/>
        <v>0.97808574271717397</v>
      </c>
      <c r="O302" s="21">
        <f t="shared" si="122"/>
        <v>1457.7428497181493</v>
      </c>
      <c r="P302" s="5">
        <v>1030</v>
      </c>
      <c r="Q302" s="3">
        <f>P302/365+input!$K$2</f>
        <v>2.8219178082191783</v>
      </c>
      <c r="R302" s="4">
        <f t="shared" si="115"/>
        <v>38.945880370032661</v>
      </c>
      <c r="S302" s="10">
        <f t="shared" si="116"/>
        <v>99.584875010961497</v>
      </c>
      <c r="T302" s="20">
        <f>input!C301</f>
        <v>0.11</v>
      </c>
      <c r="U302" s="19">
        <f t="shared" si="123"/>
        <v>0.99816926164430542</v>
      </c>
      <c r="V302" s="21">
        <f t="shared" si="124"/>
        <v>1896.1818742628113</v>
      </c>
      <c r="W302" s="21">
        <v>1395</v>
      </c>
      <c r="X302" s="3">
        <f>W302/365+input!$K$2</f>
        <v>3.8219178082191783</v>
      </c>
      <c r="Y302" s="4">
        <f t="shared" si="125"/>
        <v>39.469004015014669</v>
      </c>
      <c r="Z302" s="10">
        <f t="shared" si="117"/>
        <v>103.98435971907008</v>
      </c>
      <c r="AA302" s="20">
        <f>input!D301</f>
        <v>0</v>
      </c>
      <c r="AB302" s="19">
        <f t="shared" si="126"/>
        <v>0.99866597068041085</v>
      </c>
      <c r="AC302" s="21">
        <f t="shared" si="127"/>
        <v>1956.3459956959921</v>
      </c>
      <c r="AD302" s="8">
        <f t="shared" si="128"/>
        <v>145209.88550918523</v>
      </c>
      <c r="AE302" s="8">
        <f t="shared" si="129"/>
        <v>2838.1225012573573</v>
      </c>
      <c r="AF302" s="8">
        <f t="shared" si="130"/>
        <v>10.954336251205765</v>
      </c>
      <c r="AG302" s="8">
        <f t="shared" si="131"/>
        <v>0</v>
      </c>
      <c r="AH302" s="8">
        <f t="shared" si="132"/>
        <v>49103.144854588034</v>
      </c>
      <c r="AI302" s="8">
        <f t="shared" si="133"/>
        <v>2775.9271545646257</v>
      </c>
      <c r="AJ302" s="8">
        <f t="shared" si="134"/>
        <v>10.934281727669507</v>
      </c>
      <c r="AK302" s="8">
        <f t="shared" si="135"/>
        <v>0</v>
      </c>
      <c r="AL302" s="8">
        <f t="shared" si="136"/>
        <v>32483.928320578634</v>
      </c>
      <c r="AM302" s="8">
        <f t="shared" si="137"/>
        <v>4046.5879609050307</v>
      </c>
      <c r="AN302" s="8">
        <f t="shared" si="138"/>
        <v>20.733386820089979</v>
      </c>
      <c r="AO302" s="8">
        <f t="shared" si="139"/>
        <v>0</v>
      </c>
      <c r="AQ302" s="22"/>
    </row>
    <row r="303" spans="1:43">
      <c r="A303" s="1">
        <v>42030</v>
      </c>
      <c r="B303" s="5">
        <v>301</v>
      </c>
      <c r="C303" s="3">
        <f>B303/365+input!$K$2</f>
        <v>0.8246575342465754</v>
      </c>
      <c r="D303" s="4">
        <f t="shared" si="114"/>
        <v>27.466320597824303</v>
      </c>
      <c r="E303" s="10">
        <f t="shared" si="118"/>
        <v>32.122668170848243</v>
      </c>
      <c r="F303" s="20">
        <f>input!A302</f>
        <v>4531.6000000000004</v>
      </c>
      <c r="G303" s="19">
        <f t="shared" si="119"/>
        <v>0.34177150734551076</v>
      </c>
      <c r="H303" s="21">
        <f t="shared" si="120"/>
        <v>665.16858175309642</v>
      </c>
      <c r="I303" s="5">
        <v>666</v>
      </c>
      <c r="J303" s="3">
        <f>I303/365+input!$K$2</f>
        <v>1.8246575342465754</v>
      </c>
      <c r="K303" s="4">
        <f t="shared" si="140"/>
        <v>34.830840236092712</v>
      </c>
      <c r="L303" s="10">
        <f t="shared" si="141"/>
        <v>69.352359622361362</v>
      </c>
      <c r="M303" s="20">
        <f>input!B302</f>
        <v>40.69</v>
      </c>
      <c r="N303" s="19">
        <f t="shared" si="121"/>
        <v>0.97827844352261528</v>
      </c>
      <c r="O303" s="21">
        <f t="shared" si="122"/>
        <v>1459.2172979250506</v>
      </c>
      <c r="P303" s="5">
        <v>1031</v>
      </c>
      <c r="Q303" s="3">
        <f>P303/365+input!$K$2</f>
        <v>2.8246575342465752</v>
      </c>
      <c r="R303" s="4">
        <f t="shared" si="115"/>
        <v>38.954222752098026</v>
      </c>
      <c r="S303" s="10">
        <f t="shared" si="116"/>
        <v>99.654005739071408</v>
      </c>
      <c r="T303" s="20">
        <f>input!C302</f>
        <v>0.11</v>
      </c>
      <c r="U303" s="19">
        <f t="shared" si="123"/>
        <v>0.99817847674021876</v>
      </c>
      <c r="V303" s="21">
        <f t="shared" si="124"/>
        <v>1897.1328987792367</v>
      </c>
      <c r="W303" s="21">
        <v>1396</v>
      </c>
      <c r="X303" s="3">
        <f>W303/365+input!$K$2</f>
        <v>3.8246575342465752</v>
      </c>
      <c r="Y303" s="4">
        <f t="shared" si="125"/>
        <v>39.469004015014669</v>
      </c>
      <c r="Z303" s="10">
        <f t="shared" si="117"/>
        <v>103.98435971907008</v>
      </c>
      <c r="AA303" s="20">
        <f>input!D302</f>
        <v>0</v>
      </c>
      <c r="AB303" s="19">
        <f t="shared" si="126"/>
        <v>0.99866597068041085</v>
      </c>
      <c r="AC303" s="21">
        <f t="shared" si="127"/>
        <v>1956.3459956959921</v>
      </c>
      <c r="AD303" s="8">
        <f t="shared" si="128"/>
        <v>145567.0830830159</v>
      </c>
      <c r="AE303" s="8">
        <f t="shared" si="129"/>
        <v>2821.9475130338838</v>
      </c>
      <c r="AF303" s="8">
        <f t="shared" si="130"/>
        <v>10.961940631297855</v>
      </c>
      <c r="AG303" s="8">
        <f t="shared" si="131"/>
        <v>0</v>
      </c>
      <c r="AH303" s="8">
        <f t="shared" si="132"/>
        <v>49750.681405171541</v>
      </c>
      <c r="AI303" s="8">
        <f t="shared" si="133"/>
        <v>2760.650420753303</v>
      </c>
      <c r="AJ303" s="8">
        <f t="shared" si="134"/>
        <v>10.941973201465604</v>
      </c>
      <c r="AK303" s="8">
        <f t="shared" si="135"/>
        <v>0</v>
      </c>
      <c r="AL303" s="8">
        <f t="shared" si="136"/>
        <v>33092.590191528099</v>
      </c>
      <c r="AM303" s="8">
        <f t="shared" si="137"/>
        <v>4028.3888474872888</v>
      </c>
      <c r="AN303" s="8">
        <f t="shared" si="138"/>
        <v>20.758377338061166</v>
      </c>
      <c r="AO303" s="8">
        <f t="shared" si="139"/>
        <v>0</v>
      </c>
      <c r="AQ303" s="22"/>
    </row>
    <row r="304" spans="1:43">
      <c r="A304" s="1">
        <v>42031</v>
      </c>
      <c r="B304" s="5">
        <v>302</v>
      </c>
      <c r="C304" s="3">
        <f>B304/365+input!$K$2</f>
        <v>0.82739726027397265</v>
      </c>
      <c r="D304" s="4">
        <f t="shared" si="114"/>
        <v>27.492889986563757</v>
      </c>
      <c r="E304" s="10">
        <f t="shared" si="118"/>
        <v>32.223456015683595</v>
      </c>
      <c r="F304" s="20">
        <f>input!A303</f>
        <v>4516.6499999999996</v>
      </c>
      <c r="G304" s="19">
        <f t="shared" si="119"/>
        <v>0.34540283261971749</v>
      </c>
      <c r="H304" s="21">
        <f t="shared" si="120"/>
        <v>668.78279196337166</v>
      </c>
      <c r="I304" s="5">
        <v>667</v>
      </c>
      <c r="J304" s="3">
        <f>I304/365+input!$K$2</f>
        <v>1.8273972602739725</v>
      </c>
      <c r="K304" s="4">
        <f t="shared" si="140"/>
        <v>34.845716393448576</v>
      </c>
      <c r="L304" s="10">
        <f t="shared" si="141"/>
        <v>69.448375000314655</v>
      </c>
      <c r="M304" s="20">
        <f>input!B303</f>
        <v>40.049999999999997</v>
      </c>
      <c r="N304" s="19">
        <f t="shared" si="121"/>
        <v>0.97846918510504355</v>
      </c>
      <c r="O304" s="21">
        <f t="shared" si="122"/>
        <v>1460.6900494502443</v>
      </c>
      <c r="P304" s="5">
        <v>1032</v>
      </c>
      <c r="Q304" s="3">
        <f>P304/365+input!$K$2</f>
        <v>2.8273972602739725</v>
      </c>
      <c r="R304" s="4">
        <f t="shared" si="115"/>
        <v>38.962551888302343</v>
      </c>
      <c r="S304" s="10">
        <f t="shared" si="116"/>
        <v>99.723059794903321</v>
      </c>
      <c r="T304" s="20">
        <f>input!C303</f>
        <v>0.11</v>
      </c>
      <c r="U304" s="19">
        <f t="shared" si="123"/>
        <v>0.99818763101434493</v>
      </c>
      <c r="V304" s="21">
        <f t="shared" si="124"/>
        <v>1898.0826852750311</v>
      </c>
      <c r="W304" s="21">
        <v>1397</v>
      </c>
      <c r="X304" s="3">
        <f>W304/365+input!$K$2</f>
        <v>3.8273972602739725</v>
      </c>
      <c r="Y304" s="4">
        <f t="shared" si="125"/>
        <v>39.469004015014669</v>
      </c>
      <c r="Z304" s="10">
        <f t="shared" si="117"/>
        <v>103.98435971907008</v>
      </c>
      <c r="AA304" s="20">
        <f>input!D303</f>
        <v>0</v>
      </c>
      <c r="AB304" s="19">
        <f t="shared" si="126"/>
        <v>0.99866597068041085</v>
      </c>
      <c r="AC304" s="21">
        <f t="shared" si="127"/>
        <v>1956.3459956959921</v>
      </c>
      <c r="AD304" s="8">
        <f t="shared" si="128"/>
        <v>145542.07261323731</v>
      </c>
      <c r="AE304" s="8">
        <f t="shared" si="129"/>
        <v>2781.4074187626015</v>
      </c>
      <c r="AF304" s="8">
        <f t="shared" si="130"/>
        <v>10.969536577439365</v>
      </c>
      <c r="AG304" s="8">
        <f t="shared" si="131"/>
        <v>0</v>
      </c>
      <c r="AH304" s="8">
        <f t="shared" si="132"/>
        <v>50270.644145956772</v>
      </c>
      <c r="AI304" s="8">
        <f t="shared" si="133"/>
        <v>2721.5214504817654</v>
      </c>
      <c r="AJ304" s="8">
        <f t="shared" si="134"/>
        <v>10.949655729559405</v>
      </c>
      <c r="AK304" s="8">
        <f t="shared" si="135"/>
        <v>0</v>
      </c>
      <c r="AL304" s="8">
        <f t="shared" si="136"/>
        <v>33620.141745730092</v>
      </c>
      <c r="AM304" s="8">
        <f t="shared" si="137"/>
        <v>3975.2993020841109</v>
      </c>
      <c r="AN304" s="8">
        <f t="shared" si="138"/>
        <v>20.783351949999243</v>
      </c>
      <c r="AO304" s="8">
        <f t="shared" si="139"/>
        <v>0</v>
      </c>
      <c r="AQ304" s="22"/>
    </row>
    <row r="305" spans="1:43">
      <c r="A305" s="1">
        <v>42032</v>
      </c>
      <c r="B305" s="5">
        <v>303</v>
      </c>
      <c r="C305" s="3">
        <f>B305/365+input!$K$2</f>
        <v>0.83013698630136989</v>
      </c>
      <c r="D305" s="4">
        <f t="shared" si="114"/>
        <v>27.519417188979396</v>
      </c>
      <c r="E305" s="10">
        <f t="shared" si="118"/>
        <v>32.324301729141396</v>
      </c>
      <c r="F305" s="20">
        <f>input!A304</f>
        <v>4511.49</v>
      </c>
      <c r="G305" s="19">
        <f t="shared" si="119"/>
        <v>0.34904647192967109</v>
      </c>
      <c r="H305" s="21">
        <f t="shared" si="120"/>
        <v>672.38728361207166</v>
      </c>
      <c r="I305" s="5">
        <v>668</v>
      </c>
      <c r="J305" s="3">
        <f>I305/365+input!$K$2</f>
        <v>1.8301369863013699</v>
      </c>
      <c r="K305" s="4">
        <f t="shared" si="140"/>
        <v>34.860568930750638</v>
      </c>
      <c r="L305" s="10">
        <f t="shared" si="141"/>
        <v>69.544329570761874</v>
      </c>
      <c r="M305" s="20">
        <f>input!B304</f>
        <v>39.74</v>
      </c>
      <c r="N305" s="19">
        <f t="shared" si="121"/>
        <v>0.97865798932255843</v>
      </c>
      <c r="O305" s="21">
        <f t="shared" si="122"/>
        <v>1462.1611076323607</v>
      </c>
      <c r="P305" s="5">
        <v>1033</v>
      </c>
      <c r="Q305" s="3">
        <f>P305/365+input!$K$2</f>
        <v>2.8301369863013699</v>
      </c>
      <c r="R305" s="4">
        <f t="shared" si="115"/>
        <v>38.970867799677116</v>
      </c>
      <c r="S305" s="10">
        <f t="shared" si="116"/>
        <v>99.792037203939927</v>
      </c>
      <c r="T305" s="20">
        <f>input!C304</f>
        <v>0.11</v>
      </c>
      <c r="U305" s="19">
        <f t="shared" si="123"/>
        <v>0.99819672493995537</v>
      </c>
      <c r="V305" s="21">
        <f t="shared" si="124"/>
        <v>1899.031234878501</v>
      </c>
      <c r="W305" s="21">
        <v>1398</v>
      </c>
      <c r="X305" s="3">
        <f>W305/365+input!$K$2</f>
        <v>3.8301369863013699</v>
      </c>
      <c r="Y305" s="4">
        <f t="shared" si="125"/>
        <v>39.469004015014669</v>
      </c>
      <c r="Z305" s="10">
        <f t="shared" si="117"/>
        <v>103.98435971907008</v>
      </c>
      <c r="AA305" s="20">
        <f>input!D304</f>
        <v>0</v>
      </c>
      <c r="AB305" s="19">
        <f t="shared" si="126"/>
        <v>0.99866597068041085</v>
      </c>
      <c r="AC305" s="21">
        <f t="shared" si="127"/>
        <v>1956.3459956959921</v>
      </c>
      <c r="AD305" s="8">
        <f t="shared" si="128"/>
        <v>145830.7640080041</v>
      </c>
      <c r="AE305" s="8">
        <f t="shared" si="129"/>
        <v>2763.691657142077</v>
      </c>
      <c r="AF305" s="8">
        <f t="shared" si="130"/>
        <v>10.977124092433392</v>
      </c>
      <c r="AG305" s="8">
        <f t="shared" si="131"/>
        <v>0</v>
      </c>
      <c r="AH305" s="8">
        <f t="shared" si="132"/>
        <v>50901.71367580229</v>
      </c>
      <c r="AI305" s="8">
        <f t="shared" si="133"/>
        <v>2704.7089202861948</v>
      </c>
      <c r="AJ305" s="8">
        <f t="shared" si="134"/>
        <v>10.957329318326492</v>
      </c>
      <c r="AK305" s="8">
        <f t="shared" si="135"/>
        <v>0</v>
      </c>
      <c r="AL305" s="8">
        <f t="shared" si="136"/>
        <v>34225.664989672143</v>
      </c>
      <c r="AM305" s="8">
        <f t="shared" si="137"/>
        <v>3954.7201907087892</v>
      </c>
      <c r="AN305" s="8">
        <f t="shared" si="138"/>
        <v>20.808310626351961</v>
      </c>
      <c r="AO305" s="8">
        <f t="shared" si="139"/>
        <v>0</v>
      </c>
      <c r="AQ305" s="22"/>
    </row>
    <row r="306" spans="1:43">
      <c r="A306" s="1">
        <v>42033</v>
      </c>
      <c r="B306" s="5">
        <v>304</v>
      </c>
      <c r="C306" s="3">
        <f>B306/365+input!$K$2</f>
        <v>0.83287671232876714</v>
      </c>
      <c r="D306" s="4">
        <f t="shared" si="114"/>
        <v>27.545902272053777</v>
      </c>
      <c r="E306" s="10">
        <f t="shared" si="118"/>
        <v>32.425204787847726</v>
      </c>
      <c r="F306" s="20">
        <f>input!A305</f>
        <v>4496.8500000000004</v>
      </c>
      <c r="G306" s="19">
        <f t="shared" si="119"/>
        <v>0.35270201024770415</v>
      </c>
      <c r="H306" s="21">
        <f t="shared" si="120"/>
        <v>675.98195006025549</v>
      </c>
      <c r="I306" s="5">
        <v>669</v>
      </c>
      <c r="J306" s="3">
        <f>I306/365+input!$K$2</f>
        <v>1.832876712328767</v>
      </c>
      <c r="K306" s="4">
        <f t="shared" si="140"/>
        <v>34.875397885502338</v>
      </c>
      <c r="L306" s="10">
        <f t="shared" si="141"/>
        <v>69.640223187748575</v>
      </c>
      <c r="M306" s="20">
        <f>input!B305</f>
        <v>39.17</v>
      </c>
      <c r="N306" s="19">
        <f t="shared" si="121"/>
        <v>0.97884487777615348</v>
      </c>
      <c r="O306" s="21">
        <f t="shared" si="122"/>
        <v>1463.6304757608684</v>
      </c>
      <c r="P306" s="5">
        <v>1034</v>
      </c>
      <c r="Q306" s="3">
        <f>P306/365+input!$K$2</f>
        <v>2.8328767123287673</v>
      </c>
      <c r="R306" s="4">
        <f t="shared" si="115"/>
        <v>38.979170507220466</v>
      </c>
      <c r="S306" s="10">
        <f t="shared" si="116"/>
        <v>99.860937991887539</v>
      </c>
      <c r="T306" s="20">
        <f>input!C305</f>
        <v>0.11</v>
      </c>
      <c r="U306" s="19">
        <f t="shared" si="123"/>
        <v>0.9982057589861445</v>
      </c>
      <c r="V306" s="21">
        <f t="shared" si="124"/>
        <v>1899.9785487186246</v>
      </c>
      <c r="W306" s="21">
        <v>1399</v>
      </c>
      <c r="X306" s="3">
        <f>W306/365+input!$K$2</f>
        <v>3.8328767123287673</v>
      </c>
      <c r="Y306" s="4">
        <f t="shared" si="125"/>
        <v>39.469004015014669</v>
      </c>
      <c r="Z306" s="10">
        <f t="shared" si="117"/>
        <v>103.98435971907008</v>
      </c>
      <c r="AA306" s="20">
        <f>input!D305</f>
        <v>0</v>
      </c>
      <c r="AB306" s="19">
        <f t="shared" si="126"/>
        <v>0.99866597068041085</v>
      </c>
      <c r="AC306" s="21">
        <f t="shared" si="127"/>
        <v>1956.3459956959921</v>
      </c>
      <c r="AD306" s="8">
        <f t="shared" si="128"/>
        <v>145811.28215023305</v>
      </c>
      <c r="AE306" s="8">
        <f t="shared" si="129"/>
        <v>2727.8075422641118</v>
      </c>
      <c r="AF306" s="8">
        <f t="shared" si="130"/>
        <v>10.98470317910763</v>
      </c>
      <c r="AG306" s="8">
        <f t="shared" si="131"/>
        <v>0</v>
      </c>
      <c r="AH306" s="8">
        <f t="shared" si="132"/>
        <v>51427.932331182375</v>
      </c>
      <c r="AI306" s="8">
        <f t="shared" si="133"/>
        <v>2670.1004403043839</v>
      </c>
      <c r="AJ306" s="8">
        <f t="shared" si="134"/>
        <v>10.964993974138645</v>
      </c>
      <c r="AK306" s="8">
        <f t="shared" si="135"/>
        <v>0</v>
      </c>
      <c r="AL306" s="8">
        <f t="shared" si="136"/>
        <v>34764.353984799527</v>
      </c>
      <c r="AM306" s="8">
        <f t="shared" si="137"/>
        <v>3908.0403777720098</v>
      </c>
      <c r="AN306" s="8">
        <f t="shared" si="138"/>
        <v>20.833253337692408</v>
      </c>
      <c r="AO306" s="8">
        <f t="shared" si="139"/>
        <v>0</v>
      </c>
      <c r="AQ306" s="22"/>
    </row>
    <row r="307" spans="1:43">
      <c r="A307" s="1">
        <v>42034</v>
      </c>
      <c r="B307" s="5">
        <v>305</v>
      </c>
      <c r="C307" s="3">
        <f>B307/365+input!$K$2</f>
        <v>0.83561643835616439</v>
      </c>
      <c r="D307" s="4">
        <f t="shared" si="114"/>
        <v>27.57234530266312</v>
      </c>
      <c r="E307" s="10">
        <f t="shared" si="118"/>
        <v>32.526164669452527</v>
      </c>
      <c r="F307" s="20">
        <f>input!A306</f>
        <v>4492.09</v>
      </c>
      <c r="G307" s="19">
        <f t="shared" si="119"/>
        <v>0.35636902822214001</v>
      </c>
      <c r="H307" s="21">
        <f t="shared" si="120"/>
        <v>679.56668793062988</v>
      </c>
      <c r="I307" s="5">
        <v>670</v>
      </c>
      <c r="J307" s="3">
        <f>I307/365+input!$K$2</f>
        <v>1.8356164383561644</v>
      </c>
      <c r="K307" s="4">
        <f t="shared" si="140"/>
        <v>34.890203295147543</v>
      </c>
      <c r="L307" s="10">
        <f t="shared" si="141"/>
        <v>69.736055706096778</v>
      </c>
      <c r="M307" s="20">
        <f>input!B306</f>
        <v>38.85</v>
      </c>
      <c r="N307" s="19">
        <f t="shared" si="121"/>
        <v>0.97902987181275281</v>
      </c>
      <c r="O307" s="21">
        <f t="shared" si="122"/>
        <v>1465.0981570769327</v>
      </c>
      <c r="P307" s="5">
        <v>1035</v>
      </c>
      <c r="Q307" s="3">
        <f>P307/365+input!$K$2</f>
        <v>2.8356164383561642</v>
      </c>
      <c r="R307" s="4">
        <f t="shared" si="115"/>
        <v>38.98746003189715</v>
      </c>
      <c r="S307" s="10">
        <f t="shared" si="116"/>
        <v>99.929762184675468</v>
      </c>
      <c r="T307" s="20">
        <f>input!C306</f>
        <v>0.11</v>
      </c>
      <c r="U307" s="19">
        <f t="shared" si="123"/>
        <v>0.99821473361787083</v>
      </c>
      <c r="V307" s="21">
        <f t="shared" si="124"/>
        <v>1900.9246279250624</v>
      </c>
      <c r="W307" s="21">
        <v>1400</v>
      </c>
      <c r="X307" s="3">
        <f>W307/365+input!$K$2</f>
        <v>3.8356164383561642</v>
      </c>
      <c r="Y307" s="4">
        <f t="shared" si="125"/>
        <v>39.469004015014669</v>
      </c>
      <c r="Z307" s="10">
        <f t="shared" si="117"/>
        <v>103.98435971907008</v>
      </c>
      <c r="AA307" s="20">
        <f>input!D306</f>
        <v>0</v>
      </c>
      <c r="AB307" s="19">
        <f t="shared" si="126"/>
        <v>0.99866597068041085</v>
      </c>
      <c r="AC307" s="21">
        <f t="shared" si="127"/>
        <v>1956.3459956959921</v>
      </c>
      <c r="AD307" s="8">
        <f t="shared" si="128"/>
        <v>146110.45905000099</v>
      </c>
      <c r="AE307" s="8">
        <f t="shared" si="129"/>
        <v>2709.2457641818601</v>
      </c>
      <c r="AF307" s="8">
        <f t="shared" si="130"/>
        <v>10.992273840314301</v>
      </c>
      <c r="AG307" s="8">
        <f t="shared" si="131"/>
        <v>0</v>
      </c>
      <c r="AH307" s="8">
        <f t="shared" si="132"/>
        <v>52069.242304739637</v>
      </c>
      <c r="AI307" s="8">
        <f t="shared" si="133"/>
        <v>2652.4325332162098</v>
      </c>
      <c r="AJ307" s="8">
        <f t="shared" si="134"/>
        <v>10.972649703364029</v>
      </c>
      <c r="AK307" s="8">
        <f t="shared" si="135"/>
        <v>0</v>
      </c>
      <c r="AL307" s="8">
        <f t="shared" si="136"/>
        <v>35384.522536089353</v>
      </c>
      <c r="AM307" s="8">
        <f t="shared" si="137"/>
        <v>3886.074016185969</v>
      </c>
      <c r="AN307" s="8">
        <f t="shared" si="138"/>
        <v>20.858180054719313</v>
      </c>
      <c r="AO307" s="8">
        <f t="shared" si="139"/>
        <v>0</v>
      </c>
      <c r="AQ307" s="22"/>
    </row>
    <row r="308" spans="1:43">
      <c r="A308" s="1">
        <v>42035</v>
      </c>
      <c r="B308" s="5">
        <v>306</v>
      </c>
      <c r="C308" s="3">
        <f>B308/365+input!$K$2</f>
        <v>0.83835616438356164</v>
      </c>
      <c r="D308" s="4">
        <f t="shared" si="114"/>
        <v>27.598746347577457</v>
      </c>
      <c r="E308" s="10">
        <f t="shared" si="118"/>
        <v>32.62718085263262</v>
      </c>
      <c r="F308" s="20">
        <f>input!A307</f>
        <v>4475.12</v>
      </c>
      <c r="G308" s="19">
        <f t="shared" si="119"/>
        <v>0.36004710237370452</v>
      </c>
      <c r="H308" s="21">
        <f t="shared" si="120"/>
        <v>683.14139708633252</v>
      </c>
      <c r="I308" s="5">
        <v>671</v>
      </c>
      <c r="J308" s="3">
        <f>I308/365+input!$K$2</f>
        <v>1.8383561643835618</v>
      </c>
      <c r="K308" s="4">
        <f t="shared" si="140"/>
        <v>34.904985197070701</v>
      </c>
      <c r="L308" s="10">
        <f t="shared" si="141"/>
        <v>69.831826981403367</v>
      </c>
      <c r="M308" s="20">
        <f>input!B307</f>
        <v>38.29</v>
      </c>
      <c r="N308" s="19">
        <f t="shared" si="121"/>
        <v>0.9792129925282127</v>
      </c>
      <c r="O308" s="21">
        <f t="shared" si="122"/>
        <v>1466.5641547742412</v>
      </c>
      <c r="P308" s="5">
        <v>1036</v>
      </c>
      <c r="Q308" s="3">
        <f>P308/365+input!$K$2</f>
        <v>2.8383561643835615</v>
      </c>
      <c r="R308" s="4">
        <f t="shared" si="115"/>
        <v>38.995736394638655</v>
      </c>
      <c r="S308" s="10">
        <f t="shared" si="116"/>
        <v>99.998509808454841</v>
      </c>
      <c r="T308" s="20">
        <f>input!C307</f>
        <v>0.1</v>
      </c>
      <c r="U308" s="19">
        <f t="shared" si="123"/>
        <v>0.99822364929599772</v>
      </c>
      <c r="V308" s="21">
        <f t="shared" si="124"/>
        <v>1901.8694736281227</v>
      </c>
      <c r="W308" s="21">
        <v>1401</v>
      </c>
      <c r="X308" s="3">
        <f>W308/365+input!$K$2</f>
        <v>3.8383561643835615</v>
      </c>
      <c r="Y308" s="4">
        <f t="shared" si="125"/>
        <v>39.469004015014669</v>
      </c>
      <c r="Z308" s="10">
        <f t="shared" si="117"/>
        <v>103.98435971907008</v>
      </c>
      <c r="AA308" s="20">
        <f>input!D307</f>
        <v>0</v>
      </c>
      <c r="AB308" s="19">
        <f t="shared" si="126"/>
        <v>0.99866597068041085</v>
      </c>
      <c r="AC308" s="21">
        <f t="shared" si="127"/>
        <v>1956.3459956959921</v>
      </c>
      <c r="AD308" s="8">
        <f t="shared" si="128"/>
        <v>146010.54957723329</v>
      </c>
      <c r="AE308" s="8">
        <f t="shared" si="129"/>
        <v>2673.860655117935</v>
      </c>
      <c r="AF308" s="8">
        <f t="shared" si="130"/>
        <v>9.9998509808454852</v>
      </c>
      <c r="AG308" s="8">
        <f t="shared" si="131"/>
        <v>0</v>
      </c>
      <c r="AH308" s="8">
        <f t="shared" si="132"/>
        <v>52570.675291274973</v>
      </c>
      <c r="AI308" s="8">
        <f t="shared" si="133"/>
        <v>2618.2790937014806</v>
      </c>
      <c r="AJ308" s="8">
        <f t="shared" si="134"/>
        <v>9.9820877385157427</v>
      </c>
      <c r="AK308" s="8">
        <f t="shared" si="135"/>
        <v>0</v>
      </c>
      <c r="AL308" s="8">
        <f t="shared" si="136"/>
        <v>35913.204564253523</v>
      </c>
      <c r="AM308" s="8">
        <f t="shared" si="137"/>
        <v>3839.8742660173784</v>
      </c>
      <c r="AN308" s="8">
        <f t="shared" si="138"/>
        <v>18.984627952960672</v>
      </c>
      <c r="AO308" s="8">
        <f t="shared" si="139"/>
        <v>0</v>
      </c>
      <c r="AQ308" s="22"/>
    </row>
    <row r="309" spans="1:43">
      <c r="A309" s="1">
        <v>42036</v>
      </c>
      <c r="B309" s="5">
        <v>307</v>
      </c>
      <c r="C309" s="3">
        <f>B309/365+input!$K$2</f>
        <v>0.84109589041095889</v>
      </c>
      <c r="D309" s="4">
        <f t="shared" si="114"/>
        <v>27.625105473460803</v>
      </c>
      <c r="E309" s="10">
        <f t="shared" si="118"/>
        <v>32.728252817094493</v>
      </c>
      <c r="F309" s="20">
        <f>input!A308</f>
        <v>4472.05</v>
      </c>
      <c r="G309" s="19">
        <f t="shared" si="119"/>
        <v>0.36373580529540406</v>
      </c>
      <c r="H309" s="21">
        <f t="shared" si="120"/>
        <v>686.70598060883344</v>
      </c>
      <c r="I309" s="5">
        <v>672</v>
      </c>
      <c r="J309" s="3">
        <f>I309/365+input!$K$2</f>
        <v>1.8410958904109589</v>
      </c>
      <c r="K309" s="4">
        <f t="shared" si="140"/>
        <v>34.919743628596883</v>
      </c>
      <c r="L309" s="10">
        <f t="shared" si="141"/>
        <v>69.9275368700375</v>
      </c>
      <c r="M309" s="20">
        <f>input!B308</f>
        <v>38.01</v>
      </c>
      <c r="N309" s="19">
        <f t="shared" si="121"/>
        <v>0.97939426077029079</v>
      </c>
      <c r="O309" s="21">
        <f t="shared" si="122"/>
        <v>1468.0284719998256</v>
      </c>
      <c r="P309" s="5">
        <v>1037</v>
      </c>
      <c r="Q309" s="3">
        <f>P309/365+input!$K$2</f>
        <v>2.8410958904109589</v>
      </c>
      <c r="R309" s="4">
        <f t="shared" si="115"/>
        <v>39.003999616343229</v>
      </c>
      <c r="S309" s="10">
        <f t="shared" si="116"/>
        <v>100.0671808895969</v>
      </c>
      <c r="T309" s="20">
        <f>input!C308</f>
        <v>0.1</v>
      </c>
      <c r="U309" s="19">
        <f t="shared" si="123"/>
        <v>0.99823250647733264</v>
      </c>
      <c r="V309" s="21">
        <f t="shared" si="124"/>
        <v>1902.8130869587785</v>
      </c>
      <c r="W309" s="21">
        <v>1402</v>
      </c>
      <c r="X309" s="3">
        <f>W309/365+input!$K$2</f>
        <v>3.8410958904109589</v>
      </c>
      <c r="Y309" s="4">
        <f t="shared" si="125"/>
        <v>39.469004015014669</v>
      </c>
      <c r="Z309" s="10">
        <f t="shared" si="117"/>
        <v>103.98435971907008</v>
      </c>
      <c r="AA309" s="20">
        <f>input!D308</f>
        <v>0</v>
      </c>
      <c r="AB309" s="19">
        <f t="shared" si="126"/>
        <v>0.99866597068041085</v>
      </c>
      <c r="AC309" s="21">
        <f t="shared" si="127"/>
        <v>1956.3459956959921</v>
      </c>
      <c r="AD309" s="8">
        <f t="shared" si="128"/>
        <v>146362.38301068742</v>
      </c>
      <c r="AE309" s="8">
        <f t="shared" si="129"/>
        <v>2657.9456764301253</v>
      </c>
      <c r="AF309" s="8">
        <f t="shared" si="130"/>
        <v>10.006718088959691</v>
      </c>
      <c r="AG309" s="8">
        <f t="shared" si="131"/>
        <v>0</v>
      </c>
      <c r="AH309" s="8">
        <f t="shared" si="132"/>
        <v>53237.239249346756</v>
      </c>
      <c r="AI309" s="8">
        <f t="shared" si="133"/>
        <v>2603.1767409348731</v>
      </c>
      <c r="AJ309" s="8">
        <f t="shared" si="134"/>
        <v>9.989031279554295</v>
      </c>
      <c r="AK309" s="8">
        <f t="shared" si="135"/>
        <v>0</v>
      </c>
      <c r="AL309" s="8">
        <f t="shared" si="136"/>
        <v>36558.330583629744</v>
      </c>
      <c r="AM309" s="8">
        <f t="shared" si="137"/>
        <v>3821.5375733401079</v>
      </c>
      <c r="AN309" s="8">
        <f t="shared" si="138"/>
        <v>19.007259444776505</v>
      </c>
      <c r="AO309" s="8">
        <f t="shared" si="139"/>
        <v>0</v>
      </c>
      <c r="AQ309" s="22"/>
    </row>
    <row r="310" spans="1:43">
      <c r="A310" s="1">
        <v>42037</v>
      </c>
      <c r="B310" s="5">
        <v>308</v>
      </c>
      <c r="C310" s="3">
        <f>B310/365+input!$K$2</f>
        <v>0.84383561643835614</v>
      </c>
      <c r="D310" s="4">
        <f t="shared" si="114"/>
        <v>27.651422746871326</v>
      </c>
      <c r="E310" s="10">
        <f t="shared" si="118"/>
        <v>32.829380043577359</v>
      </c>
      <c r="F310" s="20">
        <f>input!A309</f>
        <v>4459.32</v>
      </c>
      <c r="G310" s="19">
        <f t="shared" si="119"/>
        <v>0.36743470585565408</v>
      </c>
      <c r="H310" s="21">
        <f t="shared" si="120"/>
        <v>690.26034477500195</v>
      </c>
      <c r="I310" s="5">
        <v>673</v>
      </c>
      <c r="J310" s="3">
        <f>I310/365+input!$K$2</f>
        <v>1.8438356164383563</v>
      </c>
      <c r="K310" s="4">
        <f t="shared" si="140"/>
        <v>34.93447862699189</v>
      </c>
      <c r="L310" s="10">
        <f t="shared" si="141"/>
        <v>70.023185229139003</v>
      </c>
      <c r="M310" s="20">
        <f>input!B309</f>
        <v>37.46</v>
      </c>
      <c r="N310" s="19">
        <f t="shared" si="121"/>
        <v>0.97957369714158238</v>
      </c>
      <c r="O310" s="21">
        <f t="shared" si="122"/>
        <v>1469.4911118548696</v>
      </c>
      <c r="P310" s="5">
        <v>1038</v>
      </c>
      <c r="Q310" s="3">
        <f>P310/365+input!$K$2</f>
        <v>2.8438356164383563</v>
      </c>
      <c r="R310" s="4">
        <f t="shared" si="115"/>
        <v>39.012249717875939</v>
      </c>
      <c r="S310" s="10">
        <f t="shared" si="116"/>
        <v>100.13577545469406</v>
      </c>
      <c r="T310" s="20">
        <f>input!C309</f>
        <v>0.1</v>
      </c>
      <c r="U310" s="19">
        <f t="shared" si="123"/>
        <v>0.99824130561466673</v>
      </c>
      <c r="V310" s="21">
        <f t="shared" si="124"/>
        <v>1903.7554690486591</v>
      </c>
      <c r="W310" s="21">
        <v>1403</v>
      </c>
      <c r="X310" s="3">
        <f>W310/365+input!$K$2</f>
        <v>3.8438356164383563</v>
      </c>
      <c r="Y310" s="4">
        <f t="shared" si="125"/>
        <v>39.469004015014669</v>
      </c>
      <c r="Z310" s="10">
        <f t="shared" si="117"/>
        <v>103.98435971907008</v>
      </c>
      <c r="AA310" s="20">
        <f>input!D309</f>
        <v>0</v>
      </c>
      <c r="AB310" s="19">
        <f t="shared" si="126"/>
        <v>0.99866597068041085</v>
      </c>
      <c r="AC310" s="21">
        <f t="shared" si="127"/>
        <v>1956.3459956959921</v>
      </c>
      <c r="AD310" s="8">
        <f t="shared" si="128"/>
        <v>146396.71101592539</v>
      </c>
      <c r="AE310" s="8">
        <f t="shared" si="129"/>
        <v>2623.0685186835472</v>
      </c>
      <c r="AF310" s="8">
        <f t="shared" si="130"/>
        <v>10.013577545469406</v>
      </c>
      <c r="AG310" s="8">
        <f t="shared" si="131"/>
        <v>0</v>
      </c>
      <c r="AH310" s="8">
        <f t="shared" si="132"/>
        <v>53791.232450371739</v>
      </c>
      <c r="AI310" s="8">
        <f t="shared" si="133"/>
        <v>2569.488926702536</v>
      </c>
      <c r="AJ310" s="8">
        <f t="shared" si="134"/>
        <v>9.9959667228630895</v>
      </c>
      <c r="AK310" s="8">
        <f t="shared" si="135"/>
        <v>0</v>
      </c>
      <c r="AL310" s="8">
        <f t="shared" si="136"/>
        <v>37129.954657065871</v>
      </c>
      <c r="AM310" s="8">
        <f t="shared" si="137"/>
        <v>3775.8411397988853</v>
      </c>
      <c r="AN310" s="8">
        <f t="shared" si="138"/>
        <v>19.029876317079008</v>
      </c>
      <c r="AO310" s="8">
        <f t="shared" si="139"/>
        <v>0</v>
      </c>
      <c r="AQ310" s="22"/>
    </row>
    <row r="311" spans="1:43">
      <c r="A311" s="1">
        <v>42038</v>
      </c>
      <c r="B311" s="5">
        <v>309</v>
      </c>
      <c r="C311" s="3">
        <f>B311/365+input!$K$2</f>
        <v>0.84657534246575339</v>
      </c>
      <c r="D311" s="4">
        <f t="shared" si="114"/>
        <v>27.677698234261509</v>
      </c>
      <c r="E311" s="10">
        <f t="shared" si="118"/>
        <v>32.930562013855635</v>
      </c>
      <c r="F311" s="20">
        <f>input!A310</f>
        <v>4455.45</v>
      </c>
      <c r="G311" s="19">
        <f t="shared" si="119"/>
        <v>0.37114336940446424</v>
      </c>
      <c r="H311" s="21">
        <f t="shared" si="120"/>
        <v>693.80439903334729</v>
      </c>
      <c r="I311" s="5">
        <v>674</v>
      </c>
      <c r="J311" s="3">
        <f>I311/365+input!$K$2</f>
        <v>1.8465753424657534</v>
      </c>
      <c r="K311" s="4">
        <f t="shared" si="140"/>
        <v>34.94919022946236</v>
      </c>
      <c r="L311" s="10">
        <f t="shared" si="141"/>
        <v>70.118771916616964</v>
      </c>
      <c r="M311" s="20">
        <f>input!B310</f>
        <v>37.18</v>
      </c>
      <c r="N311" s="19">
        <f t="shared" si="121"/>
        <v>0.97975132200242809</v>
      </c>
      <c r="O311" s="21">
        <f t="shared" si="122"/>
        <v>1470.9520773954996</v>
      </c>
      <c r="P311" s="5">
        <v>1039</v>
      </c>
      <c r="Q311" s="3">
        <f>P311/365+input!$K$2</f>
        <v>2.8465753424657536</v>
      </c>
      <c r="R311" s="4">
        <f t="shared" si="115"/>
        <v>39.020486720068718</v>
      </c>
      <c r="S311" s="10">
        <f t="shared" si="116"/>
        <v>100.20429353055657</v>
      </c>
      <c r="T311" s="20">
        <f>input!C310</f>
        <v>0.1</v>
      </c>
      <c r="U311" s="19">
        <f t="shared" si="123"/>
        <v>0.99825004715681465</v>
      </c>
      <c r="V311" s="21">
        <f t="shared" si="124"/>
        <v>1904.6966210300184</v>
      </c>
      <c r="W311" s="21">
        <v>1404</v>
      </c>
      <c r="X311" s="3">
        <f>W311/365+input!$K$2</f>
        <v>3.8465753424657536</v>
      </c>
      <c r="Y311" s="4">
        <f t="shared" si="125"/>
        <v>39.469004015014669</v>
      </c>
      <c r="Z311" s="10">
        <f t="shared" si="117"/>
        <v>103.98435971907008</v>
      </c>
      <c r="AA311" s="20">
        <f>input!D310</f>
        <v>0</v>
      </c>
      <c r="AB311" s="19">
        <f t="shared" si="126"/>
        <v>0.99866597068041085</v>
      </c>
      <c r="AC311" s="21">
        <f t="shared" si="127"/>
        <v>1956.3459956959921</v>
      </c>
      <c r="AD311" s="8">
        <f t="shared" si="128"/>
        <v>146720.47252463308</v>
      </c>
      <c r="AE311" s="8">
        <f t="shared" si="129"/>
        <v>2607.0159398598189</v>
      </c>
      <c r="AF311" s="8">
        <f t="shared" si="130"/>
        <v>10.020429353055658</v>
      </c>
      <c r="AG311" s="8">
        <f t="shared" si="131"/>
        <v>0</v>
      </c>
      <c r="AH311" s="8">
        <f t="shared" si="132"/>
        <v>54454.330533407439</v>
      </c>
      <c r="AI311" s="8">
        <f t="shared" si="133"/>
        <v>2554.2273135590603</v>
      </c>
      <c r="AJ311" s="8">
        <f t="shared" si="134"/>
        <v>10.00289407421934</v>
      </c>
      <c r="AK311" s="8">
        <f t="shared" si="135"/>
        <v>0</v>
      </c>
      <c r="AL311" s="8">
        <f t="shared" si="136"/>
        <v>37780.654070494005</v>
      </c>
      <c r="AM311" s="8">
        <f t="shared" si="137"/>
        <v>3757.1459730200258</v>
      </c>
      <c r="AN311" s="8">
        <f t="shared" si="138"/>
        <v>19.052478543686771</v>
      </c>
      <c r="AO311" s="8">
        <f t="shared" si="139"/>
        <v>0</v>
      </c>
      <c r="AQ311" s="22"/>
    </row>
    <row r="312" spans="1:43">
      <c r="A312" s="1">
        <v>42039</v>
      </c>
      <c r="B312" s="5">
        <v>310</v>
      </c>
      <c r="C312" s="3">
        <f>B312/365+input!$K$2</f>
        <v>0.84931506849315064</v>
      </c>
      <c r="D312" s="4">
        <f t="shared" si="114"/>
        <v>27.703932001978341</v>
      </c>
      <c r="E312" s="10">
        <f t="shared" si="118"/>
        <v>33.031798210741989</v>
      </c>
      <c r="F312" s="20">
        <f>input!A311</f>
        <v>4442.45</v>
      </c>
      <c r="G312" s="19">
        <f t="shared" si="119"/>
        <v>0.3748613579824665</v>
      </c>
      <c r="H312" s="21">
        <f t="shared" si="120"/>
        <v>697.33805597948185</v>
      </c>
      <c r="I312" s="5">
        <v>675</v>
      </c>
      <c r="J312" s="3">
        <f>I312/365+input!$K$2</f>
        <v>1.8493150684931507</v>
      </c>
      <c r="K312" s="4">
        <f t="shared" si="140"/>
        <v>34.963878473155873</v>
      </c>
      <c r="L312" s="10">
        <f t="shared" si="141"/>
        <v>70.214296791146936</v>
      </c>
      <c r="M312" s="20">
        <f>input!B311</f>
        <v>36.69</v>
      </c>
      <c r="N312" s="19">
        <f t="shared" si="121"/>
        <v>0.97992715547378606</v>
      </c>
      <c r="O312" s="21">
        <f t="shared" si="122"/>
        <v>1472.4113716335776</v>
      </c>
      <c r="P312" s="5">
        <v>1040</v>
      </c>
      <c r="Q312" s="3">
        <f>P312/365+input!$K$2</f>
        <v>2.8493150684931505</v>
      </c>
      <c r="R312" s="4">
        <f t="shared" si="115"/>
        <v>39.02871064372043</v>
      </c>
      <c r="S312" s="10">
        <f t="shared" si="116"/>
        <v>100.2727351442125</v>
      </c>
      <c r="T312" s="20">
        <f>input!C311</f>
        <v>0.1</v>
      </c>
      <c r="U312" s="19">
        <f t="shared" si="123"/>
        <v>0.99825873154865219</v>
      </c>
      <c r="V312" s="21">
        <f t="shared" si="124"/>
        <v>1905.636544035754</v>
      </c>
      <c r="W312" s="21">
        <v>1405</v>
      </c>
      <c r="X312" s="3">
        <f>W312/365+input!$K$2</f>
        <v>3.8493150684931505</v>
      </c>
      <c r="Y312" s="4">
        <f t="shared" si="125"/>
        <v>39.469004015014669</v>
      </c>
      <c r="Z312" s="10">
        <f t="shared" si="117"/>
        <v>103.98435971907008</v>
      </c>
      <c r="AA312" s="20">
        <f>input!D311</f>
        <v>0</v>
      </c>
      <c r="AB312" s="19">
        <f t="shared" si="126"/>
        <v>0.99866597068041085</v>
      </c>
      <c r="AC312" s="21">
        <f t="shared" si="127"/>
        <v>1956.3459956959921</v>
      </c>
      <c r="AD312" s="8">
        <f t="shared" si="128"/>
        <v>146742.11196131076</v>
      </c>
      <c r="AE312" s="8">
        <f t="shared" si="129"/>
        <v>2576.162549267181</v>
      </c>
      <c r="AF312" s="8">
        <f t="shared" si="130"/>
        <v>10.027273514421251</v>
      </c>
      <c r="AG312" s="8">
        <f t="shared" si="131"/>
        <v>0</v>
      </c>
      <c r="AH312" s="8">
        <f t="shared" si="132"/>
        <v>55007.947363032094</v>
      </c>
      <c r="AI312" s="8">
        <f t="shared" si="133"/>
        <v>2524.4516389414857</v>
      </c>
      <c r="AJ312" s="8">
        <f t="shared" si="134"/>
        <v>10.009813339397555</v>
      </c>
      <c r="AK312" s="8">
        <f t="shared" si="135"/>
        <v>0</v>
      </c>
      <c r="AL312" s="8">
        <f t="shared" si="136"/>
        <v>38359.135077558465</v>
      </c>
      <c r="AM312" s="8">
        <f t="shared" si="137"/>
        <v>3717.0313003164661</v>
      </c>
      <c r="AN312" s="8">
        <f t="shared" si="138"/>
        <v>19.075066098532545</v>
      </c>
      <c r="AO312" s="8">
        <f t="shared" si="139"/>
        <v>0</v>
      </c>
      <c r="AQ312" s="22"/>
    </row>
    <row r="313" spans="1:43">
      <c r="A313" s="1">
        <v>42040</v>
      </c>
      <c r="B313" s="5">
        <v>311</v>
      </c>
      <c r="C313" s="3">
        <f>B313/365+input!$K$2</f>
        <v>0.852054794520548</v>
      </c>
      <c r="D313" s="4">
        <f t="shared" si="114"/>
        <v>27.73012411626344</v>
      </c>
      <c r="E313" s="10">
        <f t="shared" si="118"/>
        <v>33.133088118089965</v>
      </c>
      <c r="F313" s="20">
        <f>input!A312</f>
        <v>4439.41</v>
      </c>
      <c r="G313" s="19">
        <f t="shared" si="119"/>
        <v>0.37858823053256391</v>
      </c>
      <c r="H313" s="21">
        <f t="shared" si="120"/>
        <v>700.86123133080469</v>
      </c>
      <c r="I313" s="5">
        <v>676</v>
      </c>
      <c r="J313" s="3">
        <f>I313/365+input!$K$2</f>
        <v>1.8520547945205479</v>
      </c>
      <c r="K313" s="4">
        <f t="shared" si="140"/>
        <v>34.97854339516099</v>
      </c>
      <c r="L313" s="10">
        <f t="shared" si="141"/>
        <v>70.30975971216958</v>
      </c>
      <c r="M313" s="20">
        <f>input!B312</f>
        <v>36.42</v>
      </c>
      <c r="N313" s="19">
        <f t="shared" si="121"/>
        <v>0.98010121744007384</v>
      </c>
      <c r="O313" s="21">
        <f t="shared" si="122"/>
        <v>1473.8689975374627</v>
      </c>
      <c r="P313" s="5">
        <v>1041</v>
      </c>
      <c r="Q313" s="3">
        <f>P313/365+input!$K$2</f>
        <v>2.8520547945205479</v>
      </c>
      <c r="R313" s="4">
        <f t="shared" si="115"/>
        <v>39.036921509596901</v>
      </c>
      <c r="S313" s="10">
        <f t="shared" si="116"/>
        <v>100.34110032290702</v>
      </c>
      <c r="T313" s="20">
        <f>input!C312</f>
        <v>0.1</v>
      </c>
      <c r="U313" s="19">
        <f t="shared" si="123"/>
        <v>0.9982673592311555</v>
      </c>
      <c r="V313" s="21">
        <f t="shared" si="124"/>
        <v>1906.5752391993972</v>
      </c>
      <c r="W313" s="21">
        <v>1406</v>
      </c>
      <c r="X313" s="3">
        <f>W313/365+input!$K$2</f>
        <v>3.8520547945205479</v>
      </c>
      <c r="Y313" s="4">
        <f t="shared" si="125"/>
        <v>39.469004015014669</v>
      </c>
      <c r="Z313" s="10">
        <f t="shared" si="117"/>
        <v>103.98435971907008</v>
      </c>
      <c r="AA313" s="20">
        <f>input!D312</f>
        <v>0</v>
      </c>
      <c r="AB313" s="19">
        <f t="shared" si="126"/>
        <v>0.99866597068041085</v>
      </c>
      <c r="AC313" s="21">
        <f t="shared" si="127"/>
        <v>1956.3459956959921</v>
      </c>
      <c r="AD313" s="8">
        <f t="shared" si="128"/>
        <v>147091.36272232977</v>
      </c>
      <c r="AE313" s="8">
        <f t="shared" si="129"/>
        <v>2560.6814487172164</v>
      </c>
      <c r="AF313" s="8">
        <f t="shared" si="130"/>
        <v>10.034110032290704</v>
      </c>
      <c r="AG313" s="8">
        <f t="shared" si="131"/>
        <v>0</v>
      </c>
      <c r="AH313" s="8">
        <f t="shared" si="132"/>
        <v>55687.058739670356</v>
      </c>
      <c r="AI313" s="8">
        <f t="shared" si="133"/>
        <v>2509.7270053639559</v>
      </c>
      <c r="AJ313" s="8">
        <f t="shared" si="134"/>
        <v>10.016724524169685</v>
      </c>
      <c r="AK313" s="8">
        <f t="shared" si="135"/>
        <v>0</v>
      </c>
      <c r="AL313" s="8">
        <f t="shared" si="136"/>
        <v>39028.900557476212</v>
      </c>
      <c r="AM313" s="8">
        <f t="shared" si="137"/>
        <v>3699.0088254884718</v>
      </c>
      <c r="AN313" s="8">
        <f t="shared" si="138"/>
        <v>19.097638955663285</v>
      </c>
      <c r="AO313" s="8">
        <f t="shared" si="139"/>
        <v>0</v>
      </c>
      <c r="AQ313" s="22"/>
    </row>
    <row r="314" spans="1:43">
      <c r="A314" s="1">
        <v>42041</v>
      </c>
      <c r="B314" s="5">
        <v>312</v>
      </c>
      <c r="C314" s="3">
        <f>B314/365+input!$K$2</f>
        <v>0.85479452054794525</v>
      </c>
      <c r="D314" s="4">
        <f t="shared" si="114"/>
        <v>27.756274643253256</v>
      </c>
      <c r="E314" s="10">
        <f t="shared" si="118"/>
        <v>33.234431220796573</v>
      </c>
      <c r="F314" s="20">
        <f>input!A313</f>
        <v>4425.38</v>
      </c>
      <c r="G314" s="19">
        <f t="shared" si="119"/>
        <v>0.38232354311399885</v>
      </c>
      <c r="H314" s="21">
        <f t="shared" si="120"/>
        <v>704.37384390046293</v>
      </c>
      <c r="I314" s="5">
        <v>677</v>
      </c>
      <c r="J314" s="3">
        <f>I314/365+input!$K$2</f>
        <v>1.8547945205479452</v>
      </c>
      <c r="K314" s="4">
        <f t="shared" si="140"/>
        <v>34.993185032507412</v>
      </c>
      <c r="L314" s="10">
        <f t="shared" si="141"/>
        <v>70.405160539888428</v>
      </c>
      <c r="M314" s="20">
        <f>input!B313</f>
        <v>35.92</v>
      </c>
      <c r="N314" s="19">
        <f t="shared" si="121"/>
        <v>0.98027352755197983</v>
      </c>
      <c r="O314" s="21">
        <f t="shared" si="122"/>
        <v>1475.3249580327781</v>
      </c>
      <c r="P314" s="5">
        <v>1042</v>
      </c>
      <c r="Q314" s="3">
        <f>P314/365+input!$K$2</f>
        <v>2.8547945205479452</v>
      </c>
      <c r="R314" s="4">
        <f t="shared" si="115"/>
        <v>39.045119338431007</v>
      </c>
      <c r="S314" s="10">
        <f t="shared" si="116"/>
        <v>100.40938909410156</v>
      </c>
      <c r="T314" s="20">
        <f>input!C313</f>
        <v>0.1</v>
      </c>
      <c r="U314" s="19">
        <f t="shared" si="123"/>
        <v>0.99827593064143849</v>
      </c>
      <c r="V314" s="21">
        <f t="shared" si="124"/>
        <v>1907.5127076550923</v>
      </c>
      <c r="W314" s="21">
        <v>1407</v>
      </c>
      <c r="X314" s="3">
        <f>W314/365+input!$K$2</f>
        <v>3.8547945205479452</v>
      </c>
      <c r="Y314" s="4">
        <f t="shared" si="125"/>
        <v>39.469004015014669</v>
      </c>
      <c r="Z314" s="10">
        <f t="shared" si="117"/>
        <v>103.98435971907008</v>
      </c>
      <c r="AA314" s="20">
        <f>input!D313</f>
        <v>0</v>
      </c>
      <c r="AB314" s="19">
        <f t="shared" si="126"/>
        <v>0.99866597068041085</v>
      </c>
      <c r="AC314" s="21">
        <f t="shared" si="127"/>
        <v>1956.3459956959921</v>
      </c>
      <c r="AD314" s="8">
        <f t="shared" si="128"/>
        <v>147074.98723588875</v>
      </c>
      <c r="AE314" s="8">
        <f t="shared" si="129"/>
        <v>2528.9533665927925</v>
      </c>
      <c r="AF314" s="8">
        <f t="shared" si="130"/>
        <v>10.040938909410157</v>
      </c>
      <c r="AG314" s="8">
        <f t="shared" si="131"/>
        <v>0</v>
      </c>
      <c r="AH314" s="8">
        <f t="shared" si="132"/>
        <v>56230.230223471146</v>
      </c>
      <c r="AI314" s="8">
        <f t="shared" si="133"/>
        <v>2479.0660376843721</v>
      </c>
      <c r="AJ314" s="8">
        <f t="shared" si="134"/>
        <v>10.023627634305255</v>
      </c>
      <c r="AK314" s="8">
        <f t="shared" si="135"/>
        <v>0</v>
      </c>
      <c r="AL314" s="8">
        <f t="shared" si="136"/>
        <v>39607.103405914357</v>
      </c>
      <c r="AM314" s="8">
        <f t="shared" si="137"/>
        <v>3657.4279980071815</v>
      </c>
      <c r="AN314" s="8">
        <f t="shared" si="138"/>
        <v>19.120197089240023</v>
      </c>
      <c r="AO314" s="8">
        <f t="shared" si="139"/>
        <v>0</v>
      </c>
      <c r="AQ314" s="22"/>
    </row>
    <row r="315" spans="1:43">
      <c r="A315" s="1">
        <v>42042</v>
      </c>
      <c r="B315" s="5">
        <v>313</v>
      </c>
      <c r="C315" s="3">
        <f>B315/365+input!$K$2</f>
        <v>0.8575342465753425</v>
      </c>
      <c r="D315" s="4">
        <f t="shared" si="114"/>
        <v>27.782383648979248</v>
      </c>
      <c r="E315" s="10">
        <f t="shared" si="118"/>
        <v>33.335827004805274</v>
      </c>
      <c r="F315" s="20">
        <f>input!A314</f>
        <v>4422.3500000000004</v>
      </c>
      <c r="G315" s="19">
        <f t="shared" si="119"/>
        <v>0.38606684911860817</v>
      </c>
      <c r="H315" s="21">
        <f t="shared" si="120"/>
        <v>707.87581557060253</v>
      </c>
      <c r="I315" s="5">
        <v>678</v>
      </c>
      <c r="J315" s="3">
        <f>I315/365+input!$K$2</f>
        <v>1.8575342465753424</v>
      </c>
      <c r="K315" s="4">
        <f t="shared" si="140"/>
        <v>35.007803422166042</v>
      </c>
      <c r="L315" s="10">
        <f t="shared" si="141"/>
        <v>70.500499135268342</v>
      </c>
      <c r="M315" s="20">
        <f>input!B314</f>
        <v>35.65</v>
      </c>
      <c r="N315" s="19">
        <f t="shared" si="121"/>
        <v>0.98044410522924286</v>
      </c>
      <c r="O315" s="21">
        <f t="shared" si="122"/>
        <v>1476.7792560031637</v>
      </c>
      <c r="P315" s="5">
        <v>1043</v>
      </c>
      <c r="Q315" s="3">
        <f>P315/365+input!$K$2</f>
        <v>2.8575342465753426</v>
      </c>
      <c r="R315" s="4">
        <f t="shared" si="115"/>
        <v>39.053304150922692</v>
      </c>
      <c r="S315" s="10">
        <f t="shared" si="116"/>
        <v>100.47760148547231</v>
      </c>
      <c r="T315" s="20">
        <f>input!C314</f>
        <v>0.1</v>
      </c>
      <c r="U315" s="19">
        <f t="shared" si="123"/>
        <v>0.99828444621279044</v>
      </c>
      <c r="V315" s="21">
        <f t="shared" si="124"/>
        <v>1908.4489505376091</v>
      </c>
      <c r="W315" s="21">
        <v>1408</v>
      </c>
      <c r="X315" s="3">
        <f>W315/365+input!$K$2</f>
        <v>3.8575342465753426</v>
      </c>
      <c r="Y315" s="4">
        <f t="shared" si="125"/>
        <v>39.469004015014669</v>
      </c>
      <c r="Z315" s="10">
        <f t="shared" si="117"/>
        <v>103.98435971907008</v>
      </c>
      <c r="AA315" s="20">
        <f>input!D314</f>
        <v>0</v>
      </c>
      <c r="AB315" s="19">
        <f t="shared" si="126"/>
        <v>0.99866597068041085</v>
      </c>
      <c r="AC315" s="21">
        <f t="shared" si="127"/>
        <v>1956.3459956959921</v>
      </c>
      <c r="AD315" s="8">
        <f t="shared" si="128"/>
        <v>147422.6945547006</v>
      </c>
      <c r="AE315" s="8">
        <f t="shared" si="129"/>
        <v>2513.3427941723162</v>
      </c>
      <c r="AF315" s="8">
        <f t="shared" si="130"/>
        <v>10.047760148547232</v>
      </c>
      <c r="AG315" s="8">
        <f t="shared" si="131"/>
        <v>0</v>
      </c>
      <c r="AH315" s="8">
        <f t="shared" si="132"/>
        <v>56915.015175308254</v>
      </c>
      <c r="AI315" s="8">
        <f t="shared" si="133"/>
        <v>2464.1921269666418</v>
      </c>
      <c r="AJ315" s="8">
        <f t="shared" si="134"/>
        <v>10.030522675571419</v>
      </c>
      <c r="AK315" s="8">
        <f t="shared" si="135"/>
        <v>0</v>
      </c>
      <c r="AL315" s="8">
        <f t="shared" si="136"/>
        <v>40288.762785434548</v>
      </c>
      <c r="AM315" s="8">
        <f t="shared" si="137"/>
        <v>3639.067815910651</v>
      </c>
      <c r="AN315" s="8">
        <f t="shared" si="138"/>
        <v>19.142740473537962</v>
      </c>
      <c r="AO315" s="8">
        <f t="shared" si="139"/>
        <v>0</v>
      </c>
      <c r="AQ315" s="22"/>
    </row>
    <row r="316" spans="1:43">
      <c r="A316" s="1">
        <v>42043</v>
      </c>
      <c r="B316" s="5">
        <v>314</v>
      </c>
      <c r="C316" s="3">
        <f>B316/365+input!$K$2</f>
        <v>0.86027397260273974</v>
      </c>
      <c r="D316" s="4">
        <f t="shared" si="114"/>
        <v>27.808451199368001</v>
      </c>
      <c r="E316" s="10">
        <f t="shared" si="118"/>
        <v>33.437274957108158</v>
      </c>
      <c r="F316" s="20">
        <f>input!A315</f>
        <v>4408.6099999999997</v>
      </c>
      <c r="G316" s="19">
        <f t="shared" si="119"/>
        <v>0.38981769948903855</v>
      </c>
      <c r="H316" s="21">
        <f t="shared" si="120"/>
        <v>711.36707126492092</v>
      </c>
      <c r="I316" s="5">
        <v>679</v>
      </c>
      <c r="J316" s="3">
        <f>I316/365+input!$K$2</f>
        <v>1.8602739726027397</v>
      </c>
      <c r="K316" s="4">
        <f t="shared" si="140"/>
        <v>35.022398601049069</v>
      </c>
      <c r="L316" s="10">
        <f t="shared" si="141"/>
        <v>70.595775360033102</v>
      </c>
      <c r="M316" s="20">
        <f>input!B315</f>
        <v>35.15</v>
      </c>
      <c r="N316" s="19">
        <f t="shared" si="121"/>
        <v>0.98061296966340084</v>
      </c>
      <c r="O316" s="21">
        <f t="shared" si="122"/>
        <v>1478.2318942910108</v>
      </c>
      <c r="P316" s="5">
        <v>1044</v>
      </c>
      <c r="Q316" s="3">
        <f>P316/365+input!$K$2</f>
        <v>2.8602739726027395</v>
      </c>
      <c r="R316" s="4">
        <f t="shared" si="115"/>
        <v>39.061475967739028</v>
      </c>
      <c r="S316" s="10">
        <f t="shared" si="116"/>
        <v>100.54573752490863</v>
      </c>
      <c r="T316" s="20">
        <f>input!C315</f>
        <v>0.1</v>
      </c>
      <c r="U316" s="19">
        <f t="shared" si="123"/>
        <v>0.99829290637471302</v>
      </c>
      <c r="V316" s="21">
        <f t="shared" si="124"/>
        <v>1909.3839689823071</v>
      </c>
      <c r="W316" s="21">
        <v>1409</v>
      </c>
      <c r="X316" s="3">
        <f>W316/365+input!$K$2</f>
        <v>3.8602739726027395</v>
      </c>
      <c r="Y316" s="4">
        <f t="shared" si="125"/>
        <v>39.469004015014669</v>
      </c>
      <c r="Z316" s="10">
        <f t="shared" si="117"/>
        <v>103.98435971907008</v>
      </c>
      <c r="AA316" s="20">
        <f>input!D315</f>
        <v>0</v>
      </c>
      <c r="AB316" s="19">
        <f t="shared" si="126"/>
        <v>0.99866597068041085</v>
      </c>
      <c r="AC316" s="21">
        <f t="shared" si="127"/>
        <v>1956.3459956959921</v>
      </c>
      <c r="AD316" s="8">
        <f t="shared" si="128"/>
        <v>147411.90474865658</v>
      </c>
      <c r="AE316" s="8">
        <f t="shared" si="129"/>
        <v>2481.4415039051632</v>
      </c>
      <c r="AF316" s="8">
        <f t="shared" si="130"/>
        <v>10.054573752490864</v>
      </c>
      <c r="AG316" s="8">
        <f t="shared" si="131"/>
        <v>0</v>
      </c>
      <c r="AH316" s="8">
        <f t="shared" si="132"/>
        <v>57463.769586418588</v>
      </c>
      <c r="AI316" s="8">
        <f t="shared" si="133"/>
        <v>2433.3337221904576</v>
      </c>
      <c r="AJ316" s="8">
        <f t="shared" si="134"/>
        <v>10.037409653733009</v>
      </c>
      <c r="AK316" s="8">
        <f t="shared" si="135"/>
        <v>0</v>
      </c>
      <c r="AL316" s="8">
        <f t="shared" si="136"/>
        <v>40877.833474532825</v>
      </c>
      <c r="AM316" s="8">
        <f t="shared" si="137"/>
        <v>3597.0315175957962</v>
      </c>
      <c r="AN316" s="8">
        <f t="shared" si="138"/>
        <v>19.165269082946057</v>
      </c>
      <c r="AO316" s="8">
        <f t="shared" si="139"/>
        <v>0</v>
      </c>
      <c r="AQ316" s="22"/>
    </row>
    <row r="317" spans="1:43">
      <c r="A317" s="1">
        <v>42044</v>
      </c>
      <c r="B317" s="5">
        <v>315</v>
      </c>
      <c r="C317" s="3">
        <f>B317/365+input!$K$2</f>
        <v>0.86301369863013699</v>
      </c>
      <c r="D317" s="4">
        <f t="shared" si="114"/>
        <v>27.834477360241451</v>
      </c>
      <c r="E317" s="10">
        <f t="shared" si="118"/>
        <v>33.538774565748902</v>
      </c>
      <c r="F317" s="20">
        <f>input!A316</f>
        <v>4404.68</v>
      </c>
      <c r="G317" s="19">
        <f t="shared" si="119"/>
        <v>0.39357564293871233</v>
      </c>
      <c r="H317" s="21">
        <f t="shared" si="120"/>
        <v>714.84753892058484</v>
      </c>
      <c r="I317" s="5">
        <v>680</v>
      </c>
      <c r="J317" s="3">
        <f>I317/365+input!$K$2</f>
        <v>1.8630136986301369</v>
      </c>
      <c r="K317" s="4">
        <f t="shared" si="140"/>
        <v>35.03697060601008</v>
      </c>
      <c r="L317" s="10">
        <f t="shared" si="141"/>
        <v>70.690989076664053</v>
      </c>
      <c r="M317" s="20">
        <f>input!B316</f>
        <v>34.869999999999997</v>
      </c>
      <c r="N317" s="19">
        <f t="shared" si="121"/>
        <v>0.98078013982051004</v>
      </c>
      <c r="O317" s="21">
        <f t="shared" si="122"/>
        <v>1479.6828756981922</v>
      </c>
      <c r="P317" s="5">
        <v>1045</v>
      </c>
      <c r="Q317" s="3">
        <f>P317/365+input!$K$2</f>
        <v>2.8630136986301369</v>
      </c>
      <c r="R317" s="4">
        <f t="shared" si="115"/>
        <v>39.069634809514277</v>
      </c>
      <c r="S317" s="10">
        <f t="shared" si="116"/>
        <v>100.61379724051351</v>
      </c>
      <c r="T317" s="20">
        <f>input!C316</f>
        <v>0.09</v>
      </c>
      <c r="U317" s="19">
        <f t="shared" si="123"/>
        <v>0.99830131155295687</v>
      </c>
      <c r="V317" s="21">
        <f t="shared" si="124"/>
        <v>1910.3177641251634</v>
      </c>
      <c r="W317" s="21">
        <v>1410</v>
      </c>
      <c r="X317" s="3">
        <f>W317/365+input!$K$2</f>
        <v>3.8630136986301369</v>
      </c>
      <c r="Y317" s="4">
        <f t="shared" si="125"/>
        <v>39.469004015014669</v>
      </c>
      <c r="Z317" s="10">
        <f t="shared" si="117"/>
        <v>103.98435971907008</v>
      </c>
      <c r="AA317" s="20">
        <f>input!D316</f>
        <v>0</v>
      </c>
      <c r="AB317" s="19">
        <f t="shared" si="126"/>
        <v>0.99866597068041085</v>
      </c>
      <c r="AC317" s="21">
        <f t="shared" si="127"/>
        <v>1956.3459956959921</v>
      </c>
      <c r="AD317" s="8">
        <f t="shared" si="128"/>
        <v>147727.56955426288</v>
      </c>
      <c r="AE317" s="8">
        <f t="shared" si="129"/>
        <v>2464.9947891032753</v>
      </c>
      <c r="AF317" s="8">
        <f t="shared" si="130"/>
        <v>9.055241751646216</v>
      </c>
      <c r="AG317" s="8">
        <f t="shared" si="131"/>
        <v>0</v>
      </c>
      <c r="AH317" s="8">
        <f t="shared" si="132"/>
        <v>58141.973167092357</v>
      </c>
      <c r="AI317" s="8">
        <f t="shared" si="133"/>
        <v>2417.6179339135388</v>
      </c>
      <c r="AJ317" s="8">
        <f t="shared" si="134"/>
        <v>9.0398597170975119</v>
      </c>
      <c r="AK317" s="8">
        <f t="shared" si="135"/>
        <v>0</v>
      </c>
      <c r="AL317" s="8">
        <f t="shared" si="136"/>
        <v>41562.646426482657</v>
      </c>
      <c r="AM317" s="8">
        <f t="shared" si="137"/>
        <v>3577.3078567927068</v>
      </c>
      <c r="AN317" s="8">
        <f t="shared" si="138"/>
        <v>17.269004602770853</v>
      </c>
      <c r="AO317" s="8">
        <f t="shared" si="139"/>
        <v>0</v>
      </c>
      <c r="AQ317" s="22"/>
    </row>
    <row r="318" spans="1:43">
      <c r="A318" s="1">
        <v>42045</v>
      </c>
      <c r="B318" s="5">
        <v>316</v>
      </c>
      <c r="C318" s="3">
        <f>B318/365+input!$K$2</f>
        <v>0.86575342465753424</v>
      </c>
      <c r="D318" s="4">
        <f t="shared" si="114"/>
        <v>27.860462197317005</v>
      </c>
      <c r="E318" s="10">
        <f t="shared" si="118"/>
        <v>33.640325319825195</v>
      </c>
      <c r="F318" s="20">
        <f>input!A317</f>
        <v>4391.03</v>
      </c>
      <c r="G318" s="19">
        <f t="shared" si="119"/>
        <v>0.39734022617328657</v>
      </c>
      <c r="H318" s="21">
        <f t="shared" si="120"/>
        <v>718.31714945950011</v>
      </c>
      <c r="I318" s="5">
        <v>681</v>
      </c>
      <c r="J318" s="3">
        <f>I318/365+input!$K$2</f>
        <v>1.8657534246575342</v>
      </c>
      <c r="K318" s="4">
        <f t="shared" si="140"/>
        <v>35.051519473844152</v>
      </c>
      <c r="L318" s="10">
        <f t="shared" si="141"/>
        <v>70.78614014839772</v>
      </c>
      <c r="M318" s="20">
        <f>input!B317</f>
        <v>34.380000000000003</v>
      </c>
      <c r="N318" s="19">
        <f t="shared" si="121"/>
        <v>0.98094563444383165</v>
      </c>
      <c r="O318" s="21">
        <f t="shared" si="122"/>
        <v>1481.1322029867736</v>
      </c>
      <c r="P318" s="5">
        <v>1046</v>
      </c>
      <c r="Q318" s="3">
        <f>P318/365+input!$K$2</f>
        <v>2.8657534246575342</v>
      </c>
      <c r="R318" s="4">
        <f t="shared" si="115"/>
        <v>39.077780696849956</v>
      </c>
      <c r="S318" s="10">
        <f t="shared" si="116"/>
        <v>100.68178066060216</v>
      </c>
      <c r="T318" s="20">
        <f>input!C317</f>
        <v>0.09</v>
      </c>
      <c r="U318" s="19">
        <f t="shared" si="123"/>
        <v>0.99830966216955774</v>
      </c>
      <c r="V318" s="21">
        <f t="shared" si="124"/>
        <v>1911.2503371027417</v>
      </c>
      <c r="W318" s="21">
        <v>1411</v>
      </c>
      <c r="X318" s="3">
        <f>W318/365+input!$K$2</f>
        <v>3.8657534246575342</v>
      </c>
      <c r="Y318" s="4">
        <f t="shared" si="125"/>
        <v>39.469004015014669</v>
      </c>
      <c r="Z318" s="10">
        <f t="shared" si="117"/>
        <v>103.98435971907008</v>
      </c>
      <c r="AA318" s="20">
        <f>input!D317</f>
        <v>0</v>
      </c>
      <c r="AB318" s="19">
        <f t="shared" si="126"/>
        <v>0.99866597068041085</v>
      </c>
      <c r="AC318" s="21">
        <f t="shared" si="127"/>
        <v>1956.3459956959921</v>
      </c>
      <c r="AD318" s="8">
        <f t="shared" si="128"/>
        <v>147715.67768911202</v>
      </c>
      <c r="AE318" s="8">
        <f t="shared" si="129"/>
        <v>2433.6274983019139</v>
      </c>
      <c r="AF318" s="8">
        <f t="shared" si="130"/>
        <v>9.0613602594541938</v>
      </c>
      <c r="AG318" s="8">
        <f t="shared" si="131"/>
        <v>0</v>
      </c>
      <c r="AH318" s="8">
        <f t="shared" si="132"/>
        <v>58693.380782332075</v>
      </c>
      <c r="AI318" s="8">
        <f t="shared" si="133"/>
        <v>2387.2562703217259</v>
      </c>
      <c r="AJ318" s="8">
        <f t="shared" si="134"/>
        <v>9.046043499412372</v>
      </c>
      <c r="AK318" s="8">
        <f t="shared" si="135"/>
        <v>0</v>
      </c>
      <c r="AL318" s="8">
        <f t="shared" si="136"/>
        <v>42160.461975705781</v>
      </c>
      <c r="AM318" s="8">
        <f t="shared" si="137"/>
        <v>3535.8421387556064</v>
      </c>
      <c r="AN318" s="8">
        <f t="shared" si="138"/>
        <v>17.289253687697961</v>
      </c>
      <c r="AO318" s="8">
        <f t="shared" si="139"/>
        <v>0</v>
      </c>
      <c r="AQ318" s="22"/>
    </row>
    <row r="319" spans="1:43">
      <c r="A319" s="1">
        <v>42046</v>
      </c>
      <c r="B319" s="5">
        <v>317</v>
      </c>
      <c r="C319" s="3">
        <f>B319/365+input!$K$2</f>
        <v>0.86849315068493149</v>
      </c>
      <c r="D319" s="4">
        <f t="shared" si="114"/>
        <v>27.886405776207738</v>
      </c>
      <c r="E319" s="10">
        <f t="shared" si="118"/>
        <v>33.741926709490969</v>
      </c>
      <c r="F319" s="20">
        <f>input!A318</f>
        <v>4388.0200000000004</v>
      </c>
      <c r="G319" s="19">
        <f t="shared" si="119"/>
        <v>0.40111099411340723</v>
      </c>
      <c r="H319" s="21">
        <f t="shared" si="120"/>
        <v>721.77583675898586</v>
      </c>
      <c r="I319" s="5">
        <v>682</v>
      </c>
      <c r="J319" s="3">
        <f>I319/365+input!$K$2</f>
        <v>1.8684931506849316</v>
      </c>
      <c r="K319" s="4">
        <f t="shared" si="140"/>
        <v>35.066045241287938</v>
      </c>
      <c r="L319" s="10">
        <f t="shared" si="141"/>
        <v>70.881228439224046</v>
      </c>
      <c r="M319" s="20">
        <f>input!B318</f>
        <v>34.11</v>
      </c>
      <c r="N319" s="19">
        <f t="shared" si="121"/>
        <v>0.98110947205649146</v>
      </c>
      <c r="O319" s="21">
        <f t="shared" si="122"/>
        <v>1482.5798788797324</v>
      </c>
      <c r="P319" s="5">
        <v>1047</v>
      </c>
      <c r="Q319" s="3">
        <f>P319/365+input!$K$2</f>
        <v>2.8684931506849316</v>
      </c>
      <c r="R319" s="4">
        <f t="shared" si="115"/>
        <v>39.085913650314836</v>
      </c>
      <c r="S319" s="10">
        <f t="shared" si="116"/>
        <v>100.74968781370012</v>
      </c>
      <c r="T319" s="20">
        <f>input!C318</f>
        <v>0.09</v>
      </c>
      <c r="U319" s="19">
        <f t="shared" si="123"/>
        <v>0.99831795864287332</v>
      </c>
      <c r="V319" s="21">
        <f t="shared" si="124"/>
        <v>1912.1816890521923</v>
      </c>
      <c r="W319" s="21">
        <v>1412</v>
      </c>
      <c r="X319" s="3">
        <f>W319/365+input!$K$2</f>
        <v>3.8684931506849316</v>
      </c>
      <c r="Y319" s="4">
        <f t="shared" si="125"/>
        <v>39.469004015014669</v>
      </c>
      <c r="Z319" s="10">
        <f t="shared" si="117"/>
        <v>103.98435971907008</v>
      </c>
      <c r="AA319" s="20">
        <f>input!D318</f>
        <v>0</v>
      </c>
      <c r="AB319" s="19">
        <f t="shared" si="126"/>
        <v>0.99866597068041085</v>
      </c>
      <c r="AC319" s="21">
        <f t="shared" si="127"/>
        <v>1956.3459956959921</v>
      </c>
      <c r="AD319" s="8">
        <f t="shared" si="128"/>
        <v>148060.24923978056</v>
      </c>
      <c r="AE319" s="8">
        <f t="shared" si="129"/>
        <v>2417.7587020619321</v>
      </c>
      <c r="AF319" s="8">
        <f t="shared" si="130"/>
        <v>9.0674719032330113</v>
      </c>
      <c r="AG319" s="8">
        <f t="shared" si="131"/>
        <v>0</v>
      </c>
      <c r="AH319" s="8">
        <f t="shared" si="132"/>
        <v>59388.593761247226</v>
      </c>
      <c r="AI319" s="8">
        <f t="shared" si="133"/>
        <v>2372.0859637399703</v>
      </c>
      <c r="AJ319" s="8">
        <f t="shared" si="134"/>
        <v>9.0522200404871889</v>
      </c>
      <c r="AK319" s="8">
        <f t="shared" si="135"/>
        <v>0</v>
      </c>
      <c r="AL319" s="8">
        <f t="shared" si="136"/>
        <v>42865.2519559637</v>
      </c>
      <c r="AM319" s="8">
        <f t="shared" si="137"/>
        <v>3516.8069208139186</v>
      </c>
      <c r="AN319" s="8">
        <f t="shared" si="138"/>
        <v>17.309489406690897</v>
      </c>
      <c r="AO319" s="8">
        <f t="shared" si="139"/>
        <v>0</v>
      </c>
      <c r="AQ319" s="22"/>
    </row>
    <row r="320" spans="1:43">
      <c r="A320" s="1">
        <v>42047</v>
      </c>
      <c r="B320" s="5">
        <v>318</v>
      </c>
      <c r="C320" s="3">
        <f>B320/365+input!$K$2</f>
        <v>0.87123287671232874</v>
      </c>
      <c r="D320" s="4">
        <f t="shared" si="114"/>
        <v>27.912308162422526</v>
      </c>
      <c r="E320" s="10">
        <f t="shared" si="118"/>
        <v>33.843578225959234</v>
      </c>
      <c r="F320" s="20">
        <f>input!A319</f>
        <v>4373.17</v>
      </c>
      <c r="G320" s="19">
        <f t="shared" si="119"/>
        <v>0.40488749011849662</v>
      </c>
      <c r="H320" s="21">
        <f t="shared" si="120"/>
        <v>725.22353762186356</v>
      </c>
      <c r="I320" s="5">
        <v>683</v>
      </c>
      <c r="J320" s="3">
        <f>I320/365+input!$K$2</f>
        <v>1.8712328767123287</v>
      </c>
      <c r="K320" s="4">
        <f t="shared" si="140"/>
        <v>35.080547945019738</v>
      </c>
      <c r="L320" s="10">
        <f t="shared" si="141"/>
        <v>70.976253813884313</v>
      </c>
      <c r="M320" s="20">
        <f>input!B319</f>
        <v>33.6</v>
      </c>
      <c r="N320" s="19">
        <f t="shared" si="121"/>
        <v>0.98127167096410717</v>
      </c>
      <c r="O320" s="21">
        <f t="shared" si="122"/>
        <v>1484.0259060616402</v>
      </c>
      <c r="P320" s="5">
        <v>1048</v>
      </c>
      <c r="Q320" s="3">
        <f>P320/365+input!$K$2</f>
        <v>2.871232876712329</v>
      </c>
      <c r="R320" s="4">
        <f t="shared" si="115"/>
        <v>39.094033690445059</v>
      </c>
      <c r="S320" s="10">
        <f t="shared" si="116"/>
        <v>100.81751872854356</v>
      </c>
      <c r="T320" s="20">
        <f>input!C319</f>
        <v>0.09</v>
      </c>
      <c r="U320" s="19">
        <f t="shared" si="123"/>
        <v>0.9983262013876173</v>
      </c>
      <c r="V320" s="21">
        <f t="shared" si="124"/>
        <v>1913.1118211112514</v>
      </c>
      <c r="W320" s="21">
        <v>1413</v>
      </c>
      <c r="X320" s="3">
        <f>W320/365+input!$K$2</f>
        <v>3.871232876712329</v>
      </c>
      <c r="Y320" s="4">
        <f t="shared" si="125"/>
        <v>39.469004015014669</v>
      </c>
      <c r="Z320" s="10">
        <f t="shared" si="117"/>
        <v>103.98435971907008</v>
      </c>
      <c r="AA320" s="20">
        <f>input!D319</f>
        <v>0</v>
      </c>
      <c r="AB320" s="19">
        <f t="shared" si="126"/>
        <v>0.99866597068041085</v>
      </c>
      <c r="AC320" s="21">
        <f t="shared" si="127"/>
        <v>1956.3459956959921</v>
      </c>
      <c r="AD320" s="8">
        <f t="shared" si="128"/>
        <v>148003.72099041814</v>
      </c>
      <c r="AE320" s="8">
        <f t="shared" si="129"/>
        <v>2384.802128146513</v>
      </c>
      <c r="AF320" s="8">
        <f t="shared" si="130"/>
        <v>9.0735766855689199</v>
      </c>
      <c r="AG320" s="8">
        <f t="shared" si="131"/>
        <v>0</v>
      </c>
      <c r="AH320" s="8">
        <f t="shared" si="132"/>
        <v>59924.855120008651</v>
      </c>
      <c r="AI320" s="8">
        <f t="shared" si="133"/>
        <v>2340.1387692050876</v>
      </c>
      <c r="AJ320" s="8">
        <f t="shared" si="134"/>
        <v>9.0583893455032669</v>
      </c>
      <c r="AK320" s="8">
        <f t="shared" si="135"/>
        <v>0</v>
      </c>
      <c r="AL320" s="8">
        <f t="shared" si="136"/>
        <v>43458.91542161032</v>
      </c>
      <c r="AM320" s="8">
        <f t="shared" si="137"/>
        <v>3472.8265572795513</v>
      </c>
      <c r="AN320" s="8">
        <f t="shared" si="138"/>
        <v>17.329711737110511</v>
      </c>
      <c r="AO320" s="8">
        <f t="shared" si="139"/>
        <v>0</v>
      </c>
      <c r="AQ320" s="22"/>
    </row>
    <row r="321" spans="1:43">
      <c r="A321" s="1">
        <v>42048</v>
      </c>
      <c r="B321" s="5">
        <v>319</v>
      </c>
      <c r="C321" s="3">
        <f>B321/365+input!$K$2</f>
        <v>0.87397260273972599</v>
      </c>
      <c r="D321" s="4">
        <f t="shared" si="114"/>
        <v>27.938169421366261</v>
      </c>
      <c r="E321" s="10">
        <f t="shared" si="118"/>
        <v>33.945279361504475</v>
      </c>
      <c r="F321" s="20">
        <f>input!A320</f>
        <v>4370.18</v>
      </c>
      <c r="G321" s="19">
        <f t="shared" si="119"/>
        <v>0.40866925621136496</v>
      </c>
      <c r="H321" s="21">
        <f t="shared" si="120"/>
        <v>728.66019174600387</v>
      </c>
      <c r="I321" s="5">
        <v>684</v>
      </c>
      <c r="J321" s="3">
        <f>I321/365+input!$K$2</f>
        <v>1.8739726027397261</v>
      </c>
      <c r="K321" s="4">
        <f t="shared" si="140"/>
        <v>35.095027621659661</v>
      </c>
      <c r="L321" s="10">
        <f t="shared" si="141"/>
        <v>71.071216137869882</v>
      </c>
      <c r="M321" s="20">
        <f>input!B320</f>
        <v>33.340000000000003</v>
      </c>
      <c r="N321" s="19">
        <f t="shared" si="121"/>
        <v>0.98143224925738703</v>
      </c>
      <c r="O321" s="21">
        <f t="shared" si="122"/>
        <v>1485.4702871793568</v>
      </c>
      <c r="P321" s="5">
        <v>1049</v>
      </c>
      <c r="Q321" s="3">
        <f>P321/365+input!$K$2</f>
        <v>2.8739726027397259</v>
      </c>
      <c r="R321" s="4">
        <f t="shared" si="115"/>
        <v>39.102140837744145</v>
      </c>
      <c r="S321" s="10">
        <f t="shared" si="116"/>
        <v>100.88527343407702</v>
      </c>
      <c r="T321" s="20">
        <f>input!C320</f>
        <v>0.09</v>
      </c>
      <c r="U321" s="19">
        <f t="shared" si="123"/>
        <v>0.99833439081489628</v>
      </c>
      <c r="V321" s="21">
        <f t="shared" si="124"/>
        <v>1914.0407344182149</v>
      </c>
      <c r="W321" s="21">
        <v>1414</v>
      </c>
      <c r="X321" s="3">
        <f>W321/365+input!$K$2</f>
        <v>3.8739726027397259</v>
      </c>
      <c r="Y321" s="4">
        <f t="shared" si="125"/>
        <v>39.469004015014669</v>
      </c>
      <c r="Z321" s="10">
        <f t="shared" si="117"/>
        <v>103.98435971907008</v>
      </c>
      <c r="AA321" s="20">
        <f>input!D320</f>
        <v>0</v>
      </c>
      <c r="AB321" s="19">
        <f t="shared" si="126"/>
        <v>0.99866597068041085</v>
      </c>
      <c r="AC321" s="21">
        <f t="shared" si="127"/>
        <v>1956.3459956959921</v>
      </c>
      <c r="AD321" s="8">
        <f t="shared" si="128"/>
        <v>148346.98096005965</v>
      </c>
      <c r="AE321" s="8">
        <f t="shared" si="129"/>
        <v>2369.5143460365821</v>
      </c>
      <c r="AF321" s="8">
        <f t="shared" si="130"/>
        <v>9.0796746090669309</v>
      </c>
      <c r="AG321" s="8">
        <f t="shared" si="131"/>
        <v>0</v>
      </c>
      <c r="AH321" s="8">
        <f t="shared" si="132"/>
        <v>60624.850370149099</v>
      </c>
      <c r="AI321" s="8">
        <f t="shared" si="133"/>
        <v>2325.5177942783293</v>
      </c>
      <c r="AJ321" s="8">
        <f t="shared" si="134"/>
        <v>9.0645514196403152</v>
      </c>
      <c r="AK321" s="8">
        <f t="shared" si="135"/>
        <v>0</v>
      </c>
      <c r="AL321" s="8">
        <f t="shared" si="136"/>
        <v>44174.915095285636</v>
      </c>
      <c r="AM321" s="8">
        <f t="shared" si="137"/>
        <v>3454.4875857073343</v>
      </c>
      <c r="AN321" s="8">
        <f t="shared" si="138"/>
        <v>17.349920656420021</v>
      </c>
      <c r="AO321" s="8">
        <f t="shared" si="139"/>
        <v>0</v>
      </c>
      <c r="AQ321" s="22"/>
    </row>
    <row r="322" spans="1:43">
      <c r="A322" s="1">
        <v>42049</v>
      </c>
      <c r="B322" s="5">
        <v>320</v>
      </c>
      <c r="C322" s="3">
        <f>B322/365+input!$K$2</f>
        <v>0.87671232876712324</v>
      </c>
      <c r="D322" s="4">
        <f t="shared" si="114"/>
        <v>27.963989618339959</v>
      </c>
      <c r="E322" s="10">
        <f t="shared" si="118"/>
        <v>34.047029609464715</v>
      </c>
      <c r="F322" s="20">
        <f>input!A321</f>
        <v>4355.8500000000004</v>
      </c>
      <c r="G322" s="19">
        <f t="shared" si="119"/>
        <v>0.41245583330338842</v>
      </c>
      <c r="H322" s="21">
        <f t="shared" si="120"/>
        <v>732.08574169332962</v>
      </c>
      <c r="I322" s="5">
        <v>685</v>
      </c>
      <c r="J322" s="3">
        <f>I322/365+input!$K$2</f>
        <v>1.8767123287671232</v>
      </c>
      <c r="K322" s="4">
        <f t="shared" si="140"/>
        <v>35.109484307769634</v>
      </c>
      <c r="L322" s="10">
        <f t="shared" si="141"/>
        <v>71.166115277419451</v>
      </c>
      <c r="M322" s="20">
        <f>input!B321</f>
        <v>32.85</v>
      </c>
      <c r="N322" s="19">
        <f t="shared" si="121"/>
        <v>0.98159122481469963</v>
      </c>
      <c r="O322" s="21">
        <f t="shared" si="122"/>
        <v>1486.9130248427007</v>
      </c>
      <c r="P322" s="5">
        <v>1050</v>
      </c>
      <c r="Q322" s="3">
        <f>P322/365+input!$K$2</f>
        <v>2.8767123287671232</v>
      </c>
      <c r="R322" s="4">
        <f t="shared" si="115"/>
        <v>39.110235112683064</v>
      </c>
      <c r="S322" s="10">
        <f t="shared" si="116"/>
        <v>100.95295195945404</v>
      </c>
      <c r="T322" s="20">
        <f>input!C321</f>
        <v>0.09</v>
      </c>
      <c r="U322" s="19">
        <f t="shared" si="123"/>
        <v>0.99834252733224293</v>
      </c>
      <c r="V322" s="21">
        <f t="shared" si="124"/>
        <v>1914.9684301119569</v>
      </c>
      <c r="W322" s="21">
        <v>1415</v>
      </c>
      <c r="X322" s="3">
        <f>W322/365+input!$K$2</f>
        <v>3.8767123287671232</v>
      </c>
      <c r="Y322" s="4">
        <f t="shared" si="125"/>
        <v>39.469004015014669</v>
      </c>
      <c r="Z322" s="10">
        <f t="shared" si="117"/>
        <v>103.98435971907008</v>
      </c>
      <c r="AA322" s="20">
        <f>input!D321</f>
        <v>0</v>
      </c>
      <c r="AB322" s="19">
        <f t="shared" si="126"/>
        <v>0.99866597068041085</v>
      </c>
      <c r="AC322" s="21">
        <f t="shared" si="127"/>
        <v>1956.3459956959921</v>
      </c>
      <c r="AD322" s="8">
        <f t="shared" si="128"/>
        <v>148303.7539243869</v>
      </c>
      <c r="AE322" s="8">
        <f t="shared" si="129"/>
        <v>2337.806886863229</v>
      </c>
      <c r="AF322" s="8">
        <f t="shared" si="130"/>
        <v>9.0857656763508636</v>
      </c>
      <c r="AG322" s="8">
        <f t="shared" si="131"/>
        <v>0</v>
      </c>
      <c r="AH322" s="8">
        <f t="shared" si="132"/>
        <v>61168.748406903658</v>
      </c>
      <c r="AI322" s="8">
        <f t="shared" si="133"/>
        <v>2294.770725456317</v>
      </c>
      <c r="AJ322" s="8">
        <f t="shared" si="134"/>
        <v>9.0707062680766661</v>
      </c>
      <c r="AK322" s="8">
        <f t="shared" si="135"/>
        <v>0</v>
      </c>
      <c r="AL322" s="8">
        <f t="shared" si="136"/>
        <v>44780.768545920735</v>
      </c>
      <c r="AM322" s="8">
        <f t="shared" si="137"/>
        <v>3412.124480708731</v>
      </c>
      <c r="AN322" s="8">
        <f t="shared" si="138"/>
        <v>17.370116142185459</v>
      </c>
      <c r="AO322" s="8">
        <f t="shared" si="139"/>
        <v>0</v>
      </c>
      <c r="AQ322" s="22"/>
    </row>
    <row r="323" spans="1:43">
      <c r="A323" s="1">
        <v>42050</v>
      </c>
      <c r="B323" s="5">
        <v>321</v>
      </c>
      <c r="C323" s="3">
        <f>B323/365+input!$K$2</f>
        <v>0.8794520547945206</v>
      </c>
      <c r="D323" s="4">
        <f t="shared" ref="D323:D367" si="142">44.2*(1-EXP(-0.58*(C323+0.85)))</f>
        <v>27.98976881854097</v>
      </c>
      <c r="E323" s="10">
        <f t="shared" si="118"/>
        <v>34.148828464244168</v>
      </c>
      <c r="F323" s="20">
        <f>input!A322</f>
        <v>4351.83</v>
      </c>
      <c r="G323" s="19">
        <f t="shared" si="119"/>
        <v>0.4162467614200443</v>
      </c>
      <c r="H323" s="21">
        <f t="shared" si="120"/>
        <v>735.50013285832995</v>
      </c>
      <c r="I323" s="5">
        <v>686</v>
      </c>
      <c r="J323" s="3">
        <f>I323/365+input!$K$2</f>
        <v>1.8794520547945206</v>
      </c>
      <c r="K323" s="4">
        <f t="shared" si="140"/>
        <v>35.123918039853542</v>
      </c>
      <c r="L323" s="10">
        <f t="shared" si="141"/>
        <v>71.260951099517442</v>
      </c>
      <c r="M323" s="20">
        <f>input!B322</f>
        <v>32.57</v>
      </c>
      <c r="N323" s="19">
        <f t="shared" si="121"/>
        <v>0.98174861530461366</v>
      </c>
      <c r="O323" s="21">
        <f t="shared" si="122"/>
        <v>1488.3541216251213</v>
      </c>
      <c r="P323" s="5">
        <v>1051</v>
      </c>
      <c r="Q323" s="3">
        <f>P323/365+input!$K$2</f>
        <v>2.8794520547945206</v>
      </c>
      <c r="R323" s="4">
        <f t="shared" ref="R323:R367" si="143">44.2*(1-EXP(-0.58*(Q323+0.85)))</f>
        <v>39.118316535700288</v>
      </c>
      <c r="S323" s="10">
        <f t="shared" ref="S323:S367" si="144">0.0007*R323^3.24</f>
        <v>101.02055433403483</v>
      </c>
      <c r="T323" s="20">
        <f>input!C322</f>
        <v>0.09</v>
      </c>
      <c r="U323" s="19">
        <f t="shared" si="123"/>
        <v>0.99835061134365144</v>
      </c>
      <c r="V323" s="21">
        <f t="shared" si="124"/>
        <v>1915.8949093319136</v>
      </c>
      <c r="W323" s="21">
        <v>1416</v>
      </c>
      <c r="X323" s="3">
        <f>W323/365+input!$K$2</f>
        <v>3.8794520547945206</v>
      </c>
      <c r="Y323" s="4">
        <f t="shared" si="125"/>
        <v>39.469004015014669</v>
      </c>
      <c r="Z323" s="10">
        <f t="shared" ref="Z323:Z367" si="145">0.0007*Y323^3.24</f>
        <v>103.98435971907008</v>
      </c>
      <c r="AA323" s="20">
        <f>input!D322</f>
        <v>0</v>
      </c>
      <c r="AB323" s="19">
        <f t="shared" si="126"/>
        <v>0.99866597068041085</v>
      </c>
      <c r="AC323" s="21">
        <f t="shared" si="127"/>
        <v>1956.3459956959921</v>
      </c>
      <c r="AD323" s="8">
        <f t="shared" si="128"/>
        <v>148609.89617555169</v>
      </c>
      <c r="AE323" s="8">
        <f t="shared" si="129"/>
        <v>2320.9691773112831</v>
      </c>
      <c r="AF323" s="8">
        <f t="shared" si="130"/>
        <v>9.0918498900631342</v>
      </c>
      <c r="AG323" s="8">
        <f t="shared" si="131"/>
        <v>0</v>
      </c>
      <c r="AH323" s="8">
        <f t="shared" si="132"/>
        <v>61858.387998042417</v>
      </c>
      <c r="AI323" s="8">
        <f t="shared" si="133"/>
        <v>2278.6082759900405</v>
      </c>
      <c r="AJ323" s="8">
        <f t="shared" si="134"/>
        <v>9.07685389598924</v>
      </c>
      <c r="AK323" s="8">
        <f t="shared" si="135"/>
        <v>0</v>
      </c>
      <c r="AL323" s="8">
        <f t="shared" si="136"/>
        <v>45496.85259096232</v>
      </c>
      <c r="AM323" s="8">
        <f t="shared" si="137"/>
        <v>3391.3760191388883</v>
      </c>
      <c r="AN323" s="8">
        <f t="shared" si="138"/>
        <v>17.39029817207533</v>
      </c>
      <c r="AO323" s="8">
        <f t="shared" si="139"/>
        <v>0</v>
      </c>
      <c r="AQ323" s="22"/>
    </row>
    <row r="324" spans="1:43">
      <c r="A324" s="1">
        <v>42051</v>
      </c>
      <c r="B324" s="5">
        <v>322</v>
      </c>
      <c r="C324" s="3">
        <f>B324/365+input!$K$2</f>
        <v>0.88219178082191785</v>
      </c>
      <c r="D324" s="4">
        <f t="shared" si="142"/>
        <v>28.015507087063114</v>
      </c>
      <c r="E324" s="10">
        <f t="shared" ref="E324:E367" si="146">0.0007*D324^3.24</f>
        <v>34.250675421315499</v>
      </c>
      <c r="F324" s="20">
        <f>input!A323</f>
        <v>4337.24</v>
      </c>
      <c r="G324" s="19">
        <f t="shared" ref="G324:G367" si="147">1/(1+EXP(-0.606*D324+17.3))</f>
        <v>0.42004157992654689</v>
      </c>
      <c r="H324" s="21">
        <f t="shared" ref="H324:H367" si="148">0.3586*D324^2.341*_xlfn.NORM.DIST(D324,25,3,TRUE)</f>
        <v>738.90331343608705</v>
      </c>
      <c r="I324" s="5">
        <v>687</v>
      </c>
      <c r="J324" s="3">
        <f>I324/365+input!$K$2</f>
        <v>1.8821917808219177</v>
      </c>
      <c r="K324" s="4">
        <f t="shared" si="140"/>
        <v>35.138328854357312</v>
      </c>
      <c r="L324" s="10">
        <f t="shared" si="141"/>
        <v>71.355723471892077</v>
      </c>
      <c r="M324" s="20">
        <f>input!B323</f>
        <v>32.07</v>
      </c>
      <c r="N324" s="19">
        <f t="shared" ref="N324:N367" si="149">1/(1+EXP(-0.606*K324+17.3))</f>
        <v>0.981904438188409</v>
      </c>
      <c r="O324" s="21">
        <f t="shared" ref="O324:O367" si="150">0.3586*K324^2.341*_xlfn.NORM.DIST(K324,25,3,TRUE)</f>
        <v>1489.7935800643413</v>
      </c>
      <c r="P324" s="5">
        <v>1052</v>
      </c>
      <c r="Q324" s="3">
        <f>P324/365+input!$K$2</f>
        <v>2.882191780821918</v>
      </c>
      <c r="R324" s="4">
        <f t="shared" si="143"/>
        <v>39.126385127201821</v>
      </c>
      <c r="S324" s="10">
        <f t="shared" si="144"/>
        <v>101.08808058738572</v>
      </c>
      <c r="T324" s="20">
        <f>input!C323</f>
        <v>0.09</v>
      </c>
      <c r="U324" s="19">
        <f t="shared" ref="U324:U367" si="151">1/(1+EXP(-0.606*R324+17.3))</f>
        <v>0.99835864324961077</v>
      </c>
      <c r="V324" s="21">
        <f t="shared" ref="V324:V367" si="152">0.3586*R324^2.341*_xlfn.NORM.DIST(R324,25,3,TRUE)</f>
        <v>1916.8201732180655</v>
      </c>
      <c r="W324" s="21">
        <v>1417</v>
      </c>
      <c r="X324" s="3">
        <f>W324/365+input!$K$2</f>
        <v>3.882191780821918</v>
      </c>
      <c r="Y324" s="4">
        <f t="shared" ref="Y324:Y367" si="153">44.2*(1-EXP(-0.58*(X$3+0.85)))</f>
        <v>39.469004015014669</v>
      </c>
      <c r="Z324" s="10">
        <f t="shared" si="145"/>
        <v>103.98435971907008</v>
      </c>
      <c r="AA324" s="20">
        <f>input!D323</f>
        <v>0</v>
      </c>
      <c r="AB324" s="19">
        <f t="shared" ref="AB324:AB367" si="154">1/(1+EXP(-0.606*Y324+17.3))</f>
        <v>0.99866597068041085</v>
      </c>
      <c r="AC324" s="21">
        <f t="shared" ref="AC324:AC367" si="155">0.3586*Y324^2.341*_xlfn.NORM.DIST(Y324,25,3,TRUE)</f>
        <v>1956.3459956959921</v>
      </c>
      <c r="AD324" s="8">
        <f t="shared" ref="AD324:AD367" si="156">E324*F324</f>
        <v>148553.39946434644</v>
      </c>
      <c r="AE324" s="8">
        <f t="shared" ref="AE324:AE367" si="157">L324*M324</f>
        <v>2288.3780517435789</v>
      </c>
      <c r="AF324" s="8">
        <f t="shared" ref="AF324:AF367" si="158">S324*T324</f>
        <v>9.0979272528647144</v>
      </c>
      <c r="AG324" s="8">
        <f t="shared" ref="AG324:AG367" si="159">Z324*AA324</f>
        <v>0</v>
      </c>
      <c r="AH324" s="8">
        <f t="shared" ref="AH324:AH367" si="160">E324*F324*G324</f>
        <v>62398.604614463526</v>
      </c>
      <c r="AI324" s="8">
        <f t="shared" ref="AI324:AI367" si="161">L324*M324*N324</f>
        <v>2246.9685652599646</v>
      </c>
      <c r="AJ324" s="8">
        <f t="shared" ref="AJ324:AJ367" si="162">S324*T324*U324</f>
        <v>9.0829943085536744</v>
      </c>
      <c r="AK324" s="8">
        <f t="shared" ref="AK324:AK367" si="163">Z324*AA324*AB324</f>
        <v>0</v>
      </c>
      <c r="AL324" s="8">
        <f t="shared" ref="AL324:AL367" si="164">AH324*H324/1000</f>
        <v>46106.535703415408</v>
      </c>
      <c r="AM324" s="8">
        <f t="shared" ref="AM324:AM367" si="165">AI324*O324/1000</f>
        <v>3347.5193431306793</v>
      </c>
      <c r="AN324" s="8">
        <f t="shared" ref="AN324:AN367" si="166">AJ324*V324/1000</f>
        <v>17.410466723860559</v>
      </c>
      <c r="AO324" s="8">
        <f t="shared" ref="AO324:AO367" si="167">AK324*AC324/1000</f>
        <v>0</v>
      </c>
      <c r="AQ324" s="22"/>
    </row>
    <row r="325" spans="1:43">
      <c r="A325" s="1">
        <v>42052</v>
      </c>
      <c r="B325" s="5">
        <v>323</v>
      </c>
      <c r="C325" s="3">
        <f>B325/365+input!$K$2</f>
        <v>0.8849315068493151</v>
      </c>
      <c r="D325" s="4">
        <f t="shared" si="142"/>
        <v>28.041204488896852</v>
      </c>
      <c r="E325" s="10">
        <f t="shared" si="146"/>
        <v>34.352569977221897</v>
      </c>
      <c r="F325" s="20">
        <f>input!A324</f>
        <v>4334.2700000000004</v>
      </c>
      <c r="G325" s="19">
        <f t="shared" si="147"/>
        <v>0.42383982775336698</v>
      </c>
      <c r="H325" s="21">
        <f t="shared" si="148"/>
        <v>742.2952343898545</v>
      </c>
      <c r="I325" s="5">
        <v>688</v>
      </c>
      <c r="J325" s="3">
        <f>I325/365+input!$K$2</f>
        <v>1.8849315068493151</v>
      </c>
      <c r="K325" s="4">
        <f t="shared" si="140"/>
        <v>35.152716787669</v>
      </c>
      <c r="L325" s="10">
        <f t="shared" si="141"/>
        <v>71.45043226301398</v>
      </c>
      <c r="M325" s="20">
        <f>input!B324</f>
        <v>31.79</v>
      </c>
      <c r="N325" s="19">
        <f t="shared" si="149"/>
        <v>0.98205871072256079</v>
      </c>
      <c r="O325" s="21">
        <f t="shared" si="150"/>
        <v>1491.2314026630154</v>
      </c>
      <c r="P325" s="5">
        <v>1053</v>
      </c>
      <c r="Q325" s="3">
        <f>P325/365+input!$K$2</f>
        <v>2.8849315068493149</v>
      </c>
      <c r="R325" s="4">
        <f t="shared" si="143"/>
        <v>39.134440907561292</v>
      </c>
      <c r="S325" s="10">
        <f t="shared" si="144"/>
        <v>101.15553074927877</v>
      </c>
      <c r="T325" s="20">
        <f>input!C324</f>
        <v>0.09</v>
      </c>
      <c r="U325" s="19">
        <f t="shared" si="151"/>
        <v>0.99836662344713956</v>
      </c>
      <c r="V325" s="21">
        <f t="shared" si="152"/>
        <v>1917.744222910937</v>
      </c>
      <c r="W325" s="21">
        <v>1418</v>
      </c>
      <c r="X325" s="3">
        <f>W325/365+input!$K$2</f>
        <v>3.8849315068493149</v>
      </c>
      <c r="Y325" s="4">
        <f t="shared" si="153"/>
        <v>39.469004015014669</v>
      </c>
      <c r="Z325" s="10">
        <f t="shared" si="145"/>
        <v>103.98435971907008</v>
      </c>
      <c r="AA325" s="20">
        <f>input!D324</f>
        <v>0</v>
      </c>
      <c r="AB325" s="19">
        <f t="shared" si="154"/>
        <v>0.99866597068041085</v>
      </c>
      <c r="AC325" s="21">
        <f t="shared" si="155"/>
        <v>1956.3459956959921</v>
      </c>
      <c r="AD325" s="8">
        <f t="shared" si="156"/>
        <v>148893.31347517358</v>
      </c>
      <c r="AE325" s="8">
        <f t="shared" si="157"/>
        <v>2271.4092416412145</v>
      </c>
      <c r="AF325" s="8">
        <f t="shared" si="158"/>
        <v>9.1039977674350894</v>
      </c>
      <c r="AG325" s="8">
        <f t="shared" si="159"/>
        <v>0</v>
      </c>
      <c r="AH325" s="8">
        <f t="shared" si="160"/>
        <v>63106.916336945644</v>
      </c>
      <c r="AI325" s="8">
        <f t="shared" si="161"/>
        <v>2230.6572313694805</v>
      </c>
      <c r="AJ325" s="8">
        <f t="shared" si="162"/>
        <v>9.0891275109444667</v>
      </c>
      <c r="AK325" s="8">
        <f t="shared" si="163"/>
        <v>0</v>
      </c>
      <c r="AL325" s="8">
        <f t="shared" si="164"/>
        <v>46843.963253954011</v>
      </c>
      <c r="AM325" s="8">
        <f t="shared" si="165"/>
        <v>3326.426111995509</v>
      </c>
      <c r="AN325" s="8">
        <f t="shared" si="166"/>
        <v>17.430621775414615</v>
      </c>
      <c r="AO325" s="8">
        <f t="shared" si="167"/>
        <v>0</v>
      </c>
      <c r="AQ325" s="22"/>
    </row>
    <row r="326" spans="1:43">
      <c r="A326" s="1">
        <v>42053</v>
      </c>
      <c r="B326" s="5">
        <v>324</v>
      </c>
      <c r="C326" s="3">
        <f>B326/365+input!$K$2</f>
        <v>0.88767123287671235</v>
      </c>
      <c r="D326" s="4">
        <f t="shared" si="142"/>
        <v>28.066861088929485</v>
      </c>
      <c r="E326" s="10">
        <f t="shared" si="146"/>
        <v>34.454511629579706</v>
      </c>
      <c r="F326" s="20">
        <f>input!A325</f>
        <v>4318.4799999999996</v>
      </c>
      <c r="G326" s="19">
        <f t="shared" si="147"/>
        <v>0.42764104362140137</v>
      </c>
      <c r="H326" s="21">
        <f t="shared" si="148"/>
        <v>745.6758494182061</v>
      </c>
      <c r="I326" s="5">
        <v>689</v>
      </c>
      <c r="J326" s="3">
        <f>I326/365+input!$K$2</f>
        <v>1.8876712328767122</v>
      </c>
      <c r="K326" s="4">
        <f t="shared" si="140"/>
        <v>35.167081876118893</v>
      </c>
      <c r="L326" s="10">
        <f t="shared" si="141"/>
        <v>71.545077342093393</v>
      </c>
      <c r="M326" s="20">
        <f>input!B325</f>
        <v>31.3</v>
      </c>
      <c r="N326" s="19">
        <f t="shared" si="149"/>
        <v>0.98221144996119258</v>
      </c>
      <c r="O326" s="21">
        <f t="shared" si="150"/>
        <v>1492.6675918893573</v>
      </c>
      <c r="P326" s="5">
        <v>1054</v>
      </c>
      <c r="Q326" s="3">
        <f>P326/365+input!$K$2</f>
        <v>2.8876712328767122</v>
      </c>
      <c r="R326" s="4">
        <f t="shared" si="143"/>
        <v>39.142483897119952</v>
      </c>
      <c r="S326" s="10">
        <f t="shared" si="144"/>
        <v>101.22290484968954</v>
      </c>
      <c r="T326" s="20">
        <f>input!C325</f>
        <v>0.09</v>
      </c>
      <c r="U326" s="19">
        <f t="shared" si="151"/>
        <v>0.99837455232981853</v>
      </c>
      <c r="V326" s="21">
        <f t="shared" si="152"/>
        <v>1918.6670595516005</v>
      </c>
      <c r="W326" s="21">
        <v>1419</v>
      </c>
      <c r="X326" s="3">
        <f>W326/365+input!$K$2</f>
        <v>3.8876712328767122</v>
      </c>
      <c r="Y326" s="4">
        <f t="shared" si="153"/>
        <v>39.469004015014669</v>
      </c>
      <c r="Z326" s="10">
        <f t="shared" si="145"/>
        <v>103.98435971907008</v>
      </c>
      <c r="AA326" s="20">
        <f>input!D325</f>
        <v>0</v>
      </c>
      <c r="AB326" s="19">
        <f t="shared" si="154"/>
        <v>0.99866597068041085</v>
      </c>
      <c r="AC326" s="21">
        <f t="shared" si="155"/>
        <v>1956.3459956959921</v>
      </c>
      <c r="AD326" s="8">
        <f t="shared" si="156"/>
        <v>148791.11938210734</v>
      </c>
      <c r="AE326" s="8">
        <f t="shared" si="157"/>
        <v>2239.3609208075231</v>
      </c>
      <c r="AF326" s="8">
        <f t="shared" si="158"/>
        <v>9.1100614364720585</v>
      </c>
      <c r="AG326" s="8">
        <f t="shared" si="159"/>
        <v>0</v>
      </c>
      <c r="AH326" s="8">
        <f t="shared" si="160"/>
        <v>63629.189574160904</v>
      </c>
      <c r="AI326" s="8">
        <f t="shared" si="161"/>
        <v>2199.5259370127887</v>
      </c>
      <c r="AJ326" s="8">
        <f t="shared" si="162"/>
        <v>9.0952535083349346</v>
      </c>
      <c r="AK326" s="8">
        <f t="shared" si="163"/>
        <v>0</v>
      </c>
      <c r="AL326" s="8">
        <f t="shared" si="164"/>
        <v>47446.749983504495</v>
      </c>
      <c r="AM326" s="8">
        <f t="shared" si="165"/>
        <v>3283.1610836990617</v>
      </c>
      <c r="AN326" s="8">
        <f t="shared" si="166"/>
        <v>17.450763304713369</v>
      </c>
      <c r="AO326" s="8">
        <f t="shared" si="167"/>
        <v>0</v>
      </c>
      <c r="AQ326" s="22"/>
    </row>
    <row r="327" spans="1:43">
      <c r="A327" s="1">
        <v>42054</v>
      </c>
      <c r="B327" s="5">
        <v>325</v>
      </c>
      <c r="C327" s="3">
        <f>B327/365+input!$K$2</f>
        <v>0.8904109589041096</v>
      </c>
      <c r="D327" s="4">
        <f t="shared" si="142"/>
        <v>28.092476951945251</v>
      </c>
      <c r="E327" s="10">
        <f t="shared" si="146"/>
        <v>34.556499877080263</v>
      </c>
      <c r="F327" s="20">
        <f>input!A326</f>
        <v>4315.5200000000004</v>
      </c>
      <c r="G327" s="19">
        <f t="shared" si="147"/>
        <v>0.43144476626653699</v>
      </c>
      <c r="H327" s="21">
        <f t="shared" si="148"/>
        <v>749.04511492177255</v>
      </c>
      <c r="I327" s="5">
        <v>690</v>
      </c>
      <c r="J327" s="3">
        <f>I327/365+input!$K$2</f>
        <v>1.8904109589041096</v>
      </c>
      <c r="K327" s="4">
        <f t="shared" si="140"/>
        <v>35.181424155979585</v>
      </c>
      <c r="L327" s="10">
        <f t="shared" si="141"/>
        <v>71.639658579078656</v>
      </c>
      <c r="M327" s="20">
        <f>input!B326</f>
        <v>31.03</v>
      </c>
      <c r="N327" s="19">
        <f t="shared" si="149"/>
        <v>0.98236267275850386</v>
      </c>
      <c r="O327" s="21">
        <f t="shared" si="150"/>
        <v>1494.1021501777691</v>
      </c>
      <c r="P327" s="5">
        <v>1055</v>
      </c>
      <c r="Q327" s="3">
        <f>P327/365+input!$K$2</f>
        <v>2.8904109589041096</v>
      </c>
      <c r="R327" s="4">
        <f t="shared" si="143"/>
        <v>39.150514116186777</v>
      </c>
      <c r="S327" s="10">
        <f t="shared" si="144"/>
        <v>101.29020291879796</v>
      </c>
      <c r="T327" s="20">
        <f>input!C326</f>
        <v>0.08</v>
      </c>
      <c r="U327" s="19">
        <f t="shared" si="151"/>
        <v>0.99838243028782336</v>
      </c>
      <c r="V327" s="21">
        <f t="shared" si="152"/>
        <v>1919.5886842816574</v>
      </c>
      <c r="W327" s="21">
        <v>1420</v>
      </c>
      <c r="X327" s="3">
        <f>W327/365+input!$K$2</f>
        <v>3.8904109589041096</v>
      </c>
      <c r="Y327" s="4">
        <f t="shared" si="153"/>
        <v>39.469004015014669</v>
      </c>
      <c r="Z327" s="10">
        <f t="shared" si="145"/>
        <v>103.98435971907008</v>
      </c>
      <c r="AA327" s="20">
        <f>input!D326</f>
        <v>0</v>
      </c>
      <c r="AB327" s="19">
        <f t="shared" si="154"/>
        <v>0.99866597068041085</v>
      </c>
      <c r="AC327" s="21">
        <f t="shared" si="155"/>
        <v>1956.3459956959921</v>
      </c>
      <c r="AD327" s="8">
        <f t="shared" si="156"/>
        <v>149129.26634953744</v>
      </c>
      <c r="AE327" s="8">
        <f t="shared" si="157"/>
        <v>2222.9786057088108</v>
      </c>
      <c r="AF327" s="8">
        <f t="shared" si="158"/>
        <v>8.1032162335038365</v>
      </c>
      <c r="AG327" s="8">
        <f t="shared" si="159"/>
        <v>0</v>
      </c>
      <c r="AH327" s="8">
        <f t="shared" si="160"/>
        <v>64341.041463676323</v>
      </c>
      <c r="AI327" s="8">
        <f t="shared" si="161"/>
        <v>2183.7712045890798</v>
      </c>
      <c r="AJ327" s="8">
        <f t="shared" si="162"/>
        <v>8.0901087163533028</v>
      </c>
      <c r="AK327" s="8">
        <f t="shared" si="163"/>
        <v>0</v>
      </c>
      <c r="AL327" s="8">
        <f t="shared" si="164"/>
        <v>48194.342797345969</v>
      </c>
      <c r="AM327" s="8">
        <f t="shared" si="165"/>
        <v>3262.777252272841</v>
      </c>
      <c r="AN327" s="8">
        <f t="shared" si="166"/>
        <v>15.529681146520204</v>
      </c>
      <c r="AO327" s="8">
        <f t="shared" si="167"/>
        <v>0</v>
      </c>
      <c r="AQ327" s="22"/>
    </row>
    <row r="328" spans="1:43">
      <c r="A328" s="1">
        <v>42055</v>
      </c>
      <c r="B328" s="5">
        <v>326</v>
      </c>
      <c r="C328" s="3">
        <f>B328/365+input!$K$2</f>
        <v>0.89315068493150684</v>
      </c>
      <c r="D328" s="4">
        <f t="shared" si="142"/>
        <v>28.11805214262554</v>
      </c>
      <c r="E328" s="10">
        <f t="shared" si="146"/>
        <v>34.658534219492232</v>
      </c>
      <c r="F328" s="20">
        <f>input!A327</f>
        <v>4300.42</v>
      </c>
      <c r="G328" s="19">
        <f t="shared" si="147"/>
        <v>0.43525053466342561</v>
      </c>
      <c r="H328" s="21">
        <f t="shared" si="148"/>
        <v>752.40298996960439</v>
      </c>
      <c r="I328" s="5">
        <v>691</v>
      </c>
      <c r="J328" s="3">
        <f>I328/365+input!$K$2</f>
        <v>1.893150684931507</v>
      </c>
      <c r="K328" s="4">
        <f t="shared" si="140"/>
        <v>35.195743663466075</v>
      </c>
      <c r="L328" s="10">
        <f t="shared" si="141"/>
        <v>71.734175844654487</v>
      </c>
      <c r="M328" s="20">
        <f>input!B327</f>
        <v>30.53</v>
      </c>
      <c r="N328" s="19">
        <f t="shared" si="149"/>
        <v>0.98251239577116811</v>
      </c>
      <c r="O328" s="21">
        <f t="shared" si="150"/>
        <v>1495.5350799294467</v>
      </c>
      <c r="P328" s="5">
        <v>1056</v>
      </c>
      <c r="Q328" s="3">
        <f>P328/365+input!$K$2</f>
        <v>2.893150684931507</v>
      </c>
      <c r="R328" s="4">
        <f t="shared" si="143"/>
        <v>39.158531585038482</v>
      </c>
      <c r="S328" s="10">
        <f t="shared" si="144"/>
        <v>101.35742498698568</v>
      </c>
      <c r="T328" s="20">
        <f>input!C327</f>
        <v>0.08</v>
      </c>
      <c r="U328" s="19">
        <f t="shared" si="151"/>
        <v>0.9983902577079582</v>
      </c>
      <c r="V328" s="21">
        <f t="shared" si="152"/>
        <v>1920.5090982432287</v>
      </c>
      <c r="W328" s="21">
        <v>1421</v>
      </c>
      <c r="X328" s="3">
        <f>W328/365+input!$K$2</f>
        <v>3.893150684931507</v>
      </c>
      <c r="Y328" s="4">
        <f t="shared" si="153"/>
        <v>39.469004015014669</v>
      </c>
      <c r="Z328" s="10">
        <f t="shared" si="145"/>
        <v>103.98435971907008</v>
      </c>
      <c r="AA328" s="20">
        <f>input!D327</f>
        <v>0</v>
      </c>
      <c r="AB328" s="19">
        <f t="shared" si="154"/>
        <v>0.99866597068041085</v>
      </c>
      <c r="AC328" s="21">
        <f t="shared" si="155"/>
        <v>1956.3459956959921</v>
      </c>
      <c r="AD328" s="8">
        <f t="shared" si="156"/>
        <v>149046.25372818878</v>
      </c>
      <c r="AE328" s="8">
        <f t="shared" si="157"/>
        <v>2190.0443885373015</v>
      </c>
      <c r="AF328" s="8">
        <f t="shared" si="158"/>
        <v>8.1085939989588542</v>
      </c>
      <c r="AG328" s="8">
        <f t="shared" si="159"/>
        <v>0</v>
      </c>
      <c r="AH328" s="8">
        <f t="shared" si="160"/>
        <v>64872.461624774762</v>
      </c>
      <c r="AI328" s="8">
        <f t="shared" si="161"/>
        <v>2151.7457590269869</v>
      </c>
      <c r="AJ328" s="8">
        <f t="shared" si="162"/>
        <v>8.095541252269733</v>
      </c>
      <c r="AK328" s="8">
        <f t="shared" si="163"/>
        <v>0</v>
      </c>
      <c r="AL328" s="8">
        <f t="shared" si="164"/>
        <v>48810.234093168954</v>
      </c>
      <c r="AM328" s="8">
        <f t="shared" si="165"/>
        <v>3218.0112657142727</v>
      </c>
      <c r="AN328" s="8">
        <f t="shared" si="166"/>
        <v>15.547560630187403</v>
      </c>
      <c r="AO328" s="8">
        <f t="shared" si="167"/>
        <v>0</v>
      </c>
      <c r="AQ328" s="22"/>
    </row>
    <row r="329" spans="1:43">
      <c r="A329" s="1">
        <v>42056</v>
      </c>
      <c r="B329" s="5">
        <v>327</v>
      </c>
      <c r="C329" s="3">
        <f>B329/365+input!$K$2</f>
        <v>0.89589041095890409</v>
      </c>
      <c r="D329" s="4">
        <f t="shared" si="142"/>
        <v>28.143586725549049</v>
      </c>
      <c r="E329" s="10">
        <f t="shared" si="146"/>
        <v>34.760614157663795</v>
      </c>
      <c r="F329" s="20">
        <f>input!A328</f>
        <v>4296.29</v>
      </c>
      <c r="G329" s="19">
        <f t="shared" si="147"/>
        <v>0.43905788824820075</v>
      </c>
      <c r="H329" s="21">
        <f t="shared" si="148"/>
        <v>755.74943626517563</v>
      </c>
      <c r="I329" s="5">
        <v>692</v>
      </c>
      <c r="J329" s="3">
        <f>I329/365+input!$K$2</f>
        <v>1.8958904109589041</v>
      </c>
      <c r="K329" s="4">
        <f t="shared" si="140"/>
        <v>35.210040434735873</v>
      </c>
      <c r="L329" s="10">
        <f t="shared" si="141"/>
        <v>71.828629010239879</v>
      </c>
      <c r="M329" s="20">
        <f>input!B328</f>
        <v>30.26</v>
      </c>
      <c r="N329" s="19">
        <f t="shared" si="149"/>
        <v>0.98266063546070359</v>
      </c>
      <c r="O329" s="21">
        <f t="shared" si="150"/>
        <v>1496.966383513012</v>
      </c>
      <c r="P329" s="5">
        <v>1057</v>
      </c>
      <c r="Q329" s="3">
        <f>P329/365+input!$K$2</f>
        <v>2.8958904109589043</v>
      </c>
      <c r="R329" s="4">
        <f t="shared" si="143"/>
        <v>39.166536323919608</v>
      </c>
      <c r="S329" s="10">
        <f t="shared" si="144"/>
        <v>101.42457108483597</v>
      </c>
      <c r="T329" s="20">
        <f>input!C328</f>
        <v>0.08</v>
      </c>
      <c r="U329" s="19">
        <f t="shared" si="151"/>
        <v>0.99839803497368707</v>
      </c>
      <c r="V329" s="21">
        <f t="shared" si="152"/>
        <v>1921.4283025789614</v>
      </c>
      <c r="W329" s="21">
        <v>1422</v>
      </c>
      <c r="X329" s="3">
        <f>W329/365+input!$K$2</f>
        <v>3.8958904109589043</v>
      </c>
      <c r="Y329" s="4">
        <f t="shared" si="153"/>
        <v>39.469004015014669</v>
      </c>
      <c r="Z329" s="10">
        <f t="shared" si="145"/>
        <v>103.98435971907008</v>
      </c>
      <c r="AA329" s="20">
        <f>input!D328</f>
        <v>0</v>
      </c>
      <c r="AB329" s="19">
        <f t="shared" si="154"/>
        <v>0.99866597068041085</v>
      </c>
      <c r="AC329" s="21">
        <f t="shared" si="155"/>
        <v>1956.3459956959921</v>
      </c>
      <c r="AD329" s="8">
        <f t="shared" si="156"/>
        <v>149341.67899942939</v>
      </c>
      <c r="AE329" s="8">
        <f t="shared" si="157"/>
        <v>2173.5343138498588</v>
      </c>
      <c r="AF329" s="8">
        <f t="shared" si="158"/>
        <v>8.1139656867868784</v>
      </c>
      <c r="AG329" s="8">
        <f t="shared" si="159"/>
        <v>0</v>
      </c>
      <c r="AH329" s="8">
        <f t="shared" si="160"/>
        <v>65569.642208930134</v>
      </c>
      <c r="AI329" s="8">
        <f t="shared" si="161"/>
        <v>2135.8466100433466</v>
      </c>
      <c r="AJ329" s="8">
        <f t="shared" si="162"/>
        <v>8.1009673975319423</v>
      </c>
      <c r="AK329" s="8">
        <f t="shared" si="163"/>
        <v>0</v>
      </c>
      <c r="AL329" s="8">
        <f t="shared" si="164"/>
        <v>49554.220135508214</v>
      </c>
      <c r="AM329" s="8">
        <f t="shared" si="165"/>
        <v>3197.2905755751153</v>
      </c>
      <c r="AN329" s="8">
        <f t="shared" si="166"/>
        <v>15.565428035887306</v>
      </c>
      <c r="AO329" s="8">
        <f t="shared" si="167"/>
        <v>0</v>
      </c>
      <c r="AQ329" s="22"/>
    </row>
    <row r="330" spans="1:43">
      <c r="A330" s="1">
        <v>42057</v>
      </c>
      <c r="B330" s="5">
        <v>328</v>
      </c>
      <c r="C330" s="3">
        <f>B330/365+input!$K$2</f>
        <v>0.89863013698630134</v>
      </c>
      <c r="D330" s="4">
        <f t="shared" si="142"/>
        <v>28.169080765191929</v>
      </c>
      <c r="E330" s="10">
        <f t="shared" si="146"/>
        <v>34.862739193524519</v>
      </c>
      <c r="F330" s="20">
        <f>input!A329</f>
        <v>4281.46</v>
      </c>
      <c r="G330" s="19">
        <f t="shared" si="147"/>
        <v>0.44286636713993438</v>
      </c>
      <c r="H330" s="21">
        <f t="shared" si="148"/>
        <v>759.08441811204511</v>
      </c>
      <c r="I330" s="5">
        <v>693</v>
      </c>
      <c r="J330" s="3">
        <f>I330/365+input!$K$2</f>
        <v>1.8986301369863015</v>
      </c>
      <c r="K330" s="4">
        <f t="shared" si="140"/>
        <v>35.224314505889076</v>
      </c>
      <c r="L330" s="10">
        <f t="shared" si="141"/>
        <v>71.923017947986182</v>
      </c>
      <c r="M330" s="20">
        <f>input!B329</f>
        <v>29.81</v>
      </c>
      <c r="N330" s="19">
        <f t="shared" si="149"/>
        <v>0.98280740809581846</v>
      </c>
      <c r="O330" s="21">
        <f t="shared" si="150"/>
        <v>1498.3960632650774</v>
      </c>
      <c r="P330" s="5">
        <v>1058</v>
      </c>
      <c r="Q330" s="3">
        <f>P330/365+input!$K$2</f>
        <v>2.8986301369863012</v>
      </c>
      <c r="R330" s="4">
        <f t="shared" si="143"/>
        <v>39.174528353042525</v>
      </c>
      <c r="S330" s="10">
        <f t="shared" si="144"/>
        <v>101.49164124313258</v>
      </c>
      <c r="T330" s="20">
        <f>input!C329</f>
        <v>0.08</v>
      </c>
      <c r="U330" s="19">
        <f t="shared" si="151"/>
        <v>0.99840576246516677</v>
      </c>
      <c r="V330" s="21">
        <f t="shared" si="152"/>
        <v>1922.3462984320104</v>
      </c>
      <c r="W330" s="21">
        <v>1423</v>
      </c>
      <c r="X330" s="3">
        <f>W330/365+input!$K$2</f>
        <v>3.8986301369863012</v>
      </c>
      <c r="Y330" s="4">
        <f t="shared" si="153"/>
        <v>39.469004015014669</v>
      </c>
      <c r="Z330" s="10">
        <f t="shared" si="145"/>
        <v>103.98435971907008</v>
      </c>
      <c r="AA330" s="20">
        <f>input!D329</f>
        <v>0</v>
      </c>
      <c r="AB330" s="19">
        <f t="shared" si="154"/>
        <v>0.99866597068041085</v>
      </c>
      <c r="AC330" s="21">
        <f t="shared" si="155"/>
        <v>1956.3459956959921</v>
      </c>
      <c r="AD330" s="8">
        <f t="shared" si="156"/>
        <v>149263.42334750749</v>
      </c>
      <c r="AE330" s="8">
        <f t="shared" si="157"/>
        <v>2144.0251650294681</v>
      </c>
      <c r="AF330" s="8">
        <f t="shared" si="158"/>
        <v>8.1193312994506055</v>
      </c>
      <c r="AG330" s="8">
        <f t="shared" si="159"/>
        <v>0</v>
      </c>
      <c r="AH330" s="8">
        <f t="shared" si="160"/>
        <v>66103.750044780711</v>
      </c>
      <c r="AI330" s="8">
        <f t="shared" si="161"/>
        <v>2107.1638153348208</v>
      </c>
      <c r="AJ330" s="8">
        <f t="shared" si="162"/>
        <v>8.1063871567352752</v>
      </c>
      <c r="AK330" s="8">
        <f t="shared" si="163"/>
        <v>0</v>
      </c>
      <c r="AL330" s="8">
        <f t="shared" si="164"/>
        <v>50178.32663776644</v>
      </c>
      <c r="AM330" s="8">
        <f t="shared" si="165"/>
        <v>3157.3659655523161</v>
      </c>
      <c r="AN330" s="8">
        <f t="shared" si="166"/>
        <v>15.583283344406846</v>
      </c>
      <c r="AO330" s="8">
        <f t="shared" si="167"/>
        <v>0</v>
      </c>
      <c r="AQ330" s="22"/>
    </row>
    <row r="331" spans="1:43">
      <c r="A331" s="1">
        <v>42058</v>
      </c>
      <c r="B331" s="5">
        <v>329</v>
      </c>
      <c r="C331" s="3">
        <f>B331/365+input!$K$2</f>
        <v>0.90136986301369859</v>
      </c>
      <c r="D331" s="4">
        <f t="shared" si="142"/>
        <v>28.194534325927954</v>
      </c>
      <c r="E331" s="10">
        <f t="shared" si="146"/>
        <v>34.964908830087701</v>
      </c>
      <c r="F331" s="20">
        <f>input!A330</f>
        <v>4278.53</v>
      </c>
      <c r="G331" s="19">
        <f t="shared" si="147"/>
        <v>0.44667551236060948</v>
      </c>
      <c r="H331" s="21">
        <f t="shared" si="148"/>
        <v>762.40790237921215</v>
      </c>
      <c r="I331" s="5">
        <v>694</v>
      </c>
      <c r="J331" s="3">
        <f>I331/365+input!$K$2</f>
        <v>1.9013698630136986</v>
      </c>
      <c r="K331" s="4">
        <f t="shared" si="140"/>
        <v>35.238565912968447</v>
      </c>
      <c r="L331" s="10">
        <f t="shared" si="141"/>
        <v>72.017342530775295</v>
      </c>
      <c r="M331" s="20">
        <f>input!B330</f>
        <v>29.54</v>
      </c>
      <c r="N331" s="19">
        <f t="shared" si="149"/>
        <v>0.98295272975472558</v>
      </c>
      <c r="O331" s="21">
        <f t="shared" si="150"/>
        <v>1499.824121490863</v>
      </c>
      <c r="P331" s="5">
        <v>1059</v>
      </c>
      <c r="Q331" s="3">
        <f>P331/365+input!$K$2</f>
        <v>2.9013698630136986</v>
      </c>
      <c r="R331" s="4">
        <f t="shared" si="143"/>
        <v>39.182507692587521</v>
      </c>
      <c r="S331" s="10">
        <f t="shared" si="144"/>
        <v>101.5586354928592</v>
      </c>
      <c r="T331" s="20">
        <f>input!C330</f>
        <v>0.08</v>
      </c>
      <c r="U331" s="19">
        <f t="shared" si="151"/>
        <v>0.99841344055927728</v>
      </c>
      <c r="V331" s="21">
        <f t="shared" si="152"/>
        <v>1923.2630869460356</v>
      </c>
      <c r="W331" s="21">
        <v>1424</v>
      </c>
      <c r="X331" s="3">
        <f>W331/365+input!$K$2</f>
        <v>3.9013698630136986</v>
      </c>
      <c r="Y331" s="4">
        <f t="shared" si="153"/>
        <v>39.469004015014669</v>
      </c>
      <c r="Z331" s="10">
        <f t="shared" si="145"/>
        <v>103.98435971907008</v>
      </c>
      <c r="AA331" s="20">
        <f>input!D330</f>
        <v>0</v>
      </c>
      <c r="AB331" s="19">
        <f t="shared" si="154"/>
        <v>0.99866597068041085</v>
      </c>
      <c r="AC331" s="21">
        <f t="shared" si="155"/>
        <v>1956.3459956959921</v>
      </c>
      <c r="AD331" s="8">
        <f t="shared" si="156"/>
        <v>149598.41137679512</v>
      </c>
      <c r="AE331" s="8">
        <f t="shared" si="157"/>
        <v>2127.3922983591024</v>
      </c>
      <c r="AF331" s="8">
        <f t="shared" si="158"/>
        <v>8.1246908394287356</v>
      </c>
      <c r="AG331" s="8">
        <f t="shared" si="159"/>
        <v>0</v>
      </c>
      <c r="AH331" s="8">
        <f t="shared" si="160"/>
        <v>66821.947050063187</v>
      </c>
      <c r="AI331" s="8">
        <f t="shared" si="161"/>
        <v>2091.1260669312592</v>
      </c>
      <c r="AJ331" s="8">
        <f t="shared" si="162"/>
        <v>8.1118005344744866</v>
      </c>
      <c r="AK331" s="8">
        <f t="shared" si="163"/>
        <v>0</v>
      </c>
      <c r="AL331" s="8">
        <f t="shared" si="164"/>
        <v>50945.580483333455</v>
      </c>
      <c r="AM331" s="8">
        <f t="shared" si="165"/>
        <v>3136.3213162618194</v>
      </c>
      <c r="AN331" s="8">
        <f t="shared" si="166"/>
        <v>15.601126536623902</v>
      </c>
      <c r="AO331" s="8">
        <f t="shared" si="167"/>
        <v>0</v>
      </c>
      <c r="AQ331" s="22"/>
    </row>
    <row r="332" spans="1:43">
      <c r="A332" s="1">
        <v>42059</v>
      </c>
      <c r="B332" s="5">
        <v>330</v>
      </c>
      <c r="C332" s="3">
        <f>B332/365+input!$K$2</f>
        <v>0.90410958904109584</v>
      </c>
      <c r="D332" s="4">
        <f t="shared" si="142"/>
        <v>28.219947472028693</v>
      </c>
      <c r="E332" s="10">
        <f t="shared" si="146"/>
        <v>35.067122571452146</v>
      </c>
      <c r="F332" s="20">
        <f>input!A331</f>
        <v>4262.7</v>
      </c>
      <c r="G332" s="19">
        <f t="shared" si="147"/>
        <v>0.45048486605338456</v>
      </c>
      <c r="H332" s="21">
        <f t="shared" si="148"/>
        <v>765.71985846617815</v>
      </c>
      <c r="I332" s="5">
        <v>695</v>
      </c>
      <c r="J332" s="3">
        <f>I332/365+input!$K$2</f>
        <v>1.904109589041096</v>
      </c>
      <c r="K332" s="4">
        <f t="shared" si="140"/>
        <v>35.252794691959544</v>
      </c>
      <c r="L332" s="10">
        <f t="shared" si="141"/>
        <v>72.111602632217483</v>
      </c>
      <c r="M332" s="20">
        <f>input!B331</f>
        <v>29.1</v>
      </c>
      <c r="N332" s="19">
        <f t="shared" si="149"/>
        <v>0.98309661632743395</v>
      </c>
      <c r="O332" s="21">
        <f t="shared" si="150"/>
        <v>1501.2505604647542</v>
      </c>
      <c r="P332" s="5">
        <v>1060</v>
      </c>
      <c r="Q332" s="3">
        <f>P332/365+input!$K$2</f>
        <v>2.904109589041096</v>
      </c>
      <c r="R332" s="4">
        <f t="shared" si="143"/>
        <v>39.190474362702858</v>
      </c>
      <c r="S332" s="10">
        <f t="shared" si="144"/>
        <v>101.62555386519787</v>
      </c>
      <c r="T332" s="20">
        <f>input!C331</f>
        <v>0.08</v>
      </c>
      <c r="U332" s="19">
        <f t="shared" si="151"/>
        <v>0.99842106962965504</v>
      </c>
      <c r="V332" s="21">
        <f t="shared" si="152"/>
        <v>1924.1786692652006</v>
      </c>
      <c r="W332" s="21">
        <v>1425</v>
      </c>
      <c r="X332" s="3">
        <f>W332/365+input!$K$2</f>
        <v>3.904109589041096</v>
      </c>
      <c r="Y332" s="4">
        <f t="shared" si="153"/>
        <v>39.469004015014669</v>
      </c>
      <c r="Z332" s="10">
        <f t="shared" si="145"/>
        <v>103.98435971907008</v>
      </c>
      <c r="AA332" s="20">
        <f>input!D331</f>
        <v>0</v>
      </c>
      <c r="AB332" s="19">
        <f t="shared" si="154"/>
        <v>0.99866597068041085</v>
      </c>
      <c r="AC332" s="21">
        <f t="shared" si="155"/>
        <v>1956.3459956959921</v>
      </c>
      <c r="AD332" s="8">
        <f t="shared" si="156"/>
        <v>149480.62338532906</v>
      </c>
      <c r="AE332" s="8">
        <f t="shared" si="157"/>
        <v>2098.4476365975288</v>
      </c>
      <c r="AF332" s="8">
        <f t="shared" si="158"/>
        <v>8.1300443092158297</v>
      </c>
      <c r="AG332" s="8">
        <f t="shared" si="159"/>
        <v>0</v>
      </c>
      <c r="AH332" s="8">
        <f t="shared" si="160"/>
        <v>67338.758603316383</v>
      </c>
      <c r="AI332" s="8">
        <f t="shared" si="161"/>
        <v>2062.9767710793312</v>
      </c>
      <c r="AJ332" s="8">
        <f t="shared" si="162"/>
        <v>8.1172075353437592</v>
      </c>
      <c r="AK332" s="8">
        <f t="shared" si="163"/>
        <v>0</v>
      </c>
      <c r="AL332" s="8">
        <f t="shared" si="164"/>
        <v>51562.62470701956</v>
      </c>
      <c r="AM332" s="8">
        <f t="shared" si="165"/>
        <v>3097.0450338086152</v>
      </c>
      <c r="AN332" s="8">
        <f t="shared" si="166"/>
        <v>15.618957593507213</v>
      </c>
      <c r="AO332" s="8">
        <f t="shared" si="167"/>
        <v>0</v>
      </c>
      <c r="AQ332" s="22"/>
    </row>
    <row r="333" spans="1:43">
      <c r="A333" s="1">
        <v>42060</v>
      </c>
      <c r="B333" s="5">
        <v>331</v>
      </c>
      <c r="C333" s="3">
        <f>B333/365+input!$K$2</f>
        <v>0.9068493150684932</v>
      </c>
      <c r="D333" s="4">
        <f t="shared" si="142"/>
        <v>28.245320267663665</v>
      </c>
      <c r="E333" s="10">
        <f t="shared" si="146"/>
        <v>35.169379922804382</v>
      </c>
      <c r="F333" s="20">
        <f>input!A332</f>
        <v>4259.78</v>
      </c>
      <c r="G333" s="19">
        <f t="shared" si="147"/>
        <v>0.45429397169894509</v>
      </c>
      <c r="H333" s="21">
        <f t="shared" si="148"/>
        <v>769.02025826774457</v>
      </c>
      <c r="I333" s="5">
        <v>696</v>
      </c>
      <c r="J333" s="3">
        <f>I333/365+input!$K$2</f>
        <v>1.9068493150684931</v>
      </c>
      <c r="K333" s="4">
        <f t="shared" si="140"/>
        <v>35.267000878790761</v>
      </c>
      <c r="L333" s="10">
        <f t="shared" si="141"/>
        <v>72.205798126649924</v>
      </c>
      <c r="M333" s="20">
        <f>input!B332</f>
        <v>28.84</v>
      </c>
      <c r="N333" s="19">
        <f t="shared" si="149"/>
        <v>0.98323908351801159</v>
      </c>
      <c r="O333" s="21">
        <f t="shared" si="150"/>
        <v>1502.6753824308846</v>
      </c>
      <c r="P333" s="5">
        <v>1061</v>
      </c>
      <c r="Q333" s="3">
        <f>P333/365+input!$K$2</f>
        <v>2.9068493150684933</v>
      </c>
      <c r="R333" s="4">
        <f t="shared" si="143"/>
        <v>39.198428383504776</v>
      </c>
      <c r="S333" s="10">
        <f t="shared" si="144"/>
        <v>101.69239639152819</v>
      </c>
      <c r="T333" s="20">
        <f>input!C332</f>
        <v>0.08</v>
      </c>
      <c r="U333" s="19">
        <f t="shared" si="151"/>
        <v>0.99842865004672132</v>
      </c>
      <c r="V333" s="21">
        <f t="shared" si="152"/>
        <v>1925.0930465341532</v>
      </c>
      <c r="W333" s="21">
        <v>1426</v>
      </c>
      <c r="X333" s="3">
        <f>W333/365+input!$K$2</f>
        <v>3.9068493150684933</v>
      </c>
      <c r="Y333" s="4">
        <f t="shared" si="153"/>
        <v>39.469004015014669</v>
      </c>
      <c r="Z333" s="10">
        <f t="shared" si="145"/>
        <v>103.98435971907008</v>
      </c>
      <c r="AA333" s="20">
        <f>input!D332</f>
        <v>0</v>
      </c>
      <c r="AB333" s="19">
        <f t="shared" si="154"/>
        <v>0.99866597068041085</v>
      </c>
      <c r="AC333" s="21">
        <f t="shared" si="155"/>
        <v>1956.3459956959921</v>
      </c>
      <c r="AD333" s="8">
        <f t="shared" si="156"/>
        <v>149813.82120756363</v>
      </c>
      <c r="AE333" s="8">
        <f t="shared" si="157"/>
        <v>2082.4152179725838</v>
      </c>
      <c r="AF333" s="8">
        <f t="shared" si="158"/>
        <v>8.1353917113222547</v>
      </c>
      <c r="AG333" s="8">
        <f t="shared" si="159"/>
        <v>0</v>
      </c>
      <c r="AH333" s="8">
        <f t="shared" si="160"/>
        <v>68059.515851779724</v>
      </c>
      <c r="AI333" s="8">
        <f t="shared" si="161"/>
        <v>2047.5120304233237</v>
      </c>
      <c r="AJ333" s="8">
        <f t="shared" si="162"/>
        <v>8.1226081639367642</v>
      </c>
      <c r="AK333" s="8">
        <f t="shared" si="163"/>
        <v>0</v>
      </c>
      <c r="AL333" s="8">
        <f t="shared" si="164"/>
        <v>52339.146457913303</v>
      </c>
      <c r="AM333" s="8">
        <f t="shared" si="165"/>
        <v>3076.745923348205</v>
      </c>
      <c r="AN333" s="8">
        <f t="shared" si="166"/>
        <v>15.636776496116211</v>
      </c>
      <c r="AO333" s="8">
        <f t="shared" si="167"/>
        <v>0</v>
      </c>
      <c r="AQ333" s="22"/>
    </row>
    <row r="334" spans="1:43">
      <c r="A334" s="1">
        <v>42061</v>
      </c>
      <c r="B334" s="5">
        <v>332</v>
      </c>
      <c r="C334" s="3">
        <f>B334/365+input!$K$2</f>
        <v>0.90958904109589045</v>
      </c>
      <c r="D334" s="4">
        <f t="shared" si="142"/>
        <v>28.270652776900505</v>
      </c>
      <c r="E334" s="10">
        <f t="shared" si="146"/>
        <v>35.271680390420478</v>
      </c>
      <c r="F334" s="20">
        <f>input!A333</f>
        <v>4245.93</v>
      </c>
      <c r="G334" s="19">
        <f t="shared" si="147"/>
        <v>0.45810237432972234</v>
      </c>
      <c r="H334" s="21">
        <f t="shared" si="148"/>
        <v>772.30907613855823</v>
      </c>
      <c r="I334" s="5">
        <v>697</v>
      </c>
      <c r="J334" s="3">
        <f>I334/365+input!$K$2</f>
        <v>1.9095890410958904</v>
      </c>
      <c r="K334" s="4">
        <f t="shared" si="140"/>
        <v>35.281184509333471</v>
      </c>
      <c r="L334" s="10">
        <f t="shared" si="141"/>
        <v>72.299928889134563</v>
      </c>
      <c r="M334" s="20">
        <f>input!B333</f>
        <v>28.39</v>
      </c>
      <c r="N334" s="19">
        <f t="shared" si="149"/>
        <v>0.98338014684682262</v>
      </c>
      <c r="O334" s="21">
        <f t="shared" si="150"/>
        <v>1504.0985896036939</v>
      </c>
      <c r="P334" s="5">
        <v>1062</v>
      </c>
      <c r="Q334" s="3">
        <f>P334/365+input!$K$2</f>
        <v>2.9095890410958902</v>
      </c>
      <c r="R334" s="4">
        <f t="shared" si="143"/>
        <v>39.206369775077611</v>
      </c>
      <c r="S334" s="10">
        <f t="shared" si="144"/>
        <v>101.75916310342718</v>
      </c>
      <c r="T334" s="20">
        <f>input!C333</f>
        <v>0.08</v>
      </c>
      <c r="U334" s="19">
        <f t="shared" si="151"/>
        <v>0.99843618217771524</v>
      </c>
      <c r="V334" s="21">
        <f t="shared" si="152"/>
        <v>1926.0062198980277</v>
      </c>
      <c r="W334" s="21">
        <v>1427</v>
      </c>
      <c r="X334" s="3">
        <f>W334/365+input!$K$2</f>
        <v>3.9095890410958902</v>
      </c>
      <c r="Y334" s="4">
        <f t="shared" si="153"/>
        <v>39.469004015014669</v>
      </c>
      <c r="Z334" s="10">
        <f t="shared" si="145"/>
        <v>103.98435971907008</v>
      </c>
      <c r="AA334" s="20">
        <f>input!D333</f>
        <v>0</v>
      </c>
      <c r="AB334" s="19">
        <f t="shared" si="154"/>
        <v>0.99866597068041085</v>
      </c>
      <c r="AC334" s="21">
        <f t="shared" si="155"/>
        <v>1956.3459956959921</v>
      </c>
      <c r="AD334" s="8">
        <f t="shared" si="156"/>
        <v>149761.08592009803</v>
      </c>
      <c r="AE334" s="8">
        <f t="shared" si="157"/>
        <v>2052.5949811625301</v>
      </c>
      <c r="AF334" s="8">
        <f t="shared" si="158"/>
        <v>8.1407330482741749</v>
      </c>
      <c r="AG334" s="8">
        <f t="shared" si="159"/>
        <v>0</v>
      </c>
      <c r="AH334" s="8">
        <f t="shared" si="160"/>
        <v>68605.909042194457</v>
      </c>
      <c r="AI334" s="8">
        <f t="shared" si="161"/>
        <v>2018.48115399266</v>
      </c>
      <c r="AJ334" s="8">
        <f t="shared" si="162"/>
        <v>8.1280024248468212</v>
      </c>
      <c r="AK334" s="8">
        <f t="shared" si="163"/>
        <v>0</v>
      </c>
      <c r="AL334" s="8">
        <f t="shared" si="164"/>
        <v>52984.966230023158</v>
      </c>
      <c r="AM334" s="8">
        <f t="shared" si="165"/>
        <v>3035.9946568619962</v>
      </c>
      <c r="AN334" s="8">
        <f t="shared" si="166"/>
        <v>15.654583225601229</v>
      </c>
      <c r="AO334" s="8">
        <f t="shared" si="167"/>
        <v>0</v>
      </c>
      <c r="AQ334" s="22"/>
    </row>
    <row r="335" spans="1:43">
      <c r="A335" s="1">
        <v>42062</v>
      </c>
      <c r="B335" s="5">
        <v>333</v>
      </c>
      <c r="C335" s="3">
        <f>B335/365+input!$K$2</f>
        <v>0.9123287671232877</v>
      </c>
      <c r="D335" s="4">
        <f t="shared" si="142"/>
        <v>28.295945063705123</v>
      </c>
      <c r="E335" s="10">
        <f t="shared" si="146"/>
        <v>35.374023481668019</v>
      </c>
      <c r="F335" s="20">
        <f>input!A334</f>
        <v>4241.7700000000004</v>
      </c>
      <c r="G335" s="19">
        <f t="shared" si="147"/>
        <v>0.46190962074178427</v>
      </c>
      <c r="H335" s="21">
        <f t="shared" si="148"/>
        <v>775.58628885743531</v>
      </c>
      <c r="I335" s="5">
        <v>698</v>
      </c>
      <c r="J335" s="3">
        <f>I335/365+input!$K$2</f>
        <v>1.9123287671232876</v>
      </c>
      <c r="K335" s="4">
        <f t="shared" si="140"/>
        <v>35.295345619402077</v>
      </c>
      <c r="L335" s="10">
        <f t="shared" si="141"/>
        <v>72.393994795455967</v>
      </c>
      <c r="M335" s="20">
        <f>input!B334</f>
        <v>28.13</v>
      </c>
      <c r="N335" s="19">
        <f t="shared" si="149"/>
        <v>0.98351982165273821</v>
      </c>
      <c r="O335" s="21">
        <f t="shared" si="150"/>
        <v>1505.520184168477</v>
      </c>
      <c r="P335" s="5">
        <v>1063</v>
      </c>
      <c r="Q335" s="3">
        <f>P335/365+input!$K$2</f>
        <v>2.9123287671232876</v>
      </c>
      <c r="R335" s="4">
        <f t="shared" si="143"/>
        <v>39.214298557473775</v>
      </c>
      <c r="S335" s="10">
        <f t="shared" si="144"/>
        <v>101.825854032667</v>
      </c>
      <c r="T335" s="20">
        <f>input!C334</f>
        <v>0.08</v>
      </c>
      <c r="U335" s="19">
        <f t="shared" si="151"/>
        <v>0.99844366638672288</v>
      </c>
      <c r="V335" s="21">
        <f t="shared" si="152"/>
        <v>1926.9181905024377</v>
      </c>
      <c r="W335" s="21">
        <v>1428</v>
      </c>
      <c r="X335" s="3">
        <f>W335/365+input!$K$2</f>
        <v>3.9123287671232876</v>
      </c>
      <c r="Y335" s="4">
        <f t="shared" si="153"/>
        <v>39.469004015014669</v>
      </c>
      <c r="Z335" s="10">
        <f t="shared" si="145"/>
        <v>103.98435971907008</v>
      </c>
      <c r="AA335" s="20">
        <f>input!D334</f>
        <v>0</v>
      </c>
      <c r="AB335" s="19">
        <f t="shared" si="154"/>
        <v>0.99866597068041085</v>
      </c>
      <c r="AC335" s="21">
        <f t="shared" si="155"/>
        <v>1956.3459956959921</v>
      </c>
      <c r="AD335" s="8">
        <f t="shared" si="156"/>
        <v>150048.47158383497</v>
      </c>
      <c r="AE335" s="8">
        <f t="shared" si="157"/>
        <v>2036.4430735961762</v>
      </c>
      <c r="AF335" s="8">
        <f t="shared" si="158"/>
        <v>8.1460683226133597</v>
      </c>
      <c r="AG335" s="8">
        <f t="shared" si="159"/>
        <v>0</v>
      </c>
      <c r="AH335" s="8">
        <f t="shared" si="160"/>
        <v>69308.832602173599</v>
      </c>
      <c r="AI335" s="8">
        <f t="shared" si="161"/>
        <v>2002.8821285492652</v>
      </c>
      <c r="AJ335" s="8">
        <f t="shared" si="162"/>
        <v>8.1333903226668252</v>
      </c>
      <c r="AK335" s="8">
        <f t="shared" si="163"/>
        <v>0</v>
      </c>
      <c r="AL335" s="8">
        <f t="shared" si="164"/>
        <v>53754.980262961042</v>
      </c>
      <c r="AM335" s="8">
        <f t="shared" si="165"/>
        <v>3015.3794710412412</v>
      </c>
      <c r="AN335" s="8">
        <f t="shared" si="166"/>
        <v>15.672377763203196</v>
      </c>
      <c r="AO335" s="8">
        <f t="shared" si="167"/>
        <v>0</v>
      </c>
      <c r="AQ335" s="22"/>
    </row>
    <row r="336" spans="1:43">
      <c r="A336" s="1">
        <v>42063</v>
      </c>
      <c r="B336" s="5">
        <v>334</v>
      </c>
      <c r="C336" s="3">
        <f>B336/365+input!$K$2</f>
        <v>0.91506849315068495</v>
      </c>
      <c r="D336" s="4">
        <f t="shared" si="142"/>
        <v>28.321197191941859</v>
      </c>
      <c r="E336" s="10">
        <f t="shared" si="146"/>
        <v>35.476408705007977</v>
      </c>
      <c r="F336" s="20">
        <f>input!A335</f>
        <v>4227.8</v>
      </c>
      <c r="G336" s="19">
        <f t="shared" si="147"/>
        <v>0.46571525970418853</v>
      </c>
      <c r="H336" s="21">
        <f t="shared" si="148"/>
        <v>778.8518755914771</v>
      </c>
      <c r="I336" s="5">
        <v>699</v>
      </c>
      <c r="J336" s="3">
        <f>I336/365+input!$K$2</f>
        <v>1.9150684931506849</v>
      </c>
      <c r="K336" s="4">
        <f t="shared" si="140"/>
        <v>35.309484244754124</v>
      </c>
      <c r="L336" s="10">
        <f t="shared" si="141"/>
        <v>72.487995722120175</v>
      </c>
      <c r="M336" s="20">
        <f>input!B335</f>
        <v>27.72</v>
      </c>
      <c r="N336" s="19">
        <f t="shared" si="149"/>
        <v>0.98365812309532186</v>
      </c>
      <c r="O336" s="21">
        <f t="shared" si="150"/>
        <v>1506.9401682819318</v>
      </c>
      <c r="P336" s="5">
        <v>1064</v>
      </c>
      <c r="Q336" s="3">
        <f>P336/365+input!$K$2</f>
        <v>2.9150684931506849</v>
      </c>
      <c r="R336" s="4">
        <f t="shared" si="143"/>
        <v>39.222214750713867</v>
      </c>
      <c r="S336" s="10">
        <f t="shared" si="144"/>
        <v>101.89246921121571</v>
      </c>
      <c r="T336" s="20">
        <f>input!C335</f>
        <v>0.08</v>
      </c>
      <c r="U336" s="19">
        <f t="shared" si="151"/>
        <v>0.99845110303470785</v>
      </c>
      <c r="V336" s="21">
        <f t="shared" si="152"/>
        <v>1927.8289594934731</v>
      </c>
      <c r="W336" s="21">
        <v>1429</v>
      </c>
      <c r="X336" s="3">
        <f>W336/365+input!$K$2</f>
        <v>3.9150684931506849</v>
      </c>
      <c r="Y336" s="4">
        <f t="shared" si="153"/>
        <v>39.469004015014669</v>
      </c>
      <c r="Z336" s="10">
        <f t="shared" si="145"/>
        <v>103.98435971907008</v>
      </c>
      <c r="AA336" s="20">
        <f>input!D335</f>
        <v>0</v>
      </c>
      <c r="AB336" s="19">
        <f t="shared" si="154"/>
        <v>0.99866597068041085</v>
      </c>
      <c r="AC336" s="21">
        <f t="shared" si="155"/>
        <v>1956.3459956959921</v>
      </c>
      <c r="AD336" s="8">
        <f t="shared" si="156"/>
        <v>149987.16072303272</v>
      </c>
      <c r="AE336" s="8">
        <f t="shared" si="157"/>
        <v>2009.3672414171713</v>
      </c>
      <c r="AF336" s="8">
        <f t="shared" si="158"/>
        <v>8.1513975368972567</v>
      </c>
      <c r="AG336" s="8">
        <f t="shared" si="159"/>
        <v>0</v>
      </c>
      <c r="AH336" s="8">
        <f t="shared" si="160"/>
        <v>69851.309508421051</v>
      </c>
      <c r="AI336" s="8">
        <f t="shared" si="161"/>
        <v>1976.5304093016391</v>
      </c>
      <c r="AJ336" s="8">
        <f t="shared" si="162"/>
        <v>8.1387718619894667</v>
      </c>
      <c r="AK336" s="8">
        <f t="shared" si="163"/>
        <v>0</v>
      </c>
      <c r="AL336" s="8">
        <f t="shared" si="164"/>
        <v>54403.823423154514</v>
      </c>
      <c r="AM336" s="8">
        <f t="shared" si="165"/>
        <v>2978.5130676073677</v>
      </c>
      <c r="AN336" s="8">
        <f t="shared" si="166"/>
        <v>15.69016009025391</v>
      </c>
      <c r="AO336" s="8">
        <f t="shared" si="167"/>
        <v>0</v>
      </c>
      <c r="AQ336" s="22"/>
    </row>
    <row r="337" spans="1:43">
      <c r="A337" s="1">
        <v>42064</v>
      </c>
      <c r="B337" s="5">
        <v>335</v>
      </c>
      <c r="C337" s="3">
        <f>B337/365+input!$K$2</f>
        <v>0.9178082191780822</v>
      </c>
      <c r="D337" s="4">
        <f t="shared" si="142"/>
        <v>28.346409225373637</v>
      </c>
      <c r="E337" s="10">
        <f t="shared" si="146"/>
        <v>35.578835569996421</v>
      </c>
      <c r="F337" s="20">
        <f>input!A336</f>
        <v>4224.91</v>
      </c>
      <c r="G337" s="19">
        <f t="shared" si="147"/>
        <v>0.46951884216560608</v>
      </c>
      <c r="H337" s="21">
        <f t="shared" si="148"/>
        <v>782.10581786000955</v>
      </c>
      <c r="I337" s="5">
        <v>700</v>
      </c>
      <c r="J337" s="3">
        <f>I337/365+input!$K$2</f>
        <v>1.9178082191780821</v>
      </c>
      <c r="K337" s="4">
        <f t="shared" si="140"/>
        <v>35.323600421090376</v>
      </c>
      <c r="L337" s="10">
        <f t="shared" si="141"/>
        <v>72.581931546351868</v>
      </c>
      <c r="M337" s="20">
        <f>input!B336</f>
        <v>27.47</v>
      </c>
      <c r="N337" s="19">
        <f t="shared" si="149"/>
        <v>0.98379506615698886</v>
      </c>
      <c r="O337" s="21">
        <f t="shared" si="150"/>
        <v>1508.3585440726988</v>
      </c>
      <c r="P337" s="5">
        <v>1065</v>
      </c>
      <c r="Q337" s="3">
        <f>P337/365+input!$K$2</f>
        <v>2.9178082191780823</v>
      </c>
      <c r="R337" s="4">
        <f t="shared" si="143"/>
        <v>39.230118374786684</v>
      </c>
      <c r="S337" s="10">
        <f t="shared" si="144"/>
        <v>101.9590086712343</v>
      </c>
      <c r="T337" s="20">
        <f>input!C336</f>
        <v>7.0000000000000007E-2</v>
      </c>
      <c r="U337" s="19">
        <f t="shared" si="151"/>
        <v>0.99845849247954011</v>
      </c>
      <c r="V337" s="21">
        <f t="shared" si="152"/>
        <v>1928.7385280176804</v>
      </c>
      <c r="W337" s="21">
        <v>1430</v>
      </c>
      <c r="X337" s="3">
        <f>W337/365+input!$K$2</f>
        <v>3.9178082191780823</v>
      </c>
      <c r="Y337" s="4">
        <f t="shared" si="153"/>
        <v>39.469004015014669</v>
      </c>
      <c r="Z337" s="10">
        <f t="shared" si="145"/>
        <v>103.98435971907008</v>
      </c>
      <c r="AA337" s="20">
        <f>input!D336</f>
        <v>0</v>
      </c>
      <c r="AB337" s="19">
        <f t="shared" si="154"/>
        <v>0.99866597068041085</v>
      </c>
      <c r="AC337" s="21">
        <f t="shared" si="155"/>
        <v>1956.3459956959921</v>
      </c>
      <c r="AD337" s="8">
        <f t="shared" si="156"/>
        <v>150317.37818803359</v>
      </c>
      <c r="AE337" s="8">
        <f t="shared" si="157"/>
        <v>1993.8256595782857</v>
      </c>
      <c r="AF337" s="8">
        <f t="shared" si="158"/>
        <v>7.1371306069864016</v>
      </c>
      <c r="AG337" s="8">
        <f t="shared" si="159"/>
        <v>0</v>
      </c>
      <c r="AH337" s="8">
        <f t="shared" si="160"/>
        <v>70576.841364215055</v>
      </c>
      <c r="AI337" s="8">
        <f t="shared" si="161"/>
        <v>1961.5158466703215</v>
      </c>
      <c r="AJ337" s="8">
        <f t="shared" si="162"/>
        <v>7.1261286664812271</v>
      </c>
      <c r="AK337" s="8">
        <f t="shared" si="163"/>
        <v>0</v>
      </c>
      <c r="AL337" s="8">
        <f t="shared" si="164"/>
        <v>55198.55823713557</v>
      </c>
      <c r="AM337" s="8">
        <f t="shared" si="165"/>
        <v>2958.6691866591732</v>
      </c>
      <c r="AN337" s="8">
        <f t="shared" si="166"/>
        <v>13.744438914653598</v>
      </c>
      <c r="AO337" s="8">
        <f t="shared" si="167"/>
        <v>0</v>
      </c>
      <c r="AQ337" s="22"/>
    </row>
    <row r="338" spans="1:43">
      <c r="A338" s="1">
        <v>42065</v>
      </c>
      <c r="B338" s="5">
        <v>336</v>
      </c>
      <c r="C338" s="3">
        <f>B338/365+input!$K$2</f>
        <v>0.92054794520547945</v>
      </c>
      <c r="D338" s="4">
        <f t="shared" si="142"/>
        <v>28.371581227662183</v>
      </c>
      <c r="E338" s="10">
        <f t="shared" si="146"/>
        <v>35.681303587286749</v>
      </c>
      <c r="F338" s="20">
        <f>input!A337</f>
        <v>4198.9399999999996</v>
      </c>
      <c r="G338" s="19">
        <f t="shared" si="147"/>
        <v>0.4733199214580377</v>
      </c>
      <c r="H338" s="21">
        <f t="shared" si="148"/>
        <v>785.34809949835471</v>
      </c>
      <c r="I338" s="5">
        <v>701</v>
      </c>
      <c r="J338" s="3">
        <f>I338/365+input!$K$2</f>
        <v>1.9205479452054794</v>
      </c>
      <c r="K338" s="4">
        <f t="shared" si="140"/>
        <v>35.337694184054911</v>
      </c>
      <c r="L338" s="10">
        <f t="shared" si="141"/>
        <v>72.675802146092977</v>
      </c>
      <c r="M338" s="20">
        <f>input!B337</f>
        <v>27.02</v>
      </c>
      <c r="N338" s="19">
        <f t="shared" si="149"/>
        <v>0.98393066564514142</v>
      </c>
      <c r="O338" s="21">
        <f t="shared" si="150"/>
        <v>1509.7753136418758</v>
      </c>
      <c r="P338" s="5">
        <v>1066</v>
      </c>
      <c r="Q338" s="3">
        <f>P338/365+input!$K$2</f>
        <v>2.9205479452054797</v>
      </c>
      <c r="R338" s="4">
        <f t="shared" si="143"/>
        <v>39.238009449649283</v>
      </c>
      <c r="S338" s="10">
        <f t="shared" si="144"/>
        <v>102.02547244507744</v>
      </c>
      <c r="T338" s="20">
        <f>input!C337</f>
        <v>7.0000000000000007E-2</v>
      </c>
      <c r="U338" s="19">
        <f t="shared" si="151"/>
        <v>0.99846583507602638</v>
      </c>
      <c r="V338" s="21">
        <f t="shared" si="152"/>
        <v>1929.646897222065</v>
      </c>
      <c r="W338" s="21">
        <v>1431</v>
      </c>
      <c r="X338" s="3">
        <f>W338/365+input!$K$2</f>
        <v>3.9205479452054797</v>
      </c>
      <c r="Y338" s="4">
        <f t="shared" si="153"/>
        <v>39.469004015014669</v>
      </c>
      <c r="Z338" s="10">
        <f t="shared" si="145"/>
        <v>103.98435971907008</v>
      </c>
      <c r="AA338" s="20">
        <f>input!D337</f>
        <v>0</v>
      </c>
      <c r="AB338" s="19">
        <f t="shared" si="154"/>
        <v>0.99866597068041085</v>
      </c>
      <c r="AC338" s="21">
        <f t="shared" si="155"/>
        <v>1956.3459956959921</v>
      </c>
      <c r="AD338" s="8">
        <f t="shared" si="156"/>
        <v>149823.65288480182</v>
      </c>
      <c r="AE338" s="8">
        <f t="shared" si="157"/>
        <v>1963.7001739874322</v>
      </c>
      <c r="AF338" s="8">
        <f t="shared" si="158"/>
        <v>7.1417830711554213</v>
      </c>
      <c r="AG338" s="8">
        <f t="shared" si="159"/>
        <v>0</v>
      </c>
      <c r="AH338" s="8">
        <f t="shared" si="160"/>
        <v>70914.519615990706</v>
      </c>
      <c r="AI338" s="8">
        <f t="shared" si="161"/>
        <v>1932.1448193189342</v>
      </c>
      <c r="AJ338" s="8">
        <f t="shared" si="162"/>
        <v>7.130826398073026</v>
      </c>
      <c r="AK338" s="8">
        <f t="shared" si="163"/>
        <v>0</v>
      </c>
      <c r="AL338" s="8">
        <f t="shared" si="164"/>
        <v>55692.583207257099</v>
      </c>
      <c r="AM338" s="8">
        <f t="shared" si="165"/>
        <v>2917.1045505887696</v>
      </c>
      <c r="AN338" s="8">
        <f t="shared" si="166"/>
        <v>13.759977033670808</v>
      </c>
      <c r="AO338" s="8">
        <f t="shared" si="167"/>
        <v>0</v>
      </c>
      <c r="AQ338" s="22"/>
    </row>
    <row r="339" spans="1:43">
      <c r="A339" s="1">
        <v>42066</v>
      </c>
      <c r="B339" s="5">
        <v>337</v>
      </c>
      <c r="C339" s="3">
        <f>B339/365+input!$K$2</f>
        <v>0.92328767123287669</v>
      </c>
      <c r="D339" s="4">
        <f t="shared" si="142"/>
        <v>28.396713262368102</v>
      </c>
      <c r="E339" s="10">
        <f t="shared" si="146"/>
        <v>35.783812268630946</v>
      </c>
      <c r="F339" s="20">
        <f>input!A338</f>
        <v>4196.0600000000004</v>
      </c>
      <c r="G339" s="19">
        <f t="shared" si="147"/>
        <v>0.47711805349740349</v>
      </c>
      <c r="H339" s="21">
        <f t="shared" si="148"/>
        <v>788.57870662145433</v>
      </c>
      <c r="I339" s="5">
        <v>702</v>
      </c>
      <c r="J339" s="3">
        <f>I339/365+input!$K$2</f>
        <v>1.9232876712328768</v>
      </c>
      <c r="K339" s="4">
        <f t="shared" si="140"/>
        <v>35.351765569235219</v>
      </c>
      <c r="L339" s="10">
        <f t="shared" si="141"/>
        <v>72.769607400000723</v>
      </c>
      <c r="M339" s="20">
        <f>input!B338</f>
        <v>26.78</v>
      </c>
      <c r="N339" s="19">
        <f t="shared" si="149"/>
        <v>0.98406493619427771</v>
      </c>
      <c r="O339" s="21">
        <f t="shared" si="150"/>
        <v>1511.190479063549</v>
      </c>
      <c r="P339" s="5">
        <v>1067</v>
      </c>
      <c r="Q339" s="3">
        <f>P339/365+input!$K$2</f>
        <v>2.9232876712328766</v>
      </c>
      <c r="R339" s="4">
        <f t="shared" si="143"/>
        <v>39.245887995227051</v>
      </c>
      <c r="S339" s="10">
        <f t="shared" si="144"/>
        <v>102.09186056529229</v>
      </c>
      <c r="T339" s="20">
        <f>input!C338</f>
        <v>7.0000000000000007E-2</v>
      </c>
      <c r="U339" s="19">
        <f t="shared" si="151"/>
        <v>0.99847313117593972</v>
      </c>
      <c r="V339" s="21">
        <f t="shared" si="152"/>
        <v>1930.554068254087</v>
      </c>
      <c r="W339" s="21">
        <v>1432</v>
      </c>
      <c r="X339" s="3">
        <f>W339/365+input!$K$2</f>
        <v>3.9232876712328766</v>
      </c>
      <c r="Y339" s="4">
        <f t="shared" si="153"/>
        <v>39.469004015014669</v>
      </c>
      <c r="Z339" s="10">
        <f t="shared" si="145"/>
        <v>103.98435971907008</v>
      </c>
      <c r="AA339" s="20">
        <f>input!D338</f>
        <v>0</v>
      </c>
      <c r="AB339" s="19">
        <f t="shared" si="154"/>
        <v>0.99866597068041085</v>
      </c>
      <c r="AC339" s="21">
        <f t="shared" si="155"/>
        <v>1956.3459956959921</v>
      </c>
      <c r="AD339" s="8">
        <f t="shared" si="156"/>
        <v>150151.02330791159</v>
      </c>
      <c r="AE339" s="8">
        <f t="shared" si="157"/>
        <v>1948.7700861720195</v>
      </c>
      <c r="AF339" s="8">
        <f t="shared" si="158"/>
        <v>7.1464302395704609</v>
      </c>
      <c r="AG339" s="8">
        <f t="shared" si="159"/>
        <v>0</v>
      </c>
      <c r="AH339" s="8">
        <f t="shared" si="160"/>
        <v>71639.763971314038</v>
      </c>
      <c r="AI339" s="8">
        <f t="shared" si="161"/>
        <v>1917.7163105061854</v>
      </c>
      <c r="AJ339" s="8">
        <f t="shared" si="162"/>
        <v>7.1355185780343389</v>
      </c>
      <c r="AK339" s="8">
        <f t="shared" si="163"/>
        <v>0</v>
      </c>
      <c r="AL339" s="8">
        <f t="shared" si="164"/>
        <v>56493.592415165091</v>
      </c>
      <c r="AM339" s="8">
        <f t="shared" si="165"/>
        <v>2898.0346299818243</v>
      </c>
      <c r="AN339" s="8">
        <f t="shared" si="166"/>
        <v>13.775504419926811</v>
      </c>
      <c r="AO339" s="8">
        <f t="shared" si="167"/>
        <v>0</v>
      </c>
      <c r="AQ339" s="22"/>
    </row>
    <row r="340" spans="1:43">
      <c r="A340" s="1">
        <v>42067</v>
      </c>
      <c r="B340" s="5">
        <v>338</v>
      </c>
      <c r="C340" s="3">
        <f>B340/365+input!$K$2</f>
        <v>0.92602739726027394</v>
      </c>
      <c r="D340" s="4">
        <f t="shared" si="142"/>
        <v>28.421805392951086</v>
      </c>
      <c r="E340" s="10">
        <f t="shared" si="146"/>
        <v>35.886361126881908</v>
      </c>
      <c r="F340" s="20">
        <f>input!A339</f>
        <v>4180.41</v>
      </c>
      <c r="G340" s="19">
        <f t="shared" si="147"/>
        <v>0.48091279698086969</v>
      </c>
      <c r="H340" s="21">
        <f t="shared" si="148"/>
        <v>791.79762758738036</v>
      </c>
      <c r="I340" s="5">
        <v>703</v>
      </c>
      <c r="J340" s="3">
        <f>I340/365+input!$K$2</f>
        <v>1.9260273972602739</v>
      </c>
      <c r="K340" s="4">
        <f t="shared" si="140"/>
        <v>35.365814612162275</v>
      </c>
      <c r="L340" s="10">
        <f t="shared" si="141"/>
        <v>72.863347187445726</v>
      </c>
      <c r="M340" s="20">
        <f>input!B339</f>
        <v>26.33</v>
      </c>
      <c r="N340" s="19">
        <f t="shared" si="149"/>
        <v>0.98419789226807575</v>
      </c>
      <c r="O340" s="21">
        <f t="shared" si="150"/>
        <v>1512.6040423852917</v>
      </c>
      <c r="P340" s="5">
        <v>1068</v>
      </c>
      <c r="Q340" s="3">
        <f>P340/365+input!$K$2</f>
        <v>2.9260273972602739</v>
      </c>
      <c r="R340" s="4">
        <f t="shared" si="143"/>
        <v>39.25375403141372</v>
      </c>
      <c r="S340" s="10">
        <f t="shared" si="144"/>
        <v>102.15817306461688</v>
      </c>
      <c r="T340" s="20">
        <f>input!C339</f>
        <v>7.0000000000000007E-2</v>
      </c>
      <c r="U340" s="19">
        <f t="shared" si="151"/>
        <v>0.99848038112804594</v>
      </c>
      <c r="V340" s="21">
        <f t="shared" si="152"/>
        <v>1931.4600422616516</v>
      </c>
      <c r="W340" s="21">
        <v>1433</v>
      </c>
      <c r="X340" s="3">
        <f>W340/365+input!$K$2</f>
        <v>3.9260273972602739</v>
      </c>
      <c r="Y340" s="4">
        <f t="shared" si="153"/>
        <v>39.469004015014669</v>
      </c>
      <c r="Z340" s="10">
        <f t="shared" si="145"/>
        <v>103.98435971907008</v>
      </c>
      <c r="AA340" s="20">
        <f>input!D339</f>
        <v>0</v>
      </c>
      <c r="AB340" s="19">
        <f t="shared" si="154"/>
        <v>0.99866597068041085</v>
      </c>
      <c r="AC340" s="21">
        <f t="shared" si="155"/>
        <v>1956.3459956959921</v>
      </c>
      <c r="AD340" s="8">
        <f t="shared" si="156"/>
        <v>150019.7029184284</v>
      </c>
      <c r="AE340" s="8">
        <f t="shared" si="157"/>
        <v>1918.4919314454457</v>
      </c>
      <c r="AF340" s="8">
        <f t="shared" si="158"/>
        <v>7.1510721145231821</v>
      </c>
      <c r="AG340" s="8">
        <f t="shared" si="159"/>
        <v>0</v>
      </c>
      <c r="AH340" s="8">
        <f t="shared" si="160"/>
        <v>72146.394932740543</v>
      </c>
      <c r="AI340" s="8">
        <f t="shared" si="161"/>
        <v>1888.1757152619173</v>
      </c>
      <c r="AJ340" s="8">
        <f t="shared" si="162"/>
        <v>7.1402052103832485</v>
      </c>
      <c r="AK340" s="8">
        <f t="shared" si="163"/>
        <v>0</v>
      </c>
      <c r="AL340" s="8">
        <f t="shared" si="164"/>
        <v>57125.344346726168</v>
      </c>
      <c r="AM340" s="8">
        <f t="shared" si="165"/>
        <v>2856.0622196389158</v>
      </c>
      <c r="AN340" s="8">
        <f t="shared" si="166"/>
        <v>13.791021057403693</v>
      </c>
      <c r="AO340" s="8">
        <f t="shared" si="167"/>
        <v>0</v>
      </c>
      <c r="AQ340" s="22"/>
    </row>
    <row r="341" spans="1:43">
      <c r="A341" s="1">
        <v>42068</v>
      </c>
      <c r="B341" s="5">
        <v>339</v>
      </c>
      <c r="C341" s="3">
        <f>B341/365+input!$K$2</f>
        <v>0.92876712328767119</v>
      </c>
      <c r="D341" s="4">
        <f t="shared" si="142"/>
        <v>28.446857682770084</v>
      </c>
      <c r="E341" s="10">
        <f t="shared" si="146"/>
        <v>35.988949675994526</v>
      </c>
      <c r="F341" s="20">
        <f>input!A340</f>
        <v>4165.2</v>
      </c>
      <c r="G341" s="19">
        <f t="shared" si="147"/>
        <v>0.48470371358071729</v>
      </c>
      <c r="H341" s="21">
        <f t="shared" si="148"/>
        <v>795.00485296073077</v>
      </c>
      <c r="I341" s="5">
        <v>704</v>
      </c>
      <c r="J341" s="3">
        <f>I341/365+input!$K$2</f>
        <v>1.9287671232876713</v>
      </c>
      <c r="K341" s="4">
        <f t="shared" si="140"/>
        <v>35.379841348310656</v>
      </c>
      <c r="L341" s="10">
        <f t="shared" si="141"/>
        <v>72.957021388510213</v>
      </c>
      <c r="M341" s="20">
        <f>input!B340</f>
        <v>26.05</v>
      </c>
      <c r="N341" s="19">
        <f t="shared" si="149"/>
        <v>0.98432954816145435</v>
      </c>
      <c r="O341" s="21">
        <f t="shared" si="150"/>
        <v>1514.0160056286854</v>
      </c>
      <c r="P341" s="5">
        <v>1069</v>
      </c>
      <c r="Q341" s="3">
        <f>P341/365+input!$K$2</f>
        <v>2.9287671232876713</v>
      </c>
      <c r="R341" s="4">
        <f t="shared" si="143"/>
        <v>39.261607578071441</v>
      </c>
      <c r="S341" s="10">
        <f t="shared" si="144"/>
        <v>102.22440997597947</v>
      </c>
      <c r="T341" s="20">
        <f>input!C340</f>
        <v>7.0000000000000007E-2</v>
      </c>
      <c r="U341" s="19">
        <f t="shared" si="151"/>
        <v>0.99848758527813486</v>
      </c>
      <c r="V341" s="21">
        <f t="shared" si="152"/>
        <v>1932.3648203931007</v>
      </c>
      <c r="W341" s="21">
        <v>1434</v>
      </c>
      <c r="X341" s="3">
        <f>W341/365+input!$K$2</f>
        <v>3.9287671232876713</v>
      </c>
      <c r="Y341" s="4">
        <f t="shared" si="153"/>
        <v>39.469004015014669</v>
      </c>
      <c r="Z341" s="10">
        <f t="shared" si="145"/>
        <v>103.98435971907008</v>
      </c>
      <c r="AA341" s="20">
        <f>input!D340</f>
        <v>0</v>
      </c>
      <c r="AB341" s="19">
        <f t="shared" si="154"/>
        <v>0.99866597068041085</v>
      </c>
      <c r="AC341" s="21">
        <f t="shared" si="155"/>
        <v>1956.3459956959921</v>
      </c>
      <c r="AD341" s="8">
        <f t="shared" si="156"/>
        <v>149901.17319045239</v>
      </c>
      <c r="AE341" s="8">
        <f t="shared" si="157"/>
        <v>1900.5304071706912</v>
      </c>
      <c r="AF341" s="8">
        <f t="shared" si="158"/>
        <v>7.1557086983185636</v>
      </c>
      <c r="AG341" s="8">
        <f t="shared" si="159"/>
        <v>0</v>
      </c>
      <c r="AH341" s="8">
        <f t="shared" si="160"/>
        <v>72657.655315518539</v>
      </c>
      <c r="AI341" s="8">
        <f t="shared" si="161"/>
        <v>1870.7482369574313</v>
      </c>
      <c r="AJ341" s="8">
        <f t="shared" si="162"/>
        <v>7.1448862991378483</v>
      </c>
      <c r="AK341" s="8">
        <f t="shared" si="163"/>
        <v>0</v>
      </c>
      <c r="AL341" s="8">
        <f t="shared" si="164"/>
        <v>57763.18858058528</v>
      </c>
      <c r="AM341" s="8">
        <f t="shared" si="165"/>
        <v>2832.3427732551959</v>
      </c>
      <c r="AN341" s="8">
        <f t="shared" si="166"/>
        <v>13.806526930162635</v>
      </c>
      <c r="AO341" s="8">
        <f t="shared" si="167"/>
        <v>0</v>
      </c>
      <c r="AQ341" s="22"/>
    </row>
    <row r="342" spans="1:43">
      <c r="A342" s="1">
        <v>42069</v>
      </c>
      <c r="B342" s="5">
        <v>340</v>
      </c>
      <c r="C342" s="3">
        <f>B342/365+input!$K$2</f>
        <v>0.93150684931506844</v>
      </c>
      <c r="D342" s="4">
        <f t="shared" si="142"/>
        <v>28.471870195083422</v>
      </c>
      <c r="E342" s="10">
        <f t="shared" si="146"/>
        <v>36.091577431027936</v>
      </c>
      <c r="F342" s="20">
        <f>input!A341</f>
        <v>4150</v>
      </c>
      <c r="G342" s="19">
        <f t="shared" si="147"/>
        <v>0.48849036813457636</v>
      </c>
      <c r="H342" s="21">
        <f t="shared" si="148"/>
        <v>798.20037547594609</v>
      </c>
      <c r="I342" s="5">
        <v>705</v>
      </c>
      <c r="J342" s="3">
        <f>I342/365+input!$K$2</f>
        <v>1.9315068493150684</v>
      </c>
      <c r="K342" s="4">
        <f t="shared" ref="K342:K367" si="168">44.2*(1-EXP(-0.58*(J342+0.85)))</f>
        <v>35.393845813098594</v>
      </c>
      <c r="L342" s="10">
        <f t="shared" si="141"/>
        <v>73.050629883985977</v>
      </c>
      <c r="M342" s="20">
        <f>input!B341</f>
        <v>25.66</v>
      </c>
      <c r="N342" s="19">
        <f t="shared" si="149"/>
        <v>0.98445991800260879</v>
      </c>
      <c r="O342" s="21">
        <f t="shared" si="150"/>
        <v>1515.4263707897949</v>
      </c>
      <c r="P342" s="5">
        <v>1070</v>
      </c>
      <c r="Q342" s="3">
        <f>P342/365+input!$K$2</f>
        <v>2.9315068493150687</v>
      </c>
      <c r="R342" s="4">
        <f t="shared" si="143"/>
        <v>39.269448655030828</v>
      </c>
      <c r="S342" s="10">
        <f t="shared" si="144"/>
        <v>102.29057133249857</v>
      </c>
      <c r="T342" s="20">
        <f>input!C341</f>
        <v>7.0000000000000007E-2</v>
      </c>
      <c r="U342" s="19">
        <f t="shared" si="151"/>
        <v>0.99849474396904703</v>
      </c>
      <c r="V342" s="21">
        <f t="shared" si="152"/>
        <v>1933.2684037972081</v>
      </c>
      <c r="W342" s="21">
        <v>1435</v>
      </c>
      <c r="X342" s="3">
        <f>W342/365+input!$K$2</f>
        <v>3.9315068493150687</v>
      </c>
      <c r="Y342" s="4">
        <f t="shared" si="153"/>
        <v>39.469004015014669</v>
      </c>
      <c r="Z342" s="10">
        <f t="shared" si="145"/>
        <v>103.98435971907008</v>
      </c>
      <c r="AA342" s="20">
        <f>input!D341</f>
        <v>0</v>
      </c>
      <c r="AB342" s="19">
        <f t="shared" si="154"/>
        <v>0.99866597068041085</v>
      </c>
      <c r="AC342" s="21">
        <f t="shared" si="155"/>
        <v>1956.3459956959921</v>
      </c>
      <c r="AD342" s="8">
        <f t="shared" si="156"/>
        <v>149780.04633876594</v>
      </c>
      <c r="AE342" s="8">
        <f t="shared" si="157"/>
        <v>1874.4791628230801</v>
      </c>
      <c r="AF342" s="8">
        <f t="shared" si="158"/>
        <v>7.160339993274901</v>
      </c>
      <c r="AG342" s="8">
        <f t="shared" si="159"/>
        <v>0</v>
      </c>
      <c r="AH342" s="8">
        <f t="shared" si="160"/>
        <v>73166.109975237676</v>
      </c>
      <c r="AI342" s="8">
        <f t="shared" si="161"/>
        <v>1845.3496029304081</v>
      </c>
      <c r="AJ342" s="8">
        <f t="shared" si="162"/>
        <v>7.1495618483163499</v>
      </c>
      <c r="AK342" s="8">
        <f t="shared" si="163"/>
        <v>0</v>
      </c>
      <c r="AL342" s="8">
        <f t="shared" si="164"/>
        <v>58401.21645434908</v>
      </c>
      <c r="AM342" s="8">
        <f t="shared" si="165"/>
        <v>2796.4914516072176</v>
      </c>
      <c r="AN342" s="8">
        <f t="shared" si="166"/>
        <v>13.822022022343967</v>
      </c>
      <c r="AO342" s="8">
        <f t="shared" si="167"/>
        <v>0</v>
      </c>
      <c r="AQ342" s="22"/>
    </row>
    <row r="343" spans="1:43">
      <c r="A343" s="1">
        <v>42070</v>
      </c>
      <c r="B343" s="5">
        <v>341</v>
      </c>
      <c r="C343" s="3">
        <f>B343/365+input!$K$2</f>
        <v>0.9342465753424658</v>
      </c>
      <c r="D343" s="4">
        <f t="shared" si="142"/>
        <v>28.496842993049011</v>
      </c>
      <c r="E343" s="10">
        <f t="shared" si="146"/>
        <v>36.194243908146987</v>
      </c>
      <c r="F343" s="20">
        <f>input!A342</f>
        <v>4147.16</v>
      </c>
      <c r="G343" s="19">
        <f t="shared" si="147"/>
        <v>0.49227232883189753</v>
      </c>
      <c r="H343" s="21">
        <f t="shared" si="148"/>
        <v>801.38419000055399</v>
      </c>
      <c r="I343" s="5">
        <v>706</v>
      </c>
      <c r="J343" s="3">
        <f>I343/365+input!$K$2</f>
        <v>1.9342465753424658</v>
      </c>
      <c r="K343" s="4">
        <f t="shared" si="168"/>
        <v>35.407828041888095</v>
      </c>
      <c r="L343" s="10">
        <f t="shared" ref="L343:L367" si="169">0.0007*K343^3.24</f>
        <v>73.144172555372421</v>
      </c>
      <c r="M343" s="20">
        <f>input!B342</f>
        <v>25.43</v>
      </c>
      <c r="N343" s="19">
        <f t="shared" si="149"/>
        <v>0.98458901575502211</v>
      </c>
      <c r="O343" s="21">
        <f t="shared" si="150"/>
        <v>1516.8351398396669</v>
      </c>
      <c r="P343" s="5">
        <v>1071</v>
      </c>
      <c r="Q343" s="3">
        <f>P343/365+input!$K$2</f>
        <v>2.9342465753424656</v>
      </c>
      <c r="R343" s="4">
        <f t="shared" si="143"/>
        <v>39.277277282091013</v>
      </c>
      <c r="S343" s="10">
        <f t="shared" si="144"/>
        <v>102.35665716748021</v>
      </c>
      <c r="T343" s="20">
        <f>input!C342</f>
        <v>7.0000000000000007E-2</v>
      </c>
      <c r="U343" s="19">
        <f t="shared" si="151"/>
        <v>0.99850185754070198</v>
      </c>
      <c r="V343" s="21">
        <f t="shared" si="152"/>
        <v>1934.1707936231664</v>
      </c>
      <c r="W343" s="21">
        <v>1436</v>
      </c>
      <c r="X343" s="3">
        <f>W343/365+input!$K$2</f>
        <v>3.9342465753424656</v>
      </c>
      <c r="Y343" s="4">
        <f t="shared" si="153"/>
        <v>39.469004015014669</v>
      </c>
      <c r="Z343" s="10">
        <f t="shared" si="145"/>
        <v>103.98435971907008</v>
      </c>
      <c r="AA343" s="20">
        <f>input!D342</f>
        <v>0</v>
      </c>
      <c r="AB343" s="19">
        <f t="shared" si="154"/>
        <v>0.99866597068041085</v>
      </c>
      <c r="AC343" s="21">
        <f t="shared" si="155"/>
        <v>1956.3459956959921</v>
      </c>
      <c r="AD343" s="8">
        <f t="shared" si="156"/>
        <v>150103.32056611087</v>
      </c>
      <c r="AE343" s="8">
        <f t="shared" si="157"/>
        <v>1860.0563080831207</v>
      </c>
      <c r="AF343" s="8">
        <f t="shared" si="158"/>
        <v>7.1649660017236156</v>
      </c>
      <c r="AG343" s="8">
        <f t="shared" si="159"/>
        <v>0</v>
      </c>
      <c r="AH343" s="8">
        <f t="shared" si="160"/>
        <v>73891.711180480255</v>
      </c>
      <c r="AI343" s="8">
        <f t="shared" si="161"/>
        <v>1831.3910096244799</v>
      </c>
      <c r="AJ343" s="8">
        <f t="shared" si="162"/>
        <v>7.1542318619370064</v>
      </c>
      <c r="AK343" s="8">
        <f t="shared" si="163"/>
        <v>0</v>
      </c>
      <c r="AL343" s="8">
        <f t="shared" si="164"/>
        <v>59215.649112124047</v>
      </c>
      <c r="AM343" s="8">
        <f t="shared" si="165"/>
        <v>2777.9182381848568</v>
      </c>
      <c r="AN343" s="8">
        <f t="shared" si="166"/>
        <v>13.837506318166843</v>
      </c>
      <c r="AO343" s="8">
        <f t="shared" si="167"/>
        <v>0</v>
      </c>
      <c r="AQ343" s="22"/>
    </row>
    <row r="344" spans="1:43">
      <c r="A344" s="1">
        <v>42071</v>
      </c>
      <c r="B344" s="5">
        <v>342</v>
      </c>
      <c r="C344" s="3">
        <f>B344/365+input!$K$2</f>
        <v>0.93698630136986305</v>
      </c>
      <c r="D344" s="4">
        <f t="shared" si="142"/>
        <v>28.521776139724459</v>
      </c>
      <c r="E344" s="10">
        <f t="shared" si="146"/>
        <v>36.296948624623631</v>
      </c>
      <c r="F344" s="20">
        <f>input!A343</f>
        <v>4118.46</v>
      </c>
      <c r="G344" s="19">
        <f t="shared" si="147"/>
        <v>0.49604916739647575</v>
      </c>
      <c r="H344" s="21">
        <f t="shared" si="148"/>
        <v>804.55629349836556</v>
      </c>
      <c r="I344" s="5">
        <v>707</v>
      </c>
      <c r="J344" s="3">
        <f>I344/365+input!$K$2</f>
        <v>1.9369863013698629</v>
      </c>
      <c r="K344" s="4">
        <f t="shared" si="168"/>
        <v>35.42178806998502</v>
      </c>
      <c r="L344" s="10">
        <f t="shared" si="169"/>
        <v>73.237649284874806</v>
      </c>
      <c r="M344" s="20">
        <f>input!B343</f>
        <v>24.98</v>
      </c>
      <c r="N344" s="19">
        <f t="shared" si="149"/>
        <v>0.98471685521945274</v>
      </c>
      <c r="O344" s="21">
        <f t="shared" si="150"/>
        <v>1518.2423147248021</v>
      </c>
      <c r="P344" s="5">
        <v>1072</v>
      </c>
      <c r="Q344" s="3">
        <f>P344/365+input!$K$2</f>
        <v>2.9369863013698629</v>
      </c>
      <c r="R344" s="4">
        <f t="shared" si="143"/>
        <v>39.285093479019686</v>
      </c>
      <c r="S344" s="10">
        <f t="shared" si="144"/>
        <v>102.42266751441875</v>
      </c>
      <c r="T344" s="20">
        <f>input!C343</f>
        <v>7.0000000000000007E-2</v>
      </c>
      <c r="U344" s="19">
        <f t="shared" si="151"/>
        <v>0.99850892633012578</v>
      </c>
      <c r="V344" s="21">
        <f t="shared" si="152"/>
        <v>1935.0719910205937</v>
      </c>
      <c r="W344" s="21">
        <v>1437</v>
      </c>
      <c r="X344" s="3">
        <f>W344/365+input!$K$2</f>
        <v>3.9369863013698629</v>
      </c>
      <c r="Y344" s="4">
        <f t="shared" si="153"/>
        <v>39.469004015014669</v>
      </c>
      <c r="Z344" s="10">
        <f t="shared" si="145"/>
        <v>103.98435971907008</v>
      </c>
      <c r="AA344" s="20">
        <f>input!D343</f>
        <v>0</v>
      </c>
      <c r="AB344" s="19">
        <f t="shared" si="154"/>
        <v>0.99866597068041085</v>
      </c>
      <c r="AC344" s="21">
        <f t="shared" si="155"/>
        <v>1956.3459956959921</v>
      </c>
      <c r="AD344" s="8">
        <f t="shared" si="156"/>
        <v>149487.53103256744</v>
      </c>
      <c r="AE344" s="8">
        <f t="shared" si="157"/>
        <v>1829.4764791361727</v>
      </c>
      <c r="AF344" s="8">
        <f t="shared" si="158"/>
        <v>7.1695867260093129</v>
      </c>
      <c r="AG344" s="8">
        <f t="shared" si="159"/>
        <v>0</v>
      </c>
      <c r="AH344" s="8">
        <f t="shared" si="160"/>
        <v>74153.165304859911</v>
      </c>
      <c r="AI344" s="8">
        <f t="shared" si="161"/>
        <v>1801.5163252329287</v>
      </c>
      <c r="AJ344" s="8">
        <f t="shared" si="162"/>
        <v>7.1588963440182809</v>
      </c>
      <c r="AK344" s="8">
        <f t="shared" si="163"/>
        <v>0</v>
      </c>
      <c r="AL344" s="8">
        <f t="shared" si="164"/>
        <v>59660.395828849687</v>
      </c>
      <c r="AM344" s="8">
        <f t="shared" si="165"/>
        <v>2735.1383156361612</v>
      </c>
      <c r="AN344" s="8">
        <f t="shared" si="166"/>
        <v>13.852979801929505</v>
      </c>
      <c r="AO344" s="8">
        <f t="shared" si="167"/>
        <v>0</v>
      </c>
      <c r="AQ344" s="22"/>
    </row>
    <row r="345" spans="1:43">
      <c r="A345" s="1">
        <v>42072</v>
      </c>
      <c r="B345" s="5">
        <v>343</v>
      </c>
      <c r="C345" s="3">
        <f>B345/365+input!$K$2</f>
        <v>0.9397260273972603</v>
      </c>
      <c r="D345" s="4">
        <f t="shared" si="142"/>
        <v>28.546669698067266</v>
      </c>
      <c r="E345" s="10">
        <f t="shared" si="146"/>
        <v>36.399691098838908</v>
      </c>
      <c r="F345" s="20">
        <f>input!A344</f>
        <v>4115.6400000000003</v>
      </c>
      <c r="G345" s="19">
        <f t="shared" si="147"/>
        <v>0.49982045926490681</v>
      </c>
      <c r="H345" s="21">
        <f t="shared" si="148"/>
        <v>807.71668499264285</v>
      </c>
      <c r="I345" s="5">
        <v>708</v>
      </c>
      <c r="J345" s="3">
        <f>I345/365+input!$K$2</f>
        <v>1.9397260273972603</v>
      </c>
      <c r="K345" s="4">
        <f t="shared" si="168"/>
        <v>35.435725932639151</v>
      </c>
      <c r="L345" s="10">
        <f t="shared" si="169"/>
        <v>73.331059955402225</v>
      </c>
      <c r="M345" s="20">
        <f>input!B344</f>
        <v>24.76</v>
      </c>
      <c r="N345" s="19">
        <f t="shared" si="149"/>
        <v>0.98484345003589946</v>
      </c>
      <c r="O345" s="21">
        <f t="shared" si="150"/>
        <v>1519.6478973676333</v>
      </c>
      <c r="P345" s="5">
        <v>1073</v>
      </c>
      <c r="Q345" s="3">
        <f>P345/365+input!$K$2</f>
        <v>2.9397260273972603</v>
      </c>
      <c r="R345" s="4">
        <f t="shared" si="143"/>
        <v>39.292897265553151</v>
      </c>
      <c r="S345" s="10">
        <f t="shared" si="144"/>
        <v>102.48860240699545</v>
      </c>
      <c r="T345" s="20">
        <f>input!C344</f>
        <v>7.0000000000000007E-2</v>
      </c>
      <c r="U345" s="19">
        <f t="shared" si="151"/>
        <v>0.99851595067147814</v>
      </c>
      <c r="V345" s="21">
        <f t="shared" si="152"/>
        <v>1935.9719971395202</v>
      </c>
      <c r="W345" s="21">
        <v>1438</v>
      </c>
      <c r="X345" s="3">
        <f>W345/365+input!$K$2</f>
        <v>3.9397260273972603</v>
      </c>
      <c r="Y345" s="4">
        <f t="shared" si="153"/>
        <v>39.469004015014669</v>
      </c>
      <c r="Z345" s="10">
        <f t="shared" si="145"/>
        <v>103.98435971907008</v>
      </c>
      <c r="AA345" s="20">
        <f>input!D344</f>
        <v>0</v>
      </c>
      <c r="AB345" s="19">
        <f t="shared" si="154"/>
        <v>0.99866597068041085</v>
      </c>
      <c r="AC345" s="21">
        <f t="shared" si="155"/>
        <v>1956.3459956959921</v>
      </c>
      <c r="AD345" s="8">
        <f t="shared" si="156"/>
        <v>149808.02467402536</v>
      </c>
      <c r="AE345" s="8">
        <f t="shared" si="157"/>
        <v>1815.6770444957592</v>
      </c>
      <c r="AF345" s="8">
        <f t="shared" si="158"/>
        <v>7.1742021684896828</v>
      </c>
      <c r="AG345" s="8">
        <f t="shared" si="159"/>
        <v>0</v>
      </c>
      <c r="AH345" s="8">
        <f t="shared" si="160"/>
        <v>74877.115694139851</v>
      </c>
      <c r="AI345" s="8">
        <f t="shared" si="161"/>
        <v>1788.1576446521888</v>
      </c>
      <c r="AJ345" s="8">
        <f t="shared" si="162"/>
        <v>7.1635552985788555</v>
      </c>
      <c r="AK345" s="8">
        <f t="shared" si="163"/>
        <v>0</v>
      </c>
      <c r="AL345" s="8">
        <f t="shared" si="164"/>
        <v>60479.495670281234</v>
      </c>
      <c r="AM345" s="8">
        <f t="shared" si="165"/>
        <v>2717.3700048575583</v>
      </c>
      <c r="AN345" s="8">
        <f t="shared" si="166"/>
        <v>13.868442458009101</v>
      </c>
      <c r="AO345" s="8">
        <f t="shared" si="167"/>
        <v>0</v>
      </c>
      <c r="AQ345" s="22"/>
    </row>
    <row r="346" spans="1:43">
      <c r="A346" s="1">
        <v>42073</v>
      </c>
      <c r="B346" s="5">
        <v>344</v>
      </c>
      <c r="C346" s="3">
        <f>B346/365+input!$K$2</f>
        <v>0.94246575342465755</v>
      </c>
      <c r="D346" s="4">
        <f t="shared" si="142"/>
        <v>28.571523730934963</v>
      </c>
      <c r="E346" s="10">
        <f t="shared" si="146"/>
        <v>36.502470850284219</v>
      </c>
      <c r="F346" s="20">
        <f>input!A345</f>
        <v>4100.01</v>
      </c>
      <c r="G346" s="19">
        <f t="shared" si="147"/>
        <v>0.50358578376081342</v>
      </c>
      <c r="H346" s="21">
        <f t="shared" si="148"/>
        <v>810.86536552924804</v>
      </c>
      <c r="I346" s="5">
        <v>709</v>
      </c>
      <c r="J346" s="3">
        <f>I346/365+input!$K$2</f>
        <v>1.9424657534246574</v>
      </c>
      <c r="K346" s="4">
        <f t="shared" si="168"/>
        <v>35.449641665044332</v>
      </c>
      <c r="L346" s="10">
        <f t="shared" si="169"/>
        <v>73.424404450566144</v>
      </c>
      <c r="M346" s="20">
        <f>input!B345</f>
        <v>24.38</v>
      </c>
      <c r="N346" s="19">
        <f t="shared" si="149"/>
        <v>0.98496881368554245</v>
      </c>
      <c r="O346" s="21">
        <f t="shared" si="150"/>
        <v>1521.0518896669855</v>
      </c>
      <c r="P346" s="5">
        <v>1074</v>
      </c>
      <c r="Q346" s="3">
        <f>P346/365+input!$K$2</f>
        <v>2.9424657534246577</v>
      </c>
      <c r="R346" s="4">
        <f t="shared" si="143"/>
        <v>39.300688661396379</v>
      </c>
      <c r="S346" s="10">
        <f t="shared" si="144"/>
        <v>102.55446187907705</v>
      </c>
      <c r="T346" s="20">
        <f>input!C345</f>
        <v>7.0000000000000007E-2</v>
      </c>
      <c r="U346" s="19">
        <f t="shared" si="151"/>
        <v>0.99852293089608046</v>
      </c>
      <c r="V346" s="21">
        <f t="shared" si="152"/>
        <v>1936.8708131303756</v>
      </c>
      <c r="W346" s="21">
        <v>1439</v>
      </c>
      <c r="X346" s="3">
        <f>W346/365+input!$K$2</f>
        <v>3.9424657534246577</v>
      </c>
      <c r="Y346" s="4">
        <f t="shared" si="153"/>
        <v>39.469004015014669</v>
      </c>
      <c r="Z346" s="10">
        <f t="shared" si="145"/>
        <v>103.98435971907008</v>
      </c>
      <c r="AA346" s="20">
        <f>input!D345</f>
        <v>0</v>
      </c>
      <c r="AB346" s="19">
        <f t="shared" si="154"/>
        <v>0.99866597068041085</v>
      </c>
      <c r="AC346" s="21">
        <f t="shared" si="155"/>
        <v>1956.3459956959921</v>
      </c>
      <c r="AD346" s="8">
        <f t="shared" si="156"/>
        <v>149660.49551087382</v>
      </c>
      <c r="AE346" s="8">
        <f t="shared" si="157"/>
        <v>1790.0869805048026</v>
      </c>
      <c r="AF346" s="8">
        <f t="shared" si="158"/>
        <v>7.1788123315353944</v>
      </c>
      <c r="AG346" s="8">
        <f t="shared" si="159"/>
        <v>0</v>
      </c>
      <c r="AH346" s="8">
        <f t="shared" si="160"/>
        <v>75366.897929875093</v>
      </c>
      <c r="AI346" s="8">
        <f t="shared" si="161"/>
        <v>1763.1798495817502</v>
      </c>
      <c r="AJ346" s="8">
        <f t="shared" si="162"/>
        <v>7.1682087296376471</v>
      </c>
      <c r="AK346" s="8">
        <f t="shared" si="163"/>
        <v>0</v>
      </c>
      <c r="AL346" s="8">
        <f t="shared" si="164"/>
        <v>61112.407238713698</v>
      </c>
      <c r="AM346" s="8">
        <f t="shared" si="165"/>
        <v>2681.8880420290725</v>
      </c>
      <c r="AN346" s="8">
        <f t="shared" si="166"/>
        <v>13.883894270861527</v>
      </c>
      <c r="AO346" s="8">
        <f t="shared" si="167"/>
        <v>0</v>
      </c>
      <c r="AQ346" s="22"/>
    </row>
    <row r="347" spans="1:43">
      <c r="A347" s="1">
        <v>42074</v>
      </c>
      <c r="B347" s="5">
        <v>345</v>
      </c>
      <c r="C347" s="3">
        <f>B347/365+input!$K$2</f>
        <v>0.9452054794520548</v>
      </c>
      <c r="D347" s="4">
        <f t="shared" si="142"/>
        <v>28.596338301085275</v>
      </c>
      <c r="E347" s="10">
        <f t="shared" si="146"/>
        <v>36.605287399562975</v>
      </c>
      <c r="F347" s="20">
        <f>input!A346</f>
        <v>4084.88</v>
      </c>
      <c r="G347" s="19">
        <f t="shared" si="147"/>
        <v>0.50734472426472854</v>
      </c>
      <c r="H347" s="21">
        <f t="shared" si="148"/>
        <v>814.00233813978889</v>
      </c>
      <c r="I347" s="5">
        <v>710</v>
      </c>
      <c r="J347" s="3">
        <f>I347/365+input!$K$2</f>
        <v>1.9452054794520548</v>
      </c>
      <c r="K347" s="4">
        <f t="shared" si="168"/>
        <v>35.463535302338521</v>
      </c>
      <c r="L347" s="10">
        <f t="shared" si="169"/>
        <v>73.517682654677969</v>
      </c>
      <c r="M347" s="20">
        <f>input!B346</f>
        <v>24.13</v>
      </c>
      <c r="N347" s="19">
        <f t="shared" si="149"/>
        <v>0.98509295949266107</v>
      </c>
      <c r="O347" s="21">
        <f t="shared" si="150"/>
        <v>1522.4542934985354</v>
      </c>
      <c r="P347" s="5">
        <v>1075</v>
      </c>
      <c r="Q347" s="3">
        <f>P347/365+input!$K$2</f>
        <v>2.9452054794520546</v>
      </c>
      <c r="R347" s="4">
        <f t="shared" si="143"/>
        <v>39.30846768622304</v>
      </c>
      <c r="S347" s="10">
        <f t="shared" si="144"/>
        <v>102.62024596471498</v>
      </c>
      <c r="T347" s="20">
        <f>input!C346</f>
        <v>7.0000000000000007E-2</v>
      </c>
      <c r="U347" s="19">
        <f t="shared" si="151"/>
        <v>0.99852986733244153</v>
      </c>
      <c r="V347" s="21">
        <f t="shared" si="152"/>
        <v>1937.7684401439869</v>
      </c>
      <c r="W347" s="21">
        <v>1440</v>
      </c>
      <c r="X347" s="3">
        <f>W347/365+input!$K$2</f>
        <v>3.9452054794520546</v>
      </c>
      <c r="Y347" s="4">
        <f t="shared" si="153"/>
        <v>39.469004015014669</v>
      </c>
      <c r="Z347" s="10">
        <f t="shared" si="145"/>
        <v>103.98435971907008</v>
      </c>
      <c r="AA347" s="20">
        <f>input!D346</f>
        <v>0</v>
      </c>
      <c r="AB347" s="19">
        <f t="shared" si="154"/>
        <v>0.99866597068041085</v>
      </c>
      <c r="AC347" s="21">
        <f t="shared" si="155"/>
        <v>1956.3459956959921</v>
      </c>
      <c r="AD347" s="8">
        <f t="shared" si="156"/>
        <v>149528.2063927268</v>
      </c>
      <c r="AE347" s="8">
        <f t="shared" si="157"/>
        <v>1773.9816824573793</v>
      </c>
      <c r="AF347" s="8">
        <f t="shared" si="158"/>
        <v>7.1834172175300495</v>
      </c>
      <c r="AG347" s="8">
        <f t="shared" si="159"/>
        <v>0</v>
      </c>
      <c r="AH347" s="8">
        <f t="shared" si="160"/>
        <v>75862.346642117394</v>
      </c>
      <c r="AI347" s="8">
        <f t="shared" si="161"/>
        <v>1747.5368656577098</v>
      </c>
      <c r="AJ347" s="8">
        <f t="shared" si="162"/>
        <v>7.1728566412138566</v>
      </c>
      <c r="AK347" s="8">
        <f t="shared" si="163"/>
        <v>0</v>
      </c>
      <c r="AL347" s="8">
        <f t="shared" si="164"/>
        <v>61752.127543454721</v>
      </c>
      <c r="AM347" s="8">
        <f t="shared" si="165"/>
        <v>2660.5450041675535</v>
      </c>
      <c r="AN347" s="8">
        <f t="shared" si="166"/>
        <v>13.899335225021412</v>
      </c>
      <c r="AO347" s="8">
        <f t="shared" si="167"/>
        <v>0</v>
      </c>
      <c r="AQ347" s="22"/>
    </row>
    <row r="348" spans="1:43">
      <c r="A348" s="1">
        <v>42075</v>
      </c>
      <c r="B348" s="5">
        <v>346</v>
      </c>
      <c r="C348" s="3">
        <f>B348/365+input!$K$2</f>
        <v>0.94794520547945205</v>
      </c>
      <c r="D348" s="4">
        <f t="shared" si="142"/>
        <v>28.62111347117629</v>
      </c>
      <c r="E348" s="10">
        <f t="shared" si="146"/>
        <v>36.708140268392086</v>
      </c>
      <c r="F348" s="20">
        <f>input!A347</f>
        <v>4068.45</v>
      </c>
      <c r="G348" s="19">
        <f t="shared" si="147"/>
        <v>0.51109686837951251</v>
      </c>
      <c r="H348" s="21">
        <f t="shared" si="148"/>
        <v>817.12760780480301</v>
      </c>
      <c r="I348" s="5">
        <v>711</v>
      </c>
      <c r="J348" s="3">
        <f>I348/365+input!$K$2</f>
        <v>1.9479452054794522</v>
      </c>
      <c r="K348" s="4">
        <f t="shared" si="168"/>
        <v>35.477406879603862</v>
      </c>
      <c r="L348" s="10">
        <f t="shared" si="169"/>
        <v>73.610894452747203</v>
      </c>
      <c r="M348" s="20">
        <f>input!B347</f>
        <v>23.76</v>
      </c>
      <c r="N348" s="19">
        <f t="shared" si="149"/>
        <v>0.98521590062652831</v>
      </c>
      <c r="O348" s="21">
        <f t="shared" si="150"/>
        <v>1523.8551107152534</v>
      </c>
      <c r="P348" s="5">
        <v>1076</v>
      </c>
      <c r="Q348" s="3">
        <f>P348/365+input!$K$2</f>
        <v>2.9479452054794519</v>
      </c>
      <c r="R348" s="4">
        <f t="shared" si="143"/>
        <v>39.31623435967559</v>
      </c>
      <c r="S348" s="10">
        <f t="shared" si="144"/>
        <v>102.68595469814566</v>
      </c>
      <c r="T348" s="20">
        <f>input!C347</f>
        <v>7.0000000000000007E-2</v>
      </c>
      <c r="U348" s="19">
        <f t="shared" si="151"/>
        <v>0.99853676030628435</v>
      </c>
      <c r="V348" s="21">
        <f t="shared" si="152"/>
        <v>1938.6648793315858</v>
      </c>
      <c r="W348" s="21">
        <v>1441</v>
      </c>
      <c r="X348" s="3">
        <f>W348/365+input!$K$2</f>
        <v>3.9479452054794519</v>
      </c>
      <c r="Y348" s="4">
        <f t="shared" si="153"/>
        <v>39.469004015014669</v>
      </c>
      <c r="Z348" s="10">
        <f t="shared" si="145"/>
        <v>103.98435971907008</v>
      </c>
      <c r="AA348" s="20">
        <f>input!D347</f>
        <v>0</v>
      </c>
      <c r="AB348" s="19">
        <f t="shared" si="154"/>
        <v>0.99866597068041085</v>
      </c>
      <c r="AC348" s="21">
        <f t="shared" si="155"/>
        <v>1956.3459956959921</v>
      </c>
      <c r="AD348" s="8">
        <f t="shared" si="156"/>
        <v>149345.23327493976</v>
      </c>
      <c r="AE348" s="8">
        <f t="shared" si="157"/>
        <v>1748.9948521972738</v>
      </c>
      <c r="AF348" s="8">
        <f t="shared" si="158"/>
        <v>7.1880168288701975</v>
      </c>
      <c r="AG348" s="8">
        <f t="shared" si="159"/>
        <v>0</v>
      </c>
      <c r="AH348" s="8">
        <f t="shared" si="160"/>
        <v>76329.881034229475</v>
      </c>
      <c r="AI348" s="8">
        <f t="shared" si="161"/>
        <v>1723.1375384986989</v>
      </c>
      <c r="AJ348" s="8">
        <f t="shared" si="162"/>
        <v>7.1774990373270988</v>
      </c>
      <c r="AK348" s="8">
        <f t="shared" si="163"/>
        <v>0</v>
      </c>
      <c r="AL348" s="8">
        <f t="shared" si="164"/>
        <v>62371.253093525134</v>
      </c>
      <c r="AM348" s="8">
        <f t="shared" si="165"/>
        <v>2625.811944506544</v>
      </c>
      <c r="AN348" s="8">
        <f t="shared" si="166"/>
        <v>13.914765305102314</v>
      </c>
      <c r="AO348" s="8">
        <f t="shared" si="167"/>
        <v>0</v>
      </c>
      <c r="AQ348" s="22"/>
    </row>
    <row r="349" spans="1:43">
      <c r="A349" s="1">
        <v>42076</v>
      </c>
      <c r="B349" s="5">
        <v>347</v>
      </c>
      <c r="C349" s="3">
        <f>B349/365+input!$K$2</f>
        <v>0.9506849315068493</v>
      </c>
      <c r="D349" s="4">
        <f t="shared" si="142"/>
        <v>28.64584930376661</v>
      </c>
      <c r="E349" s="10">
        <f t="shared" si="146"/>
        <v>36.811028979603392</v>
      </c>
      <c r="F349" s="20">
        <f>input!A348</f>
        <v>4065.67</v>
      </c>
      <c r="G349" s="19">
        <f t="shared" si="147"/>
        <v>0.51484180809116653</v>
      </c>
      <c r="H349" s="21">
        <f t="shared" si="148"/>
        <v>820.24118141695135</v>
      </c>
      <c r="I349" s="5">
        <v>712</v>
      </c>
      <c r="J349" s="3">
        <f>I349/365+input!$K$2</f>
        <v>1.9506849315068493</v>
      </c>
      <c r="K349" s="4">
        <f t="shared" si="168"/>
        <v>35.491256431866816</v>
      </c>
      <c r="L349" s="10">
        <f t="shared" si="169"/>
        <v>73.704039730479977</v>
      </c>
      <c r="M349" s="20">
        <f>input!B348</f>
        <v>23.56</v>
      </c>
      <c r="N349" s="19">
        <f t="shared" si="149"/>
        <v>0.985337650103284</v>
      </c>
      <c r="O349" s="21">
        <f t="shared" si="150"/>
        <v>1525.2543431478548</v>
      </c>
      <c r="P349" s="5">
        <v>1077</v>
      </c>
      <c r="Q349" s="3">
        <f>P349/365+input!$K$2</f>
        <v>2.9506849315068493</v>
      </c>
      <c r="R349" s="4">
        <f t="shared" si="143"/>
        <v>39.323988701365273</v>
      </c>
      <c r="S349" s="10">
        <f t="shared" si="144"/>
        <v>102.75158811378797</v>
      </c>
      <c r="T349" s="20">
        <f>input!C348</f>
        <v>0.06</v>
      </c>
      <c r="U349" s="19">
        <f t="shared" si="151"/>
        <v>0.99854361014057258</v>
      </c>
      <c r="V349" s="21">
        <f t="shared" si="152"/>
        <v>1939.5601318447684</v>
      </c>
      <c r="W349" s="21">
        <v>1442</v>
      </c>
      <c r="X349" s="3">
        <f>W349/365+input!$K$2</f>
        <v>3.9506849315068493</v>
      </c>
      <c r="Y349" s="4">
        <f t="shared" si="153"/>
        <v>39.469004015014669</v>
      </c>
      <c r="Z349" s="10">
        <f t="shared" si="145"/>
        <v>103.98435971907008</v>
      </c>
      <c r="AA349" s="20">
        <f>input!D348</f>
        <v>0</v>
      </c>
      <c r="AB349" s="19">
        <f t="shared" si="154"/>
        <v>0.99866597068041085</v>
      </c>
      <c r="AC349" s="21">
        <f t="shared" si="155"/>
        <v>1956.3459956959921</v>
      </c>
      <c r="AD349" s="8">
        <f t="shared" si="156"/>
        <v>149661.49619150412</v>
      </c>
      <c r="AE349" s="8">
        <f t="shared" si="157"/>
        <v>1736.4671760501083</v>
      </c>
      <c r="AF349" s="8">
        <f t="shared" si="158"/>
        <v>6.1650952868272784</v>
      </c>
      <c r="AG349" s="8">
        <f t="shared" si="159"/>
        <v>0</v>
      </c>
      <c r="AH349" s="8">
        <f t="shared" si="160"/>
        <v>77051.995300863215</v>
      </c>
      <c r="AI349" s="8">
        <f t="shared" si="161"/>
        <v>1711.0064867306992</v>
      </c>
      <c r="AJ349" s="8">
        <f t="shared" si="162"/>
        <v>6.1561165045691393</v>
      </c>
      <c r="AK349" s="8">
        <f t="shared" si="163"/>
        <v>0</v>
      </c>
      <c r="AL349" s="8">
        <f t="shared" si="164"/>
        <v>63201.219656113426</v>
      </c>
      <c r="AM349" s="8">
        <f t="shared" si="165"/>
        <v>2609.7200750401512</v>
      </c>
      <c r="AN349" s="8">
        <f t="shared" si="166"/>
        <v>11.940158139253876</v>
      </c>
      <c r="AO349" s="8">
        <f t="shared" si="167"/>
        <v>0</v>
      </c>
      <c r="AQ349" s="22"/>
    </row>
    <row r="350" spans="1:43">
      <c r="A350" s="1">
        <v>42077</v>
      </c>
      <c r="B350" s="5">
        <v>348</v>
      </c>
      <c r="C350" s="3">
        <f>B350/365+input!$K$2</f>
        <v>0.95342465753424654</v>
      </c>
      <c r="D350" s="4">
        <f t="shared" si="142"/>
        <v>28.670545861315485</v>
      </c>
      <c r="E350" s="10">
        <f t="shared" si="146"/>
        <v>36.9139530571451</v>
      </c>
      <c r="F350" s="20">
        <f>input!A349</f>
        <v>4038.22</v>
      </c>
      <c r="G350" s="19">
        <f t="shared" si="147"/>
        <v>0.51857913992495441</v>
      </c>
      <c r="H350" s="21">
        <f t="shared" si="148"/>
        <v>823.34306774427807</v>
      </c>
      <c r="I350" s="5">
        <v>713</v>
      </c>
      <c r="J350" s="3">
        <f>I350/365+input!$K$2</f>
        <v>1.9534246575342467</v>
      </c>
      <c r="K350" s="4">
        <f t="shared" si="168"/>
        <v>35.505083994098221</v>
      </c>
      <c r="L350" s="10">
        <f t="shared" si="169"/>
        <v>73.797118374276934</v>
      </c>
      <c r="M350" s="20">
        <f>input!B349</f>
        <v>23.17</v>
      </c>
      <c r="N350" s="19">
        <f t="shared" si="149"/>
        <v>0.98545822078778478</v>
      </c>
      <c r="O350" s="21">
        <f t="shared" si="150"/>
        <v>1526.6519926052288</v>
      </c>
      <c r="P350" s="5">
        <v>1078</v>
      </c>
      <c r="Q350" s="3">
        <f>P350/365+input!$K$2</f>
        <v>2.9534246575342467</v>
      </c>
      <c r="R350" s="4">
        <f t="shared" si="143"/>
        <v>39.331730730872223</v>
      </c>
      <c r="S350" s="10">
        <f t="shared" si="144"/>
        <v>102.81714624624324</v>
      </c>
      <c r="T350" s="20">
        <f>input!C349</f>
        <v>0.06</v>
      </c>
      <c r="U350" s="19">
        <f t="shared" si="151"/>
        <v>0.99855041715553639</v>
      </c>
      <c r="V350" s="21">
        <f t="shared" si="152"/>
        <v>1940.4541988355286</v>
      </c>
      <c r="W350" s="21">
        <v>1443</v>
      </c>
      <c r="X350" s="3">
        <f>W350/365+input!$K$2</f>
        <v>3.9534246575342467</v>
      </c>
      <c r="Y350" s="4">
        <f t="shared" si="153"/>
        <v>39.469004015014669</v>
      </c>
      <c r="Z350" s="10">
        <f t="shared" si="145"/>
        <v>103.98435971907008</v>
      </c>
      <c r="AA350" s="20">
        <f>input!D349</f>
        <v>0</v>
      </c>
      <c r="AB350" s="19">
        <f t="shared" si="154"/>
        <v>0.99866597068041085</v>
      </c>
      <c r="AC350" s="21">
        <f t="shared" si="155"/>
        <v>1956.3459956959921</v>
      </c>
      <c r="AD350" s="8">
        <f t="shared" si="156"/>
        <v>149066.66351442449</v>
      </c>
      <c r="AE350" s="8">
        <f t="shared" si="157"/>
        <v>1709.8792327319966</v>
      </c>
      <c r="AF350" s="8">
        <f t="shared" si="158"/>
        <v>6.1690287747745938</v>
      </c>
      <c r="AG350" s="8">
        <f t="shared" si="159"/>
        <v>0</v>
      </c>
      <c r="AH350" s="8">
        <f t="shared" si="160"/>
        <v>77302.862156792835</v>
      </c>
      <c r="AI350" s="8">
        <f t="shared" si="161"/>
        <v>1685.0145464500558</v>
      </c>
      <c r="AJ350" s="8">
        <f t="shared" si="162"/>
        <v>6.1600862564956778</v>
      </c>
      <c r="AK350" s="8">
        <f t="shared" si="163"/>
        <v>0</v>
      </c>
      <c r="AL350" s="8">
        <f t="shared" si="164"/>
        <v>63646.775673586875</v>
      </c>
      <c r="AM350" s="8">
        <f t="shared" si="165"/>
        <v>2572.4308149067738</v>
      </c>
      <c r="AN350" s="8">
        <f t="shared" si="166"/>
        <v>11.95336524160607</v>
      </c>
      <c r="AO350" s="8">
        <f t="shared" si="167"/>
        <v>0</v>
      </c>
      <c r="AQ350" s="22"/>
    </row>
    <row r="351" spans="1:43">
      <c r="A351" s="1">
        <v>42078</v>
      </c>
      <c r="B351" s="5">
        <v>349</v>
      </c>
      <c r="C351" s="3">
        <f>B351/365+input!$K$2</f>
        <v>0.95616438356164379</v>
      </c>
      <c r="D351" s="4">
        <f t="shared" si="142"/>
        <v>28.695203206183017</v>
      </c>
      <c r="E351" s="10">
        <f t="shared" si="146"/>
        <v>37.016912026083268</v>
      </c>
      <c r="F351" s="20">
        <f>input!A350</f>
        <v>4035.46</v>
      </c>
      <c r="G351" s="19">
        <f t="shared" si="147"/>
        <v>0.52230846509673146</v>
      </c>
      <c r="H351" s="21">
        <f t="shared" si="148"/>
        <v>826.43327739353049</v>
      </c>
      <c r="I351" s="5">
        <v>714</v>
      </c>
      <c r="J351" s="3">
        <f>I351/365+input!$K$2</f>
        <v>1.9561643835616438</v>
      </c>
      <c r="K351" s="4">
        <f t="shared" si="168"/>
        <v>35.518889601213395</v>
      </c>
      <c r="L351" s="10">
        <f t="shared" si="169"/>
        <v>73.890130271231314</v>
      </c>
      <c r="M351" s="20">
        <f>input!B350</f>
        <v>22.98</v>
      </c>
      <c r="N351" s="19">
        <f t="shared" si="149"/>
        <v>0.98557762539543259</v>
      </c>
      <c r="O351" s="21">
        <f t="shared" si="150"/>
        <v>1528.0480608748717</v>
      </c>
      <c r="P351" s="5">
        <v>1079</v>
      </c>
      <c r="Q351" s="3">
        <f>P351/365+input!$K$2</f>
        <v>2.956164383561644</v>
      </c>
      <c r="R351" s="4">
        <f t="shared" si="143"/>
        <v>39.339460467745454</v>
      </c>
      <c r="S351" s="10">
        <f t="shared" si="144"/>
        <v>102.8826291302946</v>
      </c>
      <c r="T351" s="20">
        <f>input!C350</f>
        <v>0.06</v>
      </c>
      <c r="U351" s="19">
        <f t="shared" si="151"/>
        <v>0.998557181668698</v>
      </c>
      <c r="V351" s="21">
        <f t="shared" si="152"/>
        <v>1941.3470814562247</v>
      </c>
      <c r="W351" s="21">
        <v>1444</v>
      </c>
      <c r="X351" s="3">
        <f>W351/365+input!$K$2</f>
        <v>3.956164383561644</v>
      </c>
      <c r="Y351" s="4">
        <f t="shared" si="153"/>
        <v>39.469004015014669</v>
      </c>
      <c r="Z351" s="10">
        <f t="shared" si="145"/>
        <v>103.98435971907008</v>
      </c>
      <c r="AA351" s="20">
        <f>input!D350</f>
        <v>0</v>
      </c>
      <c r="AB351" s="19">
        <f t="shared" si="154"/>
        <v>0.99866597068041085</v>
      </c>
      <c r="AC351" s="21">
        <f t="shared" si="155"/>
        <v>1956.3459956959921</v>
      </c>
      <c r="AD351" s="8">
        <f t="shared" si="156"/>
        <v>149380.26780477798</v>
      </c>
      <c r="AE351" s="8">
        <f t="shared" si="157"/>
        <v>1697.9951936328957</v>
      </c>
      <c r="AF351" s="8">
        <f t="shared" si="158"/>
        <v>6.1729577478176756</v>
      </c>
      <c r="AG351" s="8">
        <f t="shared" si="159"/>
        <v>0</v>
      </c>
      <c r="AH351" s="8">
        <f t="shared" si="160"/>
        <v>78022.578392852272</v>
      </c>
      <c r="AI351" s="8">
        <f t="shared" si="161"/>
        <v>1673.5060708735671</v>
      </c>
      <c r="AJ351" s="8">
        <f t="shared" si="162"/>
        <v>6.1640512912207717</v>
      </c>
      <c r="AK351" s="8">
        <f t="shared" si="163"/>
        <v>0</v>
      </c>
      <c r="AL351" s="8">
        <f t="shared" si="164"/>
        <v>64480.45517189856</v>
      </c>
      <c r="AM351" s="8">
        <f t="shared" si="165"/>
        <v>2557.1977064606799</v>
      </c>
      <c r="AN351" s="8">
        <f t="shared" si="166"/>
        <v>11.966562984157919</v>
      </c>
      <c r="AO351" s="8">
        <f t="shared" si="167"/>
        <v>0</v>
      </c>
      <c r="AQ351" s="22"/>
    </row>
    <row r="352" spans="1:43">
      <c r="A352" s="1">
        <v>42079</v>
      </c>
      <c r="B352" s="5">
        <v>350</v>
      </c>
      <c r="C352" s="3">
        <f>B352/365+input!$K$2</f>
        <v>0.95890410958904104</v>
      </c>
      <c r="D352" s="4">
        <f t="shared" si="142"/>
        <v>28.719821400630298</v>
      </c>
      <c r="E352" s="10">
        <f t="shared" si="146"/>
        <v>37.119905412603174</v>
      </c>
      <c r="F352" s="20">
        <f>input!A351</f>
        <v>4019.64</v>
      </c>
      <c r="G352" s="19">
        <f t="shared" si="147"/>
        <v>0.5260293896593714</v>
      </c>
      <c r="H352" s="21">
        <f t="shared" si="148"/>
        <v>829.51182277356531</v>
      </c>
      <c r="I352" s="5">
        <v>715</v>
      </c>
      <c r="J352" s="3">
        <f>I352/365+input!$K$2</f>
        <v>1.9589041095890412</v>
      </c>
      <c r="K352" s="4">
        <f t="shared" si="168"/>
        <v>35.53267328807221</v>
      </c>
      <c r="L352" s="10">
        <f t="shared" si="169"/>
        <v>73.983075309126932</v>
      </c>
      <c r="M352" s="20">
        <f>input!B351</f>
        <v>22.64</v>
      </c>
      <c r="N352" s="19">
        <f t="shared" si="149"/>
        <v>0.98569587649398027</v>
      </c>
      <c r="O352" s="21">
        <f t="shared" si="150"/>
        <v>1529.4425497232969</v>
      </c>
      <c r="P352" s="5">
        <v>1080</v>
      </c>
      <c r="Q352" s="3">
        <f>P352/365+input!$K$2</f>
        <v>2.9589041095890409</v>
      </c>
      <c r="R352" s="4">
        <f t="shared" si="143"/>
        <v>39.347177931502955</v>
      </c>
      <c r="S352" s="10">
        <f t="shared" si="144"/>
        <v>102.94803680090499</v>
      </c>
      <c r="T352" s="20">
        <f>input!C351</f>
        <v>0.06</v>
      </c>
      <c r="U352" s="19">
        <f t="shared" si="151"/>
        <v>0.99856390399489781</v>
      </c>
      <c r="V352" s="21">
        <f t="shared" si="152"/>
        <v>1942.238780859579</v>
      </c>
      <c r="W352" s="21">
        <v>1445</v>
      </c>
      <c r="X352" s="3">
        <f>W352/365+input!$K$2</f>
        <v>3.9589041095890409</v>
      </c>
      <c r="Y352" s="4">
        <f t="shared" si="153"/>
        <v>39.469004015014669</v>
      </c>
      <c r="Z352" s="10">
        <f t="shared" si="145"/>
        <v>103.98435971907008</v>
      </c>
      <c r="AA352" s="20">
        <f>input!D351</f>
        <v>0</v>
      </c>
      <c r="AB352" s="19">
        <f t="shared" si="154"/>
        <v>0.99866597068041085</v>
      </c>
      <c r="AC352" s="21">
        <f t="shared" si="155"/>
        <v>1956.3459956959921</v>
      </c>
      <c r="AD352" s="8">
        <f t="shared" si="156"/>
        <v>149208.65659271623</v>
      </c>
      <c r="AE352" s="8">
        <f t="shared" si="157"/>
        <v>1674.9768249986337</v>
      </c>
      <c r="AF352" s="8">
        <f t="shared" si="158"/>
        <v>6.1768822080542991</v>
      </c>
      <c r="AG352" s="8">
        <f t="shared" si="159"/>
        <v>0</v>
      </c>
      <c r="AH352" s="8">
        <f t="shared" si="160"/>
        <v>78488.138559361265</v>
      </c>
      <c r="AI352" s="8">
        <f t="shared" si="161"/>
        <v>1651.0177496241324</v>
      </c>
      <c r="AJ352" s="8">
        <f t="shared" si="162"/>
        <v>6.1680116121913251</v>
      </c>
      <c r="AK352" s="8">
        <f t="shared" si="163"/>
        <v>0</v>
      </c>
      <c r="AL352" s="8">
        <f t="shared" si="164"/>
        <v>65106.838882479919</v>
      </c>
      <c r="AM352" s="8">
        <f t="shared" si="165"/>
        <v>2525.1367966235525</v>
      </c>
      <c r="AN352" s="8">
        <f t="shared" si="166"/>
        <v>11.979751353990206</v>
      </c>
      <c r="AO352" s="8">
        <f t="shared" si="167"/>
        <v>0</v>
      </c>
      <c r="AQ352" s="22"/>
    </row>
    <row r="353" spans="1:43">
      <c r="A353" s="1">
        <v>42080</v>
      </c>
      <c r="B353" s="5">
        <v>351</v>
      </c>
      <c r="C353" s="3">
        <f>B353/365+input!$K$2</f>
        <v>0.9616438356164384</v>
      </c>
      <c r="D353" s="4">
        <f t="shared" si="142"/>
        <v>28.744400506819549</v>
      </c>
      <c r="E353" s="10">
        <f t="shared" si="146"/>
        <v>37.222932744010436</v>
      </c>
      <c r="F353" s="20">
        <f>input!A352</f>
        <v>4005.8</v>
      </c>
      <c r="G353" s="19">
        <f t="shared" si="147"/>
        <v>0.52974152464421642</v>
      </c>
      <c r="H353" s="21">
        <f t="shared" si="148"/>
        <v>832.57871805883667</v>
      </c>
      <c r="I353" s="5">
        <v>716</v>
      </c>
      <c r="J353" s="3">
        <f>I353/365+input!$K$2</f>
        <v>1.9616438356164383</v>
      </c>
      <c r="K353" s="4">
        <f t="shared" si="168"/>
        <v>35.54643508947921</v>
      </c>
      <c r="L353" s="10">
        <f t="shared" si="169"/>
        <v>74.075953376436942</v>
      </c>
      <c r="M353" s="20">
        <f>input!B352</f>
        <v>22.4</v>
      </c>
      <c r="N353" s="19">
        <f t="shared" si="149"/>
        <v>0.98581298650531535</v>
      </c>
      <c r="O353" s="21">
        <f t="shared" si="150"/>
        <v>1530.8354608964678</v>
      </c>
      <c r="P353" s="5">
        <v>1081</v>
      </c>
      <c r="Q353" s="3">
        <f>P353/365+input!$K$2</f>
        <v>2.9616438356164383</v>
      </c>
      <c r="R353" s="4">
        <f t="shared" si="143"/>
        <v>39.354883141631731</v>
      </c>
      <c r="S353" s="10">
        <f t="shared" si="144"/>
        <v>103.01336929321774</v>
      </c>
      <c r="T353" s="20">
        <f>input!C352</f>
        <v>0.06</v>
      </c>
      <c r="U353" s="19">
        <f t="shared" si="151"/>
        <v>0.99857058444631841</v>
      </c>
      <c r="V353" s="21">
        <f t="shared" si="152"/>
        <v>1943.129298198676</v>
      </c>
      <c r="W353" s="21">
        <v>1446</v>
      </c>
      <c r="X353" s="3">
        <f>W353/365+input!$K$2</f>
        <v>3.9616438356164383</v>
      </c>
      <c r="Y353" s="4">
        <f t="shared" si="153"/>
        <v>39.469004015014669</v>
      </c>
      <c r="Z353" s="10">
        <f t="shared" si="145"/>
        <v>103.98435971907008</v>
      </c>
      <c r="AA353" s="20">
        <f>input!D352</f>
        <v>0</v>
      </c>
      <c r="AB353" s="19">
        <f t="shared" si="154"/>
        <v>0.99866597068041085</v>
      </c>
      <c r="AC353" s="21">
        <f t="shared" si="155"/>
        <v>1956.3459956959921</v>
      </c>
      <c r="AD353" s="8">
        <f t="shared" si="156"/>
        <v>149107.62398595701</v>
      </c>
      <c r="AE353" s="8">
        <f t="shared" si="157"/>
        <v>1659.3013556321873</v>
      </c>
      <c r="AF353" s="8">
        <f t="shared" si="158"/>
        <v>6.1808021575930638</v>
      </c>
      <c r="AG353" s="8">
        <f t="shared" si="159"/>
        <v>0</v>
      </c>
      <c r="AH353" s="8">
        <f t="shared" si="160"/>
        <v>78988.500066397391</v>
      </c>
      <c r="AI353" s="8">
        <f t="shared" si="161"/>
        <v>1635.7608249080849</v>
      </c>
      <c r="AJ353" s="8">
        <f t="shared" si="162"/>
        <v>6.1719672228547715</v>
      </c>
      <c r="AK353" s="8">
        <f t="shared" si="163"/>
        <v>0</v>
      </c>
      <c r="AL353" s="8">
        <f t="shared" si="164"/>
        <v>65764.144126671483</v>
      </c>
      <c r="AM353" s="8">
        <f t="shared" si="165"/>
        <v>2504.0806763145547</v>
      </c>
      <c r="AN353" s="8">
        <f t="shared" si="166"/>
        <v>11.992930338251025</v>
      </c>
      <c r="AO353" s="8">
        <f t="shared" si="167"/>
        <v>0</v>
      </c>
      <c r="AQ353" s="22"/>
    </row>
    <row r="354" spans="1:43">
      <c r="A354" s="1">
        <v>42081</v>
      </c>
      <c r="B354" s="5">
        <v>352</v>
      </c>
      <c r="C354" s="3">
        <f>B354/365+input!$K$2</f>
        <v>0.96438356164383565</v>
      </c>
      <c r="D354" s="4">
        <f t="shared" si="142"/>
        <v>28.768940586814281</v>
      </c>
      <c r="E354" s="10">
        <f t="shared" si="146"/>
        <v>37.325993548732583</v>
      </c>
      <c r="F354" s="20">
        <f>input!A353</f>
        <v>3990.04</v>
      </c>
      <c r="G354" s="19">
        <f t="shared" si="147"/>
        <v>0.53344448619747276</v>
      </c>
      <c r="H354" s="21">
        <f t="shared" si="148"/>
        <v>835.63397915300425</v>
      </c>
      <c r="I354" s="5">
        <v>717</v>
      </c>
      <c r="J354" s="3">
        <f>I354/365+input!$K$2</f>
        <v>1.9643835616438357</v>
      </c>
      <c r="K354" s="4">
        <f t="shared" si="168"/>
        <v>35.560175040183644</v>
      </c>
      <c r="L354" s="10">
        <f t="shared" si="169"/>
        <v>74.168764362321099</v>
      </c>
      <c r="M354" s="20">
        <f>input!B353</f>
        <v>22.08</v>
      </c>
      <c r="N354" s="19">
        <f t="shared" si="149"/>
        <v>0.98592896770722505</v>
      </c>
      <c r="O354" s="21">
        <f t="shared" si="150"/>
        <v>1532.2267961201876</v>
      </c>
      <c r="P354" s="5">
        <v>1082</v>
      </c>
      <c r="Q354" s="3">
        <f>P354/365+input!$K$2</f>
        <v>2.9643835616438357</v>
      </c>
      <c r="R354" s="4">
        <f t="shared" si="143"/>
        <v>39.362576117587835</v>
      </c>
      <c r="S354" s="10">
        <f t="shared" si="144"/>
        <v>103.07862664255475</v>
      </c>
      <c r="T354" s="20">
        <f>input!C353</f>
        <v>0.06</v>
      </c>
      <c r="U354" s="19">
        <f t="shared" si="151"/>
        <v>0.99857722333251009</v>
      </c>
      <c r="V354" s="21">
        <f t="shared" si="152"/>
        <v>1944.018634626952</v>
      </c>
      <c r="W354" s="21">
        <v>1447</v>
      </c>
      <c r="X354" s="3">
        <f>W354/365+input!$K$2</f>
        <v>3.9643835616438357</v>
      </c>
      <c r="Y354" s="4">
        <f t="shared" si="153"/>
        <v>39.469004015014669</v>
      </c>
      <c r="Z354" s="10">
        <f t="shared" si="145"/>
        <v>103.98435971907008</v>
      </c>
      <c r="AA354" s="20">
        <f>input!D353</f>
        <v>0</v>
      </c>
      <c r="AB354" s="19">
        <f t="shared" si="154"/>
        <v>0.99866597068041085</v>
      </c>
      <c r="AC354" s="21">
        <f t="shared" si="155"/>
        <v>1956.3459956959921</v>
      </c>
      <c r="AD354" s="8">
        <f t="shared" si="156"/>
        <v>148932.20729918496</v>
      </c>
      <c r="AE354" s="8">
        <f t="shared" si="157"/>
        <v>1637.6463171200498</v>
      </c>
      <c r="AF354" s="8">
        <f t="shared" si="158"/>
        <v>6.1847175985532852</v>
      </c>
      <c r="AG354" s="8">
        <f t="shared" si="159"/>
        <v>0</v>
      </c>
      <c r="AH354" s="8">
        <f t="shared" si="160"/>
        <v>79447.064800969223</v>
      </c>
      <c r="AI354" s="8">
        <f t="shared" si="161"/>
        <v>1614.6029429077096</v>
      </c>
      <c r="AJ354" s="8">
        <f t="shared" si="162"/>
        <v>6.1759181266590497</v>
      </c>
      <c r="AK354" s="8">
        <f t="shared" si="163"/>
        <v>0</v>
      </c>
      <c r="AL354" s="8">
        <f t="shared" si="164"/>
        <v>66388.666891660498</v>
      </c>
      <c r="AM354" s="8">
        <f t="shared" si="165"/>
        <v>2473.9378942177059</v>
      </c>
      <c r="AN354" s="8">
        <f t="shared" si="166"/>
        <v>12.006099924155569</v>
      </c>
      <c r="AO354" s="8">
        <f t="shared" si="167"/>
        <v>0</v>
      </c>
      <c r="AQ354" s="22"/>
    </row>
    <row r="355" spans="1:43">
      <c r="A355" s="1">
        <v>42082</v>
      </c>
      <c r="B355" s="5">
        <v>353</v>
      </c>
      <c r="C355" s="3">
        <f>B355/365+input!$K$2</f>
        <v>0.9671232876712329</v>
      </c>
      <c r="D355" s="4">
        <f t="shared" si="142"/>
        <v>28.793441702579489</v>
      </c>
      <c r="E355" s="10">
        <f t="shared" si="146"/>
        <v>37.429087356320288</v>
      </c>
      <c r="F355" s="20">
        <f>input!A354</f>
        <v>3987.31</v>
      </c>
      <c r="G355" s="19">
        <f t="shared" si="147"/>
        <v>0.53713789571148718</v>
      </c>
      <c r="H355" s="21">
        <f t="shared" si="148"/>
        <v>838.67762365266731</v>
      </c>
      <c r="I355" s="5">
        <v>718</v>
      </c>
      <c r="J355" s="3">
        <f>I355/365+input!$K$2</f>
        <v>1.9671232876712328</v>
      </c>
      <c r="K355" s="4">
        <f t="shared" si="168"/>
        <v>35.573893174879615</v>
      </c>
      <c r="L355" s="10">
        <f t="shared" si="169"/>
        <v>74.261508156624274</v>
      </c>
      <c r="M355" s="20">
        <f>input!B354</f>
        <v>21.9</v>
      </c>
      <c r="N355" s="19">
        <f t="shared" si="149"/>
        <v>0.98604383223513647</v>
      </c>
      <c r="O355" s="21">
        <f t="shared" si="150"/>
        <v>1533.6165571005026</v>
      </c>
      <c r="P355" s="5">
        <v>1083</v>
      </c>
      <c r="Q355" s="3">
        <f>P355/365+input!$K$2</f>
        <v>2.967123287671233</v>
      </c>
      <c r="R355" s="4">
        <f t="shared" si="143"/>
        <v>39.370256878796432</v>
      </c>
      <c r="S355" s="10">
        <f t="shared" si="144"/>
        <v>103.14380888441526</v>
      </c>
      <c r="T355" s="20">
        <f>input!C354</f>
        <v>0.06</v>
      </c>
      <c r="U355" s="19">
        <f t="shared" si="151"/>
        <v>0.9985838209604162</v>
      </c>
      <c r="V355" s="21">
        <f t="shared" si="152"/>
        <v>1944.9067912981895</v>
      </c>
      <c r="W355" s="21">
        <v>1448</v>
      </c>
      <c r="X355" s="3">
        <f>W355/365+input!$K$2</f>
        <v>3.967123287671233</v>
      </c>
      <c r="Y355" s="4">
        <f t="shared" si="153"/>
        <v>39.469004015014669</v>
      </c>
      <c r="Z355" s="10">
        <f t="shared" si="145"/>
        <v>103.98435971907008</v>
      </c>
      <c r="AA355" s="20">
        <f>input!D354</f>
        <v>0</v>
      </c>
      <c r="AB355" s="19">
        <f t="shared" si="154"/>
        <v>0.99866597068041085</v>
      </c>
      <c r="AC355" s="21">
        <f t="shared" si="155"/>
        <v>1956.3459956959921</v>
      </c>
      <c r="AD355" s="8">
        <f t="shared" si="156"/>
        <v>149241.37430672944</v>
      </c>
      <c r="AE355" s="8">
        <f t="shared" si="157"/>
        <v>1626.3270286300715</v>
      </c>
      <c r="AF355" s="8">
        <f t="shared" si="158"/>
        <v>6.1886285330649153</v>
      </c>
      <c r="AG355" s="8">
        <f t="shared" si="159"/>
        <v>0</v>
      </c>
      <c r="AH355" s="8">
        <f t="shared" si="160"/>
        <v>80163.197748207065</v>
      </c>
      <c r="AI355" s="8">
        <f t="shared" si="161"/>
        <v>1603.6297357779781</v>
      </c>
      <c r="AJ355" s="8">
        <f t="shared" si="162"/>
        <v>6.179864327052619</v>
      </c>
      <c r="AK355" s="8">
        <f t="shared" si="163"/>
        <v>0</v>
      </c>
      <c r="AL355" s="8">
        <f t="shared" si="164"/>
        <v>67231.080191865141</v>
      </c>
      <c r="AM355" s="8">
        <f t="shared" si="165"/>
        <v>2459.3531142478114</v>
      </c>
      <c r="AN355" s="8">
        <f t="shared" si="166"/>
        <v>12.019260098986054</v>
      </c>
      <c r="AO355" s="8">
        <f t="shared" si="167"/>
        <v>0</v>
      </c>
      <c r="AQ355" s="22"/>
    </row>
    <row r="356" spans="1:43">
      <c r="A356" s="1">
        <v>42083</v>
      </c>
      <c r="B356" s="5">
        <v>354</v>
      </c>
      <c r="C356" s="3">
        <f>B356/365+input!$K$2</f>
        <v>0.96986301369863015</v>
      </c>
      <c r="D356" s="4">
        <f t="shared" si="142"/>
        <v>28.817903915981766</v>
      </c>
      <c r="E356" s="10">
        <f t="shared" si="146"/>
        <v>37.532213697448583</v>
      </c>
      <c r="F356" s="20">
        <f>input!A355</f>
        <v>3960.09</v>
      </c>
      <c r="G356" s="19">
        <f t="shared" si="147"/>
        <v>0.54082137995082169</v>
      </c>
      <c r="H356" s="21">
        <f t="shared" si="148"/>
        <v>841.70967081121921</v>
      </c>
      <c r="I356" s="5">
        <v>719</v>
      </c>
      <c r="J356" s="3">
        <f>I356/365+input!$K$2</f>
        <v>1.9698630136986301</v>
      </c>
      <c r="K356" s="4">
        <f t="shared" si="168"/>
        <v>35.587589528206117</v>
      </c>
      <c r="L356" s="10">
        <f t="shared" si="169"/>
        <v>74.354184649874711</v>
      </c>
      <c r="M356" s="20">
        <f>input!B355</f>
        <v>21.53</v>
      </c>
      <c r="N356" s="19">
        <f t="shared" si="149"/>
        <v>0.98615759208383846</v>
      </c>
      <c r="O356" s="21">
        <f t="shared" si="150"/>
        <v>1535.0047455241065</v>
      </c>
      <c r="P356" s="5">
        <v>1084</v>
      </c>
      <c r="Q356" s="3">
        <f>P356/365+input!$K$2</f>
        <v>2.9698630136986299</v>
      </c>
      <c r="R356" s="4">
        <f t="shared" si="143"/>
        <v>39.377925444651844</v>
      </c>
      <c r="S356" s="10">
        <f t="shared" si="144"/>
        <v>103.20891605447657</v>
      </c>
      <c r="T356" s="20">
        <f>input!C355</f>
        <v>0.06</v>
      </c>
      <c r="U356" s="19">
        <f t="shared" si="151"/>
        <v>0.9985903776343964</v>
      </c>
      <c r="V356" s="21">
        <f t="shared" si="152"/>
        <v>1945.7937693665131</v>
      </c>
      <c r="W356" s="21">
        <v>1449</v>
      </c>
      <c r="X356" s="3">
        <f>W356/365+input!$K$2</f>
        <v>3.9698630136986299</v>
      </c>
      <c r="Y356" s="4">
        <f t="shared" si="153"/>
        <v>39.469004015014669</v>
      </c>
      <c r="Z356" s="10">
        <f t="shared" si="145"/>
        <v>103.98435971907008</v>
      </c>
      <c r="AA356" s="20">
        <f>input!D355</f>
        <v>0</v>
      </c>
      <c r="AB356" s="19">
        <f t="shared" si="154"/>
        <v>0.99866597068041085</v>
      </c>
      <c r="AC356" s="21">
        <f t="shared" si="155"/>
        <v>1956.3459956959921</v>
      </c>
      <c r="AD356" s="8">
        <f t="shared" si="156"/>
        <v>148630.94414112918</v>
      </c>
      <c r="AE356" s="8">
        <f t="shared" si="157"/>
        <v>1600.8455955118027</v>
      </c>
      <c r="AF356" s="8">
        <f t="shared" si="158"/>
        <v>6.192534963268594</v>
      </c>
      <c r="AG356" s="8">
        <f t="shared" si="159"/>
        <v>0</v>
      </c>
      <c r="AH356" s="8">
        <f t="shared" si="160"/>
        <v>80382.792313798971</v>
      </c>
      <c r="AI356" s="8">
        <f t="shared" si="161"/>
        <v>1578.6860377679377</v>
      </c>
      <c r="AJ356" s="8">
        <f t="shared" si="162"/>
        <v>6.183805827484588</v>
      </c>
      <c r="AK356" s="8">
        <f t="shared" si="163"/>
        <v>0</v>
      </c>
      <c r="AL356" s="8">
        <f t="shared" si="164"/>
        <v>67658.973657334325</v>
      </c>
      <c r="AM356" s="8">
        <f t="shared" si="165"/>
        <v>2423.2905596664332</v>
      </c>
      <c r="AN356" s="8">
        <f t="shared" si="166"/>
        <v>12.032410850091846</v>
      </c>
      <c r="AO356" s="8">
        <f t="shared" si="167"/>
        <v>0</v>
      </c>
      <c r="AQ356" s="22"/>
    </row>
    <row r="357" spans="1:43">
      <c r="A357" s="1">
        <v>42084</v>
      </c>
      <c r="B357" s="5">
        <v>355</v>
      </c>
      <c r="C357" s="3">
        <f>B357/365+input!$K$2</f>
        <v>0.9726027397260274</v>
      </c>
      <c r="D357" s="4">
        <f t="shared" si="142"/>
        <v>28.842327288789466</v>
      </c>
      <c r="E357" s="10">
        <f t="shared" si="146"/>
        <v>37.635372103917938</v>
      </c>
      <c r="F357" s="20">
        <f>input!A356</f>
        <v>3957.38</v>
      </c>
      <c r="G357" s="19">
        <f t="shared" si="147"/>
        <v>0.54449457117309719</v>
      </c>
      <c r="H357" s="21">
        <f t="shared" si="148"/>
        <v>844.73014150286417</v>
      </c>
      <c r="I357" s="5">
        <v>720</v>
      </c>
      <c r="J357" s="3">
        <f>I357/365+input!$K$2</f>
        <v>1.9726027397260273</v>
      </c>
      <c r="K357" s="4">
        <f t="shared" si="168"/>
        <v>35.601264134747176</v>
      </c>
      <c r="L357" s="10">
        <f t="shared" si="169"/>
        <v>74.446793733282462</v>
      </c>
      <c r="M357" s="20">
        <f>input!B356</f>
        <v>21.36</v>
      </c>
      <c r="N357" s="19">
        <f t="shared" si="149"/>
        <v>0.98627025910918109</v>
      </c>
      <c r="O357" s="21">
        <f t="shared" si="150"/>
        <v>1536.3913630587233</v>
      </c>
      <c r="P357" s="5">
        <v>1085</v>
      </c>
      <c r="Q357" s="3">
        <f>P357/365+input!$K$2</f>
        <v>2.9726027397260273</v>
      </c>
      <c r="R357" s="4">
        <f t="shared" si="143"/>
        <v>39.385581834517602</v>
      </c>
      <c r="S357" s="10">
        <f t="shared" si="144"/>
        <v>103.27394818859105</v>
      </c>
      <c r="T357" s="20">
        <f>input!C356</f>
        <v>0.06</v>
      </c>
      <c r="U357" s="19">
        <f t="shared" si="151"/>
        <v>0.99859689365625137</v>
      </c>
      <c r="V357" s="21">
        <f t="shared" si="152"/>
        <v>1946.679569986379</v>
      </c>
      <c r="W357" s="21">
        <v>1450</v>
      </c>
      <c r="X357" s="3">
        <f>W357/365+input!$K$2</f>
        <v>3.9726027397260273</v>
      </c>
      <c r="Y357" s="4">
        <f t="shared" si="153"/>
        <v>39.469004015014669</v>
      </c>
      <c r="Z357" s="10">
        <f t="shared" si="145"/>
        <v>103.98435971907008</v>
      </c>
      <c r="AA357" s="20">
        <f>input!D356</f>
        <v>0</v>
      </c>
      <c r="AB357" s="19">
        <f t="shared" si="154"/>
        <v>0.99866597068041085</v>
      </c>
      <c r="AC357" s="21">
        <f t="shared" si="155"/>
        <v>1956.3459956959921</v>
      </c>
      <c r="AD357" s="8">
        <f t="shared" si="156"/>
        <v>148937.46885660276</v>
      </c>
      <c r="AE357" s="8">
        <f t="shared" si="157"/>
        <v>1590.1835141429133</v>
      </c>
      <c r="AF357" s="8">
        <f t="shared" si="158"/>
        <v>6.1964368913154626</v>
      </c>
      <c r="AG357" s="8">
        <f t="shared" si="159"/>
        <v>0</v>
      </c>
      <c r="AH357" s="8">
        <f t="shared" si="160"/>
        <v>81095.643236682445</v>
      </c>
      <c r="AI357" s="8">
        <f t="shared" si="161"/>
        <v>1568.3507065248791</v>
      </c>
      <c r="AJ357" s="8">
        <f t="shared" si="162"/>
        <v>6.1877426314046202</v>
      </c>
      <c r="AK357" s="8">
        <f t="shared" si="163"/>
        <v>0</v>
      </c>
      <c r="AL357" s="8">
        <f t="shared" si="164"/>
        <v>68503.934186588551</v>
      </c>
      <c r="AM357" s="8">
        <f t="shared" si="165"/>
        <v>2409.6004797518708</v>
      </c>
      <c r="AN357" s="8">
        <f t="shared" si="166"/>
        <v>12.045552164889132</v>
      </c>
      <c r="AO357" s="8">
        <f t="shared" si="167"/>
        <v>0</v>
      </c>
      <c r="AQ357" s="22"/>
    </row>
    <row r="358" spans="1:43">
      <c r="A358" s="1">
        <v>42085</v>
      </c>
      <c r="B358" s="5">
        <v>356</v>
      </c>
      <c r="C358" s="3">
        <f>B358/365+input!$K$2</f>
        <v>0.97534246575342465</v>
      </c>
      <c r="D358" s="4">
        <f t="shared" si="142"/>
        <v>28.866711882672895</v>
      </c>
      <c r="E358" s="10">
        <f t="shared" si="146"/>
        <v>37.738562108655856</v>
      </c>
      <c r="F358" s="20">
        <f>input!A357</f>
        <v>3941.97</v>
      </c>
      <c r="G358" s="19">
        <f t="shared" si="147"/>
        <v>0.54815710724454814</v>
      </c>
      <c r="H358" s="21">
        <f t="shared" si="148"/>
        <v>847.73905818679214</v>
      </c>
      <c r="I358" s="5">
        <v>721</v>
      </c>
      <c r="J358" s="3">
        <f>I358/365+input!$K$2</f>
        <v>1.9753424657534246</v>
      </c>
      <c r="K358" s="4">
        <f t="shared" si="168"/>
        <v>35.614917029031865</v>
      </c>
      <c r="L358" s="10">
        <f t="shared" si="169"/>
        <v>74.53933529873629</v>
      </c>
      <c r="M358" s="20">
        <f>input!B357</f>
        <v>21.06</v>
      </c>
      <c r="N358" s="19">
        <f t="shared" si="149"/>
        <v>0.98638184502975634</v>
      </c>
      <c r="O358" s="21">
        <f t="shared" si="150"/>
        <v>1537.7764113534836</v>
      </c>
      <c r="P358" s="5">
        <v>1086</v>
      </c>
      <c r="Q358" s="3">
        <f>P358/365+input!$K$2</f>
        <v>2.9753424657534246</v>
      </c>
      <c r="R358" s="4">
        <f t="shared" si="143"/>
        <v>39.393226067726488</v>
      </c>
      <c r="S358" s="10">
        <f t="shared" si="144"/>
        <v>103.33890532278744</v>
      </c>
      <c r="T358" s="20">
        <f>input!C357</f>
        <v>0.06</v>
      </c>
      <c r="U358" s="19">
        <f t="shared" si="151"/>
        <v>0.99860336932524674</v>
      </c>
      <c r="V358" s="21">
        <f t="shared" si="152"/>
        <v>1947.5641943125681</v>
      </c>
      <c r="W358" s="21">
        <v>1451</v>
      </c>
      <c r="X358" s="3">
        <f>W358/365+input!$K$2</f>
        <v>3.9753424657534246</v>
      </c>
      <c r="Y358" s="4">
        <f t="shared" si="153"/>
        <v>39.469004015014669</v>
      </c>
      <c r="Z358" s="10">
        <f t="shared" si="145"/>
        <v>103.98435971907008</v>
      </c>
      <c r="AA358" s="20">
        <f>input!D357</f>
        <v>0</v>
      </c>
      <c r="AB358" s="19">
        <f t="shared" si="154"/>
        <v>0.99866597068041085</v>
      </c>
      <c r="AC358" s="21">
        <f t="shared" si="155"/>
        <v>1956.3459956959921</v>
      </c>
      <c r="AD358" s="8">
        <f t="shared" si="156"/>
        <v>148764.27967545812</v>
      </c>
      <c r="AE358" s="8">
        <f t="shared" si="157"/>
        <v>1569.7984013913863</v>
      </c>
      <c r="AF358" s="8">
        <f t="shared" si="158"/>
        <v>6.2003343193672462</v>
      </c>
      <c r="AG358" s="8">
        <f t="shared" si="159"/>
        <v>0</v>
      </c>
      <c r="AH358" s="8">
        <f t="shared" si="160"/>
        <v>81546.197208218044</v>
      </c>
      <c r="AI358" s="8">
        <f t="shared" si="161"/>
        <v>1548.4206434891976</v>
      </c>
      <c r="AJ358" s="8">
        <f t="shared" si="162"/>
        <v>6.1916747422630927</v>
      </c>
      <c r="AK358" s="8">
        <f t="shared" si="163"/>
        <v>0</v>
      </c>
      <c r="AL358" s="8">
        <f t="shared" si="164"/>
        <v>69129.896420009187</v>
      </c>
      <c r="AM358" s="8">
        <f t="shared" si="165"/>
        <v>2381.1247404104697</v>
      </c>
      <c r="AN358" s="8">
        <f t="shared" si="166"/>
        <v>12.058684030861098</v>
      </c>
      <c r="AO358" s="8">
        <f t="shared" si="167"/>
        <v>0</v>
      </c>
      <c r="AQ358" s="22"/>
    </row>
    <row r="359" spans="1:43">
      <c r="A359" s="1">
        <v>42086</v>
      </c>
      <c r="B359" s="5">
        <v>357</v>
      </c>
      <c r="C359" s="3">
        <f>B359/365+input!$K$2</f>
        <v>0.9780821917808219</v>
      </c>
      <c r="D359" s="4">
        <f t="shared" si="142"/>
        <v>28.891057759204408</v>
      </c>
      <c r="E359" s="10">
        <f t="shared" si="146"/>
        <v>37.841783245717579</v>
      </c>
      <c r="F359" s="20">
        <f>input!A358</f>
        <v>3928.81</v>
      </c>
      <c r="G359" s="19">
        <f t="shared" si="147"/>
        <v>0.55180863175023698</v>
      </c>
      <c r="H359" s="21">
        <f t="shared" si="148"/>
        <v>850.7364448715216</v>
      </c>
      <c r="I359" s="5">
        <v>722</v>
      </c>
      <c r="J359" s="3">
        <f>I359/365+input!$K$2</f>
        <v>1.978082191780822</v>
      </c>
      <c r="K359" s="4">
        <f t="shared" si="168"/>
        <v>35.628548245534461</v>
      </c>
      <c r="L359" s="10">
        <f t="shared" si="169"/>
        <v>74.631809238803129</v>
      </c>
      <c r="M359" s="20">
        <f>input!B358</f>
        <v>20.85</v>
      </c>
      <c r="N359" s="19">
        <f t="shared" si="149"/>
        <v>0.98649236142855634</v>
      </c>
      <c r="O359" s="21">
        <f t="shared" si="150"/>
        <v>1539.1598920393008</v>
      </c>
      <c r="P359" s="5">
        <v>1087</v>
      </c>
      <c r="Q359" s="3">
        <f>P359/365+input!$K$2</f>
        <v>2.978082191780822</v>
      </c>
      <c r="R359" s="4">
        <f t="shared" si="143"/>
        <v>39.400858163580601</v>
      </c>
      <c r="S359" s="10">
        <f t="shared" si="144"/>
        <v>103.40378749326828</v>
      </c>
      <c r="T359" s="20">
        <f>input!C358</f>
        <v>0.06</v>
      </c>
      <c r="U359" s="19">
        <f t="shared" si="151"/>
        <v>0.99860980493813656</v>
      </c>
      <c r="V359" s="21">
        <f t="shared" si="152"/>
        <v>1948.4476435001911</v>
      </c>
      <c r="W359" s="21">
        <v>1452</v>
      </c>
      <c r="X359" s="3">
        <f>W359/365+input!$K$2</f>
        <v>3.978082191780822</v>
      </c>
      <c r="Y359" s="4">
        <f t="shared" si="153"/>
        <v>39.469004015014669</v>
      </c>
      <c r="Z359" s="10">
        <f t="shared" si="145"/>
        <v>103.98435971907008</v>
      </c>
      <c r="AA359" s="20">
        <f>input!D358</f>
        <v>0</v>
      </c>
      <c r="AB359" s="19">
        <f t="shared" si="154"/>
        <v>0.99866597068041085</v>
      </c>
      <c r="AC359" s="21">
        <f t="shared" si="155"/>
        <v>1956.3459956959921</v>
      </c>
      <c r="AD359" s="8">
        <f t="shared" si="156"/>
        <v>148673.17643360767</v>
      </c>
      <c r="AE359" s="8">
        <f t="shared" si="157"/>
        <v>1556.0732226290454</v>
      </c>
      <c r="AF359" s="8">
        <f t="shared" si="158"/>
        <v>6.2042272495960971</v>
      </c>
      <c r="AG359" s="8">
        <f t="shared" si="159"/>
        <v>0</v>
      </c>
      <c r="AH359" s="8">
        <f t="shared" si="160"/>
        <v>82039.142065790627</v>
      </c>
      <c r="AI359" s="8">
        <f t="shared" si="161"/>
        <v>1535.0543479470707</v>
      </c>
      <c r="AJ359" s="8">
        <f t="shared" si="162"/>
        <v>6.1956021635110297</v>
      </c>
      <c r="AK359" s="8">
        <f t="shared" si="163"/>
        <v>0</v>
      </c>
      <c r="AL359" s="8">
        <f t="shared" si="164"/>
        <v>69793.688061360415</v>
      </c>
      <c r="AM359" s="8">
        <f t="shared" si="165"/>
        <v>2362.6940844606725</v>
      </c>
      <c r="AN359" s="8">
        <f t="shared" si="166"/>
        <v>12.071806435557752</v>
      </c>
      <c r="AO359" s="8">
        <f t="shared" si="167"/>
        <v>0</v>
      </c>
      <c r="AQ359" s="22"/>
    </row>
    <row r="360" spans="1:43">
      <c r="A360" s="1">
        <v>42087</v>
      </c>
      <c r="B360" s="5">
        <v>358</v>
      </c>
      <c r="C360" s="3">
        <f>B360/365+input!$K$2</f>
        <v>0.98082191780821915</v>
      </c>
      <c r="D360" s="4">
        <f t="shared" si="142"/>
        <v>28.915364979858623</v>
      </c>
      <c r="E360" s="10">
        <f t="shared" si="146"/>
        <v>37.945035050287572</v>
      </c>
      <c r="F360" s="20">
        <f>input!A359</f>
        <v>3913.13</v>
      </c>
      <c r="G360" s="19">
        <f t="shared" si="147"/>
        <v>0.55544879409892933</v>
      </c>
      <c r="H360" s="21">
        <f t="shared" si="148"/>
        <v>853.72232707943772</v>
      </c>
      <c r="I360" s="5">
        <v>723</v>
      </c>
      <c r="J360" s="3">
        <f>I360/365+input!$K$2</f>
        <v>1.9808219178082191</v>
      </c>
      <c r="K360" s="4">
        <f t="shared" si="168"/>
        <v>35.642157818674505</v>
      </c>
      <c r="L360" s="10">
        <f t="shared" si="169"/>
        <v>74.724215446725751</v>
      </c>
      <c r="M360" s="20">
        <f>input!B359</f>
        <v>20.56</v>
      </c>
      <c r="N360" s="19">
        <f t="shared" si="149"/>
        <v>0.98660181975461414</v>
      </c>
      <c r="O360" s="21">
        <f t="shared" si="150"/>
        <v>1540.5418067292562</v>
      </c>
      <c r="P360" s="5">
        <v>1088</v>
      </c>
      <c r="Q360" s="3">
        <f>P360/365+input!$K$2</f>
        <v>2.9808219178082194</v>
      </c>
      <c r="R360" s="4">
        <f t="shared" si="143"/>
        <v>39.40847814135136</v>
      </c>
      <c r="S360" s="10">
        <f t="shared" si="144"/>
        <v>103.4685947364095</v>
      </c>
      <c r="T360" s="20">
        <f>input!C359</f>
        <v>0.06</v>
      </c>
      <c r="U360" s="19">
        <f t="shared" si="151"/>
        <v>0.99861620078918711</v>
      </c>
      <c r="V360" s="21">
        <f t="shared" si="152"/>
        <v>1949.3299187046605</v>
      </c>
      <c r="W360" s="21">
        <v>1453</v>
      </c>
      <c r="X360" s="3">
        <f>W360/365+input!$K$2</f>
        <v>3.9808219178082194</v>
      </c>
      <c r="Y360" s="4">
        <f t="shared" si="153"/>
        <v>39.469004015014669</v>
      </c>
      <c r="Z360" s="10">
        <f t="shared" si="145"/>
        <v>103.98435971907008</v>
      </c>
      <c r="AA360" s="20">
        <f>input!D359</f>
        <v>0</v>
      </c>
      <c r="AB360" s="19">
        <f t="shared" si="154"/>
        <v>0.99866597068041085</v>
      </c>
      <c r="AC360" s="21">
        <f t="shared" si="155"/>
        <v>1956.3459956959921</v>
      </c>
      <c r="AD360" s="8">
        <f t="shared" si="156"/>
        <v>148483.85500633181</v>
      </c>
      <c r="AE360" s="8">
        <f t="shared" si="157"/>
        <v>1536.3298695846813</v>
      </c>
      <c r="AF360" s="8">
        <f t="shared" si="158"/>
        <v>6.2081156841845697</v>
      </c>
      <c r="AG360" s="8">
        <f t="shared" si="159"/>
        <v>0</v>
      </c>
      <c r="AH360" s="8">
        <f t="shared" si="160"/>
        <v>82475.17820642727</v>
      </c>
      <c r="AI360" s="8">
        <f t="shared" si="161"/>
        <v>1515.7458450756155</v>
      </c>
      <c r="AJ360" s="8">
        <f t="shared" si="162"/>
        <v>6.1995248986001599</v>
      </c>
      <c r="AK360" s="8">
        <f t="shared" si="163"/>
        <v>0</v>
      </c>
      <c r="AL360" s="8">
        <f t="shared" si="164"/>
        <v>70410.901064682403</v>
      </c>
      <c r="AM360" s="8">
        <f t="shared" si="165"/>
        <v>2335.0698427151519</v>
      </c>
      <c r="AN360" s="8">
        <f t="shared" si="166"/>
        <v>12.084919366595768</v>
      </c>
      <c r="AO360" s="8">
        <f t="shared" si="167"/>
        <v>0</v>
      </c>
      <c r="AQ360" s="22"/>
    </row>
    <row r="361" spans="1:43">
      <c r="A361" s="1">
        <v>42088</v>
      </c>
      <c r="B361" s="5">
        <v>359</v>
      </c>
      <c r="C361" s="3">
        <f>B361/365+input!$K$2</f>
        <v>0.98356164383561639</v>
      </c>
      <c r="D361" s="4">
        <f t="shared" si="142"/>
        <v>28.939633606012535</v>
      </c>
      <c r="E361" s="10">
        <f t="shared" si="146"/>
        <v>38.048317058680311</v>
      </c>
      <c r="F361" s="20">
        <f>input!A360</f>
        <v>3910.45</v>
      </c>
      <c r="G361" s="19">
        <f t="shared" si="147"/>
        <v>0.55907724962256866</v>
      </c>
      <c r="H361" s="21">
        <f t="shared" si="148"/>
        <v>856.69673181151722</v>
      </c>
      <c r="I361" s="5">
        <v>724</v>
      </c>
      <c r="J361" s="3">
        <f>I361/365+input!$K$2</f>
        <v>1.9835616438356165</v>
      </c>
      <c r="K361" s="4">
        <f t="shared" si="168"/>
        <v>35.655745782816865</v>
      </c>
      <c r="L361" s="10">
        <f t="shared" si="169"/>
        <v>74.816553816420594</v>
      </c>
      <c r="M361" s="20">
        <f>input!B360</f>
        <v>20.399999999999999</v>
      </c>
      <c r="N361" s="19">
        <f t="shared" si="149"/>
        <v>0.98671023132462199</v>
      </c>
      <c r="O361" s="21">
        <f t="shared" si="150"/>
        <v>1541.9221570189347</v>
      </c>
      <c r="P361" s="5">
        <v>1089</v>
      </c>
      <c r="Q361" s="3">
        <f>P361/365+input!$K$2</f>
        <v>2.9835616438356163</v>
      </c>
      <c r="R361" s="4">
        <f t="shared" si="143"/>
        <v>39.416086020279614</v>
      </c>
      <c r="S361" s="10">
        <f t="shared" si="144"/>
        <v>103.53332708876006</v>
      </c>
      <c r="T361" s="20">
        <f>input!C360</f>
        <v>0.06</v>
      </c>
      <c r="U361" s="19">
        <f t="shared" si="151"/>
        <v>0.99862255717019954</v>
      </c>
      <c r="V361" s="21">
        <f t="shared" si="152"/>
        <v>1950.211021081702</v>
      </c>
      <c r="W361" s="21">
        <v>1454</v>
      </c>
      <c r="X361" s="3">
        <f>W361/365+input!$K$2</f>
        <v>3.9835616438356163</v>
      </c>
      <c r="Y361" s="4">
        <f t="shared" si="153"/>
        <v>39.469004015014669</v>
      </c>
      <c r="Z361" s="10">
        <f t="shared" si="145"/>
        <v>103.98435971907008</v>
      </c>
      <c r="AA361" s="20">
        <f>input!D360</f>
        <v>0</v>
      </c>
      <c r="AB361" s="19">
        <f t="shared" si="154"/>
        <v>0.99866597068041085</v>
      </c>
      <c r="AC361" s="21">
        <f t="shared" si="155"/>
        <v>1956.3459956959921</v>
      </c>
      <c r="AD361" s="8">
        <f t="shared" si="156"/>
        <v>148786.0414421164</v>
      </c>
      <c r="AE361" s="8">
        <f t="shared" si="157"/>
        <v>1526.2576978549801</v>
      </c>
      <c r="AF361" s="8">
        <f t="shared" si="158"/>
        <v>6.2119996253256033</v>
      </c>
      <c r="AG361" s="8">
        <f t="shared" si="159"/>
        <v>0</v>
      </c>
      <c r="AH361" s="8">
        <f t="shared" si="160"/>
        <v>83182.890831687953</v>
      </c>
      <c r="AI361" s="8">
        <f t="shared" si="161"/>
        <v>1505.9740861114724</v>
      </c>
      <c r="AJ361" s="8">
        <f t="shared" si="162"/>
        <v>6.2034429509829758</v>
      </c>
      <c r="AK361" s="8">
        <f t="shared" si="163"/>
        <v>0</v>
      </c>
      <c r="AL361" s="8">
        <f t="shared" si="164"/>
        <v>71262.51071814129</v>
      </c>
      <c r="AM361" s="8">
        <f t="shared" si="165"/>
        <v>2322.0948112716205</v>
      </c>
      <c r="AN361" s="8">
        <f t="shared" si="166"/>
        <v>12.098022811658597</v>
      </c>
      <c r="AO361" s="8">
        <f t="shared" si="167"/>
        <v>0</v>
      </c>
      <c r="AQ361" s="22"/>
    </row>
    <row r="362" spans="1:43">
      <c r="A362" s="1">
        <v>42089</v>
      </c>
      <c r="B362" s="5">
        <v>360</v>
      </c>
      <c r="C362" s="3">
        <f>B362/365+input!$K$2</f>
        <v>0.98630136986301364</v>
      </c>
      <c r="D362" s="4">
        <f t="shared" si="142"/>
        <v>28.963863698945698</v>
      </c>
      <c r="E362" s="10">
        <f t="shared" si="146"/>
        <v>38.151628808341734</v>
      </c>
      <c r="F362" s="20">
        <f>input!A361</f>
        <v>3883.69</v>
      </c>
      <c r="G362" s="19">
        <f t="shared" si="147"/>
        <v>0.56269365967036422</v>
      </c>
      <c r="H362" s="21">
        <f t="shared" si="148"/>
        <v>859.6596875122658</v>
      </c>
      <c r="I362" s="5">
        <v>725</v>
      </c>
      <c r="J362" s="3">
        <f>I362/365+input!$K$2</f>
        <v>1.9863013698630136</v>
      </c>
      <c r="K362" s="4">
        <f t="shared" si="168"/>
        <v>35.669312172271873</v>
      </c>
      <c r="L362" s="10">
        <f t="shared" si="169"/>
        <v>74.908824242476399</v>
      </c>
      <c r="M362" s="20">
        <f>input!B361</f>
        <v>20.07</v>
      </c>
      <c r="N362" s="19">
        <f t="shared" si="149"/>
        <v>0.98681760732453183</v>
      </c>
      <c r="O362" s="21">
        <f t="shared" si="150"/>
        <v>1543.3009444868051</v>
      </c>
      <c r="P362" s="5">
        <v>1090</v>
      </c>
      <c r="Q362" s="3">
        <f>P362/365+input!$K$2</f>
        <v>2.9863013698630136</v>
      </c>
      <c r="R362" s="4">
        <f t="shared" si="143"/>
        <v>39.423681819575663</v>
      </c>
      <c r="S362" s="10">
        <f t="shared" si="144"/>
        <v>103.59798458704141</v>
      </c>
      <c r="T362" s="20">
        <f>input!C361</f>
        <v>0.06</v>
      </c>
      <c r="U362" s="19">
        <f t="shared" si="151"/>
        <v>0.99862887437053349</v>
      </c>
      <c r="V362" s="21">
        <f t="shared" si="152"/>
        <v>1951.0909517873545</v>
      </c>
      <c r="W362" s="21">
        <v>1455</v>
      </c>
      <c r="X362" s="3">
        <f>W362/365+input!$K$2</f>
        <v>3.9863013698630136</v>
      </c>
      <c r="Y362" s="4">
        <f t="shared" si="153"/>
        <v>39.469004015014669</v>
      </c>
      <c r="Z362" s="10">
        <f t="shared" si="145"/>
        <v>103.98435971907008</v>
      </c>
      <c r="AA362" s="20">
        <f>input!D361</f>
        <v>0</v>
      </c>
      <c r="AB362" s="19">
        <f t="shared" si="154"/>
        <v>0.99866597068041085</v>
      </c>
      <c r="AC362" s="21">
        <f t="shared" si="155"/>
        <v>1956.3459956959921</v>
      </c>
      <c r="AD362" s="8">
        <f t="shared" si="156"/>
        <v>148169.0992866687</v>
      </c>
      <c r="AE362" s="8">
        <f t="shared" si="157"/>
        <v>1503.4201025465013</v>
      </c>
      <c r="AF362" s="8">
        <f t="shared" si="158"/>
        <v>6.2158790752224844</v>
      </c>
      <c r="AG362" s="8">
        <f t="shared" si="159"/>
        <v>0</v>
      </c>
      <c r="AH362" s="8">
        <f t="shared" si="160"/>
        <v>83373.81272767717</v>
      </c>
      <c r="AI362" s="8">
        <f t="shared" si="161"/>
        <v>1483.6014283985407</v>
      </c>
      <c r="AJ362" s="8">
        <f t="shared" si="162"/>
        <v>6.2073563241127827</v>
      </c>
      <c r="AK362" s="8">
        <f t="shared" si="163"/>
        <v>0</v>
      </c>
      <c r="AL362" s="8">
        <f t="shared" si="164"/>
        <v>71673.105796181131</v>
      </c>
      <c r="AM362" s="8">
        <f t="shared" si="165"/>
        <v>2289.6434856894411</v>
      </c>
      <c r="AN362" s="8">
        <f t="shared" si="166"/>
        <v>12.111116758496463</v>
      </c>
      <c r="AO362" s="8">
        <f t="shared" si="167"/>
        <v>0</v>
      </c>
      <c r="AQ362" s="22"/>
    </row>
    <row r="363" spans="1:43">
      <c r="A363" s="1">
        <v>42090</v>
      </c>
      <c r="B363" s="5">
        <v>361</v>
      </c>
      <c r="C363" s="3">
        <f>B363/365+input!$K$2</f>
        <v>0.989041095890411</v>
      </c>
      <c r="D363" s="4">
        <f t="shared" si="142"/>
        <v>28.988055319840345</v>
      </c>
      <c r="E363" s="10">
        <f t="shared" si="146"/>
        <v>38.254969837850048</v>
      </c>
      <c r="F363" s="20">
        <f>input!A362</f>
        <v>3881.03</v>
      </c>
      <c r="G363" s="19">
        <f t="shared" si="147"/>
        <v>0.56629769169745969</v>
      </c>
      <c r="H363" s="21">
        <f t="shared" si="148"/>
        <v>862.61122403487377</v>
      </c>
      <c r="I363" s="5">
        <v>726</v>
      </c>
      <c r="J363" s="3">
        <f>I363/365+input!$K$2</f>
        <v>1.989041095890411</v>
      </c>
      <c r="K363" s="4">
        <f t="shared" si="168"/>
        <v>35.682857021295355</v>
      </c>
      <c r="L363" s="10">
        <f t="shared" si="169"/>
        <v>75.001026620152004</v>
      </c>
      <c r="M363" s="20">
        <f>input!B362</f>
        <v>19.920000000000002</v>
      </c>
      <c r="N363" s="19">
        <f t="shared" si="149"/>
        <v>0.98692395881113593</v>
      </c>
      <c r="O363" s="21">
        <f t="shared" si="150"/>
        <v>1544.6781706945574</v>
      </c>
      <c r="P363" s="5">
        <v>1091</v>
      </c>
      <c r="Q363" s="3">
        <f>P363/365+input!$K$2</f>
        <v>2.989041095890411</v>
      </c>
      <c r="R363" s="4">
        <f t="shared" si="143"/>
        <v>39.431265558419284</v>
      </c>
      <c r="S363" s="10">
        <f t="shared" si="144"/>
        <v>103.66256726814463</v>
      </c>
      <c r="T363" s="20">
        <f>input!C362</f>
        <v>0.05</v>
      </c>
      <c r="U363" s="19">
        <f t="shared" si="151"/>
        <v>0.99863515267712877</v>
      </c>
      <c r="V363" s="21">
        <f t="shared" si="152"/>
        <v>1951.9697119779319</v>
      </c>
      <c r="W363" s="21">
        <v>1456</v>
      </c>
      <c r="X363" s="3">
        <f>W363/365+input!$K$2</f>
        <v>3.989041095890411</v>
      </c>
      <c r="Y363" s="4">
        <f t="shared" si="153"/>
        <v>39.469004015014669</v>
      </c>
      <c r="Z363" s="10">
        <f t="shared" si="145"/>
        <v>103.98435971907008</v>
      </c>
      <c r="AA363" s="20">
        <f>input!D362</f>
        <v>0</v>
      </c>
      <c r="AB363" s="19">
        <f t="shared" si="154"/>
        <v>0.99866597068041085</v>
      </c>
      <c r="AC363" s="21">
        <f t="shared" si="155"/>
        <v>1956.3459956959921</v>
      </c>
      <c r="AD363" s="8">
        <f t="shared" si="156"/>
        <v>148468.68558979119</v>
      </c>
      <c r="AE363" s="8">
        <f t="shared" si="157"/>
        <v>1494.020450273428</v>
      </c>
      <c r="AF363" s="8">
        <f t="shared" si="158"/>
        <v>5.1831283634072314</v>
      </c>
      <c r="AG363" s="8">
        <f t="shared" si="159"/>
        <v>0</v>
      </c>
      <c r="AH363" s="8">
        <f t="shared" si="160"/>
        <v>84077.473938854644</v>
      </c>
      <c r="AI363" s="8">
        <f t="shared" si="161"/>
        <v>1474.4845773286474</v>
      </c>
      <c r="AJ363" s="8">
        <f t="shared" si="162"/>
        <v>5.176054184536337</v>
      </c>
      <c r="AK363" s="8">
        <f t="shared" si="163"/>
        <v>0</v>
      </c>
      <c r="AL363" s="8">
        <f t="shared" si="164"/>
        <v>72526.172708155602</v>
      </c>
      <c r="AM363" s="8">
        <f t="shared" si="165"/>
        <v>2277.6041396253527</v>
      </c>
      <c r="AN363" s="8">
        <f t="shared" si="166"/>
        <v>10.103500995771563</v>
      </c>
      <c r="AO363" s="8">
        <f t="shared" si="167"/>
        <v>0</v>
      </c>
      <c r="AQ363" s="22"/>
    </row>
    <row r="364" spans="1:43">
      <c r="A364" s="1">
        <v>42091</v>
      </c>
      <c r="B364" s="5">
        <v>362</v>
      </c>
      <c r="C364" s="3">
        <f>B364/365+input!$K$2</f>
        <v>0.99178082191780825</v>
      </c>
      <c r="D364" s="4">
        <f t="shared" si="142"/>
        <v>29.012208529781592</v>
      </c>
      <c r="E364" s="10">
        <f t="shared" si="146"/>
        <v>38.358339686916715</v>
      </c>
      <c r="F364" s="20">
        <f>input!A363</f>
        <v>3865.81</v>
      </c>
      <c r="G364" s="19">
        <f t="shared" si="147"/>
        <v>0.56988901934820591</v>
      </c>
      <c r="H364" s="21">
        <f t="shared" si="148"/>
        <v>865.55137260660217</v>
      </c>
      <c r="I364" s="5">
        <v>727</v>
      </c>
      <c r="J364" s="3">
        <f>I364/365+input!$K$2</f>
        <v>1.9917808219178081</v>
      </c>
      <c r="K364" s="4">
        <f t="shared" si="168"/>
        <v>35.696380364088768</v>
      </c>
      <c r="L364" s="10">
        <f t="shared" si="169"/>
        <v>75.093160845374527</v>
      </c>
      <c r="M364" s="20">
        <f>input!B363</f>
        <v>19.66</v>
      </c>
      <c r="N364" s="19">
        <f t="shared" si="149"/>
        <v>0.98702929671362849</v>
      </c>
      <c r="O364" s="21">
        <f t="shared" si="150"/>
        <v>1546.0538371874541</v>
      </c>
      <c r="P364" s="5">
        <v>1092</v>
      </c>
      <c r="Q364" s="3">
        <f>P364/365+input!$K$2</f>
        <v>2.9917808219178084</v>
      </c>
      <c r="R364" s="4">
        <f t="shared" si="143"/>
        <v>39.438837255959825</v>
      </c>
      <c r="S364" s="10">
        <f t="shared" si="144"/>
        <v>103.72707516913184</v>
      </c>
      <c r="T364" s="20">
        <f>input!C363</f>
        <v>0.05</v>
      </c>
      <c r="U364" s="19">
        <f t="shared" si="151"/>
        <v>0.9986413923745292</v>
      </c>
      <c r="V364" s="21">
        <f t="shared" si="152"/>
        <v>1952.8473028100523</v>
      </c>
      <c r="W364" s="21">
        <v>1457</v>
      </c>
      <c r="X364" s="3">
        <f>W364/365+input!$K$2</f>
        <v>3.9917808219178084</v>
      </c>
      <c r="Y364" s="4">
        <f t="shared" si="153"/>
        <v>39.469004015014669</v>
      </c>
      <c r="Z364" s="10">
        <f t="shared" si="145"/>
        <v>103.98435971907008</v>
      </c>
      <c r="AA364" s="20">
        <f>input!D363</f>
        <v>0</v>
      </c>
      <c r="AB364" s="19">
        <f t="shared" si="154"/>
        <v>0.99866597068041085</v>
      </c>
      <c r="AC364" s="21">
        <f t="shared" si="155"/>
        <v>1956.3459956959921</v>
      </c>
      <c r="AD364" s="8">
        <f t="shared" si="156"/>
        <v>148286.0531450795</v>
      </c>
      <c r="AE364" s="8">
        <f t="shared" si="157"/>
        <v>1476.3315422200633</v>
      </c>
      <c r="AF364" s="8">
        <f t="shared" si="158"/>
        <v>5.1863537584565922</v>
      </c>
      <c r="AG364" s="8">
        <f t="shared" si="159"/>
        <v>0</v>
      </c>
      <c r="AH364" s="8">
        <f t="shared" si="160"/>
        <v>84506.593409865294</v>
      </c>
      <c r="AI364" s="8">
        <f t="shared" si="161"/>
        <v>1457.1824838336156</v>
      </c>
      <c r="AJ364" s="8">
        <f t="shared" si="162"/>
        <v>5.1793075386919636</v>
      </c>
      <c r="AK364" s="8">
        <f t="shared" si="163"/>
        <v>0</v>
      </c>
      <c r="AL364" s="8">
        <f t="shared" si="164"/>
        <v>73144.797920216952</v>
      </c>
      <c r="AM364" s="8">
        <f t="shared" si="165"/>
        <v>2252.8825706133066</v>
      </c>
      <c r="AN364" s="8">
        <f t="shared" si="166"/>
        <v>10.114396757358373</v>
      </c>
      <c r="AO364" s="8">
        <f t="shared" si="167"/>
        <v>0</v>
      </c>
      <c r="AQ364" s="22"/>
    </row>
    <row r="365" spans="1:43">
      <c r="A365" s="1">
        <v>42092</v>
      </c>
      <c r="B365" s="5">
        <v>363</v>
      </c>
      <c r="C365" s="3">
        <f>B365/365+input!$K$2</f>
        <v>0.9945205479452055</v>
      </c>
      <c r="D365" s="4">
        <f t="shared" si="142"/>
        <v>29.036323389757552</v>
      </c>
      <c r="E365" s="10">
        <f t="shared" si="146"/>
        <v>38.461737896387582</v>
      </c>
      <c r="F365" s="20">
        <f>input!A364</f>
        <v>3851.46</v>
      </c>
      <c r="G365" s="19">
        <f t="shared" si="147"/>
        <v>0.57346732253401633</v>
      </c>
      <c r="H365" s="21">
        <f t="shared" si="148"/>
        <v>868.48016579439593</v>
      </c>
      <c r="I365" s="5">
        <v>728</v>
      </c>
      <c r="J365" s="3">
        <f>I365/365+input!$K$2</f>
        <v>1.9945205479452055</v>
      </c>
      <c r="K365" s="4">
        <f t="shared" si="168"/>
        <v>35.709882234799259</v>
      </c>
      <c r="L365" s="10">
        <f t="shared" si="169"/>
        <v>75.185226814737618</v>
      </c>
      <c r="M365" s="20">
        <f>input!B364</f>
        <v>19.47</v>
      </c>
      <c r="N365" s="19">
        <f t="shared" si="149"/>
        <v>0.98713363183514724</v>
      </c>
      <c r="O365" s="21">
        <f t="shared" si="150"/>
        <v>1547.4279454946704</v>
      </c>
      <c r="P365" s="5">
        <v>1093</v>
      </c>
      <c r="Q365" s="3">
        <f>P365/365+input!$K$2</f>
        <v>2.9945205479452053</v>
      </c>
      <c r="R365" s="4">
        <f t="shared" si="143"/>
        <v>39.446396931316208</v>
      </c>
      <c r="S365" s="10">
        <f t="shared" si="144"/>
        <v>103.79150832723479</v>
      </c>
      <c r="T365" s="20">
        <f>input!C364</f>
        <v>0.05</v>
      </c>
      <c r="U365" s="19">
        <f t="shared" si="151"/>
        <v>0.99864759374490408</v>
      </c>
      <c r="V365" s="21">
        <f t="shared" si="152"/>
        <v>1953.7237254406123</v>
      </c>
      <c r="W365" s="21">
        <v>1458</v>
      </c>
      <c r="X365" s="3">
        <f>W365/365+input!$K$2</f>
        <v>3.9945205479452053</v>
      </c>
      <c r="Y365" s="4">
        <f t="shared" si="153"/>
        <v>39.469004015014669</v>
      </c>
      <c r="Z365" s="10">
        <f t="shared" si="145"/>
        <v>103.98435971907008</v>
      </c>
      <c r="AA365" s="20">
        <f>input!D364</f>
        <v>0</v>
      </c>
      <c r="AB365" s="19">
        <f t="shared" si="154"/>
        <v>0.99866597068041085</v>
      </c>
      <c r="AC365" s="21">
        <f t="shared" si="155"/>
        <v>1956.3459956959921</v>
      </c>
      <c r="AD365" s="8">
        <f t="shared" si="156"/>
        <v>148133.84503842093</v>
      </c>
      <c r="AE365" s="8">
        <f t="shared" si="157"/>
        <v>1463.8563660829413</v>
      </c>
      <c r="AF365" s="8">
        <f t="shared" si="158"/>
        <v>5.1895754163617402</v>
      </c>
      <c r="AG365" s="8">
        <f t="shared" si="159"/>
        <v>0</v>
      </c>
      <c r="AH365" s="8">
        <f t="shared" si="160"/>
        <v>84949.919490852131</v>
      </c>
      <c r="AI365" s="8">
        <f t="shared" si="161"/>
        <v>1445.0218511364546</v>
      </c>
      <c r="AJ365" s="8">
        <f t="shared" si="162"/>
        <v>5.1825570021073606</v>
      </c>
      <c r="AK365" s="8">
        <f t="shared" si="163"/>
        <v>0</v>
      </c>
      <c r="AL365" s="8">
        <f t="shared" si="164"/>
        <v>73777.320163635857</v>
      </c>
      <c r="AM365" s="8">
        <f t="shared" si="165"/>
        <v>2236.0671942989898</v>
      </c>
      <c r="AN365" s="8">
        <f t="shared" si="166"/>
        <v>10.125284573465525</v>
      </c>
      <c r="AO365" s="8">
        <f t="shared" si="167"/>
        <v>0</v>
      </c>
      <c r="AQ365" s="22"/>
    </row>
    <row r="366" spans="1:43">
      <c r="A366" s="1">
        <v>42093</v>
      </c>
      <c r="B366" s="5">
        <v>364</v>
      </c>
      <c r="C366" s="3">
        <f>B366/365+input!$K$2</f>
        <v>0.99726027397260275</v>
      </c>
      <c r="D366" s="4">
        <f t="shared" si="142"/>
        <v>29.060399960659492</v>
      </c>
      <c r="E366" s="10">
        <f t="shared" si="146"/>
        <v>38.565164008243876</v>
      </c>
      <c r="F366" s="20">
        <f>input!A365</f>
        <v>3835.47</v>
      </c>
      <c r="G366" s="19">
        <f t="shared" si="147"/>
        <v>0.5770322875058328</v>
      </c>
      <c r="H366" s="21">
        <f t="shared" si="148"/>
        <v>871.39763747076438</v>
      </c>
      <c r="I366" s="5">
        <v>729</v>
      </c>
      <c r="J366" s="3">
        <f>I366/365+input!$K$2</f>
        <v>1.9972602739726026</v>
      </c>
      <c r="K366" s="4">
        <f t="shared" si="168"/>
        <v>35.723362667519758</v>
      </c>
      <c r="L366" s="10">
        <f t="shared" si="169"/>
        <v>75.277224425499853</v>
      </c>
      <c r="M366" s="20">
        <f>input!B365</f>
        <v>19.22</v>
      </c>
      <c r="N366" s="19">
        <f t="shared" si="149"/>
        <v>0.98723697485429796</v>
      </c>
      <c r="O366" s="21">
        <f t="shared" si="150"/>
        <v>1548.80049712962</v>
      </c>
      <c r="P366" s="5">
        <v>1094</v>
      </c>
      <c r="Q366" s="3">
        <f>P366/365+input!$K$2</f>
        <v>2.9972602739726026</v>
      </c>
      <c r="R366" s="4">
        <f t="shared" si="143"/>
        <v>39.453944603577007</v>
      </c>
      <c r="S366" s="10">
        <f t="shared" si="144"/>
        <v>103.85586677985275</v>
      </c>
      <c r="T366" s="20">
        <f>input!C365</f>
        <v>0.05</v>
      </c>
      <c r="U366" s="19">
        <f t="shared" si="151"/>
        <v>0.99865375706807002</v>
      </c>
      <c r="V366" s="21">
        <f t="shared" si="152"/>
        <v>1954.5989810267829</v>
      </c>
      <c r="W366" s="21">
        <v>1459</v>
      </c>
      <c r="X366" s="3">
        <f>W366/365+input!$K$2</f>
        <v>3.9972602739726026</v>
      </c>
      <c r="Y366" s="4">
        <f t="shared" si="153"/>
        <v>39.469004015014669</v>
      </c>
      <c r="Z366" s="10">
        <f t="shared" si="145"/>
        <v>103.98435971907008</v>
      </c>
      <c r="AA366" s="20">
        <f>input!D365</f>
        <v>0</v>
      </c>
      <c r="AB366" s="19">
        <f t="shared" si="154"/>
        <v>0.99866597068041085</v>
      </c>
      <c r="AC366" s="21">
        <f t="shared" si="155"/>
        <v>1956.3459956959921</v>
      </c>
      <c r="AD366" s="8">
        <f t="shared" si="156"/>
        <v>147915.52959869913</v>
      </c>
      <c r="AE366" s="8">
        <f t="shared" si="157"/>
        <v>1446.8282534581072</v>
      </c>
      <c r="AF366" s="8">
        <f t="shared" si="158"/>
        <v>5.1927933389926375</v>
      </c>
      <c r="AG366" s="8">
        <f t="shared" si="159"/>
        <v>0</v>
      </c>
      <c r="AH366" s="8">
        <f t="shared" si="160"/>
        <v>85352.036401974081</v>
      </c>
      <c r="AI366" s="8">
        <f t="shared" si="161"/>
        <v>1428.3623480777092</v>
      </c>
      <c r="AJ366" s="8">
        <f t="shared" si="162"/>
        <v>5.1858025776630452</v>
      </c>
      <c r="AK366" s="8">
        <f t="shared" si="163"/>
        <v>0</v>
      </c>
      <c r="AL366" s="8">
        <f t="shared" si="164"/>
        <v>74375.56287399889</v>
      </c>
      <c r="AM366" s="8">
        <f t="shared" si="165"/>
        <v>2212.2483147839871</v>
      </c>
      <c r="AN366" s="8">
        <f t="shared" si="166"/>
        <v>10.136164434106252</v>
      </c>
      <c r="AO366" s="8">
        <f t="shared" si="167"/>
        <v>0</v>
      </c>
      <c r="AQ366" s="22"/>
    </row>
    <row r="367" spans="1:43">
      <c r="A367" s="1">
        <v>42094</v>
      </c>
      <c r="B367" s="5">
        <v>365</v>
      </c>
      <c r="C367" s="3">
        <f>B367/365+input!$K$2</f>
        <v>1</v>
      </c>
      <c r="D367" s="4">
        <f t="shared" si="142"/>
        <v>29.084438303282028</v>
      </c>
      <c r="E367" s="10">
        <f t="shared" si="146"/>
        <v>38.668617565602929</v>
      </c>
      <c r="F367" s="20">
        <f>input!A366</f>
        <v>3832.85</v>
      </c>
      <c r="G367" s="19">
        <f t="shared" si="147"/>
        <v>0.58058360692122535</v>
      </c>
      <c r="H367" s="21">
        <f t="shared" si="148"/>
        <v>874.30382277989952</v>
      </c>
      <c r="I367" s="5">
        <v>730</v>
      </c>
      <c r="J367" s="3">
        <f>I367/365+input!$K$2</f>
        <v>2</v>
      </c>
      <c r="K367" s="4">
        <f t="shared" si="168"/>
        <v>35.736821696289056</v>
      </c>
      <c r="L367" s="10">
        <f t="shared" si="169"/>
        <v>75.369153575582217</v>
      </c>
      <c r="M367" s="20">
        <f>input!B366</f>
        <v>19.079999999999998</v>
      </c>
      <c r="N367" s="19">
        <f t="shared" si="149"/>
        <v>0.98733933632665916</v>
      </c>
      <c r="O367" s="21">
        <f t="shared" si="150"/>
        <v>1550.1714935902944</v>
      </c>
      <c r="P367" s="5">
        <v>1095</v>
      </c>
      <c r="Q367" s="3">
        <f>P367/365+input!$K$2</f>
        <v>3</v>
      </c>
      <c r="R367" s="4">
        <f t="shared" si="143"/>
        <v>39.461480291800491</v>
      </c>
      <c r="S367" s="10">
        <f t="shared" si="144"/>
        <v>103.92015056455304</v>
      </c>
      <c r="T367" s="20">
        <f>input!C366</f>
        <v>0.05</v>
      </c>
      <c r="U367" s="19">
        <f t="shared" si="151"/>
        <v>0.99865988262151317</v>
      </c>
      <c r="V367" s="21">
        <f t="shared" si="152"/>
        <v>1955.4730707260069</v>
      </c>
      <c r="W367" s="21">
        <v>1460</v>
      </c>
      <c r="X367" s="3">
        <f>W367/365+input!$K$2</f>
        <v>4</v>
      </c>
      <c r="Y367" s="4">
        <f t="shared" si="153"/>
        <v>39.469004015014669</v>
      </c>
      <c r="Z367" s="10">
        <f t="shared" si="145"/>
        <v>103.98435971907008</v>
      </c>
      <c r="AA367" s="20">
        <f>input!D366</f>
        <v>0</v>
      </c>
      <c r="AB367" s="19">
        <f t="shared" si="154"/>
        <v>0.99866597068041085</v>
      </c>
      <c r="AC367" s="21">
        <f t="shared" si="155"/>
        <v>1956.3459956959921</v>
      </c>
      <c r="AD367" s="8">
        <f t="shared" si="156"/>
        <v>148211.01083632119</v>
      </c>
      <c r="AE367" s="8">
        <f t="shared" si="157"/>
        <v>1438.0434502221085</v>
      </c>
      <c r="AF367" s="8">
        <f t="shared" si="158"/>
        <v>5.1960075282276525</v>
      </c>
      <c r="AG367" s="8">
        <f t="shared" si="159"/>
        <v>0</v>
      </c>
      <c r="AH367" s="8">
        <f t="shared" si="160"/>
        <v>86048.883256792178</v>
      </c>
      <c r="AI367" s="8">
        <f t="shared" si="161"/>
        <v>1419.8368657511958</v>
      </c>
      <c r="AJ367" s="8">
        <f t="shared" si="162"/>
        <v>5.1890442682403259</v>
      </c>
      <c r="AK367" s="8">
        <f t="shared" si="163"/>
        <v>0</v>
      </c>
      <c r="AL367" s="8">
        <f t="shared" si="164"/>
        <v>75232.867577354686</v>
      </c>
      <c r="AM367" s="8">
        <f t="shared" si="165"/>
        <v>2200.9906348360937</v>
      </c>
      <c r="AN367" s="8">
        <f t="shared" si="166"/>
        <v>10.147036329349095</v>
      </c>
      <c r="AO367" s="8">
        <f t="shared" si="167"/>
        <v>0</v>
      </c>
    </row>
    <row r="368" spans="1:43">
      <c r="A368"/>
      <c r="B368"/>
      <c r="C368"/>
      <c r="D368"/>
      <c r="F368"/>
      <c r="G368"/>
    </row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</sheetData>
  <mergeCells count="17">
    <mergeCell ref="AF1:AF2"/>
    <mergeCell ref="AJ1:AJ2"/>
    <mergeCell ref="AG1:AG2"/>
    <mergeCell ref="AK1:AK2"/>
    <mergeCell ref="AO1:AO2"/>
    <mergeCell ref="AN1:AN2"/>
    <mergeCell ref="AL1:AL2"/>
    <mergeCell ref="AM1:AM2"/>
    <mergeCell ref="AH1:AH2"/>
    <mergeCell ref="AI1:AI2"/>
    <mergeCell ref="A1:A2"/>
    <mergeCell ref="AD1:AD2"/>
    <mergeCell ref="AE1:AE2"/>
    <mergeCell ref="B1:H1"/>
    <mergeCell ref="I1:O1"/>
    <mergeCell ref="W1:AC1"/>
    <mergeCell ref="P1:V1"/>
  </mergeCells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O732"/>
  <sheetViews>
    <sheetView topLeftCell="A313" zoomScale="80" zoomScaleNormal="80" zoomScaleSheetLayoutView="106" workbookViewId="0">
      <selection sqref="A1:A2"/>
    </sheetView>
  </sheetViews>
  <sheetFormatPr defaultRowHeight="14.5"/>
  <cols>
    <col min="1" max="1" width="9" style="7"/>
    <col min="2" max="2" width="5.26953125" style="7" bestFit="1" customWidth="1"/>
    <col min="3" max="3" width="5.90625" style="7" bestFit="1" customWidth="1"/>
    <col min="4" max="4" width="9" style="7"/>
    <col min="6" max="7" width="9" style="9"/>
    <col min="8" max="8" width="9"/>
    <col min="30" max="35" width="9"/>
    <col min="36" max="37" width="9" customWidth="1"/>
    <col min="38" max="41" width="9"/>
  </cols>
  <sheetData>
    <row r="1" spans="1:41" ht="13.5" customHeight="1">
      <c r="A1" s="30" t="s">
        <v>0</v>
      </c>
      <c r="B1" s="33" t="s">
        <v>6</v>
      </c>
      <c r="C1" s="34"/>
      <c r="D1" s="34"/>
      <c r="E1" s="34"/>
      <c r="F1" s="34"/>
      <c r="G1" s="34"/>
      <c r="H1" s="35"/>
      <c r="I1" s="33" t="s">
        <v>7</v>
      </c>
      <c r="J1" s="34"/>
      <c r="K1" s="34"/>
      <c r="L1" s="34"/>
      <c r="M1" s="34"/>
      <c r="N1" s="34"/>
      <c r="O1" s="35"/>
      <c r="P1" s="33" t="s">
        <v>16</v>
      </c>
      <c r="Q1" s="34"/>
      <c r="R1" s="34"/>
      <c r="S1" s="34"/>
      <c r="T1" s="34"/>
      <c r="U1" s="34"/>
      <c r="V1" s="35"/>
      <c r="W1" s="33" t="s">
        <v>19</v>
      </c>
      <c r="X1" s="34"/>
      <c r="Y1" s="34"/>
      <c r="Z1" s="34"/>
      <c r="AA1" s="34"/>
      <c r="AB1" s="34"/>
      <c r="AC1" s="35"/>
      <c r="AD1" s="31" t="s">
        <v>9</v>
      </c>
      <c r="AE1" s="31" t="s">
        <v>10</v>
      </c>
      <c r="AF1" s="31" t="s">
        <v>17</v>
      </c>
      <c r="AG1" s="31" t="s">
        <v>20</v>
      </c>
      <c r="AH1" s="31" t="s">
        <v>14</v>
      </c>
      <c r="AI1" s="31" t="s">
        <v>15</v>
      </c>
      <c r="AJ1" s="31" t="s">
        <v>18</v>
      </c>
      <c r="AK1" s="31" t="s">
        <v>21</v>
      </c>
      <c r="AL1" s="31" t="s">
        <v>22</v>
      </c>
      <c r="AM1" s="31" t="s">
        <v>23</v>
      </c>
      <c r="AN1" s="31" t="s">
        <v>24</v>
      </c>
      <c r="AO1" s="31" t="s">
        <v>25</v>
      </c>
    </row>
    <row r="2" spans="1:41" ht="43.5">
      <c r="A2" s="30"/>
      <c r="B2" s="14" t="s">
        <v>1</v>
      </c>
      <c r="C2" s="14" t="s">
        <v>2</v>
      </c>
      <c r="D2" s="15" t="s">
        <v>4</v>
      </c>
      <c r="E2" s="15" t="s">
        <v>3</v>
      </c>
      <c r="F2" s="17" t="s">
        <v>5</v>
      </c>
      <c r="G2" s="16" t="s">
        <v>8</v>
      </c>
      <c r="H2" s="15" t="s">
        <v>36</v>
      </c>
      <c r="I2" s="14" t="s">
        <v>1</v>
      </c>
      <c r="J2" s="14" t="s">
        <v>2</v>
      </c>
      <c r="K2" s="15" t="s">
        <v>4</v>
      </c>
      <c r="L2" s="15" t="s">
        <v>3</v>
      </c>
      <c r="M2" s="18" t="s">
        <v>5</v>
      </c>
      <c r="N2" s="16" t="s">
        <v>8</v>
      </c>
      <c r="O2" s="15" t="s">
        <v>36</v>
      </c>
      <c r="P2" s="14" t="s">
        <v>1</v>
      </c>
      <c r="Q2" s="14" t="s">
        <v>2</v>
      </c>
      <c r="R2" s="15" t="s">
        <v>4</v>
      </c>
      <c r="S2" s="15" t="s">
        <v>3</v>
      </c>
      <c r="T2" s="18" t="s">
        <v>5</v>
      </c>
      <c r="U2" s="16" t="s">
        <v>8</v>
      </c>
      <c r="V2" s="15" t="s">
        <v>36</v>
      </c>
      <c r="W2" s="14" t="s">
        <v>1</v>
      </c>
      <c r="X2" s="14" t="s">
        <v>2</v>
      </c>
      <c r="Y2" s="24" t="s">
        <v>32</v>
      </c>
      <c r="Z2" s="15" t="s">
        <v>3</v>
      </c>
      <c r="AA2" s="18" t="s">
        <v>5</v>
      </c>
      <c r="AB2" s="16" t="s">
        <v>8</v>
      </c>
      <c r="AC2" s="15" t="s">
        <v>36</v>
      </c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</row>
    <row r="3" spans="1:41">
      <c r="A3" s="11">
        <v>41730</v>
      </c>
      <c r="B3" s="2">
        <v>1</v>
      </c>
      <c r="C3" s="3">
        <f>B3/365+input!$K$3</f>
        <v>2.7397260273972603E-3</v>
      </c>
      <c r="D3" s="4">
        <f>MAX(0,13.79*(1-EXP(-0.89*(C3-0.26))))</f>
        <v>0</v>
      </c>
      <c r="E3" s="12">
        <f>0.0136*D3^3</f>
        <v>0</v>
      </c>
      <c r="F3" s="20">
        <f>input!E2</f>
        <v>0</v>
      </c>
      <c r="G3" s="19">
        <f>MAX(1-EXP(2.927-1.285*(D3/2.33)),0)</f>
        <v>0</v>
      </c>
      <c r="H3" s="19">
        <f>_xlfn.NORM.DIST(D3,10,1,TRUE)</f>
        <v>7.6198530241604755E-24</v>
      </c>
      <c r="I3" s="5">
        <v>366</v>
      </c>
      <c r="J3" s="3">
        <f>I3/365+input!$K$3</f>
        <v>1.0027397260273974</v>
      </c>
      <c r="K3" s="4">
        <f>MAX(0,13.79*(1-EXP(-0.89*(J3-0.26))))</f>
        <v>6.6700170152350386</v>
      </c>
      <c r="L3" s="12">
        <f>0.0136*K3^3</f>
        <v>4.0357079820336645</v>
      </c>
      <c r="M3" s="20">
        <f>input!F2</f>
        <v>50425.58</v>
      </c>
      <c r="N3" s="19">
        <f>MAX(1-EXP(2.927-1.285*(K3/2.33)),0)</f>
        <v>0.52835500104685407</v>
      </c>
      <c r="O3" s="19">
        <f>_xlfn.NORM.DIST(K3,10,1,TRUE)</f>
        <v>4.3425645643196861E-4</v>
      </c>
      <c r="P3" s="21">
        <v>731</v>
      </c>
      <c r="Q3" s="3">
        <f>P3/365+input!$K$3</f>
        <v>2.0027397260273974</v>
      </c>
      <c r="R3" s="4">
        <f>MAX(0,13.79*(1-EXP(-0.89*(Q3-0.26))))</f>
        <v>10.866138027807454</v>
      </c>
      <c r="S3" s="12">
        <f>0.0136*R3^3</f>
        <v>17.4487596532677</v>
      </c>
      <c r="T3" s="20">
        <f>input!G2</f>
        <v>2934.14</v>
      </c>
      <c r="U3" s="19">
        <f>MAX(1-EXP(2.927-1.285*(R3/2.33)),0)</f>
        <v>0.95337873167884335</v>
      </c>
      <c r="V3" s="19">
        <f t="shared" ref="V3:V66" si="0">_xlfn.NORM.DIST(R3,10,1,TRUE)</f>
        <v>0.80679276334874661</v>
      </c>
      <c r="W3" s="21">
        <v>1096</v>
      </c>
      <c r="X3" s="3">
        <f>W3/365+input!$K$3</f>
        <v>3.0027397260273974</v>
      </c>
      <c r="Y3" s="4">
        <f>MAX(0,13.79*(1-EXP(-0.89*(X$3-0.26))))</f>
        <v>12.589299260865312</v>
      </c>
      <c r="Z3" s="12">
        <f>0.0136*Y3^3</f>
        <v>27.135859395209948</v>
      </c>
      <c r="AA3" s="20">
        <f>input!H2</f>
        <v>0</v>
      </c>
      <c r="AB3" s="19">
        <f>MAX(1-EXP(2.927-1.285*(Y3/2.33)),0)</f>
        <v>0.98197554006092014</v>
      </c>
      <c r="AC3" s="19">
        <f>_xlfn.NORM.DIST(Y3,10,1,TRUE)</f>
        <v>0.99519142618801715</v>
      </c>
      <c r="AD3" s="8">
        <f>E3*F3</f>
        <v>0</v>
      </c>
      <c r="AE3" s="8">
        <f>L3*M3</f>
        <v>203502.91570467711</v>
      </c>
      <c r="AF3" s="8">
        <f>S3*T3</f>
        <v>51197.103649038887</v>
      </c>
      <c r="AG3" s="8">
        <f>Z3*AA3</f>
        <v>0</v>
      </c>
      <c r="AH3" s="8">
        <f t="shared" ref="AH3:AH66" si="1">E3*F3*G3</f>
        <v>0</v>
      </c>
      <c r="AI3" s="8">
        <f t="shared" ref="AI3:AI66" si="2">L3*M3*N3</f>
        <v>107521.78324018253</v>
      </c>
      <c r="AJ3" s="8">
        <f>AF3*U3</f>
        <v>48810.229742550975</v>
      </c>
      <c r="AK3" s="8">
        <f>AG3*AB3</f>
        <v>0</v>
      </c>
      <c r="AL3" s="8">
        <f>AH3*H3</f>
        <v>0</v>
      </c>
      <c r="AM3" s="8">
        <f>AI3*O3</f>
        <v>46.6920285791279</v>
      </c>
      <c r="AN3" s="8">
        <f>AJ3*V3</f>
        <v>39379.740133679879</v>
      </c>
      <c r="AO3" s="8">
        <f>AK3*AC3</f>
        <v>0</v>
      </c>
    </row>
    <row r="4" spans="1:41">
      <c r="A4" s="1">
        <v>41731</v>
      </c>
      <c r="B4" s="5">
        <v>2</v>
      </c>
      <c r="C4" s="3">
        <f>B4/365+input!$K$3</f>
        <v>5.4794520547945206E-3</v>
      </c>
      <c r="D4" s="4">
        <f t="shared" ref="D4:D67" si="3">MAX(0,13.79*(1-EXP(-0.89*(C4-0.26))))</f>
        <v>0</v>
      </c>
      <c r="E4" s="12">
        <f t="shared" ref="E4:E67" si="4">0.0136*D4^3</f>
        <v>0</v>
      </c>
      <c r="F4" s="20">
        <f>input!E3</f>
        <v>0</v>
      </c>
      <c r="G4" s="19">
        <f t="shared" ref="G4:G67" si="5">MAX(1-EXP(2.927-1.285*(D4/2.33)),0)</f>
        <v>0</v>
      </c>
      <c r="H4" s="19">
        <f t="shared" ref="H4:H67" si="6">_xlfn.NORM.DIST(D4,10,1,TRUE)</f>
        <v>7.6198530241604755E-24</v>
      </c>
      <c r="I4" s="5">
        <v>367</v>
      </c>
      <c r="J4" s="3">
        <f>I4/365+input!$K$3</f>
        <v>1.0054794520547945</v>
      </c>
      <c r="K4" s="4">
        <f t="shared" ref="K4:K67" si="7">MAX(0,13.79*(1-EXP(-0.89*(J4-0.26))))</f>
        <v>6.6873569206123458</v>
      </c>
      <c r="L4" s="12">
        <f t="shared" ref="L4:L67" si="8">0.0136*K4^3</f>
        <v>4.0672645168001287</v>
      </c>
      <c r="M4" s="20">
        <f>input!F3</f>
        <v>50300.15</v>
      </c>
      <c r="N4" s="19">
        <f t="shared" ref="N4:N67" si="9">MAX(1-EXP(2.927-1.285*(K4/2.33)),0)</f>
        <v>0.53284384223377512</v>
      </c>
      <c r="O4" s="19">
        <f t="shared" ref="O4:O67" si="10">_xlfn.NORM.DIST(K4,10,1,TRUE)</f>
        <v>4.6209420040018632E-4</v>
      </c>
      <c r="P4" s="21">
        <v>732</v>
      </c>
      <c r="Q4" s="3">
        <f>P4/365+input!$K$3</f>
        <v>2.0054794520547947</v>
      </c>
      <c r="R4" s="4">
        <f t="shared" ref="R4:R67" si="11">MAX(0,13.79*(1-EXP(-0.89*(Q4-0.26))))</f>
        <v>10.873258759702827</v>
      </c>
      <c r="S4" s="12">
        <f t="shared" ref="S4:S67" si="12">0.0136*R4^3</f>
        <v>17.483085384711686</v>
      </c>
      <c r="T4" s="20">
        <f>input!G3</f>
        <v>2844.5</v>
      </c>
      <c r="U4" s="19">
        <f t="shared" ref="U4:U67" si="13">MAX(1-EXP(2.927-1.285*(R4/2.33)),0)</f>
        <v>0.95356145898242062</v>
      </c>
      <c r="V4" s="19">
        <f t="shared" si="0"/>
        <v>0.80873897320640453</v>
      </c>
      <c r="W4" s="21">
        <v>1097</v>
      </c>
      <c r="X4" s="3">
        <f>W4/365+input!$K$3</f>
        <v>3.0054794520547947</v>
      </c>
      <c r="Y4" s="4">
        <f t="shared" ref="Y4:Y67" si="14">MAX(0,13.79*(1-EXP(-0.89*(X$3-0.26))))</f>
        <v>12.589299260865312</v>
      </c>
      <c r="Z4" s="12">
        <f t="shared" ref="Z4:Z67" si="15">0.0136*Y4^3</f>
        <v>27.135859395209948</v>
      </c>
      <c r="AA4" s="20">
        <f>input!H3</f>
        <v>0</v>
      </c>
      <c r="AB4" s="19">
        <f t="shared" ref="AB4:AB67" si="16">MAX(1-EXP(2.927-1.285*(Y4/2.33)),0)</f>
        <v>0.98197554006092014</v>
      </c>
      <c r="AC4" s="19">
        <f t="shared" ref="AC4:AC67" si="17">_xlfn.NORM.DIST(Y4,10,1,TRUE)</f>
        <v>0.99519142618801715</v>
      </c>
      <c r="AD4" s="8">
        <f t="shared" ref="AD4:AD67" si="18">E4*F4</f>
        <v>0</v>
      </c>
      <c r="AE4" s="8">
        <f t="shared" ref="AE4:AE67" si="19">L4*M4</f>
        <v>204584.01528472401</v>
      </c>
      <c r="AF4" s="8">
        <f t="shared" ref="AF4:AF67" si="20">S4*T4</f>
        <v>49730.636376812392</v>
      </c>
      <c r="AG4" s="8">
        <f t="shared" ref="AG4:AG67" si="21">Z4*AA4</f>
        <v>0</v>
      </c>
      <c r="AH4" s="8">
        <f t="shared" si="1"/>
        <v>0</v>
      </c>
      <c r="AI4" s="8">
        <f t="shared" si="2"/>
        <v>109011.33276392572</v>
      </c>
      <c r="AJ4" s="8">
        <f t="shared" ref="AJ4:AJ67" si="22">AF4*U4</f>
        <v>47421.218179597461</v>
      </c>
      <c r="AK4" s="8">
        <f t="shared" ref="AK4:AK67" si="23">AG4*AB4</f>
        <v>0</v>
      </c>
      <c r="AL4" s="8">
        <f t="shared" ref="AL4:AL67" si="24">AH4*H4</f>
        <v>0</v>
      </c>
      <c r="AM4" s="8">
        <f t="shared" ref="AM4:AM67" si="25">AI4*O4</f>
        <v>50.373504648104891</v>
      </c>
      <c r="AN4" s="8">
        <f t="shared" ref="AN4:AN67" si="26">AJ4*V4</f>
        <v>38351.387298764537</v>
      </c>
      <c r="AO4" s="8">
        <f t="shared" ref="AO4:AO67" si="27">AK4*AC4</f>
        <v>0</v>
      </c>
    </row>
    <row r="5" spans="1:41">
      <c r="A5" s="1">
        <v>41732</v>
      </c>
      <c r="B5" s="5">
        <v>3</v>
      </c>
      <c r="C5" s="3">
        <f>B5/365+input!$K$3</f>
        <v>8.21917808219178E-3</v>
      </c>
      <c r="D5" s="4">
        <f t="shared" si="3"/>
        <v>0</v>
      </c>
      <c r="E5" s="12">
        <f t="shared" si="4"/>
        <v>0</v>
      </c>
      <c r="F5" s="20">
        <f>input!E4</f>
        <v>0</v>
      </c>
      <c r="G5" s="19">
        <f t="shared" si="5"/>
        <v>0</v>
      </c>
      <c r="H5" s="19">
        <f t="shared" si="6"/>
        <v>7.6198530241604755E-24</v>
      </c>
      <c r="I5" s="5">
        <v>368</v>
      </c>
      <c r="J5" s="3">
        <f>I5/365+input!$K$3</f>
        <v>1.0082191780821919</v>
      </c>
      <c r="K5" s="4">
        <f t="shared" si="7"/>
        <v>6.7046545966305189</v>
      </c>
      <c r="L5" s="12">
        <f t="shared" si="8"/>
        <v>4.0989076733735708</v>
      </c>
      <c r="M5" s="20">
        <f>input!F4</f>
        <v>50175.040000000001</v>
      </c>
      <c r="N5" s="19">
        <f t="shared" si="9"/>
        <v>0.53727918480729464</v>
      </c>
      <c r="O5" s="19">
        <f t="shared" si="10"/>
        <v>4.9150387104222046E-4</v>
      </c>
      <c r="P5" s="21">
        <v>733</v>
      </c>
      <c r="Q5" s="3">
        <f>P5/365+input!$K$3</f>
        <v>2.0082191780821916</v>
      </c>
      <c r="R5" s="4">
        <f t="shared" si="11"/>
        <v>10.880362149868935</v>
      </c>
      <c r="S5" s="12">
        <f t="shared" si="12"/>
        <v>17.517372343776341</v>
      </c>
      <c r="T5" s="20">
        <f>input!G4</f>
        <v>2837.42</v>
      </c>
      <c r="U5" s="19">
        <f t="shared" si="13"/>
        <v>0.95374302770536912</v>
      </c>
      <c r="V5" s="19">
        <f t="shared" si="0"/>
        <v>0.81066842294391295</v>
      </c>
      <c r="W5" s="21">
        <v>1098</v>
      </c>
      <c r="X5" s="3">
        <f>W5/365+input!$K$3</f>
        <v>3.0082191780821916</v>
      </c>
      <c r="Y5" s="4">
        <f t="shared" si="14"/>
        <v>12.589299260865312</v>
      </c>
      <c r="Z5" s="12">
        <f t="shared" si="15"/>
        <v>27.135859395209948</v>
      </c>
      <c r="AA5" s="20">
        <f>input!H4</f>
        <v>0</v>
      </c>
      <c r="AB5" s="19">
        <f t="shared" si="16"/>
        <v>0.98197554006092014</v>
      </c>
      <c r="AC5" s="19">
        <f t="shared" si="17"/>
        <v>0.99519142618801715</v>
      </c>
      <c r="AD5" s="8">
        <f t="shared" si="18"/>
        <v>0</v>
      </c>
      <c r="AE5" s="8">
        <f t="shared" si="19"/>
        <v>205662.85646782586</v>
      </c>
      <c r="AF5" s="8">
        <f t="shared" si="20"/>
        <v>49704.142635677868</v>
      </c>
      <c r="AG5" s="8">
        <f t="shared" si="21"/>
        <v>0</v>
      </c>
      <c r="AH5" s="8">
        <f t="shared" si="1"/>
        <v>0</v>
      </c>
      <c r="AI5" s="8">
        <f t="shared" si="2"/>
        <v>110498.37186817313</v>
      </c>
      <c r="AJ5" s="8">
        <f t="shared" si="22"/>
        <v>47404.979486850934</v>
      </c>
      <c r="AK5" s="8">
        <f t="shared" si="23"/>
        <v>0</v>
      </c>
      <c r="AL5" s="8">
        <f t="shared" si="24"/>
        <v>0</v>
      </c>
      <c r="AM5" s="8">
        <f t="shared" si="25"/>
        <v>54.310377517069888</v>
      </c>
      <c r="AN5" s="8">
        <f t="shared" si="26"/>
        <v>38429.719960293987</v>
      </c>
      <c r="AO5" s="8">
        <f t="shared" si="27"/>
        <v>0</v>
      </c>
    </row>
    <row r="6" spans="1:41">
      <c r="A6" s="1">
        <v>41733</v>
      </c>
      <c r="B6" s="5">
        <v>4</v>
      </c>
      <c r="C6" s="3">
        <f>B6/365+input!$K$3</f>
        <v>1.0958904109589041E-2</v>
      </c>
      <c r="D6" s="4">
        <f t="shared" si="3"/>
        <v>0</v>
      </c>
      <c r="E6" s="12">
        <f t="shared" si="4"/>
        <v>0</v>
      </c>
      <c r="F6" s="20">
        <f>input!E5</f>
        <v>0</v>
      </c>
      <c r="G6" s="19">
        <f t="shared" si="5"/>
        <v>0</v>
      </c>
      <c r="H6" s="19">
        <f t="shared" si="6"/>
        <v>7.6198530241604755E-24</v>
      </c>
      <c r="I6" s="5">
        <v>369</v>
      </c>
      <c r="J6" s="3">
        <f>I6/365+input!$K$3</f>
        <v>1.010958904109589</v>
      </c>
      <c r="K6" s="4">
        <f t="shared" si="7"/>
        <v>6.7219101461343396</v>
      </c>
      <c r="L6" s="12">
        <f t="shared" si="8"/>
        <v>4.1306368663115824</v>
      </c>
      <c r="M6" s="20">
        <f>input!F5</f>
        <v>50050.239999999998</v>
      </c>
      <c r="N6" s="19">
        <f t="shared" si="9"/>
        <v>0.54166176831454882</v>
      </c>
      <c r="O6" s="19">
        <f t="shared" si="10"/>
        <v>5.2256060849174325E-4</v>
      </c>
      <c r="P6" s="21">
        <v>734</v>
      </c>
      <c r="Q6" s="3">
        <f>P6/365+input!$K$3</f>
        <v>2.010958904109589</v>
      </c>
      <c r="R6" s="4">
        <f t="shared" si="11"/>
        <v>10.887448240539582</v>
      </c>
      <c r="S6" s="12">
        <f t="shared" si="12"/>
        <v>17.551620435966385</v>
      </c>
      <c r="T6" s="20">
        <f>input!G5</f>
        <v>2753.94</v>
      </c>
      <c r="U6" s="19">
        <f t="shared" si="13"/>
        <v>0.95392344691708075</v>
      </c>
      <c r="V6" s="19">
        <f t="shared" si="0"/>
        <v>0.81258118942639601</v>
      </c>
      <c r="W6" s="21">
        <v>1099</v>
      </c>
      <c r="X6" s="3">
        <f>W6/365+input!$K$3</f>
        <v>3.010958904109589</v>
      </c>
      <c r="Y6" s="4">
        <f t="shared" si="14"/>
        <v>12.589299260865312</v>
      </c>
      <c r="Z6" s="12">
        <f t="shared" si="15"/>
        <v>27.135859395209948</v>
      </c>
      <c r="AA6" s="20">
        <f>input!H5</f>
        <v>0</v>
      </c>
      <c r="AB6" s="19">
        <f t="shared" si="16"/>
        <v>0.98197554006092014</v>
      </c>
      <c r="AC6" s="19">
        <f t="shared" si="17"/>
        <v>0.99519142618801715</v>
      </c>
      <c r="AD6" s="8">
        <f t="shared" si="18"/>
        <v>0</v>
      </c>
      <c r="AE6" s="8">
        <f t="shared" si="19"/>
        <v>206739.36651174261</v>
      </c>
      <c r="AF6" s="8">
        <f t="shared" si="20"/>
        <v>48336.109583425263</v>
      </c>
      <c r="AG6" s="8">
        <f t="shared" si="21"/>
        <v>0</v>
      </c>
      <c r="AH6" s="8">
        <f t="shared" si="1"/>
        <v>0</v>
      </c>
      <c r="AI6" s="8">
        <f t="shared" si="2"/>
        <v>111982.81084498012</v>
      </c>
      <c r="AJ6" s="8">
        <f t="shared" si="22"/>
        <v>46108.948264382765</v>
      </c>
      <c r="AK6" s="8">
        <f t="shared" si="23"/>
        <v>0</v>
      </c>
      <c r="AL6" s="8">
        <f t="shared" si="24"/>
        <v>0</v>
      </c>
      <c r="AM6" s="8">
        <f t="shared" si="25"/>
        <v>58.517805775768601</v>
      </c>
      <c r="AN6" s="8">
        <f t="shared" si="26"/>
        <v>37467.264023872303</v>
      </c>
      <c r="AO6" s="8">
        <f t="shared" si="27"/>
        <v>0</v>
      </c>
    </row>
    <row r="7" spans="1:41">
      <c r="A7" s="1">
        <v>41734</v>
      </c>
      <c r="B7" s="5">
        <v>5</v>
      </c>
      <c r="C7" s="3">
        <f>B7/365+input!$K$3</f>
        <v>1.3698630136986301E-2</v>
      </c>
      <c r="D7" s="4">
        <f t="shared" si="3"/>
        <v>0</v>
      </c>
      <c r="E7" s="12">
        <f t="shared" si="4"/>
        <v>0</v>
      </c>
      <c r="F7" s="20">
        <f>input!E6</f>
        <v>0</v>
      </c>
      <c r="G7" s="19">
        <f t="shared" si="5"/>
        <v>0</v>
      </c>
      <c r="H7" s="19">
        <f t="shared" si="6"/>
        <v>7.6198530241604755E-24</v>
      </c>
      <c r="I7" s="5">
        <v>370</v>
      </c>
      <c r="J7" s="3">
        <f>I7/365+input!$K$3</f>
        <v>1.0136986301369864</v>
      </c>
      <c r="K7" s="4">
        <f t="shared" si="7"/>
        <v>6.7391236717181213</v>
      </c>
      <c r="L7" s="12">
        <f t="shared" si="8"/>
        <v>4.162451510352458</v>
      </c>
      <c r="M7" s="20">
        <f>input!F6</f>
        <v>49925.75</v>
      </c>
      <c r="N7" s="19">
        <f t="shared" si="9"/>
        <v>0.54599232082039895</v>
      </c>
      <c r="O7" s="19">
        <f t="shared" si="10"/>
        <v>5.553423589796597E-4</v>
      </c>
      <c r="P7" s="21">
        <v>735</v>
      </c>
      <c r="Q7" s="3">
        <f>P7/365+input!$K$3</f>
        <v>2.0136986301369864</v>
      </c>
      <c r="R7" s="4">
        <f t="shared" si="11"/>
        <v>10.89451707384571</v>
      </c>
      <c r="S7" s="12">
        <f t="shared" si="12"/>
        <v>17.585829567723302</v>
      </c>
      <c r="T7" s="20">
        <f>input!G6</f>
        <v>2747.09</v>
      </c>
      <c r="U7" s="19">
        <f t="shared" si="13"/>
        <v>0.95410272560346621</v>
      </c>
      <c r="V7" s="19">
        <f t="shared" si="0"/>
        <v>0.81447735065389582</v>
      </c>
      <c r="W7" s="21">
        <v>1100</v>
      </c>
      <c r="X7" s="3">
        <f>W7/365+input!$K$3</f>
        <v>3.0136986301369864</v>
      </c>
      <c r="Y7" s="4">
        <f t="shared" si="14"/>
        <v>12.589299260865312</v>
      </c>
      <c r="Z7" s="12">
        <f t="shared" si="15"/>
        <v>27.135859395209948</v>
      </c>
      <c r="AA7" s="20">
        <f>input!H6</f>
        <v>0</v>
      </c>
      <c r="AB7" s="19">
        <f t="shared" si="16"/>
        <v>0.98197554006092014</v>
      </c>
      <c r="AC7" s="19">
        <f t="shared" si="17"/>
        <v>0.99519142618801715</v>
      </c>
      <c r="AD7" s="8">
        <f t="shared" si="18"/>
        <v>0</v>
      </c>
      <c r="AE7" s="8">
        <f t="shared" si="19"/>
        <v>207813.51349297923</v>
      </c>
      <c r="AF7" s="8">
        <f t="shared" si="20"/>
        <v>48309.856547197007</v>
      </c>
      <c r="AG7" s="8">
        <f t="shared" si="21"/>
        <v>0</v>
      </c>
      <c r="AH7" s="8">
        <f t="shared" si="1"/>
        <v>0</v>
      </c>
      <c r="AI7" s="8">
        <f t="shared" si="2"/>
        <v>113464.58252987302</v>
      </c>
      <c r="AJ7" s="8">
        <f t="shared" si="22"/>
        <v>46092.565805193124</v>
      </c>
      <c r="AK7" s="8">
        <f t="shared" si="23"/>
        <v>0</v>
      </c>
      <c r="AL7" s="8">
        <f t="shared" si="24"/>
        <v>0</v>
      </c>
      <c r="AM7" s="8">
        <f t="shared" si="25"/>
        <v>63.011688922781964</v>
      </c>
      <c r="AN7" s="8">
        <f t="shared" si="26"/>
        <v>37541.35088185405</v>
      </c>
      <c r="AO7" s="8">
        <f t="shared" si="27"/>
        <v>0</v>
      </c>
    </row>
    <row r="8" spans="1:41">
      <c r="A8" s="1">
        <v>41735</v>
      </c>
      <c r="B8" s="5">
        <v>6</v>
      </c>
      <c r="C8" s="3">
        <f>B8/365+input!$K$3</f>
        <v>1.643835616438356E-2</v>
      </c>
      <c r="D8" s="4">
        <f t="shared" si="3"/>
        <v>0</v>
      </c>
      <c r="E8" s="12">
        <f t="shared" si="4"/>
        <v>0</v>
      </c>
      <c r="F8" s="20">
        <f>input!E7</f>
        <v>0</v>
      </c>
      <c r="G8" s="19">
        <f t="shared" si="5"/>
        <v>0</v>
      </c>
      <c r="H8" s="19">
        <f t="shared" si="6"/>
        <v>7.6198530241604755E-24</v>
      </c>
      <c r="I8" s="5">
        <v>371</v>
      </c>
      <c r="J8" s="3">
        <f>I8/365+input!$K$3</f>
        <v>1.0164383561643835</v>
      </c>
      <c r="K8" s="4">
        <f t="shared" si="7"/>
        <v>6.7562952757263206</v>
      </c>
      <c r="L8" s="12">
        <f t="shared" si="8"/>
        <v>4.1943510204431664</v>
      </c>
      <c r="M8" s="20">
        <f>input!F7</f>
        <v>49801.57</v>
      </c>
      <c r="N8" s="19">
        <f t="shared" si="9"/>
        <v>0.55027155910371206</v>
      </c>
      <c r="O8" s="19">
        <f t="shared" si="10"/>
        <v>5.8992993922419277E-4</v>
      </c>
      <c r="P8" s="21">
        <v>736</v>
      </c>
      <c r="Q8" s="3">
        <f>P8/365+input!$K$3</f>
        <v>2.0164383561643837</v>
      </c>
      <c r="R8" s="4">
        <f t="shared" si="11"/>
        <v>10.901568691815664</v>
      </c>
      <c r="S8" s="12">
        <f t="shared" si="12"/>
        <v>17.619999646421267</v>
      </c>
      <c r="T8" s="20">
        <f>input!G7</f>
        <v>2665.46</v>
      </c>
      <c r="U8" s="19">
        <f t="shared" si="13"/>
        <v>0.95428087266783002</v>
      </c>
      <c r="V8" s="19">
        <f t="shared" si="0"/>
        <v>0.81635698572318605</v>
      </c>
      <c r="W8" s="21">
        <v>1101</v>
      </c>
      <c r="X8" s="3">
        <f>W8/365+input!$K$3</f>
        <v>3.0164383561643837</v>
      </c>
      <c r="Y8" s="4">
        <f t="shared" si="14"/>
        <v>12.589299260865312</v>
      </c>
      <c r="Z8" s="12">
        <f t="shared" si="15"/>
        <v>27.135859395209948</v>
      </c>
      <c r="AA8" s="20">
        <f>input!H7</f>
        <v>0</v>
      </c>
      <c r="AB8" s="19">
        <f t="shared" si="16"/>
        <v>0.98197554006092014</v>
      </c>
      <c r="AC8" s="19">
        <f t="shared" si="17"/>
        <v>0.99519142618801715</v>
      </c>
      <c r="AD8" s="8">
        <f t="shared" si="18"/>
        <v>0</v>
      </c>
      <c r="AE8" s="8">
        <f t="shared" si="19"/>
        <v>208885.26594917179</v>
      </c>
      <c r="AF8" s="8">
        <f t="shared" si="20"/>
        <v>46965.404257550028</v>
      </c>
      <c r="AG8" s="8">
        <f t="shared" si="21"/>
        <v>0</v>
      </c>
      <c r="AH8" s="8">
        <f t="shared" si="1"/>
        <v>0</v>
      </c>
      <c r="AI8" s="8">
        <f t="shared" si="2"/>
        <v>114943.6209676443</v>
      </c>
      <c r="AJ8" s="8">
        <f t="shared" si="22"/>
        <v>44818.186960092258</v>
      </c>
      <c r="AK8" s="8">
        <f t="shared" si="23"/>
        <v>0</v>
      </c>
      <c r="AL8" s="8">
        <f t="shared" si="24"/>
        <v>0</v>
      </c>
      <c r="AM8" s="8">
        <f t="shared" si="25"/>
        <v>67.808683331651054</v>
      </c>
      <c r="AN8" s="8">
        <f t="shared" si="26"/>
        <v>36587.64001231912</v>
      </c>
      <c r="AO8" s="8">
        <f t="shared" si="27"/>
        <v>0</v>
      </c>
    </row>
    <row r="9" spans="1:41">
      <c r="A9" s="1">
        <v>41736</v>
      </c>
      <c r="B9" s="5">
        <v>7</v>
      </c>
      <c r="C9" s="3">
        <f>B9/365+input!$K$3</f>
        <v>1.9178082191780823E-2</v>
      </c>
      <c r="D9" s="4">
        <f t="shared" si="3"/>
        <v>0</v>
      </c>
      <c r="E9" s="12">
        <f t="shared" si="4"/>
        <v>0</v>
      </c>
      <c r="F9" s="20">
        <f>input!E8</f>
        <v>0</v>
      </c>
      <c r="G9" s="19">
        <f t="shared" si="5"/>
        <v>0</v>
      </c>
      <c r="H9" s="19">
        <f t="shared" si="6"/>
        <v>7.6198530241604755E-24</v>
      </c>
      <c r="I9" s="5">
        <v>372</v>
      </c>
      <c r="J9" s="3">
        <f>I9/365+input!$K$3</f>
        <v>1.0191780821917809</v>
      </c>
      <c r="K9" s="4">
        <f t="shared" si="7"/>
        <v>6.7734250602541497</v>
      </c>
      <c r="L9" s="12">
        <f t="shared" si="8"/>
        <v>4.2263348117669572</v>
      </c>
      <c r="M9" s="20">
        <f>input!F8</f>
        <v>49677.7</v>
      </c>
      <c r="N9" s="19">
        <f t="shared" si="9"/>
        <v>0.55450018884999408</v>
      </c>
      <c r="O9" s="19">
        <f t="shared" si="10"/>
        <v>6.2640710040518107E-4</v>
      </c>
      <c r="P9" s="21">
        <v>737</v>
      </c>
      <c r="Q9" s="3">
        <f>P9/365+input!$K$3</f>
        <v>2.0191780821917806</v>
      </c>
      <c r="R9" s="4">
        <f t="shared" si="11"/>
        <v>10.908603136375424</v>
      </c>
      <c r="S9" s="12">
        <f t="shared" si="12"/>
        <v>17.654130580362892</v>
      </c>
      <c r="T9" s="20">
        <f>input!G8</f>
        <v>2658.83</v>
      </c>
      <c r="U9" s="19">
        <f t="shared" si="13"/>
        <v>0.95445789693173322</v>
      </c>
      <c r="V9" s="19">
        <f t="shared" si="0"/>
        <v>0.81822017479006526</v>
      </c>
      <c r="W9" s="21">
        <v>1102</v>
      </c>
      <c r="X9" s="3">
        <f>W9/365+input!$K$3</f>
        <v>3.0191780821917806</v>
      </c>
      <c r="Y9" s="4">
        <f t="shared" si="14"/>
        <v>12.589299260865312</v>
      </c>
      <c r="Z9" s="12">
        <f t="shared" si="15"/>
        <v>27.135859395209948</v>
      </c>
      <c r="AA9" s="20">
        <f>input!H8</f>
        <v>0</v>
      </c>
      <c r="AB9" s="19">
        <f t="shared" si="16"/>
        <v>0.98197554006092014</v>
      </c>
      <c r="AC9" s="19">
        <f t="shared" si="17"/>
        <v>0.99519142618801715</v>
      </c>
      <c r="AD9" s="8">
        <f t="shared" si="18"/>
        <v>0</v>
      </c>
      <c r="AE9" s="8">
        <f t="shared" si="19"/>
        <v>209954.59287851537</v>
      </c>
      <c r="AF9" s="8">
        <f t="shared" si="20"/>
        <v>46939.332010986269</v>
      </c>
      <c r="AG9" s="8">
        <f t="shared" si="21"/>
        <v>0</v>
      </c>
      <c r="AH9" s="8">
        <f t="shared" si="1"/>
        <v>0</v>
      </c>
      <c r="AI9" s="8">
        <f t="shared" si="2"/>
        <v>116419.86140106039</v>
      </c>
      <c r="AJ9" s="8">
        <f t="shared" si="22"/>
        <v>44801.616114586337</v>
      </c>
      <c r="AK9" s="8">
        <f t="shared" si="23"/>
        <v>0</v>
      </c>
      <c r="AL9" s="8">
        <f t="shared" si="24"/>
        <v>0</v>
      </c>
      <c r="AM9" s="8">
        <f t="shared" si="25"/>
        <v>72.926227809811309</v>
      </c>
      <c r="AN9" s="8">
        <f t="shared" si="26"/>
        <v>36657.586168154237</v>
      </c>
      <c r="AO9" s="8">
        <f t="shared" si="27"/>
        <v>0</v>
      </c>
    </row>
    <row r="10" spans="1:41">
      <c r="A10" s="1">
        <v>41737</v>
      </c>
      <c r="B10" s="5">
        <v>8</v>
      </c>
      <c r="C10" s="3">
        <f>B10/365+input!$K$3</f>
        <v>2.1917808219178082E-2</v>
      </c>
      <c r="D10" s="4">
        <f t="shared" si="3"/>
        <v>0</v>
      </c>
      <c r="E10" s="12">
        <f t="shared" si="4"/>
        <v>0</v>
      </c>
      <c r="F10" s="20">
        <f>input!E9</f>
        <v>0</v>
      </c>
      <c r="G10" s="19">
        <f t="shared" si="5"/>
        <v>0</v>
      </c>
      <c r="H10" s="19">
        <f t="shared" si="6"/>
        <v>7.6198530241604755E-24</v>
      </c>
      <c r="I10" s="5">
        <v>373</v>
      </c>
      <c r="J10" s="3">
        <f>I10/365+input!$K$3</f>
        <v>1.021917808219178</v>
      </c>
      <c r="K10" s="4">
        <f t="shared" si="7"/>
        <v>6.7905131271481736</v>
      </c>
      <c r="L10" s="12">
        <f t="shared" si="8"/>
        <v>4.2584022997705819</v>
      </c>
      <c r="M10" s="20">
        <f>input!F9</f>
        <v>49554.13</v>
      </c>
      <c r="N10" s="19">
        <f t="shared" si="9"/>
        <v>0.55867890484045124</v>
      </c>
      <c r="O10" s="19">
        <f t="shared" si="10"/>
        <v>6.6486059162137144E-4</v>
      </c>
      <c r="P10" s="21">
        <v>738</v>
      </c>
      <c r="Q10" s="3">
        <f>P10/365+input!$K$3</f>
        <v>2.021917808219178</v>
      </c>
      <c r="R10" s="4">
        <f t="shared" si="11"/>
        <v>10.915620449348872</v>
      </c>
      <c r="S10" s="12">
        <f t="shared" si="12"/>
        <v>17.68822227877514</v>
      </c>
      <c r="T10" s="20">
        <f>input!G9</f>
        <v>2581.6</v>
      </c>
      <c r="U10" s="19">
        <f t="shared" si="13"/>
        <v>0.95463380713584778</v>
      </c>
      <c r="V10" s="19">
        <f t="shared" si="0"/>
        <v>0.82006699903214608</v>
      </c>
      <c r="W10" s="21">
        <v>1103</v>
      </c>
      <c r="X10" s="3">
        <f>W10/365+input!$K$3</f>
        <v>3.021917808219178</v>
      </c>
      <c r="Y10" s="4">
        <f t="shared" si="14"/>
        <v>12.589299260865312</v>
      </c>
      <c r="Z10" s="12">
        <f t="shared" si="15"/>
        <v>27.135859395209948</v>
      </c>
      <c r="AA10" s="20">
        <f>input!H9</f>
        <v>0</v>
      </c>
      <c r="AB10" s="19">
        <f t="shared" si="16"/>
        <v>0.98197554006092014</v>
      </c>
      <c r="AC10" s="19">
        <f t="shared" si="17"/>
        <v>0.99519142618801715</v>
      </c>
      <c r="AD10" s="8">
        <f t="shared" si="18"/>
        <v>0</v>
      </c>
      <c r="AE10" s="8">
        <f t="shared" si="19"/>
        <v>211021.42115513037</v>
      </c>
      <c r="AF10" s="8">
        <f t="shared" si="20"/>
        <v>45663.914634885899</v>
      </c>
      <c r="AG10" s="8">
        <f t="shared" si="21"/>
        <v>0</v>
      </c>
      <c r="AH10" s="8">
        <f t="shared" si="1"/>
        <v>0</v>
      </c>
      <c r="AI10" s="8">
        <f t="shared" si="2"/>
        <v>117893.21646882387</v>
      </c>
      <c r="AJ10" s="8">
        <f t="shared" si="22"/>
        <v>43592.316676627481</v>
      </c>
      <c r="AK10" s="8">
        <f t="shared" si="23"/>
        <v>0</v>
      </c>
      <c r="AL10" s="8">
        <f t="shared" si="24"/>
        <v>0</v>
      </c>
      <c r="AM10" s="8">
        <f t="shared" si="25"/>
        <v>78.382553649608653</v>
      </c>
      <c r="AN10" s="8">
        <f t="shared" si="26"/>
        <v>35748.62031786087</v>
      </c>
      <c r="AO10" s="8">
        <f t="shared" si="27"/>
        <v>0</v>
      </c>
    </row>
    <row r="11" spans="1:41">
      <c r="A11" s="1">
        <v>41738</v>
      </c>
      <c r="B11" s="5">
        <v>9</v>
      </c>
      <c r="C11" s="3">
        <f>B11/365+input!$K$3</f>
        <v>2.4657534246575342E-2</v>
      </c>
      <c r="D11" s="4">
        <f t="shared" si="3"/>
        <v>0</v>
      </c>
      <c r="E11" s="12">
        <f t="shared" si="4"/>
        <v>0</v>
      </c>
      <c r="F11" s="20">
        <f>input!E10</f>
        <v>0</v>
      </c>
      <c r="G11" s="19">
        <f t="shared" si="5"/>
        <v>0</v>
      </c>
      <c r="H11" s="19">
        <f t="shared" si="6"/>
        <v>7.6198530241604755E-24</v>
      </c>
      <c r="I11" s="5">
        <v>374</v>
      </c>
      <c r="J11" s="3">
        <f>I11/365+input!$K$3</f>
        <v>1.0246575342465754</v>
      </c>
      <c r="K11" s="4">
        <f t="shared" si="7"/>
        <v>6.8075595780069289</v>
      </c>
      <c r="L11" s="12">
        <f t="shared" si="8"/>
        <v>4.2905529001911864</v>
      </c>
      <c r="M11" s="20">
        <f>input!F10</f>
        <v>49430.879999999997</v>
      </c>
      <c r="N11" s="19">
        <f t="shared" si="9"/>
        <v>0.56280839113755454</v>
      </c>
      <c r="O11" s="19">
        <f t="shared" si="10"/>
        <v>7.0538022272717538E-4</v>
      </c>
      <c r="P11" s="21">
        <v>739</v>
      </c>
      <c r="Q11" s="3">
        <f>P11/365+input!$K$3</f>
        <v>2.0246575342465754</v>
      </c>
      <c r="R11" s="4">
        <f t="shared" si="11"/>
        <v>10.922620672458029</v>
      </c>
      <c r="S11" s="12">
        <f t="shared" si="12"/>
        <v>17.722274651805151</v>
      </c>
      <c r="T11" s="20">
        <f>input!G10</f>
        <v>2575.1799999999998</v>
      </c>
      <c r="U11" s="19">
        <f t="shared" si="13"/>
        <v>0.95480861194080036</v>
      </c>
      <c r="V11" s="19">
        <f t="shared" si="0"/>
        <v>0.82189754061213194</v>
      </c>
      <c r="W11" s="21">
        <v>1104</v>
      </c>
      <c r="X11" s="3">
        <f>W11/365+input!$K$3</f>
        <v>3.0246575342465754</v>
      </c>
      <c r="Y11" s="4">
        <f t="shared" si="14"/>
        <v>12.589299260865312</v>
      </c>
      <c r="Z11" s="12">
        <f t="shared" si="15"/>
        <v>27.135859395209948</v>
      </c>
      <c r="AA11" s="20">
        <f>input!H10</f>
        <v>0</v>
      </c>
      <c r="AB11" s="19">
        <f t="shared" si="16"/>
        <v>0.98197554006092014</v>
      </c>
      <c r="AC11" s="19">
        <f t="shared" si="17"/>
        <v>0.99519142618801715</v>
      </c>
      <c r="AD11" s="8">
        <f t="shared" si="18"/>
        <v>0</v>
      </c>
      <c r="AE11" s="8">
        <f t="shared" si="19"/>
        <v>212085.8055430025</v>
      </c>
      <c r="AF11" s="8">
        <f t="shared" si="20"/>
        <v>45638.047237835584</v>
      </c>
      <c r="AG11" s="8">
        <f t="shared" si="21"/>
        <v>0</v>
      </c>
      <c r="AH11" s="8">
        <f t="shared" si="1"/>
        <v>0</v>
      </c>
      <c r="AI11" s="8">
        <f t="shared" si="2"/>
        <v>119363.67100076948</v>
      </c>
      <c r="AJ11" s="8">
        <f t="shared" si="22"/>
        <v>43575.600534846475</v>
      </c>
      <c r="AK11" s="8">
        <f t="shared" si="23"/>
        <v>0</v>
      </c>
      <c r="AL11" s="8">
        <f t="shared" si="24"/>
        <v>0</v>
      </c>
      <c r="AM11" s="8">
        <f t="shared" si="25"/>
        <v>84.196772836056056</v>
      </c>
      <c r="AN11" s="8">
        <f t="shared" si="26"/>
        <v>35814.678910287017</v>
      </c>
      <c r="AO11" s="8">
        <f t="shared" si="27"/>
        <v>0</v>
      </c>
    </row>
    <row r="12" spans="1:41">
      <c r="A12" s="1">
        <v>41739</v>
      </c>
      <c r="B12" s="5">
        <v>10</v>
      </c>
      <c r="C12" s="3">
        <f>B12/365+input!$K$3</f>
        <v>2.7397260273972601E-2</v>
      </c>
      <c r="D12" s="4">
        <f t="shared" si="3"/>
        <v>0</v>
      </c>
      <c r="E12" s="12">
        <f t="shared" si="4"/>
        <v>0</v>
      </c>
      <c r="F12" s="20">
        <f>input!E11</f>
        <v>0</v>
      </c>
      <c r="G12" s="19">
        <f t="shared" si="5"/>
        <v>0</v>
      </c>
      <c r="H12" s="19">
        <f t="shared" si="6"/>
        <v>7.6198530241604755E-24</v>
      </c>
      <c r="I12" s="5">
        <v>375</v>
      </c>
      <c r="J12" s="3">
        <f>I12/365+input!$K$3</f>
        <v>1.0273972602739727</v>
      </c>
      <c r="K12" s="4">
        <f t="shared" si="7"/>
        <v>6.824564514181513</v>
      </c>
      <c r="L12" s="12">
        <f t="shared" si="8"/>
        <v>4.3227860290827973</v>
      </c>
      <c r="M12" s="20">
        <f>input!F11</f>
        <v>49307.93</v>
      </c>
      <c r="N12" s="19">
        <f t="shared" si="9"/>
        <v>0.56688932126716862</v>
      </c>
      <c r="O12" s="19">
        <f t="shared" si="10"/>
        <v>7.4805892644280324E-4</v>
      </c>
      <c r="P12" s="21">
        <v>740</v>
      </c>
      <c r="Q12" s="3">
        <f>P12/365+input!$K$3</f>
        <v>2.0273972602739727</v>
      </c>
      <c r="R12" s="4">
        <f t="shared" si="11"/>
        <v>10.929603847323309</v>
      </c>
      <c r="S12" s="12">
        <f t="shared" si="12"/>
        <v>17.756287610516093</v>
      </c>
      <c r="T12" s="20">
        <f>input!G11</f>
        <v>2497.9</v>
      </c>
      <c r="U12" s="19">
        <f t="shared" si="13"/>
        <v>0.95498231992800575</v>
      </c>
      <c r="V12" s="19">
        <f t="shared" si="0"/>
        <v>0.82371188264159056</v>
      </c>
      <c r="W12" s="21">
        <v>1105</v>
      </c>
      <c r="X12" s="3">
        <f>W12/365+input!$K$3</f>
        <v>3.0273972602739727</v>
      </c>
      <c r="Y12" s="4">
        <f t="shared" si="14"/>
        <v>12.589299260865312</v>
      </c>
      <c r="Z12" s="12">
        <f t="shared" si="15"/>
        <v>27.135859395209948</v>
      </c>
      <c r="AA12" s="20">
        <f>input!H11</f>
        <v>0</v>
      </c>
      <c r="AB12" s="19">
        <f t="shared" si="16"/>
        <v>0.98197554006092014</v>
      </c>
      <c r="AC12" s="19">
        <f t="shared" si="17"/>
        <v>0.99519142618801715</v>
      </c>
      <c r="AD12" s="8">
        <f t="shared" si="18"/>
        <v>0</v>
      </c>
      <c r="AE12" s="8">
        <f t="shared" si="19"/>
        <v>213147.63092699254</v>
      </c>
      <c r="AF12" s="8">
        <f t="shared" si="20"/>
        <v>44353.430822308153</v>
      </c>
      <c r="AG12" s="8">
        <f t="shared" si="21"/>
        <v>0</v>
      </c>
      <c r="AH12" s="8">
        <f t="shared" si="1"/>
        <v>0</v>
      </c>
      <c r="AI12" s="8">
        <f t="shared" si="2"/>
        <v>120831.11582590776</v>
      </c>
      <c r="AJ12" s="8">
        <f t="shared" si="22"/>
        <v>42356.742263454158</v>
      </c>
      <c r="AK12" s="8">
        <f t="shared" si="23"/>
        <v>0</v>
      </c>
      <c r="AL12" s="8">
        <f t="shared" si="24"/>
        <v>0</v>
      </c>
      <c r="AM12" s="8">
        <f t="shared" si="25"/>
        <v>90.388794785614579</v>
      </c>
      <c r="AN12" s="8">
        <f t="shared" si="26"/>
        <v>34889.751912394451</v>
      </c>
      <c r="AO12" s="8">
        <f t="shared" si="27"/>
        <v>0</v>
      </c>
    </row>
    <row r="13" spans="1:41">
      <c r="A13" s="1">
        <v>41740</v>
      </c>
      <c r="B13" s="5">
        <v>11</v>
      </c>
      <c r="C13" s="3">
        <f>B13/365+input!$K$3</f>
        <v>3.0136986301369864E-2</v>
      </c>
      <c r="D13" s="4">
        <f t="shared" si="3"/>
        <v>0</v>
      </c>
      <c r="E13" s="12">
        <f t="shared" si="4"/>
        <v>0</v>
      </c>
      <c r="F13" s="20">
        <f>input!E12</f>
        <v>0</v>
      </c>
      <c r="G13" s="19">
        <f t="shared" si="5"/>
        <v>0</v>
      </c>
      <c r="H13" s="19">
        <f t="shared" si="6"/>
        <v>7.6198530241604755E-24</v>
      </c>
      <c r="I13" s="5">
        <v>376</v>
      </c>
      <c r="J13" s="3">
        <f>I13/365+input!$K$3</f>
        <v>1.0301369863013699</v>
      </c>
      <c r="K13" s="4">
        <f t="shared" si="7"/>
        <v>6.8415280367761975</v>
      </c>
      <c r="L13" s="12">
        <f t="shared" si="8"/>
        <v>4.3551011028425028</v>
      </c>
      <c r="M13" s="20">
        <f>input!F12</f>
        <v>49185.279999999999</v>
      </c>
      <c r="N13" s="19">
        <f t="shared" si="9"/>
        <v>0.57092235839732686</v>
      </c>
      <c r="O13" s="19">
        <f t="shared" si="10"/>
        <v>7.9299281962980171E-4</v>
      </c>
      <c r="P13" s="21">
        <v>741</v>
      </c>
      <c r="Q13" s="3">
        <f>P13/365+input!$K$3</f>
        <v>2.0301369863013701</v>
      </c>
      <c r="R13" s="4">
        <f t="shared" si="11"/>
        <v>10.936570015463762</v>
      </c>
      <c r="S13" s="12">
        <f t="shared" si="12"/>
        <v>17.790261066883044</v>
      </c>
      <c r="T13" s="20">
        <f>input!G12</f>
        <v>2491.69</v>
      </c>
      <c r="U13" s="19">
        <f t="shared" si="13"/>
        <v>0.9551549396004918</v>
      </c>
      <c r="V13" s="19">
        <f t="shared" si="0"/>
        <v>0.82551010914522416</v>
      </c>
      <c r="W13" s="21">
        <v>1106</v>
      </c>
      <c r="X13" s="3">
        <f>W13/365+input!$K$3</f>
        <v>3.0301369863013701</v>
      </c>
      <c r="Y13" s="4">
        <f t="shared" si="14"/>
        <v>12.589299260865312</v>
      </c>
      <c r="Z13" s="12">
        <f t="shared" si="15"/>
        <v>27.135859395209948</v>
      </c>
      <c r="AA13" s="20">
        <f>input!H12</f>
        <v>0</v>
      </c>
      <c r="AB13" s="19">
        <f t="shared" si="16"/>
        <v>0.98197554006092014</v>
      </c>
      <c r="AC13" s="19">
        <f t="shared" si="17"/>
        <v>0.99519142618801715</v>
      </c>
      <c r="AD13" s="8">
        <f t="shared" si="18"/>
        <v>0</v>
      </c>
      <c r="AE13" s="8">
        <f t="shared" si="19"/>
        <v>214206.86717161728</v>
      </c>
      <c r="AF13" s="8">
        <f t="shared" si="20"/>
        <v>44327.815597741814</v>
      </c>
      <c r="AG13" s="8">
        <f t="shared" si="21"/>
        <v>0</v>
      </c>
      <c r="AH13" s="8">
        <f t="shared" si="1"/>
        <v>0</v>
      </c>
      <c r="AI13" s="8">
        <f t="shared" si="2"/>
        <v>122295.48979052267</v>
      </c>
      <c r="AJ13" s="8">
        <f t="shared" si="22"/>
        <v>42339.932029882817</v>
      </c>
      <c r="AK13" s="8">
        <f t="shared" si="23"/>
        <v>0</v>
      </c>
      <c r="AL13" s="8">
        <f t="shared" si="24"/>
        <v>0</v>
      </c>
      <c r="AM13" s="8">
        <f t="shared" si="25"/>
        <v>96.979445276994198</v>
      </c>
      <c r="AN13" s="8">
        <f t="shared" si="26"/>
        <v>34952.041911189939</v>
      </c>
      <c r="AO13" s="8">
        <f t="shared" si="27"/>
        <v>0</v>
      </c>
    </row>
    <row r="14" spans="1:41">
      <c r="A14" s="1">
        <v>41741</v>
      </c>
      <c r="B14" s="5">
        <v>12</v>
      </c>
      <c r="C14" s="3">
        <f>B14/365+input!$K$3</f>
        <v>3.287671232876712E-2</v>
      </c>
      <c r="D14" s="4">
        <f t="shared" si="3"/>
        <v>0</v>
      </c>
      <c r="E14" s="12">
        <f t="shared" si="4"/>
        <v>0</v>
      </c>
      <c r="F14" s="20">
        <f>input!E13</f>
        <v>0</v>
      </c>
      <c r="G14" s="19">
        <f t="shared" si="5"/>
        <v>0</v>
      </c>
      <c r="H14" s="19">
        <f t="shared" si="6"/>
        <v>7.6198530241604755E-24</v>
      </c>
      <c r="I14" s="5">
        <v>377</v>
      </c>
      <c r="J14" s="3">
        <f>I14/365+input!$K$3</f>
        <v>1.0328767123287672</v>
      </c>
      <c r="K14" s="4">
        <f t="shared" si="7"/>
        <v>6.8584502466490296</v>
      </c>
      <c r="L14" s="12">
        <f t="shared" si="8"/>
        <v>4.3874975382362615</v>
      </c>
      <c r="M14" s="20">
        <f>input!F13</f>
        <v>49062.94</v>
      </c>
      <c r="N14" s="19">
        <f t="shared" si="9"/>
        <v>0.574908155513703</v>
      </c>
      <c r="O14" s="19">
        <f t="shared" si="10"/>
        <v>8.4028126362171909E-4</v>
      </c>
      <c r="P14" s="21">
        <v>742</v>
      </c>
      <c r="Q14" s="3">
        <f>P14/365+input!$K$3</f>
        <v>2.032876712328767</v>
      </c>
      <c r="R14" s="4">
        <f t="shared" si="11"/>
        <v>10.943519218297322</v>
      </c>
      <c r="S14" s="12">
        <f t="shared" si="12"/>
        <v>17.824194933788874</v>
      </c>
      <c r="T14" s="20">
        <f>input!G13</f>
        <v>2418.7800000000002</v>
      </c>
      <c r="U14" s="19">
        <f t="shared" si="13"/>
        <v>0.95532647938371373</v>
      </c>
      <c r="V14" s="19">
        <f t="shared" si="0"/>
        <v>0.82729230502563855</v>
      </c>
      <c r="W14" s="21">
        <v>1107</v>
      </c>
      <c r="X14" s="3">
        <f>W14/365+input!$K$3</f>
        <v>3.032876712328767</v>
      </c>
      <c r="Y14" s="4">
        <f t="shared" si="14"/>
        <v>12.589299260865312</v>
      </c>
      <c r="Z14" s="12">
        <f t="shared" si="15"/>
        <v>27.135859395209948</v>
      </c>
      <c r="AA14" s="20">
        <f>input!H13</f>
        <v>0</v>
      </c>
      <c r="AB14" s="19">
        <f t="shared" si="16"/>
        <v>0.98197554006092014</v>
      </c>
      <c r="AC14" s="19">
        <f t="shared" si="17"/>
        <v>0.99519142618801715</v>
      </c>
      <c r="AD14" s="8">
        <f t="shared" si="18"/>
        <v>0</v>
      </c>
      <c r="AE14" s="8">
        <f t="shared" si="19"/>
        <v>215263.52846863342</v>
      </c>
      <c r="AF14" s="8">
        <f t="shared" si="20"/>
        <v>43112.806221949853</v>
      </c>
      <c r="AG14" s="8">
        <f t="shared" si="21"/>
        <v>0</v>
      </c>
      <c r="AH14" s="8">
        <f t="shared" si="1"/>
        <v>0</v>
      </c>
      <c r="AI14" s="8">
        <f t="shared" si="2"/>
        <v>123756.75810127353</v>
      </c>
      <c r="AJ14" s="8">
        <f t="shared" si="22"/>
        <v>41186.805384367624</v>
      </c>
      <c r="AK14" s="8">
        <f t="shared" si="23"/>
        <v>0</v>
      </c>
      <c r="AL14" s="8">
        <f t="shared" si="24"/>
        <v>0</v>
      </c>
      <c r="AM14" s="8">
        <f t="shared" si="25"/>
        <v>103.99048507906555</v>
      </c>
      <c r="AN14" s="8">
        <f t="shared" si="26"/>
        <v>34073.527163075873</v>
      </c>
      <c r="AO14" s="8">
        <f t="shared" si="27"/>
        <v>0</v>
      </c>
    </row>
    <row r="15" spans="1:41">
      <c r="A15" s="1">
        <v>41742</v>
      </c>
      <c r="B15" s="5">
        <v>13</v>
      </c>
      <c r="C15" s="3">
        <f>B15/365+input!$K$3</f>
        <v>3.5616438356164383E-2</v>
      </c>
      <c r="D15" s="4">
        <f t="shared" si="3"/>
        <v>0</v>
      </c>
      <c r="E15" s="12">
        <f t="shared" si="4"/>
        <v>0</v>
      </c>
      <c r="F15" s="20">
        <f>input!E14</f>
        <v>0</v>
      </c>
      <c r="G15" s="19">
        <f t="shared" si="5"/>
        <v>0</v>
      </c>
      <c r="H15" s="19">
        <f t="shared" si="6"/>
        <v>7.6198530241604755E-24</v>
      </c>
      <c r="I15" s="5">
        <v>378</v>
      </c>
      <c r="J15" s="3">
        <f>I15/365+input!$K$3</f>
        <v>1.0356164383561643</v>
      </c>
      <c r="K15" s="4">
        <f t="shared" si="7"/>
        <v>6.8753312444124211</v>
      </c>
      <c r="L15" s="12">
        <f t="shared" si="8"/>
        <v>4.4199747524243342</v>
      </c>
      <c r="M15" s="20">
        <f>input!F14</f>
        <v>48940.91</v>
      </c>
      <c r="N15" s="19">
        <f t="shared" si="9"/>
        <v>0.57884735559185652</v>
      </c>
      <c r="O15" s="19">
        <f t="shared" si="10"/>
        <v>8.9002692349786437E-4</v>
      </c>
      <c r="P15" s="21">
        <v>743</v>
      </c>
      <c r="Q15" s="3">
        <f>P15/365+input!$K$3</f>
        <v>2.0356164383561643</v>
      </c>
      <c r="R15" s="4">
        <f t="shared" si="11"/>
        <v>10.950451497141058</v>
      </c>
      <c r="S15" s="12">
        <f t="shared" si="12"/>
        <v>17.858089125020125</v>
      </c>
      <c r="T15" s="20">
        <f>input!G14</f>
        <v>2412.77</v>
      </c>
      <c r="U15" s="19">
        <f t="shared" si="13"/>
        <v>0.95549694762636017</v>
      </c>
      <c r="V15" s="19">
        <f t="shared" si="0"/>
        <v>0.829058556028614</v>
      </c>
      <c r="W15" s="21">
        <v>1108</v>
      </c>
      <c r="X15" s="3">
        <f>W15/365+input!$K$3</f>
        <v>3.0356164383561643</v>
      </c>
      <c r="Y15" s="4">
        <f t="shared" si="14"/>
        <v>12.589299260865312</v>
      </c>
      <c r="Z15" s="12">
        <f t="shared" si="15"/>
        <v>27.135859395209948</v>
      </c>
      <c r="AA15" s="20">
        <f>input!H14</f>
        <v>0</v>
      </c>
      <c r="AB15" s="19">
        <f t="shared" si="16"/>
        <v>0.98197554006092014</v>
      </c>
      <c r="AC15" s="19">
        <f t="shared" si="17"/>
        <v>0.99519142618801715</v>
      </c>
      <c r="AD15" s="8">
        <f t="shared" si="18"/>
        <v>0</v>
      </c>
      <c r="AE15" s="8">
        <f t="shared" si="19"/>
        <v>216317.58656067163</v>
      </c>
      <c r="AF15" s="8">
        <f t="shared" si="20"/>
        <v>43087.461698174811</v>
      </c>
      <c r="AG15" s="8">
        <f t="shared" si="21"/>
        <v>0</v>
      </c>
      <c r="AH15" s="8">
        <f t="shared" si="1"/>
        <v>0</v>
      </c>
      <c r="AI15" s="8">
        <f t="shared" si="2"/>
        <v>125214.86294865729</v>
      </c>
      <c r="AJ15" s="8">
        <f t="shared" si="22"/>
        <v>41169.938133573734</v>
      </c>
      <c r="AK15" s="8">
        <f t="shared" si="23"/>
        <v>0</v>
      </c>
      <c r="AL15" s="8">
        <f t="shared" si="24"/>
        <v>0</v>
      </c>
      <c r="AM15" s="8">
        <f t="shared" si="25"/>
        <v>111.44459924640017</v>
      </c>
      <c r="AN15" s="8">
        <f t="shared" si="26"/>
        <v>34132.28946080801</v>
      </c>
      <c r="AO15" s="8">
        <f t="shared" si="27"/>
        <v>0</v>
      </c>
    </row>
    <row r="16" spans="1:41">
      <c r="A16" s="1">
        <v>41743</v>
      </c>
      <c r="B16" s="5">
        <v>14</v>
      </c>
      <c r="C16" s="3">
        <f>B16/365+input!$K$3</f>
        <v>3.8356164383561646E-2</v>
      </c>
      <c r="D16" s="4">
        <f t="shared" si="3"/>
        <v>0</v>
      </c>
      <c r="E16" s="12">
        <f t="shared" si="4"/>
        <v>0</v>
      </c>
      <c r="F16" s="20">
        <f>input!E15</f>
        <v>0</v>
      </c>
      <c r="G16" s="19">
        <f t="shared" si="5"/>
        <v>0</v>
      </c>
      <c r="H16" s="19">
        <f t="shared" si="6"/>
        <v>7.6198530241604755E-24</v>
      </c>
      <c r="I16" s="5">
        <v>379</v>
      </c>
      <c r="J16" s="3">
        <f>I16/365+input!$K$3</f>
        <v>1.0383561643835617</v>
      </c>
      <c r="K16" s="4">
        <f t="shared" si="7"/>
        <v>6.8921711304337601</v>
      </c>
      <c r="L16" s="12">
        <f t="shared" si="8"/>
        <v>4.4525321629864321</v>
      </c>
      <c r="M16" s="20">
        <f>input!F15</f>
        <v>48819.18</v>
      </c>
      <c r="N16" s="19">
        <f t="shared" si="9"/>
        <v>0.58274059176631332</v>
      </c>
      <c r="O16" s="19">
        <f t="shared" si="10"/>
        <v>9.4233582618649323E-4</v>
      </c>
      <c r="P16" s="21">
        <v>744</v>
      </c>
      <c r="Q16" s="3">
        <f>P16/365+input!$K$3</f>
        <v>2.0383561643835617</v>
      </c>
      <c r="R16" s="4">
        <f t="shared" si="11"/>
        <v>10.957366893211415</v>
      </c>
      <c r="S16" s="12">
        <f t="shared" si="12"/>
        <v>17.891943555262898</v>
      </c>
      <c r="T16" s="20">
        <f>input!G15</f>
        <v>2340.96</v>
      </c>
      <c r="U16" s="19">
        <f t="shared" si="13"/>
        <v>0.95566635260114807</v>
      </c>
      <c r="V16" s="19">
        <f t="shared" si="0"/>
        <v>0.83080894870887656</v>
      </c>
      <c r="W16" s="21">
        <v>1109</v>
      </c>
      <c r="X16" s="3">
        <f>W16/365+input!$K$3</f>
        <v>3.0383561643835617</v>
      </c>
      <c r="Y16" s="4">
        <f t="shared" si="14"/>
        <v>12.589299260865312</v>
      </c>
      <c r="Z16" s="12">
        <f t="shared" si="15"/>
        <v>27.135859395209948</v>
      </c>
      <c r="AA16" s="20">
        <f>input!H15</f>
        <v>0</v>
      </c>
      <c r="AB16" s="19">
        <f t="shared" si="16"/>
        <v>0.98197554006092014</v>
      </c>
      <c r="AC16" s="19">
        <f t="shared" si="17"/>
        <v>0.99519142618801715</v>
      </c>
      <c r="AD16" s="8">
        <f t="shared" si="18"/>
        <v>0</v>
      </c>
      <c r="AE16" s="8">
        <f t="shared" si="19"/>
        <v>217368.96912062395</v>
      </c>
      <c r="AF16" s="8">
        <f t="shared" si="20"/>
        <v>41884.324185128236</v>
      </c>
      <c r="AG16" s="8">
        <f t="shared" si="21"/>
        <v>0</v>
      </c>
      <c r="AH16" s="8">
        <f t="shared" si="1"/>
        <v>0</v>
      </c>
      <c r="AI16" s="8">
        <f t="shared" si="2"/>
        <v>126669.72169698589</v>
      </c>
      <c r="AJ16" s="8">
        <f t="shared" si="22"/>
        <v>40027.439325165557</v>
      </c>
      <c r="AK16" s="8">
        <f t="shared" si="23"/>
        <v>0</v>
      </c>
      <c r="AL16" s="8">
        <f t="shared" si="24"/>
        <v>0</v>
      </c>
      <c r="AM16" s="8">
        <f t="shared" si="25"/>
        <v>119.36541684814236</v>
      </c>
      <c r="AN16" s="8">
        <f t="shared" si="26"/>
        <v>33255.154785249142</v>
      </c>
      <c r="AO16" s="8">
        <f t="shared" si="27"/>
        <v>0</v>
      </c>
    </row>
    <row r="17" spans="1:41">
      <c r="A17" s="1">
        <v>41744</v>
      </c>
      <c r="B17" s="5">
        <v>15</v>
      </c>
      <c r="C17" s="3">
        <f>B17/365+input!$K$3</f>
        <v>4.1095890410958902E-2</v>
      </c>
      <c r="D17" s="4">
        <f t="shared" si="3"/>
        <v>0</v>
      </c>
      <c r="E17" s="12">
        <f t="shared" si="4"/>
        <v>0</v>
      </c>
      <c r="F17" s="20">
        <f>input!E16</f>
        <v>0</v>
      </c>
      <c r="G17" s="19">
        <f t="shared" si="5"/>
        <v>0</v>
      </c>
      <c r="H17" s="19">
        <f t="shared" si="6"/>
        <v>7.6198530241604755E-24</v>
      </c>
      <c r="I17" s="5">
        <v>380</v>
      </c>
      <c r="J17" s="3">
        <f>I17/365+input!$K$3</f>
        <v>1.0410958904109588</v>
      </c>
      <c r="K17" s="4">
        <f t="shared" si="7"/>
        <v>6.9089700048359983</v>
      </c>
      <c r="L17" s="12">
        <f t="shared" si="8"/>
        <v>4.4851691879464628</v>
      </c>
      <c r="M17" s="20">
        <f>input!F16</f>
        <v>48697.75</v>
      </c>
      <c r="N17" s="19">
        <f t="shared" si="9"/>
        <v>0.58658848749653991</v>
      </c>
      <c r="O17" s="19">
        <f t="shared" si="10"/>
        <v>9.9731741728202573E-4</v>
      </c>
      <c r="P17" s="21">
        <v>745</v>
      </c>
      <c r="Q17" s="3">
        <f>P17/365+input!$K$3</f>
        <v>2.0410958904109591</v>
      </c>
      <c r="R17" s="4">
        <f t="shared" si="11"/>
        <v>10.964265447624459</v>
      </c>
      <c r="S17" s="12">
        <f t="shared" si="12"/>
        <v>17.925758140098797</v>
      </c>
      <c r="T17" s="20">
        <f>input!G16</f>
        <v>2335.14</v>
      </c>
      <c r="U17" s="19">
        <f t="shared" si="13"/>
        <v>0.95583470250561053</v>
      </c>
      <c r="V17" s="19">
        <f t="shared" si="0"/>
        <v>0.83254357039637372</v>
      </c>
      <c r="W17" s="21">
        <v>1110</v>
      </c>
      <c r="X17" s="3">
        <f>W17/365+input!$K$3</f>
        <v>3.0410958904109591</v>
      </c>
      <c r="Y17" s="4">
        <f t="shared" si="14"/>
        <v>12.589299260865312</v>
      </c>
      <c r="Z17" s="12">
        <f t="shared" si="15"/>
        <v>27.135859395209948</v>
      </c>
      <c r="AA17" s="20">
        <f>input!H16</f>
        <v>0</v>
      </c>
      <c r="AB17" s="19">
        <f t="shared" si="16"/>
        <v>0.98197554006092014</v>
      </c>
      <c r="AC17" s="19">
        <f t="shared" si="17"/>
        <v>0.99519142618801715</v>
      </c>
      <c r="AD17" s="8">
        <f t="shared" si="18"/>
        <v>0</v>
      </c>
      <c r="AE17" s="8">
        <f t="shared" si="19"/>
        <v>218417.64782231985</v>
      </c>
      <c r="AF17" s="8">
        <f t="shared" si="20"/>
        <v>41859.154863270305</v>
      </c>
      <c r="AG17" s="8">
        <f t="shared" si="21"/>
        <v>0</v>
      </c>
      <c r="AH17" s="8">
        <f t="shared" si="1"/>
        <v>0</v>
      </c>
      <c r="AI17" s="8">
        <f t="shared" si="2"/>
        <v>128121.27767864653</v>
      </c>
      <c r="AJ17" s="8">
        <f t="shared" si="22"/>
        <v>40010.432835870255</v>
      </c>
      <c r="AK17" s="8">
        <f t="shared" si="23"/>
        <v>0</v>
      </c>
      <c r="AL17" s="8">
        <f t="shared" si="24"/>
        <v>0</v>
      </c>
      <c r="AM17" s="8">
        <f t="shared" si="25"/>
        <v>127.77758175334101</v>
      </c>
      <c r="AN17" s="8">
        <f t="shared" si="26"/>
        <v>33310.428606279733</v>
      </c>
      <c r="AO17" s="8">
        <f t="shared" si="27"/>
        <v>0</v>
      </c>
    </row>
    <row r="18" spans="1:41">
      <c r="A18" s="1">
        <v>41745</v>
      </c>
      <c r="B18" s="5">
        <v>16</v>
      </c>
      <c r="C18" s="3">
        <f>B18/365+input!$K$3</f>
        <v>4.3835616438356165E-2</v>
      </c>
      <c r="D18" s="4">
        <f t="shared" si="3"/>
        <v>0</v>
      </c>
      <c r="E18" s="12">
        <f t="shared" si="4"/>
        <v>0</v>
      </c>
      <c r="F18" s="20">
        <f>input!E17</f>
        <v>0</v>
      </c>
      <c r="G18" s="19">
        <f t="shared" si="5"/>
        <v>0</v>
      </c>
      <c r="H18" s="19">
        <f t="shared" si="6"/>
        <v>7.6198530241604755E-24</v>
      </c>
      <c r="I18" s="5">
        <v>381</v>
      </c>
      <c r="J18" s="3">
        <f>I18/365+input!$K$3</f>
        <v>1.0438356164383562</v>
      </c>
      <c r="K18" s="4">
        <f t="shared" si="7"/>
        <v>6.9257279674982506</v>
      </c>
      <c r="L18" s="12">
        <f t="shared" si="8"/>
        <v>4.5178852457969745</v>
      </c>
      <c r="M18" s="20">
        <f>input!F17</f>
        <v>48576.62</v>
      </c>
      <c r="N18" s="19">
        <f t="shared" si="9"/>
        <v>0.59039165672987748</v>
      </c>
      <c r="O18" s="19">
        <f t="shared" si="10"/>
        <v>1.0550846164597207E-3</v>
      </c>
      <c r="P18" s="21">
        <v>746</v>
      </c>
      <c r="Q18" s="3">
        <f>P18/365+input!$K$3</f>
        <v>2.043835616438356</v>
      </c>
      <c r="R18" s="4">
        <f t="shared" si="11"/>
        <v>10.971147201396121</v>
      </c>
      <c r="S18" s="12">
        <f t="shared" si="12"/>
        <v>17.959532796000762</v>
      </c>
      <c r="T18" s="20">
        <f>input!G17</f>
        <v>2265.29</v>
      </c>
      <c r="U18" s="19">
        <f t="shared" si="13"/>
        <v>0.95600200546287395</v>
      </c>
      <c r="V18" s="19">
        <f t="shared" si="0"/>
        <v>0.83426250916305167</v>
      </c>
      <c r="W18" s="21">
        <v>1111</v>
      </c>
      <c r="X18" s="3">
        <f>W18/365+input!$K$3</f>
        <v>3.043835616438356</v>
      </c>
      <c r="Y18" s="4">
        <f t="shared" si="14"/>
        <v>12.589299260865312</v>
      </c>
      <c r="Z18" s="12">
        <f t="shared" si="15"/>
        <v>27.135859395209948</v>
      </c>
      <c r="AA18" s="20">
        <f>input!H17</f>
        <v>0</v>
      </c>
      <c r="AB18" s="19">
        <f t="shared" si="16"/>
        <v>0.98197554006092014</v>
      </c>
      <c r="AC18" s="19">
        <f t="shared" si="17"/>
        <v>0.99519142618801715</v>
      </c>
      <c r="AD18" s="8">
        <f t="shared" si="18"/>
        <v>0</v>
      </c>
      <c r="AE18" s="8">
        <f t="shared" si="19"/>
        <v>219463.59478868623</v>
      </c>
      <c r="AF18" s="8">
        <f t="shared" si="20"/>
        <v>40683.550047452562</v>
      </c>
      <c r="AG18" s="8">
        <f t="shared" si="21"/>
        <v>0</v>
      </c>
      <c r="AH18" s="8">
        <f t="shared" si="1"/>
        <v>0</v>
      </c>
      <c r="AI18" s="8">
        <f t="shared" si="2"/>
        <v>129569.47531918697</v>
      </c>
      <c r="AJ18" s="8">
        <f t="shared" si="22"/>
        <v>38893.555434713846</v>
      </c>
      <c r="AK18" s="8">
        <f t="shared" si="23"/>
        <v>0</v>
      </c>
      <c r="AL18" s="8">
        <f t="shared" si="24"/>
        <v>0</v>
      </c>
      <c r="AM18" s="8">
        <f t="shared" si="25"/>
        <v>136.70676017203164</v>
      </c>
      <c r="AN18" s="8">
        <f t="shared" si="26"/>
        <v>32447.435147236618</v>
      </c>
      <c r="AO18" s="8">
        <f t="shared" si="27"/>
        <v>0</v>
      </c>
    </row>
    <row r="19" spans="1:41">
      <c r="A19" s="1">
        <v>41746</v>
      </c>
      <c r="B19" s="5">
        <v>17</v>
      </c>
      <c r="C19" s="3">
        <f>B19/365+input!$K$3</f>
        <v>4.6575342465753428E-2</v>
      </c>
      <c r="D19" s="4">
        <f t="shared" si="3"/>
        <v>0</v>
      </c>
      <c r="E19" s="12">
        <f t="shared" si="4"/>
        <v>0</v>
      </c>
      <c r="F19" s="20">
        <f>input!E18</f>
        <v>0</v>
      </c>
      <c r="G19" s="19">
        <f t="shared" si="5"/>
        <v>0</v>
      </c>
      <c r="H19" s="19">
        <f t="shared" si="6"/>
        <v>7.6198530241604755E-24</v>
      </c>
      <c r="I19" s="5">
        <v>382</v>
      </c>
      <c r="J19" s="3">
        <f>I19/365+input!$K$3</f>
        <v>1.0465753424657533</v>
      </c>
      <c r="K19" s="4">
        <f t="shared" si="7"/>
        <v>6.9424451180563853</v>
      </c>
      <c r="L19" s="12">
        <f t="shared" si="8"/>
        <v>4.5506797555232481</v>
      </c>
      <c r="M19" s="20">
        <f>input!F18</f>
        <v>48455.8</v>
      </c>
      <c r="N19" s="19">
        <f t="shared" si="9"/>
        <v>0.59415070406149229</v>
      </c>
      <c r="O19" s="19">
        <f t="shared" si="10"/>
        <v>1.1157538713699902E-3</v>
      </c>
      <c r="P19" s="21">
        <v>747</v>
      </c>
      <c r="Q19" s="3">
        <f>P19/365+input!$K$3</f>
        <v>2.0465753424657533</v>
      </c>
      <c r="R19" s="4">
        <f t="shared" si="11"/>
        <v>10.978012195442446</v>
      </c>
      <c r="S19" s="12">
        <f t="shared" si="12"/>
        <v>17.993267440329063</v>
      </c>
      <c r="T19" s="20">
        <f>input!G18</f>
        <v>2259.65</v>
      </c>
      <c r="U19" s="19">
        <f t="shared" si="13"/>
        <v>0.95616826952242739</v>
      </c>
      <c r="V19" s="19">
        <f t="shared" si="0"/>
        <v>0.8359658537901421</v>
      </c>
      <c r="W19" s="21">
        <v>1112</v>
      </c>
      <c r="X19" s="3">
        <f>W19/365+input!$K$3</f>
        <v>3.0465753424657533</v>
      </c>
      <c r="Y19" s="4">
        <f t="shared" si="14"/>
        <v>12.589299260865312</v>
      </c>
      <c r="Z19" s="12">
        <f t="shared" si="15"/>
        <v>27.135859395209948</v>
      </c>
      <c r="AA19" s="20">
        <f>input!H18</f>
        <v>0</v>
      </c>
      <c r="AB19" s="19">
        <f t="shared" si="16"/>
        <v>0.98197554006092014</v>
      </c>
      <c r="AC19" s="19">
        <f t="shared" si="17"/>
        <v>0.99519142618801715</v>
      </c>
      <c r="AD19" s="8">
        <f t="shared" si="18"/>
        <v>0</v>
      </c>
      <c r="AE19" s="8">
        <f t="shared" si="19"/>
        <v>220506.82809768341</v>
      </c>
      <c r="AF19" s="8">
        <f t="shared" si="20"/>
        <v>40658.486771539567</v>
      </c>
      <c r="AG19" s="8">
        <f t="shared" si="21"/>
        <v>0</v>
      </c>
      <c r="AH19" s="8">
        <f t="shared" si="1"/>
        <v>0</v>
      </c>
      <c r="AI19" s="8">
        <f t="shared" si="2"/>
        <v>131014.28716460505</v>
      </c>
      <c r="AJ19" s="8">
        <f t="shared" si="22"/>
        <v>38876.35493774349</v>
      </c>
      <c r="AK19" s="8">
        <f t="shared" si="23"/>
        <v>0</v>
      </c>
      <c r="AL19" s="8">
        <f t="shared" si="24"/>
        <v>0</v>
      </c>
      <c r="AM19" s="8">
        <f t="shared" si="25"/>
        <v>146.17969810868769</v>
      </c>
      <c r="AN19" s="8">
        <f t="shared" si="26"/>
        <v>32499.305247779343</v>
      </c>
      <c r="AO19" s="8">
        <f t="shared" si="27"/>
        <v>0</v>
      </c>
    </row>
    <row r="20" spans="1:41">
      <c r="A20" s="1">
        <v>41747</v>
      </c>
      <c r="B20" s="5">
        <v>18</v>
      </c>
      <c r="C20" s="3">
        <f>B20/365+input!$K$3</f>
        <v>4.9315068493150684E-2</v>
      </c>
      <c r="D20" s="4">
        <f t="shared" si="3"/>
        <v>0</v>
      </c>
      <c r="E20" s="12">
        <f t="shared" si="4"/>
        <v>0</v>
      </c>
      <c r="F20" s="20">
        <f>input!E19</f>
        <v>0</v>
      </c>
      <c r="G20" s="19">
        <f t="shared" si="5"/>
        <v>0</v>
      </c>
      <c r="H20" s="19">
        <f t="shared" si="6"/>
        <v>7.6198530241604755E-24</v>
      </c>
      <c r="I20" s="5">
        <v>383</v>
      </c>
      <c r="J20" s="3">
        <f>I20/365+input!$K$3</f>
        <v>1.0493150684931507</v>
      </c>
      <c r="K20" s="4">
        <f t="shared" si="7"/>
        <v>6.9591215559036241</v>
      </c>
      <c r="L20" s="12">
        <f t="shared" si="8"/>
        <v>4.5835521366270804</v>
      </c>
      <c r="M20" s="20">
        <f>input!F19</f>
        <v>48335.27</v>
      </c>
      <c r="N20" s="19">
        <f t="shared" si="9"/>
        <v>0.59786622489140506</v>
      </c>
      <c r="O20" s="19">
        <f t="shared" si="10"/>
        <v>1.1794452098935601E-3</v>
      </c>
      <c r="P20" s="21">
        <v>748</v>
      </c>
      <c r="Q20" s="3">
        <f>P20/365+input!$K$3</f>
        <v>2.0493150684931507</v>
      </c>
      <c r="R20" s="4">
        <f t="shared" si="11"/>
        <v>10.984860470579832</v>
      </c>
      <c r="S20" s="12">
        <f t="shared" si="12"/>
        <v>18.026961991327241</v>
      </c>
      <c r="T20" s="20">
        <f>input!G19</f>
        <v>2192.84</v>
      </c>
      <c r="U20" s="19">
        <f t="shared" si="13"/>
        <v>0.9563335026608818</v>
      </c>
      <c r="V20" s="19">
        <f t="shared" si="0"/>
        <v>0.83765369373594845</v>
      </c>
      <c r="W20" s="21">
        <v>1113</v>
      </c>
      <c r="X20" s="3">
        <f>W20/365+input!$K$3</f>
        <v>3.0493150684931507</v>
      </c>
      <c r="Y20" s="4">
        <f t="shared" si="14"/>
        <v>12.589299260865312</v>
      </c>
      <c r="Z20" s="12">
        <f t="shared" si="15"/>
        <v>27.135859395209948</v>
      </c>
      <c r="AA20" s="20">
        <f>input!H19</f>
        <v>0</v>
      </c>
      <c r="AB20" s="19">
        <f t="shared" si="16"/>
        <v>0.98197554006092014</v>
      </c>
      <c r="AC20" s="19">
        <f t="shared" si="17"/>
        <v>0.99519142618801715</v>
      </c>
      <c r="AD20" s="8">
        <f t="shared" si="18"/>
        <v>0</v>
      </c>
      <c r="AE20" s="8">
        <f t="shared" si="19"/>
        <v>221547.2300829468</v>
      </c>
      <c r="AF20" s="8">
        <f t="shared" si="20"/>
        <v>39530.243333062026</v>
      </c>
      <c r="AG20" s="8">
        <f t="shared" si="21"/>
        <v>0</v>
      </c>
      <c r="AH20" s="8">
        <f t="shared" si="1"/>
        <v>0</v>
      </c>
      <c r="AI20" s="8">
        <f t="shared" si="2"/>
        <v>132455.60608483895</v>
      </c>
      <c r="AJ20" s="8">
        <f t="shared" si="22"/>
        <v>37804.096067744176</v>
      </c>
      <c r="AK20" s="8">
        <f t="shared" si="23"/>
        <v>0</v>
      </c>
      <c r="AL20" s="8">
        <f t="shared" si="24"/>
        <v>0</v>
      </c>
      <c r="AM20" s="8">
        <f t="shared" si="25"/>
        <v>156.2241301203116</v>
      </c>
      <c r="AN20" s="8">
        <f t="shared" si="26"/>
        <v>31666.740709494552</v>
      </c>
      <c r="AO20" s="8">
        <f t="shared" si="27"/>
        <v>0</v>
      </c>
    </row>
    <row r="21" spans="1:41">
      <c r="A21" s="1">
        <v>41748</v>
      </c>
      <c r="B21" s="5">
        <v>19</v>
      </c>
      <c r="C21" s="3">
        <f>B21/365+input!$K$3</f>
        <v>5.2054794520547946E-2</v>
      </c>
      <c r="D21" s="4">
        <f t="shared" si="3"/>
        <v>0</v>
      </c>
      <c r="E21" s="12">
        <f t="shared" si="4"/>
        <v>0</v>
      </c>
      <c r="F21" s="20">
        <f>input!E20</f>
        <v>0</v>
      </c>
      <c r="G21" s="19">
        <f t="shared" si="5"/>
        <v>0</v>
      </c>
      <c r="H21" s="19">
        <f t="shared" si="6"/>
        <v>7.6198530241604755E-24</v>
      </c>
      <c r="I21" s="5">
        <v>384</v>
      </c>
      <c r="J21" s="3">
        <f>I21/365+input!$K$3</f>
        <v>1.0520547945205478</v>
      </c>
      <c r="K21" s="4">
        <f t="shared" si="7"/>
        <v>6.975757380191121</v>
      </c>
      <c r="L21" s="12">
        <f t="shared" si="8"/>
        <v>4.6165018091501953</v>
      </c>
      <c r="M21" s="20">
        <f>input!F20</f>
        <v>48215.05</v>
      </c>
      <c r="N21" s="19">
        <f t="shared" si="9"/>
        <v>0.60153880557865036</v>
      </c>
      <c r="O21" s="19">
        <f t="shared" si="10"/>
        <v>1.2462822906378972E-3</v>
      </c>
      <c r="P21" s="21">
        <v>749</v>
      </c>
      <c r="Q21" s="3">
        <f>P21/365+input!$K$3</f>
        <v>2.0520547945205481</v>
      </c>
      <c r="R21" s="4">
        <f t="shared" si="11"/>
        <v>10.991692067525271</v>
      </c>
      <c r="S21" s="12">
        <f t="shared" si="12"/>
        <v>18.060616368117948</v>
      </c>
      <c r="T21" s="20">
        <f>input!G20</f>
        <v>2187.38</v>
      </c>
      <c r="U21" s="19">
        <f t="shared" si="13"/>
        <v>0.95649771278272189</v>
      </c>
      <c r="V21" s="19">
        <f t="shared" si="0"/>
        <v>0.8393261191041379</v>
      </c>
      <c r="W21" s="21">
        <v>1114</v>
      </c>
      <c r="X21" s="3">
        <f>W21/365+input!$K$3</f>
        <v>3.0520547945205481</v>
      </c>
      <c r="Y21" s="4">
        <f t="shared" si="14"/>
        <v>12.589299260865312</v>
      </c>
      <c r="Z21" s="12">
        <f t="shared" si="15"/>
        <v>27.135859395209948</v>
      </c>
      <c r="AA21" s="20">
        <f>input!H20</f>
        <v>0</v>
      </c>
      <c r="AB21" s="19">
        <f t="shared" si="16"/>
        <v>0.98197554006092014</v>
      </c>
      <c r="AC21" s="19">
        <f t="shared" si="17"/>
        <v>0.99519142618801715</v>
      </c>
      <c r="AD21" s="8">
        <f t="shared" si="18"/>
        <v>0</v>
      </c>
      <c r="AE21" s="8">
        <f t="shared" si="19"/>
        <v>222584.86555326713</v>
      </c>
      <c r="AF21" s="8">
        <f t="shared" si="20"/>
        <v>39505.43103129384</v>
      </c>
      <c r="AG21" s="8">
        <f t="shared" si="21"/>
        <v>0</v>
      </c>
      <c r="AH21" s="8">
        <f t="shared" si="1"/>
        <v>0</v>
      </c>
      <c r="AI21" s="8">
        <f t="shared" si="2"/>
        <v>133893.43416479678</v>
      </c>
      <c r="AJ21" s="8">
        <f t="shared" si="22"/>
        <v>37786.854423928125</v>
      </c>
      <c r="AK21" s="8">
        <f t="shared" si="23"/>
        <v>0</v>
      </c>
      <c r="AL21" s="8">
        <f t="shared" si="24"/>
        <v>0</v>
      </c>
      <c r="AM21" s="8">
        <f t="shared" si="25"/>
        <v>166.86901583227743</v>
      </c>
      <c r="AN21" s="8">
        <f t="shared" si="26"/>
        <v>31715.49387678862</v>
      </c>
      <c r="AO21" s="8">
        <f t="shared" si="27"/>
        <v>0</v>
      </c>
    </row>
    <row r="22" spans="1:41">
      <c r="A22" s="1">
        <v>41749</v>
      </c>
      <c r="B22" s="5">
        <v>20</v>
      </c>
      <c r="C22" s="3">
        <f>B22/365+input!$K$3</f>
        <v>5.4794520547945202E-2</v>
      </c>
      <c r="D22" s="4">
        <f t="shared" si="3"/>
        <v>0</v>
      </c>
      <c r="E22" s="12">
        <f t="shared" si="4"/>
        <v>0</v>
      </c>
      <c r="F22" s="20">
        <f>input!E21</f>
        <v>0</v>
      </c>
      <c r="G22" s="19">
        <f t="shared" si="5"/>
        <v>0</v>
      </c>
      <c r="H22" s="19">
        <f t="shared" si="6"/>
        <v>7.6198530241604755E-24</v>
      </c>
      <c r="I22" s="5">
        <v>385</v>
      </c>
      <c r="J22" s="3">
        <f>I22/365+input!$K$3</f>
        <v>1.0547945205479452</v>
      </c>
      <c r="K22" s="4">
        <f t="shared" si="7"/>
        <v>6.9923526898285662</v>
      </c>
      <c r="L22" s="12">
        <f t="shared" si="8"/>
        <v>4.6495281936973845</v>
      </c>
      <c r="M22" s="20">
        <f>input!F21</f>
        <v>48095.12</v>
      </c>
      <c r="N22" s="19">
        <f t="shared" si="9"/>
        <v>0.60516902359263214</v>
      </c>
      <c r="O22" s="19">
        <f t="shared" si="10"/>
        <v>1.3163924515549076E-3</v>
      </c>
      <c r="P22" s="21">
        <v>750</v>
      </c>
      <c r="Q22" s="3">
        <f>P22/365+input!$K$3</f>
        <v>2.0547945205479454</v>
      </c>
      <c r="R22" s="4">
        <f t="shared" si="11"/>
        <v>10.998507026896593</v>
      </c>
      <c r="S22" s="12">
        <f t="shared" si="12"/>
        <v>18.09423049069899</v>
      </c>
      <c r="T22" s="20">
        <f>input!G21</f>
        <v>2122.81</v>
      </c>
      <c r="U22" s="19">
        <f t="shared" si="13"/>
        <v>0.95666090772104828</v>
      </c>
      <c r="V22" s="19">
        <f t="shared" si="0"/>
        <v>0.84098322061254016</v>
      </c>
      <c r="W22" s="21">
        <v>1115</v>
      </c>
      <c r="X22" s="3">
        <f>W22/365+input!$K$3</f>
        <v>3.0547945205479454</v>
      </c>
      <c r="Y22" s="4">
        <f t="shared" si="14"/>
        <v>12.589299260865312</v>
      </c>
      <c r="Z22" s="12">
        <f t="shared" si="15"/>
        <v>27.135859395209948</v>
      </c>
      <c r="AA22" s="20">
        <f>input!H21</f>
        <v>0</v>
      </c>
      <c r="AB22" s="19">
        <f t="shared" si="16"/>
        <v>0.98197554006092014</v>
      </c>
      <c r="AC22" s="19">
        <f t="shared" si="17"/>
        <v>0.99519142618801715</v>
      </c>
      <c r="AD22" s="8">
        <f t="shared" si="18"/>
        <v>0</v>
      </c>
      <c r="AE22" s="8">
        <f t="shared" si="19"/>
        <v>223619.61641925896</v>
      </c>
      <c r="AF22" s="8">
        <f t="shared" si="20"/>
        <v>38410.613427960721</v>
      </c>
      <c r="AG22" s="8">
        <f t="shared" si="21"/>
        <v>0</v>
      </c>
      <c r="AH22" s="8">
        <f t="shared" si="1"/>
        <v>0</v>
      </c>
      <c r="AI22" s="8">
        <f t="shared" si="2"/>
        <v>135327.66492460188</v>
      </c>
      <c r="AJ22" s="8">
        <f t="shared" si="22"/>
        <v>36745.932308115189</v>
      </c>
      <c r="AK22" s="8">
        <f t="shared" si="23"/>
        <v>0</v>
      </c>
      <c r="AL22" s="8">
        <f t="shared" si="24"/>
        <v>0</v>
      </c>
      <c r="AM22" s="8">
        <f t="shared" si="25"/>
        <v>178.14431659329776</v>
      </c>
      <c r="AN22" s="8">
        <f t="shared" si="26"/>
        <v>30902.712496889104</v>
      </c>
      <c r="AO22" s="8">
        <f t="shared" si="27"/>
        <v>0</v>
      </c>
    </row>
    <row r="23" spans="1:41">
      <c r="A23" s="1">
        <v>41750</v>
      </c>
      <c r="B23" s="5">
        <v>21</v>
      </c>
      <c r="C23" s="3">
        <f>B23/365+input!$K$3</f>
        <v>5.7534246575342465E-2</v>
      </c>
      <c r="D23" s="4">
        <f t="shared" si="3"/>
        <v>0</v>
      </c>
      <c r="E23" s="12">
        <f t="shared" si="4"/>
        <v>0</v>
      </c>
      <c r="F23" s="20">
        <f>input!E22</f>
        <v>0</v>
      </c>
      <c r="G23" s="19">
        <f t="shared" si="5"/>
        <v>0</v>
      </c>
      <c r="H23" s="19">
        <f t="shared" si="6"/>
        <v>7.6198530241604755E-24</v>
      </c>
      <c r="I23" s="5">
        <v>386</v>
      </c>
      <c r="J23" s="3">
        <f>I23/365+input!$K$3</f>
        <v>1.0575342465753426</v>
      </c>
      <c r="K23" s="4">
        <f t="shared" si="7"/>
        <v>7.0089075834847581</v>
      </c>
      <c r="L23" s="12">
        <f t="shared" si="8"/>
        <v>4.6826307114592689</v>
      </c>
      <c r="M23" s="20">
        <f>input!F22</f>
        <v>47975.49</v>
      </c>
      <c r="N23" s="19">
        <f t="shared" si="9"/>
        <v>0.60875744766171702</v>
      </c>
      <c r="O23" s="19">
        <f t="shared" si="10"/>
        <v>1.3899067565592185E-3</v>
      </c>
      <c r="P23" s="21">
        <v>751</v>
      </c>
      <c r="Q23" s="3">
        <f>P23/365+input!$K$3</f>
        <v>2.0575342465753423</v>
      </c>
      <c r="R23" s="4">
        <f t="shared" si="11"/>
        <v>11.00530538921271</v>
      </c>
      <c r="S23" s="12">
        <f t="shared" si="12"/>
        <v>18.127804279939244</v>
      </c>
      <c r="T23" s="20">
        <f>input!G22</f>
        <v>2117.5300000000002</v>
      </c>
      <c r="U23" s="19">
        <f t="shared" si="13"/>
        <v>0.95682309523831188</v>
      </c>
      <c r="V23" s="19">
        <f t="shared" si="0"/>
        <v>0.84262508956244908</v>
      </c>
      <c r="W23" s="21">
        <v>1116</v>
      </c>
      <c r="X23" s="3">
        <f>W23/365+input!$K$3</f>
        <v>3.0575342465753423</v>
      </c>
      <c r="Y23" s="4">
        <f t="shared" si="14"/>
        <v>12.589299260865312</v>
      </c>
      <c r="Z23" s="12">
        <f t="shared" si="15"/>
        <v>27.135859395209948</v>
      </c>
      <c r="AA23" s="20">
        <f>input!H22</f>
        <v>0</v>
      </c>
      <c r="AB23" s="19">
        <f t="shared" si="16"/>
        <v>0.98197554006092014</v>
      </c>
      <c r="AC23" s="19">
        <f t="shared" si="17"/>
        <v>0.99519142618801715</v>
      </c>
      <c r="AD23" s="8">
        <f t="shared" si="18"/>
        <v>0</v>
      </c>
      <c r="AE23" s="8">
        <f t="shared" si="19"/>
        <v>224651.50287130702</v>
      </c>
      <c r="AF23" s="8">
        <f t="shared" si="20"/>
        <v>38386.16939689975</v>
      </c>
      <c r="AG23" s="8">
        <f t="shared" si="21"/>
        <v>0</v>
      </c>
      <c r="AH23" s="8">
        <f t="shared" si="1"/>
        <v>0</v>
      </c>
      <c r="AI23" s="8">
        <f t="shared" si="2"/>
        <v>136758.27550130576</v>
      </c>
      <c r="AJ23" s="8">
        <f t="shared" si="22"/>
        <v>36728.773416683784</v>
      </c>
      <c r="AK23" s="8">
        <f t="shared" si="23"/>
        <v>0</v>
      </c>
      <c r="AL23" s="8">
        <f t="shared" si="24"/>
        <v>0</v>
      </c>
      <c r="AM23" s="8">
        <f t="shared" si="25"/>
        <v>190.08125113465192</v>
      </c>
      <c r="AN23" s="8">
        <f t="shared" si="26"/>
        <v>30948.585989752071</v>
      </c>
      <c r="AO23" s="8">
        <f t="shared" si="27"/>
        <v>0</v>
      </c>
    </row>
    <row r="24" spans="1:41">
      <c r="A24" s="1">
        <v>41751</v>
      </c>
      <c r="B24" s="5">
        <v>22</v>
      </c>
      <c r="C24" s="3">
        <f>B24/365+input!$K$3</f>
        <v>6.0273972602739728E-2</v>
      </c>
      <c r="D24" s="4">
        <f t="shared" si="3"/>
        <v>0</v>
      </c>
      <c r="E24" s="12">
        <f t="shared" si="4"/>
        <v>0</v>
      </c>
      <c r="F24" s="20">
        <f>input!E23</f>
        <v>0</v>
      </c>
      <c r="G24" s="19">
        <f t="shared" si="5"/>
        <v>0</v>
      </c>
      <c r="H24" s="19">
        <f t="shared" si="6"/>
        <v>7.6198530241604755E-24</v>
      </c>
      <c r="I24" s="5">
        <v>387</v>
      </c>
      <c r="J24" s="3">
        <f>I24/365+input!$K$3</f>
        <v>1.0602739726027397</v>
      </c>
      <c r="K24" s="4">
        <f t="shared" si="7"/>
        <v>7.0254221595882047</v>
      </c>
      <c r="L24" s="12">
        <f t="shared" si="8"/>
        <v>4.7158087842347998</v>
      </c>
      <c r="M24" s="20">
        <f>input!F23</f>
        <v>47856.160000000003</v>
      </c>
      <c r="N24" s="19">
        <f t="shared" si="9"/>
        <v>0.61230463791913592</v>
      </c>
      <c r="O24" s="19">
        <f t="shared" si="10"/>
        <v>1.4669600400267473E-3</v>
      </c>
      <c r="P24" s="21">
        <v>752</v>
      </c>
      <c r="Q24" s="3">
        <f>P24/365+input!$K$3</f>
        <v>2.0602739726027397</v>
      </c>
      <c r="R24" s="4">
        <f t="shared" si="11"/>
        <v>11.012087194893859</v>
      </c>
      <c r="S24" s="12">
        <f t="shared" si="12"/>
        <v>18.161337657574666</v>
      </c>
      <c r="T24" s="20">
        <f>input!G23</f>
        <v>2053.96</v>
      </c>
      <c r="U24" s="19">
        <f t="shared" si="13"/>
        <v>0.95698428302703942</v>
      </c>
      <c r="V24" s="19">
        <f t="shared" si="0"/>
        <v>0.84425181780842795</v>
      </c>
      <c r="W24" s="21">
        <v>1117</v>
      </c>
      <c r="X24" s="3">
        <f>W24/365+input!$K$3</f>
        <v>3.0602739726027397</v>
      </c>
      <c r="Y24" s="4">
        <f t="shared" si="14"/>
        <v>12.589299260865312</v>
      </c>
      <c r="Z24" s="12">
        <f t="shared" si="15"/>
        <v>27.135859395209948</v>
      </c>
      <c r="AA24" s="20">
        <f>input!H23</f>
        <v>0</v>
      </c>
      <c r="AB24" s="19">
        <f t="shared" si="16"/>
        <v>0.98197554006092014</v>
      </c>
      <c r="AC24" s="19">
        <f t="shared" si="17"/>
        <v>0.99519142618801715</v>
      </c>
      <c r="AD24" s="8">
        <f t="shared" si="18"/>
        <v>0</v>
      </c>
      <c r="AE24" s="8">
        <f t="shared" si="19"/>
        <v>225680.49970774606</v>
      </c>
      <c r="AF24" s="8">
        <f t="shared" si="20"/>
        <v>37302.661095152063</v>
      </c>
      <c r="AG24" s="8">
        <f t="shared" si="21"/>
        <v>0</v>
      </c>
      <c r="AH24" s="8">
        <f t="shared" si="1"/>
        <v>0</v>
      </c>
      <c r="AI24" s="8">
        <f t="shared" si="2"/>
        <v>138185.21665896112</v>
      </c>
      <c r="AJ24" s="8">
        <f t="shared" si="22"/>
        <v>35698.060383144737</v>
      </c>
      <c r="AK24" s="8">
        <f t="shared" si="23"/>
        <v>0</v>
      </c>
      <c r="AL24" s="8">
        <f t="shared" si="24"/>
        <v>0</v>
      </c>
      <c r="AM24" s="8">
        <f t="shared" si="25"/>
        <v>202.71219096113435</v>
      </c>
      <c r="AN24" s="8">
        <f t="shared" si="26"/>
        <v>30138.152370704971</v>
      </c>
      <c r="AO24" s="8">
        <f t="shared" si="27"/>
        <v>0</v>
      </c>
    </row>
    <row r="25" spans="1:41">
      <c r="A25" s="1">
        <v>41752</v>
      </c>
      <c r="B25" s="5">
        <v>23</v>
      </c>
      <c r="C25" s="3">
        <f>B25/365+input!$K$3</f>
        <v>6.3013698630136991E-2</v>
      </c>
      <c r="D25" s="4">
        <f t="shared" si="3"/>
        <v>0</v>
      </c>
      <c r="E25" s="12">
        <f t="shared" si="4"/>
        <v>0</v>
      </c>
      <c r="F25" s="20">
        <f>input!E24</f>
        <v>0</v>
      </c>
      <c r="G25" s="19">
        <f t="shared" si="5"/>
        <v>0</v>
      </c>
      <c r="H25" s="19">
        <f t="shared" si="6"/>
        <v>7.6198530241604755E-24</v>
      </c>
      <c r="I25" s="5">
        <v>388</v>
      </c>
      <c r="J25" s="3">
        <f>I25/365+input!$K$3</f>
        <v>1.0630136986301371</v>
      </c>
      <c r="K25" s="4">
        <f t="shared" si="7"/>
        <v>7.0418965163277063</v>
      </c>
      <c r="L25" s="12">
        <f t="shared" si="8"/>
        <v>4.7490618344534035</v>
      </c>
      <c r="M25" s="20">
        <f>input!F24</f>
        <v>47737.13</v>
      </c>
      <c r="N25" s="19">
        <f t="shared" si="9"/>
        <v>0.61581114604623022</v>
      </c>
      <c r="O25" s="19">
        <f t="shared" si="10"/>
        <v>1.5476909490528214E-3</v>
      </c>
      <c r="P25" s="21">
        <v>753</v>
      </c>
      <c r="Q25" s="3">
        <f>P25/365+input!$K$3</f>
        <v>2.0630136986301371</v>
      </c>
      <c r="R25" s="4">
        <f t="shared" si="11"/>
        <v>11.018852484261828</v>
      </c>
      <c r="S25" s="12">
        <f t="shared" si="12"/>
        <v>18.19483054620417</v>
      </c>
      <c r="T25" s="20">
        <f>input!G24</f>
        <v>2048.85</v>
      </c>
      <c r="U25" s="19">
        <f t="shared" si="13"/>
        <v>0.95714447871055064</v>
      </c>
      <c r="V25" s="19">
        <f t="shared" si="0"/>
        <v>0.84586349772861313</v>
      </c>
      <c r="W25" s="21">
        <v>1118</v>
      </c>
      <c r="X25" s="3">
        <f>W25/365+input!$K$3</f>
        <v>3.0630136986301371</v>
      </c>
      <c r="Y25" s="4">
        <f t="shared" si="14"/>
        <v>12.589299260865312</v>
      </c>
      <c r="Z25" s="12">
        <f t="shared" si="15"/>
        <v>27.135859395209948</v>
      </c>
      <c r="AA25" s="20">
        <f>input!H24</f>
        <v>0</v>
      </c>
      <c r="AB25" s="19">
        <f t="shared" si="16"/>
        <v>0.98197554006092014</v>
      </c>
      <c r="AC25" s="19">
        <f t="shared" si="17"/>
        <v>0.99519142618801715</v>
      </c>
      <c r="AD25" s="8">
        <f t="shared" si="18"/>
        <v>0</v>
      </c>
      <c r="AE25" s="8">
        <f t="shared" si="19"/>
        <v>226706.58216934057</v>
      </c>
      <c r="AF25" s="8">
        <f t="shared" si="20"/>
        <v>37278.478564590412</v>
      </c>
      <c r="AG25" s="8">
        <f t="shared" si="21"/>
        <v>0</v>
      </c>
      <c r="AH25" s="8">
        <f t="shared" si="1"/>
        <v>0</v>
      </c>
      <c r="AI25" s="8">
        <f t="shared" si="2"/>
        <v>139608.44018192549</v>
      </c>
      <c r="AJ25" s="8">
        <f t="shared" si="22"/>
        <v>35680.889932827326</v>
      </c>
      <c r="AK25" s="8">
        <f t="shared" si="23"/>
        <v>0</v>
      </c>
      <c r="AL25" s="8">
        <f t="shared" si="24"/>
        <v>0</v>
      </c>
      <c r="AM25" s="8">
        <f t="shared" si="25"/>
        <v>216.07071928094828</v>
      </c>
      <c r="AN25" s="8">
        <f t="shared" si="26"/>
        <v>30181.162360650982</v>
      </c>
      <c r="AO25" s="8">
        <f t="shared" si="27"/>
        <v>0</v>
      </c>
    </row>
    <row r="26" spans="1:41">
      <c r="A26" s="1">
        <v>41753</v>
      </c>
      <c r="B26" s="5">
        <v>24</v>
      </c>
      <c r="C26" s="3">
        <f>B26/365+input!$K$3</f>
        <v>6.575342465753424E-2</v>
      </c>
      <c r="D26" s="4">
        <f t="shared" si="3"/>
        <v>0</v>
      </c>
      <c r="E26" s="12">
        <f t="shared" si="4"/>
        <v>0</v>
      </c>
      <c r="F26" s="20">
        <f>input!E25</f>
        <v>0</v>
      </c>
      <c r="G26" s="19">
        <f t="shared" si="5"/>
        <v>0</v>
      </c>
      <c r="H26" s="19">
        <f t="shared" si="6"/>
        <v>7.6198530241604755E-24</v>
      </c>
      <c r="I26" s="5">
        <v>389</v>
      </c>
      <c r="J26" s="3">
        <f>I26/365+input!$K$3</f>
        <v>1.0657534246575342</v>
      </c>
      <c r="K26" s="4">
        <f t="shared" si="7"/>
        <v>7.0583307516529192</v>
      </c>
      <c r="L26" s="12">
        <f t="shared" si="8"/>
        <v>4.7823892851967909</v>
      </c>
      <c r="M26" s="20">
        <f>input!F25</f>
        <v>47618.39</v>
      </c>
      <c r="N26" s="19">
        <f t="shared" si="9"/>
        <v>0.61927751541310305</v>
      </c>
      <c r="O26" s="19">
        <f t="shared" si="10"/>
        <v>1.6322419833496291E-3</v>
      </c>
      <c r="P26" s="21">
        <v>754</v>
      </c>
      <c r="Q26" s="3">
        <f>P26/365+input!$K$3</f>
        <v>2.0657534246575344</v>
      </c>
      <c r="R26" s="4">
        <f t="shared" si="11"/>
        <v>11.025601297540215</v>
      </c>
      <c r="S26" s="12">
        <f t="shared" si="12"/>
        <v>18.228282869285728</v>
      </c>
      <c r="T26" s="20">
        <f>input!G25</f>
        <v>1988.16</v>
      </c>
      <c r="U26" s="19">
        <f t="shared" si="13"/>
        <v>0.95730368984366798</v>
      </c>
      <c r="V26" s="19">
        <f t="shared" si="0"/>
        <v>0.84746022219552652</v>
      </c>
      <c r="W26" s="21">
        <v>1119</v>
      </c>
      <c r="X26" s="3">
        <f>W26/365+input!$K$3</f>
        <v>3.0657534246575344</v>
      </c>
      <c r="Y26" s="4">
        <f t="shared" si="14"/>
        <v>12.589299260865312</v>
      </c>
      <c r="Z26" s="12">
        <f t="shared" si="15"/>
        <v>27.135859395209948</v>
      </c>
      <c r="AA26" s="20">
        <f>input!H25</f>
        <v>0</v>
      </c>
      <c r="AB26" s="19">
        <f t="shared" si="16"/>
        <v>0.98197554006092014</v>
      </c>
      <c r="AC26" s="19">
        <f t="shared" si="17"/>
        <v>0.99519142618801715</v>
      </c>
      <c r="AD26" s="8">
        <f t="shared" si="18"/>
        <v>0</v>
      </c>
      <c r="AE26" s="8">
        <f t="shared" si="19"/>
        <v>227729.67811432201</v>
      </c>
      <c r="AF26" s="8">
        <f t="shared" si="20"/>
        <v>36240.742869399117</v>
      </c>
      <c r="AG26" s="8">
        <f t="shared" si="21"/>
        <v>0</v>
      </c>
      <c r="AH26" s="8">
        <f t="shared" si="1"/>
        <v>0</v>
      </c>
      <c r="AI26" s="8">
        <f t="shared" si="2"/>
        <v>141027.86924846304</v>
      </c>
      <c r="AJ26" s="8">
        <f t="shared" si="22"/>
        <v>34693.396871551377</v>
      </c>
      <c r="AK26" s="8">
        <f t="shared" si="23"/>
        <v>0</v>
      </c>
      <c r="AL26" s="8">
        <f t="shared" si="24"/>
        <v>0</v>
      </c>
      <c r="AM26" s="8">
        <f t="shared" si="25"/>
        <v>230.1916090096835</v>
      </c>
      <c r="AN26" s="8">
        <f t="shared" si="26"/>
        <v>29401.273821482515</v>
      </c>
      <c r="AO26" s="8">
        <f t="shared" si="27"/>
        <v>0</v>
      </c>
    </row>
    <row r="27" spans="1:41">
      <c r="A27" s="1">
        <v>41754</v>
      </c>
      <c r="B27" s="5">
        <v>25</v>
      </c>
      <c r="C27" s="3">
        <f>B27/365+input!$K$3</f>
        <v>6.8493150684931503E-2</v>
      </c>
      <c r="D27" s="4">
        <f t="shared" si="3"/>
        <v>0</v>
      </c>
      <c r="E27" s="12">
        <f t="shared" si="4"/>
        <v>0</v>
      </c>
      <c r="F27" s="20">
        <f>input!E26</f>
        <v>0</v>
      </c>
      <c r="G27" s="19">
        <f t="shared" si="5"/>
        <v>0</v>
      </c>
      <c r="H27" s="19">
        <f t="shared" si="6"/>
        <v>7.6198530241604755E-24</v>
      </c>
      <c r="I27" s="5">
        <v>390</v>
      </c>
      <c r="J27" s="3">
        <f>I27/365+input!$K$3</f>
        <v>1.0684931506849316</v>
      </c>
      <c r="K27" s="4">
        <f t="shared" si="7"/>
        <v>7.074724963274976</v>
      </c>
      <c r="L27" s="12">
        <f t="shared" si="8"/>
        <v>4.815790560220564</v>
      </c>
      <c r="M27" s="20">
        <f>input!F26</f>
        <v>47499.95</v>
      </c>
      <c r="N27" s="19">
        <f t="shared" si="9"/>
        <v>0.62270428121673294</v>
      </c>
      <c r="O27" s="19">
        <f t="shared" si="10"/>
        <v>1.7207595326638187E-3</v>
      </c>
      <c r="P27" s="21">
        <v>755</v>
      </c>
      <c r="Q27" s="3">
        <f>P27/365+input!$K$3</f>
        <v>2.0684931506849313</v>
      </c>
      <c r="R27" s="4">
        <f t="shared" si="11"/>
        <v>11.03233367485465</v>
      </c>
      <c r="S27" s="12">
        <f t="shared" si="12"/>
        <v>18.261694551132258</v>
      </c>
      <c r="T27" s="20">
        <f>input!G26</f>
        <v>1983.22</v>
      </c>
      <c r="U27" s="19">
        <f t="shared" si="13"/>
        <v>0.95746192391341678</v>
      </c>
      <c r="V27" s="19">
        <f t="shared" si="0"/>
        <v>0.8490420845473805</v>
      </c>
      <c r="W27" s="21">
        <v>1120</v>
      </c>
      <c r="X27" s="3">
        <f>W27/365+input!$K$3</f>
        <v>3.0684931506849313</v>
      </c>
      <c r="Y27" s="4">
        <f t="shared" si="14"/>
        <v>12.589299260865312</v>
      </c>
      <c r="Z27" s="12">
        <f t="shared" si="15"/>
        <v>27.135859395209948</v>
      </c>
      <c r="AA27" s="20">
        <f>input!H26</f>
        <v>0</v>
      </c>
      <c r="AB27" s="19">
        <f t="shared" si="16"/>
        <v>0.98197554006092014</v>
      </c>
      <c r="AC27" s="19">
        <f t="shared" si="17"/>
        <v>0.99519142618801715</v>
      </c>
      <c r="AD27" s="8">
        <f t="shared" si="18"/>
        <v>0</v>
      </c>
      <c r="AE27" s="8">
        <f t="shared" si="19"/>
        <v>228749.81082094877</v>
      </c>
      <c r="AF27" s="8">
        <f t="shared" si="20"/>
        <v>36216.957867696517</v>
      </c>
      <c r="AG27" s="8">
        <f t="shared" si="21"/>
        <v>0</v>
      </c>
      <c r="AH27" s="8">
        <f t="shared" si="1"/>
        <v>0</v>
      </c>
      <c r="AI27" s="8">
        <f t="shared" si="2"/>
        <v>142443.48652572255</v>
      </c>
      <c r="AJ27" s="8">
        <f t="shared" si="22"/>
        <v>34676.358158295865</v>
      </c>
      <c r="AK27" s="8">
        <f t="shared" si="23"/>
        <v>0</v>
      </c>
      <c r="AL27" s="8">
        <f t="shared" si="24"/>
        <v>0</v>
      </c>
      <c r="AM27" s="8">
        <f t="shared" si="25"/>
        <v>245.11098730500728</v>
      </c>
      <c r="AN27" s="8">
        <f t="shared" si="26"/>
        <v>29441.687415231085</v>
      </c>
      <c r="AO27" s="8">
        <f t="shared" si="27"/>
        <v>0</v>
      </c>
    </row>
    <row r="28" spans="1:41">
      <c r="A28" s="1">
        <v>41755</v>
      </c>
      <c r="B28" s="5">
        <v>26</v>
      </c>
      <c r="C28" s="3">
        <f>B28/365+input!$K$3</f>
        <v>7.1232876712328766E-2</v>
      </c>
      <c r="D28" s="4">
        <f t="shared" si="3"/>
        <v>0</v>
      </c>
      <c r="E28" s="12">
        <f t="shared" si="4"/>
        <v>0</v>
      </c>
      <c r="F28" s="20">
        <f>input!E27</f>
        <v>0</v>
      </c>
      <c r="G28" s="19">
        <f t="shared" si="5"/>
        <v>0</v>
      </c>
      <c r="H28" s="19">
        <f t="shared" si="6"/>
        <v>7.6198530241604755E-24</v>
      </c>
      <c r="I28" s="5">
        <v>391</v>
      </c>
      <c r="J28" s="3">
        <f>I28/365+input!$K$3</f>
        <v>1.0712328767123287</v>
      </c>
      <c r="K28" s="4">
        <f t="shared" si="7"/>
        <v>7.091079248667028</v>
      </c>
      <c r="L28" s="12">
        <f t="shared" si="8"/>
        <v>4.8492650839753635</v>
      </c>
      <c r="M28" s="20">
        <f>input!F27</f>
        <v>47381.8</v>
      </c>
      <c r="N28" s="19">
        <f t="shared" si="9"/>
        <v>0.62609197061657884</v>
      </c>
      <c r="O28" s="19">
        <f t="shared" si="10"/>
        <v>1.8133939115946511E-3</v>
      </c>
      <c r="P28" s="21">
        <v>756</v>
      </c>
      <c r="Q28" s="3">
        <f>P28/365+input!$K$3</f>
        <v>2.0712328767123287</v>
      </c>
      <c r="R28" s="4">
        <f t="shared" si="11"/>
        <v>11.03904965623305</v>
      </c>
      <c r="S28" s="12">
        <f t="shared" si="12"/>
        <v>18.295065516907737</v>
      </c>
      <c r="T28" s="20">
        <f>input!G27</f>
        <v>1924.09</v>
      </c>
      <c r="U28" s="19">
        <f t="shared" si="13"/>
        <v>0.95761918833971937</v>
      </c>
      <c r="V28" s="19">
        <f t="shared" si="0"/>
        <v>0.85060917855988749</v>
      </c>
      <c r="W28" s="21">
        <v>1121</v>
      </c>
      <c r="X28" s="3">
        <f>W28/365+input!$K$3</f>
        <v>3.0712328767123287</v>
      </c>
      <c r="Y28" s="4">
        <f t="shared" si="14"/>
        <v>12.589299260865312</v>
      </c>
      <c r="Z28" s="12">
        <f t="shared" si="15"/>
        <v>27.135859395209948</v>
      </c>
      <c r="AA28" s="20">
        <f>input!H27</f>
        <v>0</v>
      </c>
      <c r="AB28" s="19">
        <f t="shared" si="16"/>
        <v>0.98197554006092014</v>
      </c>
      <c r="AC28" s="19">
        <f t="shared" si="17"/>
        <v>0.99519142618801715</v>
      </c>
      <c r="AD28" s="8">
        <f t="shared" si="18"/>
        <v>0</v>
      </c>
      <c r="AE28" s="8">
        <f t="shared" si="19"/>
        <v>229766.9083559039</v>
      </c>
      <c r="AF28" s="8">
        <f t="shared" si="20"/>
        <v>35201.352610427006</v>
      </c>
      <c r="AG28" s="8">
        <f t="shared" si="21"/>
        <v>0</v>
      </c>
      <c r="AH28" s="8">
        <f t="shared" si="1"/>
        <v>0</v>
      </c>
      <c r="AI28" s="8">
        <f t="shared" si="2"/>
        <v>143855.21643502676</v>
      </c>
      <c r="AJ28" s="8">
        <f t="shared" si="22"/>
        <v>33709.490715257372</v>
      </c>
      <c r="AK28" s="8">
        <f t="shared" si="23"/>
        <v>0</v>
      </c>
      <c r="AL28" s="8">
        <f t="shared" si="24"/>
        <v>0</v>
      </c>
      <c r="AM28" s="8">
        <f t="shared" si="25"/>
        <v>260.86617363440831</v>
      </c>
      <c r="AN28" s="8">
        <f t="shared" si="26"/>
        <v>28673.602206977226</v>
      </c>
      <c r="AO28" s="8">
        <f t="shared" si="27"/>
        <v>0</v>
      </c>
    </row>
    <row r="29" spans="1:41">
      <c r="A29" s="1">
        <v>41756</v>
      </c>
      <c r="B29" s="5">
        <v>27</v>
      </c>
      <c r="C29" s="3">
        <f>B29/365+input!$K$3</f>
        <v>7.3972602739726029E-2</v>
      </c>
      <c r="D29" s="4">
        <f t="shared" si="3"/>
        <v>0</v>
      </c>
      <c r="E29" s="12">
        <f t="shared" si="4"/>
        <v>0</v>
      </c>
      <c r="F29" s="20">
        <f>input!E28</f>
        <v>0</v>
      </c>
      <c r="G29" s="19">
        <f t="shared" si="5"/>
        <v>0</v>
      </c>
      <c r="H29" s="19">
        <f t="shared" si="6"/>
        <v>7.6198530241604755E-24</v>
      </c>
      <c r="I29" s="5">
        <v>392</v>
      </c>
      <c r="J29" s="3">
        <f>I29/365+input!$K$3</f>
        <v>1.0739726027397261</v>
      </c>
      <c r="K29" s="4">
        <f t="shared" si="7"/>
        <v>7.1073937050648537</v>
      </c>
      <c r="L29" s="12">
        <f t="shared" si="8"/>
        <v>4.8828122816278503</v>
      </c>
      <c r="M29" s="20">
        <f>input!F28</f>
        <v>47263.95</v>
      </c>
      <c r="N29" s="19">
        <f t="shared" si="9"/>
        <v>0.62944110286774912</v>
      </c>
      <c r="O29" s="19">
        <f t="shared" si="10"/>
        <v>1.9102993916956445E-3</v>
      </c>
      <c r="P29" s="21">
        <v>757</v>
      </c>
      <c r="Q29" s="3">
        <f>P29/365+input!$K$3</f>
        <v>2.0739726027397261</v>
      </c>
      <c r="R29" s="4">
        <f t="shared" si="11"/>
        <v>11.045749281605843</v>
      </c>
      <c r="S29" s="12">
        <f t="shared" si="12"/>
        <v>18.328395692623097</v>
      </c>
      <c r="T29" s="20">
        <f>input!G28</f>
        <v>1919.3</v>
      </c>
      <c r="U29" s="19">
        <f t="shared" si="13"/>
        <v>0.95777549047607924</v>
      </c>
      <c r="V29" s="19">
        <f t="shared" si="0"/>
        <v>0.85216159841855954</v>
      </c>
      <c r="W29" s="21">
        <v>1122</v>
      </c>
      <c r="X29" s="3">
        <f>W29/365+input!$K$3</f>
        <v>3.0739726027397261</v>
      </c>
      <c r="Y29" s="4">
        <f t="shared" si="14"/>
        <v>12.589299260865312</v>
      </c>
      <c r="Z29" s="12">
        <f t="shared" si="15"/>
        <v>27.135859395209948</v>
      </c>
      <c r="AA29" s="20">
        <f>input!H28</f>
        <v>0</v>
      </c>
      <c r="AB29" s="19">
        <f t="shared" si="16"/>
        <v>0.98197554006092014</v>
      </c>
      <c r="AC29" s="19">
        <f t="shared" si="17"/>
        <v>0.99519142618801715</v>
      </c>
      <c r="AD29" s="8">
        <f t="shared" si="18"/>
        <v>0</v>
      </c>
      <c r="AE29" s="8">
        <f t="shared" si="19"/>
        <v>230780.99553824464</v>
      </c>
      <c r="AF29" s="8">
        <f t="shared" si="20"/>
        <v>35177.689852851508</v>
      </c>
      <c r="AG29" s="8">
        <f t="shared" si="21"/>
        <v>0</v>
      </c>
      <c r="AH29" s="8">
        <f t="shared" si="1"/>
        <v>0</v>
      </c>
      <c r="AI29" s="8">
        <f t="shared" si="2"/>
        <v>145263.04435250978</v>
      </c>
      <c r="AJ29" s="8">
        <f t="shared" si="22"/>
        <v>33692.329152630249</v>
      </c>
      <c r="AK29" s="8">
        <f t="shared" si="23"/>
        <v>0</v>
      </c>
      <c r="AL29" s="8">
        <f t="shared" si="24"/>
        <v>0</v>
      </c>
      <c r="AM29" s="8">
        <f t="shared" si="25"/>
        <v>277.49590526245686</v>
      </c>
      <c r="AN29" s="8">
        <f t="shared" si="26"/>
        <v>28711.309065149624</v>
      </c>
      <c r="AO29" s="8">
        <f t="shared" si="27"/>
        <v>0</v>
      </c>
    </row>
    <row r="30" spans="1:41">
      <c r="A30" s="1">
        <v>41757</v>
      </c>
      <c r="B30" s="5">
        <v>28</v>
      </c>
      <c r="C30" s="3">
        <f>B30/365+input!$K$3</f>
        <v>7.6712328767123292E-2</v>
      </c>
      <c r="D30" s="4">
        <f t="shared" si="3"/>
        <v>0</v>
      </c>
      <c r="E30" s="12">
        <f t="shared" si="4"/>
        <v>0</v>
      </c>
      <c r="F30" s="20">
        <f>input!E29</f>
        <v>0</v>
      </c>
      <c r="G30" s="19">
        <f t="shared" si="5"/>
        <v>0</v>
      </c>
      <c r="H30" s="19">
        <f t="shared" si="6"/>
        <v>7.6198530241604755E-24</v>
      </c>
      <c r="I30" s="5">
        <v>393</v>
      </c>
      <c r="J30" s="3">
        <f>I30/365+input!$K$3</f>
        <v>1.0767123287671232</v>
      </c>
      <c r="K30" s="4">
        <f t="shared" si="7"/>
        <v>7.1236684294674149</v>
      </c>
      <c r="L30" s="12">
        <f t="shared" si="8"/>
        <v>4.9164315790812854</v>
      </c>
      <c r="M30" s="20">
        <f>input!F29</f>
        <v>47146.39</v>
      </c>
      <c r="N30" s="19">
        <f t="shared" si="9"/>
        <v>0.63275218945176226</v>
      </c>
      <c r="O30" s="19">
        <f t="shared" si="10"/>
        <v>2.01163423074257E-3</v>
      </c>
      <c r="P30" s="21">
        <v>758</v>
      </c>
      <c r="Q30" s="3">
        <f>P30/365+input!$K$3</f>
        <v>2.0767123287671234</v>
      </c>
      <c r="R30" s="4">
        <f t="shared" si="11"/>
        <v>11.052432590806216</v>
      </c>
      <c r="S30" s="12">
        <f t="shared" si="12"/>
        <v>18.361685005132351</v>
      </c>
      <c r="T30" s="20">
        <f>input!G29</f>
        <v>1862.57</v>
      </c>
      <c r="U30" s="19">
        <f t="shared" si="13"/>
        <v>0.95793083761025943</v>
      </c>
      <c r="V30" s="19">
        <f t="shared" si="0"/>
        <v>0.85369943869150922</v>
      </c>
      <c r="W30" s="21">
        <v>1123</v>
      </c>
      <c r="X30" s="3">
        <f>W30/365+input!$K$3</f>
        <v>3.0767123287671234</v>
      </c>
      <c r="Y30" s="4">
        <f t="shared" si="14"/>
        <v>12.589299260865312</v>
      </c>
      <c r="Z30" s="12">
        <f t="shared" si="15"/>
        <v>27.135859395209948</v>
      </c>
      <c r="AA30" s="20">
        <f>input!H29</f>
        <v>0</v>
      </c>
      <c r="AB30" s="19">
        <f t="shared" si="16"/>
        <v>0.98197554006092014</v>
      </c>
      <c r="AC30" s="19">
        <f t="shared" si="17"/>
        <v>0.99519142618801715</v>
      </c>
      <c r="AD30" s="8">
        <f t="shared" si="18"/>
        <v>0</v>
      </c>
      <c r="AE30" s="8">
        <f t="shared" si="19"/>
        <v>231792.00063568211</v>
      </c>
      <c r="AF30" s="8">
        <f t="shared" si="20"/>
        <v>34199.923640009365</v>
      </c>
      <c r="AG30" s="8">
        <f t="shared" si="21"/>
        <v>0</v>
      </c>
      <c r="AH30" s="8">
        <f t="shared" si="1"/>
        <v>0</v>
      </c>
      <c r="AI30" s="8">
        <f t="shared" si="2"/>
        <v>146666.89589963213</v>
      </c>
      <c r="AJ30" s="8">
        <f t="shared" si="22"/>
        <v>32761.161498681086</v>
      </c>
      <c r="AK30" s="8">
        <f t="shared" si="23"/>
        <v>0</v>
      </c>
      <c r="AL30" s="8">
        <f t="shared" si="24"/>
        <v>0</v>
      </c>
      <c r="AM30" s="8">
        <f t="shared" si="25"/>
        <v>295.04014830845705</v>
      </c>
      <c r="AN30" s="8">
        <f t="shared" si="26"/>
        <v>27968.185182305926</v>
      </c>
      <c r="AO30" s="8">
        <f t="shared" si="27"/>
        <v>0</v>
      </c>
    </row>
    <row r="31" spans="1:41">
      <c r="A31" s="1">
        <v>41758</v>
      </c>
      <c r="B31" s="5">
        <v>29</v>
      </c>
      <c r="C31" s="3">
        <f>B31/365+input!$K$3</f>
        <v>7.9452054794520555E-2</v>
      </c>
      <c r="D31" s="4">
        <f t="shared" si="3"/>
        <v>0</v>
      </c>
      <c r="E31" s="12">
        <f t="shared" si="4"/>
        <v>0</v>
      </c>
      <c r="F31" s="20">
        <f>input!E30</f>
        <v>0</v>
      </c>
      <c r="G31" s="19">
        <f t="shared" si="5"/>
        <v>0</v>
      </c>
      <c r="H31" s="19">
        <f t="shared" si="6"/>
        <v>7.6198530241604755E-24</v>
      </c>
      <c r="I31" s="5">
        <v>394</v>
      </c>
      <c r="J31" s="3">
        <f>I31/365+input!$K$3</f>
        <v>1.0794520547945206</v>
      </c>
      <c r="K31" s="4">
        <f t="shared" si="7"/>
        <v>7.1399035186374515</v>
      </c>
      <c r="L31" s="12">
        <f t="shared" si="8"/>
        <v>4.9501224029958877</v>
      </c>
      <c r="M31" s="20">
        <f>input!F30</f>
        <v>47029.120000000003</v>
      </c>
      <c r="N31" s="19">
        <f t="shared" si="9"/>
        <v>0.63602573420496222</v>
      </c>
      <c r="O31" s="19">
        <f t="shared" si="10"/>
        <v>2.1175606990531583E-3</v>
      </c>
      <c r="P31" s="21">
        <v>759</v>
      </c>
      <c r="Q31" s="3">
        <f>P31/365+input!$K$3</f>
        <v>2.0794520547945203</v>
      </c>
      <c r="R31" s="4">
        <f t="shared" si="11"/>
        <v>11.059099623570338</v>
      </c>
      <c r="S31" s="12">
        <f t="shared" si="12"/>
        <v>18.394933382128531</v>
      </c>
      <c r="T31" s="20">
        <f>input!G30</f>
        <v>1857.93</v>
      </c>
      <c r="U31" s="19">
        <f t="shared" si="13"/>
        <v>0.95808523696495129</v>
      </c>
      <c r="V31" s="19">
        <f t="shared" si="0"/>
        <v>0.85522279430273629</v>
      </c>
      <c r="W31" s="21">
        <v>1124</v>
      </c>
      <c r="X31" s="3">
        <f>W31/365+input!$K$3</f>
        <v>3.0794520547945203</v>
      </c>
      <c r="Y31" s="4">
        <f t="shared" si="14"/>
        <v>12.589299260865312</v>
      </c>
      <c r="Z31" s="12">
        <f t="shared" si="15"/>
        <v>27.135859395209948</v>
      </c>
      <c r="AA31" s="20">
        <f>input!H30</f>
        <v>0</v>
      </c>
      <c r="AB31" s="19">
        <f t="shared" si="16"/>
        <v>0.98197554006092014</v>
      </c>
      <c r="AC31" s="19">
        <f t="shared" si="17"/>
        <v>0.99519142618801715</v>
      </c>
      <c r="AD31" s="8">
        <f t="shared" si="18"/>
        <v>0</v>
      </c>
      <c r="AE31" s="8">
        <f t="shared" si="19"/>
        <v>232799.90050518198</v>
      </c>
      <c r="AF31" s="8">
        <f t="shared" si="20"/>
        <v>34176.498578658066</v>
      </c>
      <c r="AG31" s="8">
        <f t="shared" si="21"/>
        <v>0</v>
      </c>
      <c r="AH31" s="8">
        <f t="shared" si="1"/>
        <v>0</v>
      </c>
      <c r="AI31" s="8">
        <f t="shared" si="2"/>
        <v>148066.72764165053</v>
      </c>
      <c r="AJ31" s="8">
        <f t="shared" si="22"/>
        <v>32743.998739365932</v>
      </c>
      <c r="AK31" s="8">
        <f t="shared" si="23"/>
        <v>0</v>
      </c>
      <c r="AL31" s="8">
        <f t="shared" si="24"/>
        <v>0</v>
      </c>
      <c r="AM31" s="8">
        <f t="shared" si="25"/>
        <v>313.54028329136713</v>
      </c>
      <c r="AN31" s="8">
        <f t="shared" si="26"/>
        <v>28003.414098525805</v>
      </c>
      <c r="AO31" s="8">
        <f t="shared" si="27"/>
        <v>0</v>
      </c>
    </row>
    <row r="32" spans="1:41">
      <c r="A32" s="1">
        <v>41759</v>
      </c>
      <c r="B32" s="5">
        <v>30</v>
      </c>
      <c r="C32" s="3">
        <f>B32/365+input!$K$3</f>
        <v>8.2191780821917804E-2</v>
      </c>
      <c r="D32" s="4">
        <f t="shared" si="3"/>
        <v>0</v>
      </c>
      <c r="E32" s="12">
        <f t="shared" si="4"/>
        <v>0</v>
      </c>
      <c r="F32" s="20">
        <f>input!E31</f>
        <v>0</v>
      </c>
      <c r="G32" s="19">
        <f t="shared" si="5"/>
        <v>0</v>
      </c>
      <c r="H32" s="19">
        <f t="shared" si="6"/>
        <v>7.6198530241604755E-24</v>
      </c>
      <c r="I32" s="5">
        <v>395</v>
      </c>
      <c r="J32" s="3">
        <f>I32/365+input!$K$3</f>
        <v>1.0821917808219179</v>
      </c>
      <c r="K32" s="4">
        <f t="shared" si="7"/>
        <v>7.1560990691020425</v>
      </c>
      <c r="L32" s="12">
        <f t="shared" si="8"/>
        <v>4.9838841808088326</v>
      </c>
      <c r="M32" s="20">
        <f>input!F31</f>
        <v>46912.15</v>
      </c>
      <c r="N32" s="19">
        <f t="shared" si="9"/>
        <v>0.63926223344461874</v>
      </c>
      <c r="O32" s="19">
        <f t="shared" si="10"/>
        <v>2.2282451027448554E-3</v>
      </c>
      <c r="P32" s="21">
        <v>760</v>
      </c>
      <c r="Q32" s="3">
        <f>P32/365+input!$K$3</f>
        <v>2.0821917808219177</v>
      </c>
      <c r="R32" s="4">
        <f t="shared" si="11"/>
        <v>11.065750419537613</v>
      </c>
      <c r="S32" s="12">
        <f t="shared" si="12"/>
        <v>18.428140752139786</v>
      </c>
      <c r="T32" s="20">
        <f>input!G31</f>
        <v>1802.91</v>
      </c>
      <c r="U32" s="19">
        <f t="shared" si="13"/>
        <v>0.95823869569843712</v>
      </c>
      <c r="V32" s="19">
        <f t="shared" si="0"/>
        <v>0.85673176050591116</v>
      </c>
      <c r="W32" s="21">
        <v>1125</v>
      </c>
      <c r="X32" s="3">
        <f>W32/365+input!$K$3</f>
        <v>3.0821917808219177</v>
      </c>
      <c r="Y32" s="4">
        <f t="shared" si="14"/>
        <v>12.589299260865312</v>
      </c>
      <c r="Z32" s="12">
        <f t="shared" si="15"/>
        <v>27.135859395209948</v>
      </c>
      <c r="AA32" s="20">
        <f>input!H31</f>
        <v>0</v>
      </c>
      <c r="AB32" s="19">
        <f t="shared" si="16"/>
        <v>0.98197554006092014</v>
      </c>
      <c r="AC32" s="19">
        <f t="shared" si="17"/>
        <v>0.99519142618801715</v>
      </c>
      <c r="AD32" s="8">
        <f t="shared" si="18"/>
        <v>0</v>
      </c>
      <c r="AE32" s="8">
        <f t="shared" si="19"/>
        <v>233804.72227273107</v>
      </c>
      <c r="AF32" s="8">
        <f t="shared" si="20"/>
        <v>33224.279243440345</v>
      </c>
      <c r="AG32" s="8">
        <f t="shared" si="21"/>
        <v>0</v>
      </c>
      <c r="AH32" s="8">
        <f t="shared" si="1"/>
        <v>0</v>
      </c>
      <c r="AI32" s="8">
        <f t="shared" si="2"/>
        <v>149462.52894996485</v>
      </c>
      <c r="AJ32" s="8">
        <f t="shared" si="22"/>
        <v>31836.790007754935</v>
      </c>
      <c r="AK32" s="8">
        <f t="shared" si="23"/>
        <v>0</v>
      </c>
      <c r="AL32" s="8">
        <f t="shared" si="24"/>
        <v>0</v>
      </c>
      <c r="AM32" s="8">
        <f t="shared" si="25"/>
        <v>333.03914817662036</v>
      </c>
      <c r="AN32" s="8">
        <f t="shared" si="26"/>
        <v>27275.589152200886</v>
      </c>
      <c r="AO32" s="8">
        <f t="shared" si="27"/>
        <v>0</v>
      </c>
    </row>
    <row r="33" spans="1:41">
      <c r="A33" s="1">
        <v>41760</v>
      </c>
      <c r="B33" s="5">
        <v>31</v>
      </c>
      <c r="C33" s="3">
        <f>B33/365+input!$K$3</f>
        <v>8.4931506849315067E-2</v>
      </c>
      <c r="D33" s="4">
        <f t="shared" si="3"/>
        <v>0</v>
      </c>
      <c r="E33" s="12">
        <f t="shared" si="4"/>
        <v>0</v>
      </c>
      <c r="F33" s="20">
        <f>input!E32</f>
        <v>0</v>
      </c>
      <c r="G33" s="19">
        <f t="shared" si="5"/>
        <v>0</v>
      </c>
      <c r="H33" s="19">
        <f t="shared" si="6"/>
        <v>7.6198530241604755E-24</v>
      </c>
      <c r="I33" s="5">
        <v>396</v>
      </c>
      <c r="J33" s="3">
        <f>I33/365+input!$K$3</f>
        <v>1.0849315068493151</v>
      </c>
      <c r="K33" s="4">
        <f t="shared" si="7"/>
        <v>7.1722551771531915</v>
      </c>
      <c r="L33" s="12">
        <f t="shared" si="8"/>
        <v>5.0177163407540206</v>
      </c>
      <c r="M33" s="20">
        <f>input!F32</f>
        <v>46795.46</v>
      </c>
      <c r="N33" s="19">
        <f t="shared" si="9"/>
        <v>0.6424621760927699</v>
      </c>
      <c r="O33" s="19">
        <f t="shared" si="10"/>
        <v>2.3438578038196046E-3</v>
      </c>
      <c r="P33" s="21">
        <v>761</v>
      </c>
      <c r="Q33" s="3">
        <f>P33/365+input!$K$3</f>
        <v>2.0849315068493151</v>
      </c>
      <c r="R33" s="4">
        <f t="shared" si="11"/>
        <v>11.072385018250905</v>
      </c>
      <c r="S33" s="12">
        <f t="shared" si="12"/>
        <v>18.461307044525434</v>
      </c>
      <c r="T33" s="20">
        <f>input!G32</f>
        <v>1798.43</v>
      </c>
      <c r="U33" s="19">
        <f t="shared" si="13"/>
        <v>0.95839122090524442</v>
      </c>
      <c r="V33" s="19">
        <f t="shared" si="0"/>
        <v>0.85822643285864175</v>
      </c>
      <c r="W33" s="21">
        <v>1126</v>
      </c>
      <c r="X33" s="3">
        <f>W33/365+input!$K$3</f>
        <v>3.0849315068493151</v>
      </c>
      <c r="Y33" s="4">
        <f t="shared" si="14"/>
        <v>12.589299260865312</v>
      </c>
      <c r="Z33" s="12">
        <f t="shared" si="15"/>
        <v>27.135859395209948</v>
      </c>
      <c r="AA33" s="20">
        <f>input!H32</f>
        <v>0</v>
      </c>
      <c r="AB33" s="19">
        <f t="shared" si="16"/>
        <v>0.98197554006092014</v>
      </c>
      <c r="AC33" s="19">
        <f t="shared" si="17"/>
        <v>0.99519142618801715</v>
      </c>
      <c r="AD33" s="8">
        <f t="shared" si="18"/>
        <v>0</v>
      </c>
      <c r="AE33" s="8">
        <f t="shared" si="19"/>
        <v>234806.34431510113</v>
      </c>
      <c r="AF33" s="8">
        <f t="shared" si="20"/>
        <v>33201.36842808588</v>
      </c>
      <c r="AG33" s="8">
        <f t="shared" si="21"/>
        <v>0</v>
      </c>
      <c r="AH33" s="8">
        <f t="shared" si="1"/>
        <v>0</v>
      </c>
      <c r="AI33" s="8">
        <f t="shared" si="2"/>
        <v>150854.19492906806</v>
      </c>
      <c r="AJ33" s="8">
        <f t="shared" si="22"/>
        <v>31819.900023518061</v>
      </c>
      <c r="AK33" s="8">
        <f t="shared" si="23"/>
        <v>0</v>
      </c>
      <c r="AL33" s="8">
        <f t="shared" si="24"/>
        <v>0</v>
      </c>
      <c r="AM33" s="8">
        <f t="shared" si="25"/>
        <v>353.58078202342</v>
      </c>
      <c r="AN33" s="8">
        <f t="shared" si="26"/>
        <v>27308.679291102515</v>
      </c>
      <c r="AO33" s="8">
        <f t="shared" si="27"/>
        <v>0</v>
      </c>
    </row>
    <row r="34" spans="1:41">
      <c r="A34" s="1">
        <v>41761</v>
      </c>
      <c r="B34" s="5">
        <v>32</v>
      </c>
      <c r="C34" s="3">
        <f>B34/365+input!$K$3</f>
        <v>8.7671232876712329E-2</v>
      </c>
      <c r="D34" s="4">
        <f t="shared" si="3"/>
        <v>0</v>
      </c>
      <c r="E34" s="12">
        <f t="shared" si="4"/>
        <v>0</v>
      </c>
      <c r="F34" s="20">
        <f>input!E33</f>
        <v>0</v>
      </c>
      <c r="G34" s="19">
        <f t="shared" si="5"/>
        <v>0</v>
      </c>
      <c r="H34" s="19">
        <f t="shared" si="6"/>
        <v>7.6198530241604755E-24</v>
      </c>
      <c r="I34" s="5">
        <v>397</v>
      </c>
      <c r="J34" s="3">
        <f>I34/365+input!$K$3</f>
        <v>1.0876712328767124</v>
      </c>
      <c r="K34" s="4">
        <f t="shared" si="7"/>
        <v>7.1883719388483911</v>
      </c>
      <c r="L34" s="12">
        <f t="shared" si="8"/>
        <v>5.0516183118815015</v>
      </c>
      <c r="M34" s="20">
        <f>input!F33</f>
        <v>46679.07</v>
      </c>
      <c r="N34" s="19">
        <f t="shared" si="9"/>
        <v>0.64562604379784272</v>
      </c>
      <c r="O34" s="19">
        <f t="shared" si="10"/>
        <v>2.4645732369662902E-3</v>
      </c>
      <c r="P34" s="21">
        <v>762</v>
      </c>
      <c r="Q34" s="3">
        <f>P34/365+input!$K$3</f>
        <v>2.0876712328767124</v>
      </c>
      <c r="R34" s="4">
        <f t="shared" si="11"/>
        <v>11.07900345915678</v>
      </c>
      <c r="S34" s="12">
        <f t="shared" si="12"/>
        <v>18.494432189472008</v>
      </c>
      <c r="T34" s="20">
        <f>input!G33</f>
        <v>1749.16</v>
      </c>
      <c r="U34" s="19">
        <f t="shared" si="13"/>
        <v>0.95854281961679355</v>
      </c>
      <c r="V34" s="19">
        <f t="shared" si="0"/>
        <v>0.85970690719722698</v>
      </c>
      <c r="W34" s="21">
        <v>1127</v>
      </c>
      <c r="X34" s="3">
        <f>W34/365+input!$K$3</f>
        <v>3.0876712328767124</v>
      </c>
      <c r="Y34" s="4">
        <f t="shared" si="14"/>
        <v>12.589299260865312</v>
      </c>
      <c r="Z34" s="12">
        <f t="shared" si="15"/>
        <v>27.135859395209948</v>
      </c>
      <c r="AA34" s="20">
        <f>input!H33</f>
        <v>0</v>
      </c>
      <c r="AB34" s="19">
        <f t="shared" si="16"/>
        <v>0.98197554006092014</v>
      </c>
      <c r="AC34" s="19">
        <f t="shared" si="17"/>
        <v>0.99519142618801715</v>
      </c>
      <c r="AD34" s="8">
        <f t="shared" si="18"/>
        <v>0</v>
      </c>
      <c r="AE34" s="8">
        <f t="shared" si="19"/>
        <v>235804.84479359843</v>
      </c>
      <c r="AF34" s="8">
        <f t="shared" si="20"/>
        <v>32349.721008536857</v>
      </c>
      <c r="AG34" s="8">
        <f t="shared" si="21"/>
        <v>0</v>
      </c>
      <c r="AH34" s="8">
        <f t="shared" si="1"/>
        <v>0</v>
      </c>
      <c r="AI34" s="8">
        <f t="shared" si="2"/>
        <v>152241.74905245527</v>
      </c>
      <c r="AJ34" s="8">
        <f t="shared" si="22"/>
        <v>31008.592789339542</v>
      </c>
      <c r="AK34" s="8">
        <f t="shared" si="23"/>
        <v>0</v>
      </c>
      <c r="AL34" s="8">
        <f t="shared" si="24"/>
        <v>0</v>
      </c>
      <c r="AM34" s="8">
        <f t="shared" si="25"/>
        <v>375.21094026361931</v>
      </c>
      <c r="AN34" s="8">
        <f t="shared" si="26"/>
        <v>26658.30140346133</v>
      </c>
      <c r="AO34" s="8">
        <f t="shared" si="27"/>
        <v>0</v>
      </c>
    </row>
    <row r="35" spans="1:41">
      <c r="A35" s="1">
        <v>41762</v>
      </c>
      <c r="B35" s="5">
        <v>33</v>
      </c>
      <c r="C35" s="3">
        <f>B35/365+input!$K$3</f>
        <v>9.0410958904109592E-2</v>
      </c>
      <c r="D35" s="4">
        <f t="shared" si="3"/>
        <v>0</v>
      </c>
      <c r="E35" s="12">
        <f t="shared" si="4"/>
        <v>0</v>
      </c>
      <c r="F35" s="20">
        <f>input!E34</f>
        <v>0</v>
      </c>
      <c r="G35" s="19">
        <f t="shared" si="5"/>
        <v>0</v>
      </c>
      <c r="H35" s="19">
        <f t="shared" si="6"/>
        <v>7.6198530241604755E-24</v>
      </c>
      <c r="I35" s="5">
        <v>398</v>
      </c>
      <c r="J35" s="3">
        <f>I35/365+input!$K$3</f>
        <v>1.0904109589041096</v>
      </c>
      <c r="K35" s="4">
        <f t="shared" si="7"/>
        <v>7.2044494500111984</v>
      </c>
      <c r="L35" s="12">
        <f t="shared" si="8"/>
        <v>5.0855895240766511</v>
      </c>
      <c r="M35" s="20">
        <f>input!F34</f>
        <v>46562.96</v>
      </c>
      <c r="N35" s="19">
        <f t="shared" si="9"/>
        <v>0.6487543110540992</v>
      </c>
      <c r="O35" s="19">
        <f t="shared" si="10"/>
        <v>2.5905699229744187E-3</v>
      </c>
      <c r="P35" s="21">
        <v>763</v>
      </c>
      <c r="Q35" s="3">
        <f>P35/365+input!$K$3</f>
        <v>2.0904109589041098</v>
      </c>
      <c r="R35" s="4">
        <f t="shared" si="11"/>
        <v>11.085605781605727</v>
      </c>
      <c r="S35" s="12">
        <f t="shared" si="12"/>
        <v>18.527516117989268</v>
      </c>
      <c r="T35" s="20">
        <f>input!G34</f>
        <v>1744.81</v>
      </c>
      <c r="U35" s="19">
        <f t="shared" si="13"/>
        <v>0.9586934988020368</v>
      </c>
      <c r="V35" s="19">
        <f t="shared" si="0"/>
        <v>0.86117327961189016</v>
      </c>
      <c r="W35" s="21">
        <v>1128</v>
      </c>
      <c r="X35" s="3">
        <f>W35/365+input!$K$3</f>
        <v>3.0904109589041098</v>
      </c>
      <c r="Y35" s="4">
        <f t="shared" si="14"/>
        <v>12.589299260865312</v>
      </c>
      <c r="Z35" s="12">
        <f t="shared" si="15"/>
        <v>27.135859395209948</v>
      </c>
      <c r="AA35" s="20">
        <f>input!H34</f>
        <v>0</v>
      </c>
      <c r="AB35" s="19">
        <f t="shared" si="16"/>
        <v>0.98197554006092014</v>
      </c>
      <c r="AC35" s="19">
        <f t="shared" si="17"/>
        <v>0.99519142618801715</v>
      </c>
      <c r="AD35" s="8">
        <f t="shared" si="18"/>
        <v>0</v>
      </c>
      <c r="AE35" s="8">
        <f t="shared" si="19"/>
        <v>236800.10158600015</v>
      </c>
      <c r="AF35" s="8">
        <f t="shared" si="20"/>
        <v>32326.995397828854</v>
      </c>
      <c r="AG35" s="8">
        <f t="shared" si="21"/>
        <v>0</v>
      </c>
      <c r="AH35" s="8">
        <f t="shared" si="1"/>
        <v>0</v>
      </c>
      <c r="AI35" s="8">
        <f t="shared" si="2"/>
        <v>153625.08676196623</v>
      </c>
      <c r="AJ35" s="8">
        <f t="shared" si="22"/>
        <v>30991.680323701887</v>
      </c>
      <c r="AK35" s="8">
        <f t="shared" si="23"/>
        <v>0</v>
      </c>
      <c r="AL35" s="8">
        <f t="shared" si="24"/>
        <v>0</v>
      </c>
      <c r="AM35" s="8">
        <f t="shared" si="25"/>
        <v>397.97652917988523</v>
      </c>
      <c r="AN35" s="8">
        <f t="shared" si="26"/>
        <v>26689.206985045639</v>
      </c>
      <c r="AO35" s="8">
        <f t="shared" si="27"/>
        <v>0</v>
      </c>
    </row>
    <row r="36" spans="1:41">
      <c r="A36" s="1">
        <v>41763</v>
      </c>
      <c r="B36" s="5">
        <v>34</v>
      </c>
      <c r="C36" s="3">
        <f>B36/365+input!$K$3</f>
        <v>9.3150684931506855E-2</v>
      </c>
      <c r="D36" s="4">
        <f t="shared" si="3"/>
        <v>0</v>
      </c>
      <c r="E36" s="12">
        <f t="shared" si="4"/>
        <v>0</v>
      </c>
      <c r="F36" s="20">
        <f>input!E35</f>
        <v>0</v>
      </c>
      <c r="G36" s="19">
        <f t="shared" si="5"/>
        <v>0</v>
      </c>
      <c r="H36" s="19">
        <f t="shared" si="6"/>
        <v>7.6198530241604755E-24</v>
      </c>
      <c r="I36" s="5">
        <v>399</v>
      </c>
      <c r="J36" s="3">
        <f>I36/365+input!$K$3</f>
        <v>1.0931506849315069</v>
      </c>
      <c r="K36" s="4">
        <f t="shared" si="7"/>
        <v>7.220487806231799</v>
      </c>
      <c r="L36" s="12">
        <f t="shared" si="8"/>
        <v>5.1196294080790334</v>
      </c>
      <c r="M36" s="20">
        <f>input!F35</f>
        <v>46447.14</v>
      </c>
      <c r="N36" s="19">
        <f t="shared" si="9"/>
        <v>0.65184744531894401</v>
      </c>
      <c r="O36" s="19">
        <f t="shared" si="10"/>
        <v>2.7220304786549467E-3</v>
      </c>
      <c r="P36" s="21">
        <v>764</v>
      </c>
      <c r="Q36" s="3">
        <f>P36/365+input!$K$3</f>
        <v>2.0931506849315067</v>
      </c>
      <c r="R36" s="4">
        <f t="shared" si="11"/>
        <v>11.092192024852405</v>
      </c>
      <c r="S36" s="12">
        <f t="shared" si="12"/>
        <v>18.560558761906371</v>
      </c>
      <c r="T36" s="20">
        <f>input!G35</f>
        <v>1696.9</v>
      </c>
      <c r="U36" s="19">
        <f t="shared" si="13"/>
        <v>0.9588432653680915</v>
      </c>
      <c r="V36" s="19">
        <f t="shared" si="0"/>
        <v>0.86262564642249706</v>
      </c>
      <c r="W36" s="21">
        <v>1129</v>
      </c>
      <c r="X36" s="3">
        <f>W36/365+input!$K$3</f>
        <v>3.0931506849315067</v>
      </c>
      <c r="Y36" s="4">
        <f t="shared" si="14"/>
        <v>12.589299260865312</v>
      </c>
      <c r="Z36" s="12">
        <f t="shared" si="15"/>
        <v>27.135859395209948</v>
      </c>
      <c r="AA36" s="20">
        <f>input!H35</f>
        <v>0</v>
      </c>
      <c r="AB36" s="19">
        <f t="shared" si="16"/>
        <v>0.98197554006092014</v>
      </c>
      <c r="AC36" s="19">
        <f t="shared" si="17"/>
        <v>0.99519142618801715</v>
      </c>
      <c r="AD36" s="8">
        <f t="shared" si="18"/>
        <v>0</v>
      </c>
      <c r="AE36" s="8">
        <f t="shared" si="19"/>
        <v>237792.14386516399</v>
      </c>
      <c r="AF36" s="8">
        <f t="shared" si="20"/>
        <v>31495.412163078923</v>
      </c>
      <c r="AG36" s="8">
        <f t="shared" si="21"/>
        <v>0</v>
      </c>
      <c r="AH36" s="8">
        <f t="shared" si="1"/>
        <v>0</v>
      </c>
      <c r="AI36" s="8">
        <f t="shared" si="2"/>
        <v>155004.20149542196</v>
      </c>
      <c r="AJ36" s="8">
        <f t="shared" si="22"/>
        <v>30199.163842560502</v>
      </c>
      <c r="AK36" s="8">
        <f t="shared" si="23"/>
        <v>0</v>
      </c>
      <c r="AL36" s="8">
        <f t="shared" si="24"/>
        <v>0</v>
      </c>
      <c r="AM36" s="8">
        <f t="shared" si="25"/>
        <v>421.92616079011123</v>
      </c>
      <c r="AN36" s="8">
        <f t="shared" si="26"/>
        <v>26050.573231107654</v>
      </c>
      <c r="AO36" s="8">
        <f t="shared" si="27"/>
        <v>0</v>
      </c>
    </row>
    <row r="37" spans="1:41">
      <c r="A37" s="1">
        <v>41764</v>
      </c>
      <c r="B37" s="5">
        <v>35</v>
      </c>
      <c r="C37" s="3">
        <f>B37/365+input!$K$3</f>
        <v>9.5890410958904104E-2</v>
      </c>
      <c r="D37" s="4">
        <f t="shared" si="3"/>
        <v>0</v>
      </c>
      <c r="E37" s="12">
        <f t="shared" si="4"/>
        <v>0</v>
      </c>
      <c r="F37" s="20">
        <f>input!E36</f>
        <v>0</v>
      </c>
      <c r="G37" s="19">
        <f t="shared" si="5"/>
        <v>0</v>
      </c>
      <c r="H37" s="19">
        <f t="shared" si="6"/>
        <v>7.6198530241604755E-24</v>
      </c>
      <c r="I37" s="5">
        <v>400</v>
      </c>
      <c r="J37" s="3">
        <f>I37/365+input!$K$3</f>
        <v>1.095890410958904</v>
      </c>
      <c r="K37" s="4">
        <f t="shared" si="7"/>
        <v>7.2364871028675859</v>
      </c>
      <c r="L37" s="12">
        <f t="shared" si="8"/>
        <v>5.1537373955010288</v>
      </c>
      <c r="M37" s="20">
        <f>input!F36</f>
        <v>46331.61</v>
      </c>
      <c r="N37" s="19">
        <f t="shared" si="9"/>
        <v>0.65490590712814556</v>
      </c>
      <c r="O37" s="19">
        <f t="shared" si="10"/>
        <v>2.8591416231674971E-3</v>
      </c>
      <c r="P37" s="21">
        <v>765</v>
      </c>
      <c r="Q37" s="3">
        <f>P37/365+input!$K$3</f>
        <v>2.095890410958904</v>
      </c>
      <c r="R37" s="4">
        <f t="shared" si="11"/>
        <v>11.098762228055882</v>
      </c>
      <c r="S37" s="12">
        <f t="shared" si="12"/>
        <v>18.593560053867943</v>
      </c>
      <c r="T37" s="20">
        <f>input!G36</f>
        <v>1692.68</v>
      </c>
      <c r="U37" s="19">
        <f t="shared" si="13"/>
        <v>0.95899212616086549</v>
      </c>
      <c r="V37" s="19">
        <f t="shared" si="0"/>
        <v>0.86406410415474777</v>
      </c>
      <c r="W37" s="21">
        <v>1130</v>
      </c>
      <c r="X37" s="3">
        <f>W37/365+input!$K$3</f>
        <v>3.095890410958904</v>
      </c>
      <c r="Y37" s="4">
        <f t="shared" si="14"/>
        <v>12.589299260865312</v>
      </c>
      <c r="Z37" s="12">
        <f t="shared" si="15"/>
        <v>27.135859395209948</v>
      </c>
      <c r="AA37" s="20">
        <f>input!H36</f>
        <v>0</v>
      </c>
      <c r="AB37" s="19">
        <f t="shared" si="16"/>
        <v>0.98197554006092014</v>
      </c>
      <c r="AC37" s="19">
        <f t="shared" si="17"/>
        <v>0.99519142618801715</v>
      </c>
      <c r="AD37" s="8">
        <f t="shared" si="18"/>
        <v>0</v>
      </c>
      <c r="AE37" s="8">
        <f t="shared" si="19"/>
        <v>238780.95105076942</v>
      </c>
      <c r="AF37" s="8">
        <f t="shared" si="20"/>
        <v>31472.94723198119</v>
      </c>
      <c r="AG37" s="8">
        <f t="shared" si="21"/>
        <v>0</v>
      </c>
      <c r="AH37" s="8">
        <f t="shared" si="1"/>
        <v>0</v>
      </c>
      <c r="AI37" s="8">
        <f t="shared" si="2"/>
        <v>156379.05535282547</v>
      </c>
      <c r="AJ37" s="8">
        <f t="shared" si="22"/>
        <v>30182.308582546368</v>
      </c>
      <c r="AK37" s="8">
        <f t="shared" si="23"/>
        <v>0</v>
      </c>
      <c r="AL37" s="8">
        <f t="shared" si="24"/>
        <v>0</v>
      </c>
      <c r="AM37" s="8">
        <f t="shared" si="25"/>
        <v>447.10986615087728</v>
      </c>
      <c r="AN37" s="8">
        <f t="shared" si="26"/>
        <v>26079.449426700081</v>
      </c>
      <c r="AO37" s="8">
        <f t="shared" si="27"/>
        <v>0</v>
      </c>
    </row>
    <row r="38" spans="1:41">
      <c r="A38" s="1">
        <v>41765</v>
      </c>
      <c r="B38" s="5">
        <v>36</v>
      </c>
      <c r="C38" s="3">
        <f>B38/365+input!$K$3</f>
        <v>9.8630136986301367E-2</v>
      </c>
      <c r="D38" s="4">
        <f t="shared" si="3"/>
        <v>0</v>
      </c>
      <c r="E38" s="12">
        <f t="shared" si="4"/>
        <v>0</v>
      </c>
      <c r="F38" s="20">
        <f>input!E37</f>
        <v>0</v>
      </c>
      <c r="G38" s="19">
        <f t="shared" si="5"/>
        <v>0</v>
      </c>
      <c r="H38" s="19">
        <f t="shared" si="6"/>
        <v>7.6198530241604755E-24</v>
      </c>
      <c r="I38" s="5">
        <v>401</v>
      </c>
      <c r="J38" s="3">
        <f>I38/365+input!$K$3</f>
        <v>1.0986301369863014</v>
      </c>
      <c r="K38" s="4">
        <f t="shared" si="7"/>
        <v>7.2524474350437167</v>
      </c>
      <c r="L38" s="12">
        <f t="shared" si="8"/>
        <v>5.1879129188461262</v>
      </c>
      <c r="M38" s="20">
        <f>input!F37</f>
        <v>46216.37</v>
      </c>
      <c r="N38" s="19">
        <f t="shared" si="9"/>
        <v>0.65793015020899714</v>
      </c>
      <c r="O38" s="19">
        <f t="shared" si="10"/>
        <v>3.002094180655879E-3</v>
      </c>
      <c r="P38" s="21">
        <v>766</v>
      </c>
      <c r="Q38" s="3">
        <f>P38/365+input!$K$3</f>
        <v>2.0986301369863014</v>
      </c>
      <c r="R38" s="4">
        <f t="shared" si="11"/>
        <v>11.105316430279849</v>
      </c>
      <c r="S38" s="12">
        <f t="shared" si="12"/>
        <v>18.626519927330126</v>
      </c>
      <c r="T38" s="20">
        <f>input!G37</f>
        <v>1645.64</v>
      </c>
      <c r="U38" s="19">
        <f t="shared" si="13"/>
        <v>0.95914008796567551</v>
      </c>
      <c r="V38" s="19">
        <f t="shared" si="0"/>
        <v>0.86548874951683752</v>
      </c>
      <c r="W38" s="21">
        <v>1131</v>
      </c>
      <c r="X38" s="3">
        <f>W38/365+input!$K$3</f>
        <v>3.0986301369863014</v>
      </c>
      <c r="Y38" s="4">
        <f t="shared" si="14"/>
        <v>12.589299260865312</v>
      </c>
      <c r="Z38" s="12">
        <f t="shared" si="15"/>
        <v>27.135859395209948</v>
      </c>
      <c r="AA38" s="20">
        <f>input!H37</f>
        <v>0</v>
      </c>
      <c r="AB38" s="19">
        <f t="shared" si="16"/>
        <v>0.98197554006092014</v>
      </c>
      <c r="AC38" s="19">
        <f t="shared" si="17"/>
        <v>0.99519142618801715</v>
      </c>
      <c r="AD38" s="8">
        <f t="shared" si="18"/>
        <v>0</v>
      </c>
      <c r="AE38" s="8">
        <f t="shared" si="19"/>
        <v>239766.50298517256</v>
      </c>
      <c r="AF38" s="8">
        <f t="shared" si="20"/>
        <v>30652.546253211549</v>
      </c>
      <c r="AG38" s="8">
        <f t="shared" si="21"/>
        <v>0</v>
      </c>
      <c r="AH38" s="8">
        <f t="shared" si="1"/>
        <v>0</v>
      </c>
      <c r="AI38" s="8">
        <f t="shared" si="2"/>
        <v>157749.61132412055</v>
      </c>
      <c r="AJ38" s="8">
        <f t="shared" si="22"/>
        <v>29400.085909677262</v>
      </c>
      <c r="AK38" s="8">
        <f t="shared" si="23"/>
        <v>0</v>
      </c>
      <c r="AL38" s="8">
        <f t="shared" si="24"/>
        <v>0</v>
      </c>
      <c r="AM38" s="8">
        <f t="shared" si="25"/>
        <v>473.57919015686906</v>
      </c>
      <c r="AN38" s="8">
        <f t="shared" si="26"/>
        <v>25445.443589654169</v>
      </c>
      <c r="AO38" s="8">
        <f t="shared" si="27"/>
        <v>0</v>
      </c>
    </row>
    <row r="39" spans="1:41">
      <c r="A39" s="1">
        <v>41766</v>
      </c>
      <c r="B39" s="5">
        <v>37</v>
      </c>
      <c r="C39" s="3">
        <f>B39/365+input!$K$3</f>
        <v>0.10136986301369863</v>
      </c>
      <c r="D39" s="4">
        <f t="shared" si="3"/>
        <v>0</v>
      </c>
      <c r="E39" s="12">
        <f t="shared" si="4"/>
        <v>0</v>
      </c>
      <c r="F39" s="20">
        <f>input!E38</f>
        <v>0</v>
      </c>
      <c r="G39" s="19">
        <f t="shared" si="5"/>
        <v>0</v>
      </c>
      <c r="H39" s="19">
        <f t="shared" si="6"/>
        <v>7.6198530241604755E-24</v>
      </c>
      <c r="I39" s="5">
        <v>402</v>
      </c>
      <c r="J39" s="3">
        <f>I39/365+input!$K$3</f>
        <v>1.1013698630136985</v>
      </c>
      <c r="K39" s="4">
        <f t="shared" si="7"/>
        <v>7.26836889765368</v>
      </c>
      <c r="L39" s="12">
        <f t="shared" si="8"/>
        <v>5.2221554115269742</v>
      </c>
      <c r="M39" s="20">
        <f>input!F38</f>
        <v>46101.42</v>
      </c>
      <c r="N39" s="19">
        <f t="shared" si="9"/>
        <v>0.66092062159146725</v>
      </c>
      <c r="O39" s="19">
        <f t="shared" si="10"/>
        <v>3.151083079097785E-3</v>
      </c>
      <c r="P39" s="21">
        <v>767</v>
      </c>
      <c r="Q39" s="3">
        <f>P39/365+input!$K$3</f>
        <v>2.1013698630136988</v>
      </c>
      <c r="R39" s="4">
        <f t="shared" si="11"/>
        <v>11.111854670492862</v>
      </c>
      <c r="S39" s="12">
        <f t="shared" si="12"/>
        <v>18.659438316556695</v>
      </c>
      <c r="T39" s="20">
        <f>input!G38</f>
        <v>1641.55</v>
      </c>
      <c r="U39" s="19">
        <f t="shared" si="13"/>
        <v>0.9592871575078582</v>
      </c>
      <c r="V39" s="19">
        <f t="shared" si="0"/>
        <v>0.86689967937659329</v>
      </c>
      <c r="W39" s="21">
        <v>1132</v>
      </c>
      <c r="X39" s="3">
        <f>W39/365+input!$K$3</f>
        <v>3.1013698630136988</v>
      </c>
      <c r="Y39" s="4">
        <f t="shared" si="14"/>
        <v>12.589299260865312</v>
      </c>
      <c r="Z39" s="12">
        <f t="shared" si="15"/>
        <v>27.135859395209948</v>
      </c>
      <c r="AA39" s="20">
        <f>input!H38</f>
        <v>0</v>
      </c>
      <c r="AB39" s="19">
        <f t="shared" si="16"/>
        <v>0.98197554006092014</v>
      </c>
      <c r="AC39" s="19">
        <f t="shared" si="17"/>
        <v>0.99519142618801715</v>
      </c>
      <c r="AD39" s="8">
        <f t="shared" si="18"/>
        <v>0</v>
      </c>
      <c r="AE39" s="8">
        <f t="shared" si="19"/>
        <v>240748.77993207786</v>
      </c>
      <c r="AF39" s="8">
        <f t="shared" si="20"/>
        <v>30630.400968543643</v>
      </c>
      <c r="AG39" s="8">
        <f t="shared" si="21"/>
        <v>0</v>
      </c>
      <c r="AH39" s="8">
        <f t="shared" si="1"/>
        <v>0</v>
      </c>
      <c r="AI39" s="8">
        <f t="shared" si="2"/>
        <v>159115.83328009627</v>
      </c>
      <c r="AJ39" s="8">
        <f t="shared" si="22"/>
        <v>29383.350278440179</v>
      </c>
      <c r="AK39" s="8">
        <f t="shared" si="23"/>
        <v>0</v>
      </c>
      <c r="AL39" s="8">
        <f t="shared" si="24"/>
        <v>0</v>
      </c>
      <c r="AM39" s="8">
        <f t="shared" si="25"/>
        <v>501.38720986545553</v>
      </c>
      <c r="AN39" s="8">
        <f t="shared" si="26"/>
        <v>25472.416935389923</v>
      </c>
      <c r="AO39" s="8">
        <f t="shared" si="27"/>
        <v>0</v>
      </c>
    </row>
    <row r="40" spans="1:41">
      <c r="A40" s="1">
        <v>41767</v>
      </c>
      <c r="B40" s="5">
        <v>38</v>
      </c>
      <c r="C40" s="3">
        <f>B40/365+input!$K$3</f>
        <v>0.10410958904109589</v>
      </c>
      <c r="D40" s="4">
        <f t="shared" si="3"/>
        <v>0</v>
      </c>
      <c r="E40" s="12">
        <f t="shared" si="4"/>
        <v>0</v>
      </c>
      <c r="F40" s="20">
        <f>input!E39</f>
        <v>0</v>
      </c>
      <c r="G40" s="19">
        <f t="shared" si="5"/>
        <v>0</v>
      </c>
      <c r="H40" s="19">
        <f t="shared" si="6"/>
        <v>7.6198530241604755E-24</v>
      </c>
      <c r="I40" s="5">
        <v>403</v>
      </c>
      <c r="J40" s="3">
        <f>I40/365+input!$K$3</f>
        <v>1.1041095890410959</v>
      </c>
      <c r="K40" s="4">
        <f t="shared" si="7"/>
        <v>7.2842515853598684</v>
      </c>
      <c r="L40" s="12">
        <f t="shared" si="8"/>
        <v>5.2564643078831796</v>
      </c>
      <c r="M40" s="20">
        <f>input!F39</f>
        <v>45986.75</v>
      </c>
      <c r="N40" s="19">
        <f t="shared" si="9"/>
        <v>0.66387776171737478</v>
      </c>
      <c r="O40" s="19">
        <f t="shared" si="10"/>
        <v>3.306307345277904E-3</v>
      </c>
      <c r="P40" s="21">
        <v>768</v>
      </c>
      <c r="Q40" s="3">
        <f>P40/365+input!$K$3</f>
        <v>2.1041095890410957</v>
      </c>
      <c r="R40" s="4">
        <f t="shared" si="11"/>
        <v>11.118376987568578</v>
      </c>
      <c r="S40" s="12">
        <f t="shared" si="12"/>
        <v>18.69231515661523</v>
      </c>
      <c r="T40" s="20">
        <f>input!G39</f>
        <v>1596.32</v>
      </c>
      <c r="U40" s="19">
        <f t="shared" si="13"/>
        <v>0.95943334145337511</v>
      </c>
      <c r="V40" s="19">
        <f t="shared" si="0"/>
        <v>0.86829699073907551</v>
      </c>
      <c r="W40" s="21">
        <v>1133</v>
      </c>
      <c r="X40" s="3">
        <f>W40/365+input!$K$3</f>
        <v>3.1041095890410957</v>
      </c>
      <c r="Y40" s="4">
        <f t="shared" si="14"/>
        <v>12.589299260865312</v>
      </c>
      <c r="Z40" s="12">
        <f t="shared" si="15"/>
        <v>27.135859395209948</v>
      </c>
      <c r="AA40" s="20">
        <f>input!H39</f>
        <v>0</v>
      </c>
      <c r="AB40" s="19">
        <f t="shared" si="16"/>
        <v>0.98197554006092014</v>
      </c>
      <c r="AC40" s="19">
        <f t="shared" si="17"/>
        <v>0.99519142618801715</v>
      </c>
      <c r="AD40" s="8">
        <f t="shared" si="18"/>
        <v>0</v>
      </c>
      <c r="AE40" s="8">
        <f t="shared" si="19"/>
        <v>241727.71001054681</v>
      </c>
      <c r="AF40" s="8">
        <f t="shared" si="20"/>
        <v>29838.916530808023</v>
      </c>
      <c r="AG40" s="8">
        <f t="shared" si="21"/>
        <v>0</v>
      </c>
      <c r="AH40" s="8">
        <f t="shared" si="1"/>
        <v>0</v>
      </c>
      <c r="AI40" s="8">
        <f t="shared" si="2"/>
        <v>160477.65106686848</v>
      </c>
      <c r="AJ40" s="8">
        <f t="shared" si="22"/>
        <v>28628.451392501494</v>
      </c>
      <c r="AK40" s="8">
        <f t="shared" si="23"/>
        <v>0</v>
      </c>
      <c r="AL40" s="8">
        <f t="shared" si="24"/>
        <v>0</v>
      </c>
      <c r="AM40" s="8">
        <f t="shared" si="25"/>
        <v>530.58843647533172</v>
      </c>
      <c r="AN40" s="8">
        <f t="shared" si="26"/>
        <v>24857.998193628944</v>
      </c>
      <c r="AO40" s="8">
        <f t="shared" si="27"/>
        <v>0</v>
      </c>
    </row>
    <row r="41" spans="1:41">
      <c r="A41" s="1">
        <v>41768</v>
      </c>
      <c r="B41" s="5">
        <v>39</v>
      </c>
      <c r="C41" s="3">
        <f>B41/365+input!$K$3</f>
        <v>0.10684931506849316</v>
      </c>
      <c r="D41" s="4">
        <f t="shared" si="3"/>
        <v>0</v>
      </c>
      <c r="E41" s="12">
        <f t="shared" si="4"/>
        <v>0</v>
      </c>
      <c r="F41" s="20">
        <f>input!E40</f>
        <v>0</v>
      </c>
      <c r="G41" s="19">
        <f t="shared" si="5"/>
        <v>0</v>
      </c>
      <c r="H41" s="19">
        <f t="shared" si="6"/>
        <v>7.6198530241604755E-24</v>
      </c>
      <c r="I41" s="5">
        <v>404</v>
      </c>
      <c r="J41" s="3">
        <f>I41/365+input!$K$3</f>
        <v>1.106849315068493</v>
      </c>
      <c r="K41" s="4">
        <f t="shared" si="7"/>
        <v>7.3000955925941291</v>
      </c>
      <c r="L41" s="12">
        <f t="shared" si="8"/>
        <v>5.2908390431987753</v>
      </c>
      <c r="M41" s="20">
        <f>input!F40</f>
        <v>45872.37</v>
      </c>
      <c r="N41" s="19">
        <f t="shared" si="9"/>
        <v>0.66680200454762728</v>
      </c>
      <c r="O41" s="19">
        <f t="shared" si="10"/>
        <v>3.4679700957973621E-3</v>
      </c>
      <c r="P41" s="21">
        <v>769</v>
      </c>
      <c r="Q41" s="3">
        <f>P41/365+input!$K$3</f>
        <v>2.106849315068493</v>
      </c>
      <c r="R41" s="4">
        <f t="shared" si="11"/>
        <v>11.124883420285975</v>
      </c>
      <c r="S41" s="12">
        <f t="shared" si="12"/>
        <v>18.725150383373176</v>
      </c>
      <c r="T41" s="20">
        <f>input!G40</f>
        <v>1592.35</v>
      </c>
      <c r="U41" s="19">
        <f t="shared" si="13"/>
        <v>0.95957864640941049</v>
      </c>
      <c r="V41" s="19">
        <f t="shared" si="0"/>
        <v>0.86968078072463983</v>
      </c>
      <c r="W41" s="21">
        <v>1134</v>
      </c>
      <c r="X41" s="3">
        <f>W41/365+input!$K$3</f>
        <v>3.106849315068493</v>
      </c>
      <c r="Y41" s="4">
        <f t="shared" si="14"/>
        <v>12.589299260865312</v>
      </c>
      <c r="Z41" s="12">
        <f t="shared" si="15"/>
        <v>27.135859395209948</v>
      </c>
      <c r="AA41" s="20">
        <f>input!H40</f>
        <v>0</v>
      </c>
      <c r="AB41" s="19">
        <f t="shared" si="16"/>
        <v>0.98197554006092014</v>
      </c>
      <c r="AC41" s="19">
        <f t="shared" si="17"/>
        <v>0.99519142618801715</v>
      </c>
      <c r="AD41" s="8">
        <f t="shared" si="18"/>
        <v>0</v>
      </c>
      <c r="AE41" s="8">
        <f t="shared" si="19"/>
        <v>242703.32620006023</v>
      </c>
      <c r="AF41" s="8">
        <f t="shared" si="20"/>
        <v>29816.993212964277</v>
      </c>
      <c r="AG41" s="8">
        <f t="shared" si="21"/>
        <v>0</v>
      </c>
      <c r="AH41" s="8">
        <f t="shared" si="1"/>
        <v>0</v>
      </c>
      <c r="AI41" s="8">
        <f t="shared" si="2"/>
        <v>161835.06442057682</v>
      </c>
      <c r="AJ41" s="8">
        <f t="shared" si="22"/>
        <v>28611.749987294839</v>
      </c>
      <c r="AK41" s="8">
        <f t="shared" si="23"/>
        <v>0</v>
      </c>
      <c r="AL41" s="8">
        <f t="shared" si="24"/>
        <v>0</v>
      </c>
      <c r="AM41" s="8">
        <f t="shared" si="25"/>
        <v>561.23916386200005</v>
      </c>
      <c r="AN41" s="8">
        <f t="shared" si="26"/>
        <v>24883.089066848781</v>
      </c>
      <c r="AO41" s="8">
        <f t="shared" si="27"/>
        <v>0</v>
      </c>
    </row>
    <row r="42" spans="1:41">
      <c r="A42" s="1">
        <v>41769</v>
      </c>
      <c r="B42" s="5">
        <v>40</v>
      </c>
      <c r="C42" s="3">
        <f>B42/365+input!$K$3</f>
        <v>0.1095890410958904</v>
      </c>
      <c r="D42" s="4">
        <f t="shared" si="3"/>
        <v>0</v>
      </c>
      <c r="E42" s="12">
        <f t="shared" si="4"/>
        <v>0</v>
      </c>
      <c r="F42" s="20">
        <f>input!E41</f>
        <v>0</v>
      </c>
      <c r="G42" s="19">
        <f t="shared" si="5"/>
        <v>0</v>
      </c>
      <c r="H42" s="19">
        <f t="shared" si="6"/>
        <v>7.6198530241604755E-24</v>
      </c>
      <c r="I42" s="5">
        <v>405</v>
      </c>
      <c r="J42" s="3">
        <f>I42/365+input!$K$3</f>
        <v>1.1095890410958904</v>
      </c>
      <c r="K42" s="4">
        <f t="shared" si="7"/>
        <v>7.3159010135583342</v>
      </c>
      <c r="L42" s="12">
        <f t="shared" si="8"/>
        <v>5.3252790537194867</v>
      </c>
      <c r="M42" s="20">
        <f>input!F41</f>
        <v>45758.27</v>
      </c>
      <c r="N42" s="19">
        <f t="shared" si="9"/>
        <v>0.66969377766755689</v>
      </c>
      <c r="O42" s="19">
        <f t="shared" si="10"/>
        <v>3.6362785240370735E-3</v>
      </c>
      <c r="P42" s="21">
        <v>770</v>
      </c>
      <c r="Q42" s="3">
        <f>P42/365+input!$K$3</f>
        <v>2.1095890410958904</v>
      </c>
      <c r="R42" s="4">
        <f t="shared" si="11"/>
        <v>11.131374007329601</v>
      </c>
      <c r="S42" s="12">
        <f t="shared" si="12"/>
        <v>18.757943933494051</v>
      </c>
      <c r="T42" s="20">
        <f>input!G41</f>
        <v>1548.5</v>
      </c>
      <c r="U42" s="19">
        <f t="shared" si="13"/>
        <v>0.959723078924962</v>
      </c>
      <c r="V42" s="19">
        <f t="shared" si="0"/>
        <v>0.87105114654746241</v>
      </c>
      <c r="W42" s="21">
        <v>1135</v>
      </c>
      <c r="X42" s="3">
        <f>W42/365+input!$K$3</f>
        <v>3.1095890410958904</v>
      </c>
      <c r="Y42" s="4">
        <f t="shared" si="14"/>
        <v>12.589299260865312</v>
      </c>
      <c r="Z42" s="12">
        <f t="shared" si="15"/>
        <v>27.135859395209948</v>
      </c>
      <c r="AA42" s="20">
        <f>input!H41</f>
        <v>0</v>
      </c>
      <c r="AB42" s="19">
        <f t="shared" si="16"/>
        <v>0.98197554006092014</v>
      </c>
      <c r="AC42" s="19">
        <f t="shared" si="17"/>
        <v>0.99519142618801715</v>
      </c>
      <c r="AD42" s="8">
        <f t="shared" si="18"/>
        <v>0</v>
      </c>
      <c r="AE42" s="8">
        <f t="shared" si="19"/>
        <v>243675.55676544076</v>
      </c>
      <c r="AF42" s="8">
        <f t="shared" si="20"/>
        <v>29046.676181015537</v>
      </c>
      <c r="AG42" s="8">
        <f t="shared" si="21"/>
        <v>0</v>
      </c>
      <c r="AH42" s="8">
        <f t="shared" si="1"/>
        <v>0</v>
      </c>
      <c r="AI42" s="8">
        <f t="shared" si="2"/>
        <v>163188.00413549322</v>
      </c>
      <c r="AJ42" s="8">
        <f t="shared" si="22"/>
        <v>27876.765496980588</v>
      </c>
      <c r="AK42" s="8">
        <f t="shared" si="23"/>
        <v>0</v>
      </c>
      <c r="AL42" s="8">
        <f t="shared" si="24"/>
        <v>0</v>
      </c>
      <c r="AM42" s="8">
        <f t="shared" si="25"/>
        <v>593.39703481836716</v>
      </c>
      <c r="AN42" s="8">
        <f t="shared" si="26"/>
        <v>24282.088548179683</v>
      </c>
      <c r="AO42" s="8">
        <f t="shared" si="27"/>
        <v>0</v>
      </c>
    </row>
    <row r="43" spans="1:41">
      <c r="A43" s="1">
        <v>41770</v>
      </c>
      <c r="B43" s="5">
        <v>41</v>
      </c>
      <c r="C43" s="3">
        <f>B43/365+input!$K$3</f>
        <v>0.11232876712328767</v>
      </c>
      <c r="D43" s="4">
        <f t="shared" si="3"/>
        <v>0</v>
      </c>
      <c r="E43" s="12">
        <f t="shared" si="4"/>
        <v>0</v>
      </c>
      <c r="F43" s="20">
        <f>input!E42</f>
        <v>0</v>
      </c>
      <c r="G43" s="19">
        <f t="shared" si="5"/>
        <v>0</v>
      </c>
      <c r="H43" s="19">
        <f t="shared" si="6"/>
        <v>7.6198530241604755E-24</v>
      </c>
      <c r="I43" s="5">
        <v>406</v>
      </c>
      <c r="J43" s="3">
        <f>I43/365+input!$K$3</f>
        <v>1.1123287671232878</v>
      </c>
      <c r="K43" s="4">
        <f t="shared" si="7"/>
        <v>7.3316679422249393</v>
      </c>
      <c r="L43" s="12">
        <f t="shared" si="8"/>
        <v>5.359783776669695</v>
      </c>
      <c r="M43" s="20">
        <f>input!F42</f>
        <v>45644.45</v>
      </c>
      <c r="N43" s="19">
        <f t="shared" si="9"/>
        <v>0.6725535023903948</v>
      </c>
      <c r="O43" s="19">
        <f t="shared" si="10"/>
        <v>3.8114438829962511E-3</v>
      </c>
      <c r="P43" s="21">
        <v>771</v>
      </c>
      <c r="Q43" s="3">
        <f>P43/365+input!$K$3</f>
        <v>2.1123287671232878</v>
      </c>
      <c r="R43" s="4">
        <f t="shared" si="11"/>
        <v>11.137848787289778</v>
      </c>
      <c r="S43" s="12">
        <f t="shared" si="12"/>
        <v>18.790695744433496</v>
      </c>
      <c r="T43" s="20">
        <f>input!G42</f>
        <v>1544.65</v>
      </c>
      <c r="U43" s="19">
        <f t="shared" si="13"/>
        <v>0.95986664549142542</v>
      </c>
      <c r="V43" s="19">
        <f t="shared" si="0"/>
        <v>0.87240818549451404</v>
      </c>
      <c r="W43" s="21">
        <v>1136</v>
      </c>
      <c r="X43" s="3">
        <f>W43/365+input!$K$3</f>
        <v>3.1123287671232878</v>
      </c>
      <c r="Y43" s="4">
        <f t="shared" si="14"/>
        <v>12.589299260865312</v>
      </c>
      <c r="Z43" s="12">
        <f t="shared" si="15"/>
        <v>27.135859395209948</v>
      </c>
      <c r="AA43" s="20">
        <f>input!H42</f>
        <v>0</v>
      </c>
      <c r="AB43" s="19">
        <f t="shared" si="16"/>
        <v>0.98197554006092014</v>
      </c>
      <c r="AC43" s="19">
        <f t="shared" si="17"/>
        <v>0.99519142618801715</v>
      </c>
      <c r="AD43" s="8">
        <f t="shared" si="18"/>
        <v>0</v>
      </c>
      <c r="AE43" s="8">
        <f t="shared" si="19"/>
        <v>244644.38260501105</v>
      </c>
      <c r="AF43" s="8">
        <f t="shared" si="20"/>
        <v>29025.048181639202</v>
      </c>
      <c r="AG43" s="8">
        <f t="shared" si="21"/>
        <v>0</v>
      </c>
      <c r="AH43" s="8">
        <f t="shared" si="1"/>
        <v>0</v>
      </c>
      <c r="AI43" s="8">
        <f t="shared" si="2"/>
        <v>164536.43636113597</v>
      </c>
      <c r="AJ43" s="8">
        <f t="shared" si="22"/>
        <v>27860.175633337018</v>
      </c>
      <c r="AK43" s="8">
        <f t="shared" si="23"/>
        <v>0</v>
      </c>
      <c r="AL43" s="8">
        <f t="shared" si="24"/>
        <v>0</v>
      </c>
      <c r="AM43" s="8">
        <f t="shared" si="25"/>
        <v>627.12139389865365</v>
      </c>
      <c r="AN43" s="8">
        <f t="shared" si="26"/>
        <v>24305.44527183802</v>
      </c>
      <c r="AO43" s="8">
        <f t="shared" si="27"/>
        <v>0</v>
      </c>
    </row>
    <row r="44" spans="1:41">
      <c r="A44" s="1">
        <v>41771</v>
      </c>
      <c r="B44" s="5">
        <v>42</v>
      </c>
      <c r="C44" s="3">
        <f>B44/365+input!$K$3</f>
        <v>0.11506849315068493</v>
      </c>
      <c r="D44" s="4">
        <f t="shared" si="3"/>
        <v>0</v>
      </c>
      <c r="E44" s="12">
        <f t="shared" si="4"/>
        <v>0</v>
      </c>
      <c r="F44" s="20">
        <f>input!E43</f>
        <v>0</v>
      </c>
      <c r="G44" s="19">
        <f t="shared" si="5"/>
        <v>0</v>
      </c>
      <c r="H44" s="19">
        <f t="shared" si="6"/>
        <v>7.6198530241604755E-24</v>
      </c>
      <c r="I44" s="5">
        <v>407</v>
      </c>
      <c r="J44" s="3">
        <f>I44/365+input!$K$3</f>
        <v>1.1150684931506849</v>
      </c>
      <c r="K44" s="4">
        <f t="shared" si="7"/>
        <v>7.3473964723375369</v>
      </c>
      <c r="L44" s="12">
        <f t="shared" si="8"/>
        <v>5.3943526502691439</v>
      </c>
      <c r="M44" s="20">
        <f>input!F43</f>
        <v>45530.92</v>
      </c>
      <c r="N44" s="19">
        <f t="shared" si="9"/>
        <v>0.67538159385891361</v>
      </c>
      <c r="O44" s="19">
        <f t="shared" si="10"/>
        <v>3.993681463932152E-3</v>
      </c>
      <c r="P44" s="21">
        <v>772</v>
      </c>
      <c r="Q44" s="3">
        <f>P44/365+input!$K$3</f>
        <v>2.1150684931506851</v>
      </c>
      <c r="R44" s="4">
        <f t="shared" si="11"/>
        <v>11.144307798662854</v>
      </c>
      <c r="S44" s="12">
        <f t="shared" si="12"/>
        <v>18.823405754435534</v>
      </c>
      <c r="T44" s="20">
        <f>input!G43</f>
        <v>1501.29</v>
      </c>
      <c r="U44" s="19">
        <f t="shared" si="13"/>
        <v>0.96000935254317232</v>
      </c>
      <c r="V44" s="19">
        <f t="shared" si="0"/>
        <v>0.87375199490499378</v>
      </c>
      <c r="W44" s="21">
        <v>1137</v>
      </c>
      <c r="X44" s="3">
        <f>W44/365+input!$K$3</f>
        <v>3.1150684931506851</v>
      </c>
      <c r="Y44" s="4">
        <f t="shared" si="14"/>
        <v>12.589299260865312</v>
      </c>
      <c r="Z44" s="12">
        <f t="shared" si="15"/>
        <v>27.135859395209948</v>
      </c>
      <c r="AA44" s="20">
        <f>input!H43</f>
        <v>0</v>
      </c>
      <c r="AB44" s="19">
        <f t="shared" si="16"/>
        <v>0.98197554006092014</v>
      </c>
      <c r="AC44" s="19">
        <f t="shared" si="17"/>
        <v>0.99519142618801715</v>
      </c>
      <c r="AD44" s="8">
        <f t="shared" si="18"/>
        <v>0</v>
      </c>
      <c r="AE44" s="8">
        <f t="shared" si="19"/>
        <v>245609.83897119237</v>
      </c>
      <c r="AF44" s="8">
        <f t="shared" si="20"/>
        <v>28259.390825076523</v>
      </c>
      <c r="AG44" s="8">
        <f t="shared" si="21"/>
        <v>0</v>
      </c>
      <c r="AH44" s="8">
        <f t="shared" si="1"/>
        <v>0</v>
      </c>
      <c r="AI44" s="8">
        <f t="shared" si="2"/>
        <v>165880.36451179502</v>
      </c>
      <c r="AJ44" s="8">
        <f t="shared" si="22"/>
        <v>27129.279489246179</v>
      </c>
      <c r="AK44" s="8">
        <f t="shared" si="23"/>
        <v>0</v>
      </c>
      <c r="AL44" s="8">
        <f t="shared" si="24"/>
        <v>0</v>
      </c>
      <c r="AM44" s="8">
        <f t="shared" si="25"/>
        <v>662.47333698106456</v>
      </c>
      <c r="AN44" s="8">
        <f t="shared" si="26"/>
        <v>23704.26207406398</v>
      </c>
      <c r="AO44" s="8">
        <f t="shared" si="27"/>
        <v>0</v>
      </c>
    </row>
    <row r="45" spans="1:41">
      <c r="A45" s="1">
        <v>41772</v>
      </c>
      <c r="B45" s="5">
        <v>43</v>
      </c>
      <c r="C45" s="3">
        <f>B45/365+input!$K$3</f>
        <v>0.11780821917808219</v>
      </c>
      <c r="D45" s="4">
        <f t="shared" si="3"/>
        <v>0</v>
      </c>
      <c r="E45" s="12">
        <f t="shared" si="4"/>
        <v>0</v>
      </c>
      <c r="F45" s="20">
        <f>input!E44</f>
        <v>0</v>
      </c>
      <c r="G45" s="19">
        <f t="shared" si="5"/>
        <v>0</v>
      </c>
      <c r="H45" s="19">
        <f t="shared" si="6"/>
        <v>7.6198530241604755E-24</v>
      </c>
      <c r="I45" s="5">
        <v>408</v>
      </c>
      <c r="J45" s="3">
        <f>I45/365+input!$K$3</f>
        <v>1.1178082191780823</v>
      </c>
      <c r="K45" s="4">
        <f t="shared" si="7"/>
        <v>7.3630866974114184</v>
      </c>
      <c r="L45" s="12">
        <f t="shared" si="8"/>
        <v>5.4289851137493947</v>
      </c>
      <c r="M45" s="20">
        <f>input!F44</f>
        <v>45417.67</v>
      </c>
      <c r="N45" s="19">
        <f t="shared" si="9"/>
        <v>0.67817846114528035</v>
      </c>
      <c r="O45" s="19">
        <f t="shared" si="10"/>
        <v>4.1832105707319727E-3</v>
      </c>
      <c r="P45" s="21">
        <v>773</v>
      </c>
      <c r="Q45" s="3">
        <f>P45/365+input!$K$3</f>
        <v>2.117808219178082</v>
      </c>
      <c r="R45" s="4">
        <f t="shared" si="11"/>
        <v>11.150751079851423</v>
      </c>
      <c r="S45" s="12">
        <f t="shared" si="12"/>
        <v>18.856073902528664</v>
      </c>
      <c r="T45" s="20">
        <f>input!G44</f>
        <v>1497.56</v>
      </c>
      <c r="U45" s="19">
        <f t="shared" si="13"/>
        <v>0.96015120645812169</v>
      </c>
      <c r="V45" s="19">
        <f t="shared" si="0"/>
        <v>0.87508267215020452</v>
      </c>
      <c r="W45" s="21">
        <v>1138</v>
      </c>
      <c r="X45" s="3">
        <f>W45/365+input!$K$3</f>
        <v>3.117808219178082</v>
      </c>
      <c r="Y45" s="4">
        <f t="shared" si="14"/>
        <v>12.589299260865312</v>
      </c>
      <c r="Z45" s="12">
        <f t="shared" si="15"/>
        <v>27.135859395209948</v>
      </c>
      <c r="AA45" s="20">
        <f>input!H44</f>
        <v>0</v>
      </c>
      <c r="AB45" s="19">
        <f t="shared" si="16"/>
        <v>0.98197554006092014</v>
      </c>
      <c r="AC45" s="19">
        <f t="shared" si="17"/>
        <v>0.99519142618801715</v>
      </c>
      <c r="AD45" s="8">
        <f t="shared" si="18"/>
        <v>0</v>
      </c>
      <c r="AE45" s="8">
        <f t="shared" si="19"/>
        <v>246571.85433118246</v>
      </c>
      <c r="AF45" s="8">
        <f t="shared" si="20"/>
        <v>28238.102033470823</v>
      </c>
      <c r="AG45" s="8">
        <f t="shared" si="21"/>
        <v>0</v>
      </c>
      <c r="AH45" s="8">
        <f t="shared" si="1"/>
        <v>0</v>
      </c>
      <c r="AI45" s="8">
        <f t="shared" si="2"/>
        <v>167219.72073205956</v>
      </c>
      <c r="AJ45" s="8">
        <f t="shared" si="22"/>
        <v>27112.847735524549</v>
      </c>
      <c r="AK45" s="8">
        <f t="shared" si="23"/>
        <v>0</v>
      </c>
      <c r="AL45" s="8">
        <f t="shared" si="24"/>
        <v>0</v>
      </c>
      <c r="AM45" s="8">
        <f t="shared" si="25"/>
        <v>699.51530340119996</v>
      </c>
      <c r="AN45" s="8">
        <f t="shared" si="26"/>
        <v>23725.983246004445</v>
      </c>
      <c r="AO45" s="8">
        <f t="shared" si="27"/>
        <v>0</v>
      </c>
    </row>
    <row r="46" spans="1:41">
      <c r="A46" s="1">
        <v>41773</v>
      </c>
      <c r="B46" s="5">
        <v>44</v>
      </c>
      <c r="C46" s="3">
        <f>B46/365+input!$K$3</f>
        <v>0.12054794520547946</v>
      </c>
      <c r="D46" s="4">
        <f t="shared" si="3"/>
        <v>0</v>
      </c>
      <c r="E46" s="12">
        <f t="shared" si="4"/>
        <v>0</v>
      </c>
      <c r="F46" s="20">
        <f>input!E45</f>
        <v>0</v>
      </c>
      <c r="G46" s="19">
        <f t="shared" si="5"/>
        <v>0</v>
      </c>
      <c r="H46" s="19">
        <f t="shared" si="6"/>
        <v>7.6198530241604755E-24</v>
      </c>
      <c r="I46" s="5">
        <v>409</v>
      </c>
      <c r="J46" s="3">
        <f>I46/365+input!$K$3</f>
        <v>1.1205479452054794</v>
      </c>
      <c r="K46" s="4">
        <f t="shared" si="7"/>
        <v>7.378738710734134</v>
      </c>
      <c r="L46" s="12">
        <f t="shared" si="8"/>
        <v>5.4636806073700468</v>
      </c>
      <c r="M46" s="20">
        <f>input!F45</f>
        <v>45304.7</v>
      </c>
      <c r="N46" s="19">
        <f t="shared" si="9"/>
        <v>0.68094450734914802</v>
      </c>
      <c r="O46" s="19">
        <f t="shared" si="10"/>
        <v>4.3802544899524632E-3</v>
      </c>
      <c r="P46" s="21">
        <v>774</v>
      </c>
      <c r="Q46" s="3">
        <f>P46/365+input!$K$3</f>
        <v>2.1205479452054794</v>
      </c>
      <c r="R46" s="4">
        <f t="shared" si="11"/>
        <v>11.157178669164553</v>
      </c>
      <c r="S46" s="12">
        <f t="shared" si="12"/>
        <v>18.888700128522093</v>
      </c>
      <c r="T46" s="20">
        <f>input!G45</f>
        <v>1455.89</v>
      </c>
      <c r="U46" s="19">
        <f t="shared" si="13"/>
        <v>0.96029221355830507</v>
      </c>
      <c r="V46" s="19">
        <f t="shared" si="0"/>
        <v>0.87640031461387347</v>
      </c>
      <c r="W46" s="21">
        <v>1139</v>
      </c>
      <c r="X46" s="3">
        <f>W46/365+input!$K$3</f>
        <v>3.1205479452054794</v>
      </c>
      <c r="Y46" s="4">
        <f t="shared" si="14"/>
        <v>12.589299260865312</v>
      </c>
      <c r="Z46" s="12">
        <f t="shared" si="15"/>
        <v>27.135859395209948</v>
      </c>
      <c r="AA46" s="20">
        <f>input!H45</f>
        <v>0</v>
      </c>
      <c r="AB46" s="19">
        <f t="shared" si="16"/>
        <v>0.98197554006092014</v>
      </c>
      <c r="AC46" s="19">
        <f t="shared" si="17"/>
        <v>0.99519142618801715</v>
      </c>
      <c r="AD46" s="8">
        <f t="shared" si="18"/>
        <v>0</v>
      </c>
      <c r="AE46" s="8">
        <f t="shared" si="19"/>
        <v>247530.41081271775</v>
      </c>
      <c r="AF46" s="8">
        <f t="shared" si="20"/>
        <v>27499.86963011403</v>
      </c>
      <c r="AG46" s="8">
        <f t="shared" si="21"/>
        <v>0</v>
      </c>
      <c r="AH46" s="8">
        <f t="shared" si="1"/>
        <v>0</v>
      </c>
      <c r="AI46" s="8">
        <f t="shared" si="2"/>
        <v>168554.4736447983</v>
      </c>
      <c r="AJ46" s="8">
        <f t="shared" si="22"/>
        <v>26407.910679667009</v>
      </c>
      <c r="AK46" s="8">
        <f t="shared" si="23"/>
        <v>0</v>
      </c>
      <c r="AL46" s="8">
        <f t="shared" si="24"/>
        <v>0</v>
      </c>
      <c r="AM46" s="8">
        <f t="shared" si="25"/>
        <v>738.3114899842019</v>
      </c>
      <c r="AN46" s="8">
        <f t="shared" si="26"/>
        <v>23143.901227955237</v>
      </c>
      <c r="AO46" s="8">
        <f t="shared" si="27"/>
        <v>0</v>
      </c>
    </row>
    <row r="47" spans="1:41">
      <c r="A47" s="1">
        <v>41774</v>
      </c>
      <c r="B47" s="5">
        <v>45</v>
      </c>
      <c r="C47" s="3">
        <f>B47/365+input!$K$3</f>
        <v>0.12328767123287671</v>
      </c>
      <c r="D47" s="4">
        <f t="shared" si="3"/>
        <v>0</v>
      </c>
      <c r="E47" s="12">
        <f t="shared" si="4"/>
        <v>0</v>
      </c>
      <c r="F47" s="20">
        <f>input!E46</f>
        <v>0</v>
      </c>
      <c r="G47" s="19">
        <f t="shared" si="5"/>
        <v>0</v>
      </c>
      <c r="H47" s="19">
        <f t="shared" si="6"/>
        <v>7.6198530241604755E-24</v>
      </c>
      <c r="I47" s="5">
        <v>410</v>
      </c>
      <c r="J47" s="3">
        <f>I47/365+input!$K$3</f>
        <v>1.1232876712328768</v>
      </c>
      <c r="K47" s="4">
        <f t="shared" si="7"/>
        <v>7.3943526053660369</v>
      </c>
      <c r="L47" s="12">
        <f t="shared" si="8"/>
        <v>5.4984385724346421</v>
      </c>
      <c r="M47" s="20">
        <f>input!F46</f>
        <v>45192.02</v>
      </c>
      <c r="N47" s="19">
        <f t="shared" si="9"/>
        <v>0.68368012969401781</v>
      </c>
      <c r="O47" s="19">
        <f t="shared" si="10"/>
        <v>4.5850404564677719E-3</v>
      </c>
      <c r="P47" s="21">
        <v>775</v>
      </c>
      <c r="Q47" s="3">
        <f>P47/365+input!$K$3</f>
        <v>2.1232876712328768</v>
      </c>
      <c r="R47" s="4">
        <f t="shared" si="11"/>
        <v>11.163590604818012</v>
      </c>
      <c r="S47" s="12">
        <f t="shared" si="12"/>
        <v>18.921284373001857</v>
      </c>
      <c r="T47" s="20">
        <f>input!G46</f>
        <v>1452.27</v>
      </c>
      <c r="U47" s="19">
        <f t="shared" si="13"/>
        <v>0.96043238011042442</v>
      </c>
      <c r="V47" s="19">
        <f t="shared" si="0"/>
        <v>0.87770501967291115</v>
      </c>
      <c r="W47" s="21">
        <v>1140</v>
      </c>
      <c r="X47" s="3">
        <f>W47/365+input!$K$3</f>
        <v>3.1232876712328768</v>
      </c>
      <c r="Y47" s="4">
        <f t="shared" si="14"/>
        <v>12.589299260865312</v>
      </c>
      <c r="Z47" s="12">
        <f t="shared" si="15"/>
        <v>27.135859395209948</v>
      </c>
      <c r="AA47" s="20">
        <f>input!H46</f>
        <v>0</v>
      </c>
      <c r="AB47" s="19">
        <f t="shared" si="16"/>
        <v>0.98197554006092014</v>
      </c>
      <c r="AC47" s="19">
        <f t="shared" si="17"/>
        <v>0.99519142618801715</v>
      </c>
      <c r="AD47" s="8">
        <f t="shared" si="18"/>
        <v>0</v>
      </c>
      <c r="AE47" s="8">
        <f t="shared" si="19"/>
        <v>248485.54593423777</v>
      </c>
      <c r="AF47" s="8">
        <f t="shared" si="20"/>
        <v>27478.813656379407</v>
      </c>
      <c r="AG47" s="8">
        <f t="shared" si="21"/>
        <v>0</v>
      </c>
      <c r="AH47" s="8">
        <f t="shared" si="1"/>
        <v>0</v>
      </c>
      <c r="AI47" s="8">
        <f t="shared" si="2"/>
        <v>169884.6302714085</v>
      </c>
      <c r="AJ47" s="8">
        <f t="shared" si="22"/>
        <v>26391.542402607309</v>
      </c>
      <c r="AK47" s="8">
        <f t="shared" si="23"/>
        <v>0</v>
      </c>
      <c r="AL47" s="8">
        <f t="shared" si="24"/>
        <v>0</v>
      </c>
      <c r="AM47" s="8">
        <f t="shared" si="25"/>
        <v>778.92790272647744</v>
      </c>
      <c r="AN47" s="8">
        <f t="shared" si="26"/>
        <v>23163.989243678916</v>
      </c>
      <c r="AO47" s="8">
        <f t="shared" si="27"/>
        <v>0</v>
      </c>
    </row>
    <row r="48" spans="1:41">
      <c r="A48" s="1">
        <v>41775</v>
      </c>
      <c r="B48" s="5">
        <v>46</v>
      </c>
      <c r="C48" s="3">
        <f>B48/365+input!$K$3</f>
        <v>0.12602739726027398</v>
      </c>
      <c r="D48" s="4">
        <f t="shared" si="3"/>
        <v>0</v>
      </c>
      <c r="E48" s="12">
        <f t="shared" si="4"/>
        <v>0</v>
      </c>
      <c r="F48" s="20">
        <f>input!E47</f>
        <v>0</v>
      </c>
      <c r="G48" s="19">
        <f t="shared" si="5"/>
        <v>0</v>
      </c>
      <c r="H48" s="19">
        <f t="shared" si="6"/>
        <v>7.6198530241604755E-24</v>
      </c>
      <c r="I48" s="5">
        <v>411</v>
      </c>
      <c r="J48" s="3">
        <f>I48/365+input!$K$3</f>
        <v>1.1260273972602739</v>
      </c>
      <c r="K48" s="4">
        <f t="shared" si="7"/>
        <v>7.4099284741408482</v>
      </c>
      <c r="L48" s="12">
        <f t="shared" si="8"/>
        <v>5.5332584513063914</v>
      </c>
      <c r="M48" s="20">
        <f>input!F47</f>
        <v>45079.61</v>
      </c>
      <c r="N48" s="19">
        <f t="shared" si="9"/>
        <v>0.6863857196219143</v>
      </c>
      <c r="O48" s="19">
        <f t="shared" si="10"/>
        <v>4.7977996146720478E-3</v>
      </c>
      <c r="P48" s="21">
        <v>776</v>
      </c>
      <c r="Q48" s="3">
        <f>P48/365+input!$K$3</f>
        <v>2.1260273972602741</v>
      </c>
      <c r="R48" s="4">
        <f t="shared" si="11"/>
        <v>11.169986924934504</v>
      </c>
      <c r="S48" s="12">
        <f t="shared" si="12"/>
        <v>18.953826577327106</v>
      </c>
      <c r="T48" s="20">
        <f>input!G47</f>
        <v>1412.09</v>
      </c>
      <c r="U48" s="19">
        <f t="shared" si="13"/>
        <v>0.96057171232640581</v>
      </c>
      <c r="V48" s="19">
        <f t="shared" si="0"/>
        <v>0.87899688467860848</v>
      </c>
      <c r="W48" s="21">
        <v>1141</v>
      </c>
      <c r="X48" s="3">
        <f>W48/365+input!$K$3</f>
        <v>3.1260273972602741</v>
      </c>
      <c r="Y48" s="4">
        <f t="shared" si="14"/>
        <v>12.589299260865312</v>
      </c>
      <c r="Z48" s="12">
        <f t="shared" si="15"/>
        <v>27.135859395209948</v>
      </c>
      <c r="AA48" s="20">
        <f>input!H47</f>
        <v>0</v>
      </c>
      <c r="AB48" s="19">
        <f t="shared" si="16"/>
        <v>0.98197554006092014</v>
      </c>
      <c r="AC48" s="19">
        <f t="shared" si="17"/>
        <v>0.99519142618801715</v>
      </c>
      <c r="AD48" s="8">
        <f t="shared" si="18"/>
        <v>0</v>
      </c>
      <c r="AE48" s="8">
        <f t="shared" si="19"/>
        <v>249437.13301409612</v>
      </c>
      <c r="AF48" s="8">
        <f t="shared" si="20"/>
        <v>26764.50897157783</v>
      </c>
      <c r="AG48" s="8">
        <f t="shared" si="21"/>
        <v>0</v>
      </c>
      <c r="AH48" s="8">
        <f t="shared" si="1"/>
        <v>0</v>
      </c>
      <c r="AI48" s="8">
        <f t="shared" si="2"/>
        <v>171210.08604430754</v>
      </c>
      <c r="AJ48" s="8">
        <f t="shared" si="22"/>
        <v>25709.230212403967</v>
      </c>
      <c r="AK48" s="8">
        <f t="shared" si="23"/>
        <v>0</v>
      </c>
      <c r="AL48" s="8">
        <f t="shared" si="24"/>
        <v>0</v>
      </c>
      <c r="AM48" s="8">
        <f t="shared" si="25"/>
        <v>821.43168485134686</v>
      </c>
      <c r="AN48" s="8">
        <f t="shared" si="26"/>
        <v>22598.333264188248</v>
      </c>
      <c r="AO48" s="8">
        <f t="shared" si="27"/>
        <v>0</v>
      </c>
    </row>
    <row r="49" spans="1:41">
      <c r="A49" s="1">
        <v>41776</v>
      </c>
      <c r="B49" s="5">
        <v>47</v>
      </c>
      <c r="C49" s="3">
        <f>B49/365+input!$K$3</f>
        <v>0.12876712328767123</v>
      </c>
      <c r="D49" s="4">
        <f t="shared" si="3"/>
        <v>0</v>
      </c>
      <c r="E49" s="12">
        <f t="shared" si="4"/>
        <v>0</v>
      </c>
      <c r="F49" s="20">
        <f>input!E48</f>
        <v>0</v>
      </c>
      <c r="G49" s="19">
        <f t="shared" si="5"/>
        <v>0</v>
      </c>
      <c r="H49" s="19">
        <f t="shared" si="6"/>
        <v>7.6198530241604755E-24</v>
      </c>
      <c r="I49" s="5">
        <v>412</v>
      </c>
      <c r="J49" s="3">
        <f>I49/365+input!$K$3</f>
        <v>1.1287671232876713</v>
      </c>
      <c r="K49" s="4">
        <f t="shared" si="7"/>
        <v>7.4254664096661962</v>
      </c>
      <c r="L49" s="12">
        <f t="shared" si="8"/>
        <v>5.568139687423594</v>
      </c>
      <c r="M49" s="20">
        <f>input!F48</f>
        <v>44967.48</v>
      </c>
      <c r="N49" s="19">
        <f t="shared" si="9"/>
        <v>0.68906166288639203</v>
      </c>
      <c r="O49" s="19">
        <f t="shared" si="10"/>
        <v>5.0187669751876572E-3</v>
      </c>
      <c r="P49" s="21">
        <v>777</v>
      </c>
      <c r="Q49" s="3">
        <f>P49/365+input!$K$3</f>
        <v>2.128767123287671</v>
      </c>
      <c r="R49" s="4">
        <f t="shared" si="11"/>
        <v>11.176367667543882</v>
      </c>
      <c r="S49" s="12">
        <f t="shared" si="12"/>
        <v>18.986326683626203</v>
      </c>
      <c r="T49" s="20">
        <f>input!G48</f>
        <v>1408.58</v>
      </c>
      <c r="U49" s="19">
        <f t="shared" si="13"/>
        <v>0.96071021636394482</v>
      </c>
      <c r="V49" s="19">
        <f t="shared" si="0"/>
        <v>0.88027600693825914</v>
      </c>
      <c r="W49" s="21">
        <v>1142</v>
      </c>
      <c r="X49" s="3">
        <f>W49/365+input!$K$3</f>
        <v>3.128767123287671</v>
      </c>
      <c r="Y49" s="4">
        <f t="shared" si="14"/>
        <v>12.589299260865312</v>
      </c>
      <c r="Z49" s="12">
        <f t="shared" si="15"/>
        <v>27.135859395209948</v>
      </c>
      <c r="AA49" s="20">
        <f>input!H48</f>
        <v>0</v>
      </c>
      <c r="AB49" s="19">
        <f t="shared" si="16"/>
        <v>0.98197554006092014</v>
      </c>
      <c r="AC49" s="19">
        <f t="shared" si="17"/>
        <v>0.99519142618801715</v>
      </c>
      <c r="AD49" s="8">
        <f t="shared" si="18"/>
        <v>0</v>
      </c>
      <c r="AE49" s="8">
        <f t="shared" si="19"/>
        <v>250385.21003142674</v>
      </c>
      <c r="AF49" s="8">
        <f t="shared" si="20"/>
        <v>26743.760040022196</v>
      </c>
      <c r="AG49" s="8">
        <f t="shared" si="21"/>
        <v>0</v>
      </c>
      <c r="AH49" s="8">
        <f t="shared" si="1"/>
        <v>0</v>
      </c>
      <c r="AI49" s="8">
        <f t="shared" si="2"/>
        <v>172530.84918641343</v>
      </c>
      <c r="AJ49" s="8">
        <f t="shared" si="22"/>
        <v>25693.003494435146</v>
      </c>
      <c r="AK49" s="8">
        <f t="shared" si="23"/>
        <v>0</v>
      </c>
      <c r="AL49" s="8">
        <f t="shared" si="24"/>
        <v>0</v>
      </c>
      <c r="AM49" s="8">
        <f t="shared" si="25"/>
        <v>865.89212809785397</v>
      </c>
      <c r="AN49" s="8">
        <f t="shared" si="26"/>
        <v>22616.934522332111</v>
      </c>
      <c r="AO49" s="8">
        <f t="shared" si="27"/>
        <v>0</v>
      </c>
    </row>
    <row r="50" spans="1:41">
      <c r="A50" s="1">
        <v>41777</v>
      </c>
      <c r="B50" s="5">
        <v>48</v>
      </c>
      <c r="C50" s="3">
        <f>B50/365+input!$K$3</f>
        <v>0.13150684931506848</v>
      </c>
      <c r="D50" s="4">
        <f t="shared" si="3"/>
        <v>0</v>
      </c>
      <c r="E50" s="12">
        <f t="shared" si="4"/>
        <v>0</v>
      </c>
      <c r="F50" s="20">
        <f>input!E49</f>
        <v>0</v>
      </c>
      <c r="G50" s="19">
        <f t="shared" si="5"/>
        <v>0</v>
      </c>
      <c r="H50" s="19">
        <f t="shared" si="6"/>
        <v>7.6198530241604755E-24</v>
      </c>
      <c r="I50" s="5">
        <v>413</v>
      </c>
      <c r="J50" s="3">
        <f>I50/365+input!$K$3</f>
        <v>1.1315068493150684</v>
      </c>
      <c r="K50" s="4">
        <f t="shared" si="7"/>
        <v>7.4409665043241784</v>
      </c>
      <c r="L50" s="12">
        <f t="shared" si="8"/>
        <v>5.6030817253148539</v>
      </c>
      <c r="M50" s="20">
        <f>input!F49</f>
        <v>44855.63</v>
      </c>
      <c r="N50" s="19">
        <f t="shared" si="9"/>
        <v>0.6917083396439192</v>
      </c>
      <c r="O50" s="19">
        <f t="shared" si="10"/>
        <v>5.2481813670366756E-3</v>
      </c>
      <c r="P50" s="21">
        <v>778</v>
      </c>
      <c r="Q50" s="3">
        <f>P50/365+input!$K$3</f>
        <v>2.1315068493150684</v>
      </c>
      <c r="R50" s="4">
        <f t="shared" si="11"/>
        <v>11.18273287058339</v>
      </c>
      <c r="S50" s="12">
        <f t="shared" si="12"/>
        <v>19.018784634793057</v>
      </c>
      <c r="T50" s="20">
        <f>input!G49</f>
        <v>1369.24</v>
      </c>
      <c r="U50" s="19">
        <f t="shared" si="13"/>
        <v>0.96084789832704764</v>
      </c>
      <c r="V50" s="19">
        <f t="shared" si="0"/>
        <v>0.88154248369721455</v>
      </c>
      <c r="W50" s="21">
        <v>1143</v>
      </c>
      <c r="X50" s="3">
        <f>W50/365+input!$K$3</f>
        <v>3.1315068493150684</v>
      </c>
      <c r="Y50" s="4">
        <f t="shared" si="14"/>
        <v>12.589299260865312</v>
      </c>
      <c r="Z50" s="12">
        <f t="shared" si="15"/>
        <v>27.135859395209948</v>
      </c>
      <c r="AA50" s="20">
        <f>input!H49</f>
        <v>0</v>
      </c>
      <c r="AB50" s="19">
        <f t="shared" si="16"/>
        <v>0.98197554006092014</v>
      </c>
      <c r="AC50" s="19">
        <f t="shared" si="17"/>
        <v>0.99519142618801715</v>
      </c>
      <c r="AD50" s="8">
        <f t="shared" si="18"/>
        <v>0</v>
      </c>
      <c r="AE50" s="8">
        <f t="shared" si="19"/>
        <v>251329.7607304847</v>
      </c>
      <c r="AF50" s="8">
        <f t="shared" si="20"/>
        <v>26041.280673344045</v>
      </c>
      <c r="AG50" s="8">
        <f t="shared" si="21"/>
        <v>0</v>
      </c>
      <c r="AH50" s="8">
        <f t="shared" si="1"/>
        <v>0</v>
      </c>
      <c r="AI50" s="8">
        <f t="shared" si="2"/>
        <v>173846.89149798706</v>
      </c>
      <c r="AJ50" s="8">
        <f t="shared" si="22"/>
        <v>25021.70980472739</v>
      </c>
      <c r="AK50" s="8">
        <f t="shared" si="23"/>
        <v>0</v>
      </c>
      <c r="AL50" s="8">
        <f t="shared" si="24"/>
        <v>0</v>
      </c>
      <c r="AM50" s="8">
        <f t="shared" si="25"/>
        <v>912.38001667698234</v>
      </c>
      <c r="AN50" s="8">
        <f t="shared" si="26"/>
        <v>22057.700207610327</v>
      </c>
      <c r="AO50" s="8">
        <f t="shared" si="27"/>
        <v>0</v>
      </c>
    </row>
    <row r="51" spans="1:41">
      <c r="A51" s="1">
        <v>41778</v>
      </c>
      <c r="B51" s="5">
        <v>49</v>
      </c>
      <c r="C51" s="3">
        <f>B51/365+input!$K$3</f>
        <v>0.13424657534246576</v>
      </c>
      <c r="D51" s="4">
        <f t="shared" si="3"/>
        <v>0</v>
      </c>
      <c r="E51" s="12">
        <f t="shared" si="4"/>
        <v>0</v>
      </c>
      <c r="F51" s="20">
        <f>input!E50</f>
        <v>0</v>
      </c>
      <c r="G51" s="19">
        <f t="shared" si="5"/>
        <v>0</v>
      </c>
      <c r="H51" s="19">
        <f t="shared" si="6"/>
        <v>7.6198530241604755E-24</v>
      </c>
      <c r="I51" s="5">
        <v>414</v>
      </c>
      <c r="J51" s="3">
        <f>I51/365+input!$K$3</f>
        <v>1.1342465753424658</v>
      </c>
      <c r="K51" s="4">
        <f t="shared" si="7"/>
        <v>7.4564288502719087</v>
      </c>
      <c r="L51" s="12">
        <f t="shared" si="8"/>
        <v>5.6380840106140306</v>
      </c>
      <c r="M51" s="20">
        <f>input!F50</f>
        <v>44744.06</v>
      </c>
      <c r="N51" s="19">
        <f t="shared" si="9"/>
        <v>0.69432612454365716</v>
      </c>
      <c r="O51" s="19">
        <f t="shared" si="10"/>
        <v>5.4862853852380477E-3</v>
      </c>
      <c r="P51" s="21">
        <v>779</v>
      </c>
      <c r="Q51" s="3">
        <f>P51/365+input!$K$3</f>
        <v>2.1342465753424658</v>
      </c>
      <c r="R51" s="4">
        <f t="shared" si="11"/>
        <v>11.189082571897872</v>
      </c>
      <c r="S51" s="12">
        <f t="shared" si="12"/>
        <v>19.051200374483258</v>
      </c>
      <c r="T51" s="20">
        <f>input!G50</f>
        <v>1365.84</v>
      </c>
      <c r="U51" s="19">
        <f t="shared" si="13"/>
        <v>0.96098476426656398</v>
      </c>
      <c r="V51" s="19">
        <f t="shared" si="0"/>
        <v>0.88279641212135485</v>
      </c>
      <c r="W51" s="21">
        <v>1144</v>
      </c>
      <c r="X51" s="3">
        <f>W51/365+input!$K$3</f>
        <v>3.1342465753424658</v>
      </c>
      <c r="Y51" s="4">
        <f t="shared" si="14"/>
        <v>12.589299260865312</v>
      </c>
      <c r="Z51" s="12">
        <f t="shared" si="15"/>
        <v>27.135859395209948</v>
      </c>
      <c r="AA51" s="20">
        <f>input!H50</f>
        <v>0</v>
      </c>
      <c r="AB51" s="19">
        <f t="shared" si="16"/>
        <v>0.98197554006092014</v>
      </c>
      <c r="AC51" s="19">
        <f t="shared" si="17"/>
        <v>0.99519142618801715</v>
      </c>
      <c r="AD51" s="8">
        <f t="shared" si="18"/>
        <v>0</v>
      </c>
      <c r="AE51" s="8">
        <f t="shared" si="19"/>
        <v>252270.7692559548</v>
      </c>
      <c r="AF51" s="8">
        <f t="shared" si="20"/>
        <v>26020.891519484212</v>
      </c>
      <c r="AG51" s="8">
        <f t="shared" si="21"/>
        <v>0</v>
      </c>
      <c r="AH51" s="8">
        <f t="shared" si="1"/>
        <v>0</v>
      </c>
      <c r="AI51" s="8">
        <f t="shared" si="2"/>
        <v>175158.18555313427</v>
      </c>
      <c r="AJ51" s="8">
        <f t="shared" si="22"/>
        <v>25005.68030285737</v>
      </c>
      <c r="AK51" s="8">
        <f t="shared" si="23"/>
        <v>0</v>
      </c>
      <c r="AL51" s="8">
        <f t="shared" si="24"/>
        <v>0</v>
      </c>
      <c r="AM51" s="8">
        <f t="shared" si="25"/>
        <v>960.96779350497468</v>
      </c>
      <c r="AN51" s="8">
        <f t="shared" si="26"/>
        <v>22074.924854016121</v>
      </c>
      <c r="AO51" s="8">
        <f t="shared" si="27"/>
        <v>0</v>
      </c>
    </row>
    <row r="52" spans="1:41">
      <c r="A52" s="1">
        <v>41779</v>
      </c>
      <c r="B52" s="5">
        <v>50</v>
      </c>
      <c r="C52" s="3">
        <f>B52/365+input!$K$3</f>
        <v>0.13698630136986301</v>
      </c>
      <c r="D52" s="4">
        <f t="shared" si="3"/>
        <v>0</v>
      </c>
      <c r="E52" s="12">
        <f t="shared" si="4"/>
        <v>0</v>
      </c>
      <c r="F52" s="20">
        <f>input!E51</f>
        <v>0</v>
      </c>
      <c r="G52" s="19">
        <f t="shared" si="5"/>
        <v>0</v>
      </c>
      <c r="H52" s="19">
        <f t="shared" si="6"/>
        <v>7.6198530241604755E-24</v>
      </c>
      <c r="I52" s="5">
        <v>415</v>
      </c>
      <c r="J52" s="3">
        <f>I52/365+input!$K$3</f>
        <v>1.1369863013698631</v>
      </c>
      <c r="K52" s="4">
        <f t="shared" si="7"/>
        <v>7.4718535394420558</v>
      </c>
      <c r="L52" s="12">
        <f t="shared" si="8"/>
        <v>5.6731459900749401</v>
      </c>
      <c r="M52" s="20">
        <f>input!F51</f>
        <v>44632.77</v>
      </c>
      <c r="N52" s="19">
        <f t="shared" si="9"/>
        <v>0.69691538681567133</v>
      </c>
      <c r="O52" s="19">
        <f t="shared" si="10"/>
        <v>5.7333253337990874E-3</v>
      </c>
      <c r="P52" s="21">
        <v>780</v>
      </c>
      <c r="Q52" s="3">
        <f>P52/365+input!$K$3</f>
        <v>2.1369863013698631</v>
      </c>
      <c r="R52" s="4">
        <f t="shared" si="11"/>
        <v>11.19541680924001</v>
      </c>
      <c r="S52" s="12">
        <f t="shared" si="12"/>
        <v>19.083573847110348</v>
      </c>
      <c r="T52" s="20">
        <f>input!G51</f>
        <v>1327.76</v>
      </c>
      <c r="U52" s="19">
        <f t="shared" si="13"/>
        <v>0.96112082018071698</v>
      </c>
      <c r="V52" s="19">
        <f t="shared" si="0"/>
        <v>0.88403788927998139</v>
      </c>
      <c r="W52" s="21">
        <v>1145</v>
      </c>
      <c r="X52" s="3">
        <f>W52/365+input!$K$3</f>
        <v>3.1369863013698631</v>
      </c>
      <c r="Y52" s="4">
        <f t="shared" si="14"/>
        <v>12.589299260865312</v>
      </c>
      <c r="Z52" s="12">
        <f t="shared" si="15"/>
        <v>27.135859395209948</v>
      </c>
      <c r="AA52" s="20">
        <f>input!H51</f>
        <v>0</v>
      </c>
      <c r="AB52" s="19">
        <f t="shared" si="16"/>
        <v>0.98197554006092014</v>
      </c>
      <c r="AC52" s="19">
        <f t="shared" si="17"/>
        <v>0.99519142618801715</v>
      </c>
      <c r="AD52" s="8">
        <f t="shared" si="18"/>
        <v>0</v>
      </c>
      <c r="AE52" s="8">
        <f t="shared" si="19"/>
        <v>253208.22015143707</v>
      </c>
      <c r="AF52" s="8">
        <f t="shared" si="20"/>
        <v>25338.406011239236</v>
      </c>
      <c r="AG52" s="8">
        <f t="shared" si="21"/>
        <v>0</v>
      </c>
      <c r="AH52" s="8">
        <f t="shared" si="1"/>
        <v>0</v>
      </c>
      <c r="AI52" s="8">
        <f t="shared" si="2"/>
        <v>176464.70469174642</v>
      </c>
      <c r="AJ52" s="8">
        <f t="shared" si="22"/>
        <v>24353.269567594263</v>
      </c>
      <c r="AK52" s="8">
        <f t="shared" si="23"/>
        <v>0</v>
      </c>
      <c r="AL52" s="8">
        <f t="shared" si="24"/>
        <v>0</v>
      </c>
      <c r="AM52" s="8">
        <f t="shared" si="25"/>
        <v>1011.7295619305644</v>
      </c>
      <c r="AN52" s="8">
        <f t="shared" si="26"/>
        <v>21529.213025602439</v>
      </c>
      <c r="AO52" s="8">
        <f t="shared" si="27"/>
        <v>0</v>
      </c>
    </row>
    <row r="53" spans="1:41">
      <c r="A53" s="1">
        <v>41780</v>
      </c>
      <c r="B53" s="5">
        <v>51</v>
      </c>
      <c r="C53" s="3">
        <f>B53/365+input!$K$3</f>
        <v>0.13972602739726028</v>
      </c>
      <c r="D53" s="4">
        <f t="shared" si="3"/>
        <v>0</v>
      </c>
      <c r="E53" s="12">
        <f t="shared" si="4"/>
        <v>0</v>
      </c>
      <c r="F53" s="20">
        <f>input!E52</f>
        <v>0</v>
      </c>
      <c r="G53" s="19">
        <f t="shared" si="5"/>
        <v>0</v>
      </c>
      <c r="H53" s="19">
        <f t="shared" si="6"/>
        <v>7.6198530241604755E-24</v>
      </c>
      <c r="I53" s="5">
        <v>416</v>
      </c>
      <c r="J53" s="3">
        <f>I53/365+input!$K$3</f>
        <v>1.1397260273972603</v>
      </c>
      <c r="K53" s="4">
        <f t="shared" si="7"/>
        <v>7.4872406635433997</v>
      </c>
      <c r="L53" s="12">
        <f t="shared" si="8"/>
        <v>5.7082671115858394</v>
      </c>
      <c r="M53" s="20">
        <f>input!F52</f>
        <v>44521.760000000002</v>
      </c>
      <c r="N53" s="19">
        <f t="shared" si="9"/>
        <v>0.69947649035760517</v>
      </c>
      <c r="O53" s="19">
        <f t="shared" si="10"/>
        <v>5.9895511640765337E-3</v>
      </c>
      <c r="P53" s="21">
        <v>781</v>
      </c>
      <c r="Q53" s="3">
        <f>P53/365+input!$K$3</f>
        <v>2.1397260273972605</v>
      </c>
      <c r="R53" s="4">
        <f t="shared" si="11"/>
        <v>11.201735620270542</v>
      </c>
      <c r="S53" s="12">
        <f t="shared" si="12"/>
        <v>19.11590499784209</v>
      </c>
      <c r="T53" s="20">
        <f>input!G52</f>
        <v>1324.45</v>
      </c>
      <c r="U53" s="19">
        <f t="shared" si="13"/>
        <v>0.96125607201562457</v>
      </c>
      <c r="V53" s="19">
        <f t="shared" si="0"/>
        <v>0.88526701212911996</v>
      </c>
      <c r="W53" s="21">
        <v>1146</v>
      </c>
      <c r="X53" s="3">
        <f>W53/365+input!$K$3</f>
        <v>3.1397260273972605</v>
      </c>
      <c r="Y53" s="4">
        <f t="shared" si="14"/>
        <v>12.589299260865312</v>
      </c>
      <c r="Z53" s="12">
        <f t="shared" si="15"/>
        <v>27.135859395209948</v>
      </c>
      <c r="AA53" s="20">
        <f>input!H52</f>
        <v>0</v>
      </c>
      <c r="AB53" s="19">
        <f t="shared" si="16"/>
        <v>0.98197554006092014</v>
      </c>
      <c r="AC53" s="19">
        <f t="shared" si="17"/>
        <v>0.99519142618801715</v>
      </c>
      <c r="AD53" s="8">
        <f t="shared" si="18"/>
        <v>0</v>
      </c>
      <c r="AE53" s="8">
        <f t="shared" si="19"/>
        <v>254142.09835791797</v>
      </c>
      <c r="AF53" s="8">
        <f t="shared" si="20"/>
        <v>25318.060374391956</v>
      </c>
      <c r="AG53" s="8">
        <f t="shared" si="21"/>
        <v>0</v>
      </c>
      <c r="AH53" s="8">
        <f t="shared" si="1"/>
        <v>0</v>
      </c>
      <c r="AI53" s="8">
        <f t="shared" si="2"/>
        <v>177766.42301151375</v>
      </c>
      <c r="AJ53" s="8">
        <f t="shared" si="22"/>
        <v>24337.139266542446</v>
      </c>
      <c r="AK53" s="8">
        <f t="shared" si="23"/>
        <v>0</v>
      </c>
      <c r="AL53" s="8">
        <f t="shared" si="24"/>
        <v>0</v>
      </c>
      <c r="AM53" s="8">
        <f t="shared" si="25"/>
        <v>1064.7410858823337</v>
      </c>
      <c r="AN53" s="8">
        <f t="shared" si="26"/>
        <v>21544.866562262312</v>
      </c>
      <c r="AO53" s="8">
        <f t="shared" si="27"/>
        <v>0</v>
      </c>
    </row>
    <row r="54" spans="1:41">
      <c r="A54" s="1">
        <v>41781</v>
      </c>
      <c r="B54" s="5">
        <v>52</v>
      </c>
      <c r="C54" s="3">
        <f>B54/365+input!$K$3</f>
        <v>0.14246575342465753</v>
      </c>
      <c r="D54" s="4">
        <f t="shared" si="3"/>
        <v>0</v>
      </c>
      <c r="E54" s="12">
        <f t="shared" si="4"/>
        <v>0</v>
      </c>
      <c r="F54" s="20">
        <f>input!E53</f>
        <v>0</v>
      </c>
      <c r="G54" s="19">
        <f t="shared" si="5"/>
        <v>0</v>
      </c>
      <c r="H54" s="19">
        <f t="shared" si="6"/>
        <v>7.6198530241604755E-24</v>
      </c>
      <c r="I54" s="5">
        <v>417</v>
      </c>
      <c r="J54" s="3">
        <f>I54/365+input!$K$3</f>
        <v>1.1424657534246576</v>
      </c>
      <c r="K54" s="4">
        <f t="shared" si="7"/>
        <v>7.5025903140613792</v>
      </c>
      <c r="L54" s="12">
        <f t="shared" si="8"/>
        <v>5.74344682418368</v>
      </c>
      <c r="M54" s="20">
        <f>input!F53</f>
        <v>44411.02</v>
      </c>
      <c r="N54" s="19">
        <f t="shared" si="9"/>
        <v>0.70200979381984374</v>
      </c>
      <c r="O54" s="19">
        <f t="shared" si="10"/>
        <v>6.2552164084876336E-3</v>
      </c>
      <c r="P54" s="21">
        <v>782</v>
      </c>
      <c r="Q54" s="3">
        <f>P54/365+input!$K$3</f>
        <v>2.1424657534246574</v>
      </c>
      <c r="R54" s="4">
        <f t="shared" si="11"/>
        <v>11.208039042558488</v>
      </c>
      <c r="S54" s="12">
        <f t="shared" si="12"/>
        <v>19.148193772596699</v>
      </c>
      <c r="T54" s="20">
        <f>input!G53</f>
        <v>1287.8599999999999</v>
      </c>
      <c r="U54" s="19">
        <f t="shared" si="13"/>
        <v>0.9613905256658164</v>
      </c>
      <c r="V54" s="19">
        <f t="shared" si="0"/>
        <v>0.88648387749523294</v>
      </c>
      <c r="W54" s="21">
        <v>1147</v>
      </c>
      <c r="X54" s="3">
        <f>W54/365+input!$K$3</f>
        <v>3.1424657534246574</v>
      </c>
      <c r="Y54" s="4">
        <f t="shared" si="14"/>
        <v>12.589299260865312</v>
      </c>
      <c r="Z54" s="12">
        <f t="shared" si="15"/>
        <v>27.135859395209948</v>
      </c>
      <c r="AA54" s="20">
        <f>input!H53</f>
        <v>0</v>
      </c>
      <c r="AB54" s="19">
        <f t="shared" si="16"/>
        <v>0.98197554006092014</v>
      </c>
      <c r="AC54" s="19">
        <f t="shared" si="17"/>
        <v>0.99519142618801715</v>
      </c>
      <c r="AD54" s="8">
        <f t="shared" si="18"/>
        <v>0</v>
      </c>
      <c r="AE54" s="8">
        <f t="shared" si="19"/>
        <v>255072.33177775788</v>
      </c>
      <c r="AF54" s="8">
        <f t="shared" si="20"/>
        <v>24660.192831976383</v>
      </c>
      <c r="AG54" s="8">
        <f t="shared" si="21"/>
        <v>0</v>
      </c>
      <c r="AH54" s="8">
        <f t="shared" si="1"/>
        <v>0</v>
      </c>
      <c r="AI54" s="8">
        <f t="shared" si="2"/>
        <v>179063.27504045059</v>
      </c>
      <c r="AJ54" s="8">
        <f t="shared" si="22"/>
        <v>23708.075749754171</v>
      </c>
      <c r="AK54" s="8">
        <f t="shared" si="23"/>
        <v>0</v>
      </c>
      <c r="AL54" s="8">
        <f t="shared" si="24"/>
        <v>0</v>
      </c>
      <c r="AM54" s="8">
        <f t="shared" si="25"/>
        <v>1120.0795361905607</v>
      </c>
      <c r="AN54" s="8">
        <f t="shared" si="26"/>
        <v>21016.826918592778</v>
      </c>
      <c r="AO54" s="8">
        <f t="shared" si="27"/>
        <v>0</v>
      </c>
    </row>
    <row r="55" spans="1:41">
      <c r="A55" s="1">
        <v>41782</v>
      </c>
      <c r="B55" s="5">
        <v>53</v>
      </c>
      <c r="C55" s="3">
        <f>B55/365+input!$K$3</f>
        <v>0.14520547945205478</v>
      </c>
      <c r="D55" s="4">
        <f t="shared" si="3"/>
        <v>0</v>
      </c>
      <c r="E55" s="12">
        <f t="shared" si="4"/>
        <v>0</v>
      </c>
      <c r="F55" s="20">
        <f>input!E54</f>
        <v>0</v>
      </c>
      <c r="G55" s="19">
        <f t="shared" si="5"/>
        <v>0</v>
      </c>
      <c r="H55" s="19">
        <f t="shared" si="6"/>
        <v>7.6198530241604755E-24</v>
      </c>
      <c r="I55" s="5">
        <v>418</v>
      </c>
      <c r="J55" s="3">
        <f>I55/365+input!$K$3</f>
        <v>1.1452054794520548</v>
      </c>
      <c r="K55" s="4">
        <f t="shared" si="7"/>
        <v>7.5179025822586238</v>
      </c>
      <c r="L55" s="12">
        <f t="shared" si="8"/>
        <v>5.7786845780680807</v>
      </c>
      <c r="M55" s="20">
        <f>input!F54</f>
        <v>44300.55</v>
      </c>
      <c r="N55" s="19">
        <f t="shared" si="9"/>
        <v>0.70451565068918987</v>
      </c>
      <c r="O55" s="19">
        <f t="shared" si="10"/>
        <v>6.5305781095582396E-3</v>
      </c>
      <c r="P55" s="21">
        <v>783</v>
      </c>
      <c r="Q55" s="3">
        <f>P55/365+input!$K$3</f>
        <v>2.1452054794520548</v>
      </c>
      <c r="R55" s="4">
        <f t="shared" si="11"/>
        <v>11.214327113581373</v>
      </c>
      <c r="S55" s="12">
        <f t="shared" si="12"/>
        <v>19.180440118039119</v>
      </c>
      <c r="T55" s="20">
        <f>input!G54</f>
        <v>1284.6600000000001</v>
      </c>
      <c r="U55" s="19">
        <f t="shared" si="13"/>
        <v>0.96152418697474507</v>
      </c>
      <c r="V55" s="19">
        <f t="shared" si="0"/>
        <v>0.8876885820593341</v>
      </c>
      <c r="W55" s="21">
        <v>1148</v>
      </c>
      <c r="X55" s="3">
        <f>W55/365+input!$K$3</f>
        <v>3.1452054794520548</v>
      </c>
      <c r="Y55" s="4">
        <f t="shared" si="14"/>
        <v>12.589299260865312</v>
      </c>
      <c r="Z55" s="12">
        <f t="shared" si="15"/>
        <v>27.135859395209948</v>
      </c>
      <c r="AA55" s="20">
        <f>input!H54</f>
        <v>0</v>
      </c>
      <c r="AB55" s="19">
        <f t="shared" si="16"/>
        <v>0.98197554006092014</v>
      </c>
      <c r="AC55" s="19">
        <f t="shared" si="17"/>
        <v>0.99519142618801715</v>
      </c>
      <c r="AD55" s="8">
        <f t="shared" si="18"/>
        <v>0</v>
      </c>
      <c r="AE55" s="8">
        <f t="shared" si="19"/>
        <v>255998.90508493394</v>
      </c>
      <c r="AF55" s="8">
        <f t="shared" si="20"/>
        <v>24640.344202040134</v>
      </c>
      <c r="AG55" s="8">
        <f t="shared" si="21"/>
        <v>0</v>
      </c>
      <c r="AH55" s="8">
        <f t="shared" si="1"/>
        <v>0</v>
      </c>
      <c r="AI55" s="8">
        <f t="shared" si="2"/>
        <v>180355.23519163238</v>
      </c>
      <c r="AJ55" s="8">
        <f t="shared" si="22"/>
        <v>23692.286925644512</v>
      </c>
      <c r="AK55" s="8">
        <f t="shared" si="23"/>
        <v>0</v>
      </c>
      <c r="AL55" s="8">
        <f t="shared" si="24"/>
        <v>0</v>
      </c>
      <c r="AM55" s="8">
        <f t="shared" si="25"/>
        <v>1177.8239508867023</v>
      </c>
      <c r="AN55" s="8">
        <f t="shared" si="26"/>
        <v>21031.372586768277</v>
      </c>
      <c r="AO55" s="8">
        <f t="shared" si="27"/>
        <v>0</v>
      </c>
    </row>
    <row r="56" spans="1:41">
      <c r="A56" s="1">
        <v>41783</v>
      </c>
      <c r="B56" s="5">
        <v>54</v>
      </c>
      <c r="C56" s="3">
        <f>B56/365+input!$K$3</f>
        <v>0.14794520547945206</v>
      </c>
      <c r="D56" s="4">
        <f t="shared" si="3"/>
        <v>0</v>
      </c>
      <c r="E56" s="12">
        <f t="shared" si="4"/>
        <v>0</v>
      </c>
      <c r="F56" s="20">
        <f>input!E55</f>
        <v>0</v>
      </c>
      <c r="G56" s="19">
        <f t="shared" si="5"/>
        <v>0</v>
      </c>
      <c r="H56" s="19">
        <f t="shared" si="6"/>
        <v>7.6198530241604755E-24</v>
      </c>
      <c r="I56" s="5">
        <v>419</v>
      </c>
      <c r="J56" s="3">
        <f>I56/365+input!$K$3</f>
        <v>1.1479452054794521</v>
      </c>
      <c r="K56" s="4">
        <f t="shared" si="7"/>
        <v>7.5331775591755097</v>
      </c>
      <c r="L56" s="12">
        <f t="shared" si="8"/>
        <v>5.8139798246151368</v>
      </c>
      <c r="M56" s="20">
        <f>input!F55</f>
        <v>44190.36</v>
      </c>
      <c r="N56" s="19">
        <f t="shared" si="9"/>
        <v>0.70699440937109403</v>
      </c>
      <c r="O56" s="19">
        <f t="shared" si="10"/>
        <v>6.8158967443020723E-3</v>
      </c>
      <c r="P56" s="21">
        <v>784</v>
      </c>
      <c r="Q56" s="3">
        <f>P56/365+input!$K$3</f>
        <v>2.1479452054794521</v>
      </c>
      <c r="R56" s="4">
        <f t="shared" si="11"/>
        <v>11.220599870725451</v>
      </c>
      <c r="S56" s="12">
        <f t="shared" si="12"/>
        <v>19.212643981577308</v>
      </c>
      <c r="T56" s="20">
        <f>input!G55</f>
        <v>1248.4100000000001</v>
      </c>
      <c r="U56" s="19">
        <f t="shared" si="13"/>
        <v>0.96165706173529109</v>
      </c>
      <c r="V56" s="19">
        <f t="shared" si="0"/>
        <v>0.88888122234150324</v>
      </c>
      <c r="W56" s="21">
        <v>1149</v>
      </c>
      <c r="X56" s="3">
        <f>W56/365+input!$K$3</f>
        <v>3.1479452054794521</v>
      </c>
      <c r="Y56" s="4">
        <f t="shared" si="14"/>
        <v>12.589299260865312</v>
      </c>
      <c r="Z56" s="12">
        <f t="shared" si="15"/>
        <v>27.135859395209948</v>
      </c>
      <c r="AA56" s="20">
        <f>input!H55</f>
        <v>0</v>
      </c>
      <c r="AB56" s="19">
        <f t="shared" si="16"/>
        <v>0.98197554006092014</v>
      </c>
      <c r="AC56" s="19">
        <f t="shared" si="17"/>
        <v>0.99519142618801715</v>
      </c>
      <c r="AD56" s="8">
        <f t="shared" si="18"/>
        <v>0</v>
      </c>
      <c r="AE56" s="8">
        <f t="shared" si="19"/>
        <v>256921.86148247976</v>
      </c>
      <c r="AF56" s="8">
        <f t="shared" si="20"/>
        <v>23985.256873040929</v>
      </c>
      <c r="AG56" s="8">
        <f t="shared" si="21"/>
        <v>0</v>
      </c>
      <c r="AH56" s="8">
        <f t="shared" si="1"/>
        <v>0</v>
      </c>
      <c r="AI56" s="8">
        <f t="shared" si="2"/>
        <v>181642.3197133278</v>
      </c>
      <c r="AJ56" s="8">
        <f t="shared" si="22"/>
        <v>23065.591649494734</v>
      </c>
      <c r="AK56" s="8">
        <f t="shared" si="23"/>
        <v>0</v>
      </c>
      <c r="AL56" s="8">
        <f t="shared" si="24"/>
        <v>0</v>
      </c>
      <c r="AM56" s="8">
        <f t="shared" si="25"/>
        <v>1238.0552955615472</v>
      </c>
      <c r="AN56" s="8">
        <f t="shared" si="26"/>
        <v>20502.57129943285</v>
      </c>
      <c r="AO56" s="8">
        <f t="shared" si="27"/>
        <v>0</v>
      </c>
    </row>
    <row r="57" spans="1:41">
      <c r="A57" s="1">
        <v>41784</v>
      </c>
      <c r="B57" s="5">
        <v>55</v>
      </c>
      <c r="C57" s="3">
        <f>B57/365+input!$K$3</f>
        <v>0.15068493150684931</v>
      </c>
      <c r="D57" s="4">
        <f t="shared" si="3"/>
        <v>0</v>
      </c>
      <c r="E57" s="12">
        <f t="shared" si="4"/>
        <v>0</v>
      </c>
      <c r="F57" s="20">
        <f>input!E56</f>
        <v>0</v>
      </c>
      <c r="G57" s="19">
        <f t="shared" si="5"/>
        <v>0</v>
      </c>
      <c r="H57" s="19">
        <f t="shared" si="6"/>
        <v>7.6198530241604755E-24</v>
      </c>
      <c r="I57" s="5">
        <v>420</v>
      </c>
      <c r="J57" s="3">
        <f>I57/365+input!$K$3</f>
        <v>1.1506849315068493</v>
      </c>
      <c r="K57" s="4">
        <f t="shared" si="7"/>
        <v>7.5484153356306853</v>
      </c>
      <c r="L57" s="12">
        <f t="shared" si="8"/>
        <v>5.849332016390921</v>
      </c>
      <c r="M57" s="20">
        <f>input!F56</f>
        <v>44080.45</v>
      </c>
      <c r="N57" s="19">
        <f t="shared" si="9"/>
        <v>0.70944641327044877</v>
      </c>
      <c r="O57" s="19">
        <f t="shared" si="10"/>
        <v>7.1114361439301721E-3</v>
      </c>
      <c r="P57" s="21">
        <v>785</v>
      </c>
      <c r="Q57" s="3">
        <f>P57/365+input!$K$3</f>
        <v>2.1506849315068495</v>
      </c>
      <c r="R57" s="4">
        <f t="shared" si="11"/>
        <v>11.226857351285924</v>
      </c>
      <c r="S57" s="12">
        <f t="shared" si="12"/>
        <v>19.244805311358522</v>
      </c>
      <c r="T57" s="20">
        <f>input!G56</f>
        <v>1245.3</v>
      </c>
      <c r="U57" s="19">
        <f t="shared" si="13"/>
        <v>0.96178915569026269</v>
      </c>
      <c r="V57" s="19">
        <f t="shared" si="0"/>
        <v>0.89006189468579322</v>
      </c>
      <c r="W57" s="21">
        <v>1150</v>
      </c>
      <c r="X57" s="3">
        <f>W57/365+input!$K$3</f>
        <v>3.1506849315068495</v>
      </c>
      <c r="Y57" s="4">
        <f t="shared" si="14"/>
        <v>12.589299260865312</v>
      </c>
      <c r="Z57" s="12">
        <f t="shared" si="15"/>
        <v>27.135859395209948</v>
      </c>
      <c r="AA57" s="20">
        <f>input!H56</f>
        <v>0</v>
      </c>
      <c r="AB57" s="19">
        <f t="shared" si="16"/>
        <v>0.98197554006092014</v>
      </c>
      <c r="AC57" s="19">
        <f t="shared" si="17"/>
        <v>0.99519142618801715</v>
      </c>
      <c r="AD57" s="8">
        <f t="shared" si="18"/>
        <v>0</v>
      </c>
      <c r="AE57" s="8">
        <f t="shared" si="19"/>
        <v>257841.18748191916</v>
      </c>
      <c r="AF57" s="8">
        <f t="shared" si="20"/>
        <v>23965.556054234767</v>
      </c>
      <c r="AG57" s="8">
        <f t="shared" si="21"/>
        <v>0</v>
      </c>
      <c r="AH57" s="8">
        <f t="shared" si="1"/>
        <v>0</v>
      </c>
      <c r="AI57" s="8">
        <f t="shared" si="2"/>
        <v>182924.50565244089</v>
      </c>
      <c r="AJ57" s="8">
        <f t="shared" si="22"/>
        <v>23049.811923050118</v>
      </c>
      <c r="AK57" s="8">
        <f t="shared" si="23"/>
        <v>0</v>
      </c>
      <c r="AL57" s="8">
        <f t="shared" si="24"/>
        <v>0</v>
      </c>
      <c r="AM57" s="8">
        <f t="shared" si="25"/>
        <v>1300.8559411073272</v>
      </c>
      <c r="AN57" s="8">
        <f t="shared" si="26"/>
        <v>20515.759272381176</v>
      </c>
      <c r="AO57" s="8">
        <f t="shared" si="27"/>
        <v>0</v>
      </c>
    </row>
    <row r="58" spans="1:41">
      <c r="A58" s="1">
        <v>41785</v>
      </c>
      <c r="B58" s="5">
        <v>56</v>
      </c>
      <c r="C58" s="3">
        <f>B58/365+input!$K$3</f>
        <v>0.15342465753424658</v>
      </c>
      <c r="D58" s="4">
        <f t="shared" si="3"/>
        <v>0</v>
      </c>
      <c r="E58" s="12">
        <f t="shared" si="4"/>
        <v>0</v>
      </c>
      <c r="F58" s="20">
        <f>input!E57</f>
        <v>0</v>
      </c>
      <c r="G58" s="19">
        <f t="shared" si="5"/>
        <v>0</v>
      </c>
      <c r="H58" s="19">
        <f t="shared" si="6"/>
        <v>7.6198530241604755E-24</v>
      </c>
      <c r="I58" s="5">
        <v>421</v>
      </c>
      <c r="J58" s="3">
        <f>I58/365+input!$K$3</f>
        <v>1.1534246575342466</v>
      </c>
      <c r="K58" s="4">
        <f t="shared" si="7"/>
        <v>7.5636160022216323</v>
      </c>
      <c r="L58" s="12">
        <f t="shared" si="8"/>
        <v>5.8847406071648596</v>
      </c>
      <c r="M58" s="20">
        <f>input!F57</f>
        <v>43970.81</v>
      </c>
      <c r="N58" s="19">
        <f t="shared" si="9"/>
        <v>0.71187200087099134</v>
      </c>
      <c r="O58" s="19">
        <f t="shared" si="10"/>
        <v>7.4174634088981393E-3</v>
      </c>
      <c r="P58" s="21">
        <v>786</v>
      </c>
      <c r="Q58" s="3">
        <f>P58/365+input!$K$3</f>
        <v>2.1534246575342464</v>
      </c>
      <c r="R58" s="4">
        <f t="shared" si="11"/>
        <v>11.233099592467166</v>
      </c>
      <c r="S58" s="12">
        <f t="shared" si="12"/>
        <v>19.276924056265599</v>
      </c>
      <c r="T58" s="20">
        <f>input!G57</f>
        <v>1210.68</v>
      </c>
      <c r="U58" s="19">
        <f t="shared" si="13"/>
        <v>0.9619204745328902</v>
      </c>
      <c r="V58" s="19">
        <f t="shared" si="0"/>
        <v>0.89123069524552778</v>
      </c>
      <c r="W58" s="21">
        <v>1151</v>
      </c>
      <c r="X58" s="3">
        <f>W58/365+input!$K$3</f>
        <v>3.1534246575342464</v>
      </c>
      <c r="Y58" s="4">
        <f t="shared" si="14"/>
        <v>12.589299260865312</v>
      </c>
      <c r="Z58" s="12">
        <f t="shared" si="15"/>
        <v>27.135859395209948</v>
      </c>
      <c r="AA58" s="20">
        <f>input!H57</f>
        <v>0</v>
      </c>
      <c r="AB58" s="19">
        <f t="shared" si="16"/>
        <v>0.98197554006092014</v>
      </c>
      <c r="AC58" s="19">
        <f t="shared" si="17"/>
        <v>0.99519142618801715</v>
      </c>
      <c r="AD58" s="8">
        <f t="shared" si="18"/>
        <v>0</v>
      </c>
      <c r="AE58" s="8">
        <f t="shared" si="19"/>
        <v>258756.81113693066</v>
      </c>
      <c r="AF58" s="8">
        <f t="shared" si="20"/>
        <v>23338.186416439636</v>
      </c>
      <c r="AG58" s="8">
        <f t="shared" si="21"/>
        <v>0</v>
      </c>
      <c r="AH58" s="8">
        <f t="shared" si="1"/>
        <v>0</v>
      </c>
      <c r="AI58" s="8">
        <f t="shared" si="2"/>
        <v>184201.72888304404</v>
      </c>
      <c r="AJ58" s="8">
        <f t="shared" si="22"/>
        <v>22449.479352438666</v>
      </c>
      <c r="AK58" s="8">
        <f t="shared" si="23"/>
        <v>0</v>
      </c>
      <c r="AL58" s="8">
        <f t="shared" si="24"/>
        <v>0</v>
      </c>
      <c r="AM58" s="8">
        <f t="shared" si="25"/>
        <v>1366.3095838457548</v>
      </c>
      <c r="AN58" s="8">
        <f t="shared" si="26"/>
        <v>20007.665091174033</v>
      </c>
      <c r="AO58" s="8">
        <f t="shared" si="27"/>
        <v>0</v>
      </c>
    </row>
    <row r="59" spans="1:41">
      <c r="A59" s="1">
        <v>41786</v>
      </c>
      <c r="B59" s="5">
        <v>57</v>
      </c>
      <c r="C59" s="3">
        <f>B59/365+input!$K$3</f>
        <v>0.15616438356164383</v>
      </c>
      <c r="D59" s="4">
        <f t="shared" si="3"/>
        <v>0</v>
      </c>
      <c r="E59" s="12">
        <f t="shared" si="4"/>
        <v>0</v>
      </c>
      <c r="F59" s="20">
        <f>input!E58</f>
        <v>0</v>
      </c>
      <c r="G59" s="19">
        <f t="shared" si="5"/>
        <v>0</v>
      </c>
      <c r="H59" s="19">
        <f t="shared" si="6"/>
        <v>7.6198530241604755E-24</v>
      </c>
      <c r="I59" s="5">
        <v>422</v>
      </c>
      <c r="J59" s="3">
        <f>I59/365+input!$K$3</f>
        <v>1.1561643835616437</v>
      </c>
      <c r="K59" s="4">
        <f t="shared" si="7"/>
        <v>7.5787796493251829</v>
      </c>
      <c r="L59" s="12">
        <f t="shared" si="8"/>
        <v>5.9202050519227667</v>
      </c>
      <c r="M59" s="20">
        <f>input!F58</f>
        <v>43861.440000000002</v>
      </c>
      <c r="N59" s="19">
        <f t="shared" si="9"/>
        <v>0.71427150581332399</v>
      </c>
      <c r="O59" s="19">
        <f t="shared" si="10"/>
        <v>7.7342488193027368E-3</v>
      </c>
      <c r="P59" s="21">
        <v>787</v>
      </c>
      <c r="Q59" s="3">
        <f>P59/365+input!$K$3</f>
        <v>2.1561643835616437</v>
      </c>
      <c r="R59" s="4">
        <f t="shared" si="11"/>
        <v>11.239326631382944</v>
      </c>
      <c r="S59" s="12">
        <f t="shared" si="12"/>
        <v>19.3090001659133</v>
      </c>
      <c r="T59" s="20">
        <f>input!G58</f>
        <v>1207.67</v>
      </c>
      <c r="U59" s="19">
        <f t="shared" si="13"/>
        <v>0.96205102390731445</v>
      </c>
      <c r="V59" s="19">
        <f t="shared" si="0"/>
        <v>0.89238771996898292</v>
      </c>
      <c r="W59" s="21">
        <v>1152</v>
      </c>
      <c r="X59" s="3">
        <f>W59/365+input!$K$3</f>
        <v>3.1561643835616437</v>
      </c>
      <c r="Y59" s="4">
        <f t="shared" si="14"/>
        <v>12.589299260865312</v>
      </c>
      <c r="Z59" s="12">
        <f t="shared" si="15"/>
        <v>27.135859395209948</v>
      </c>
      <c r="AA59" s="20">
        <f>input!H58</f>
        <v>0</v>
      </c>
      <c r="AB59" s="19">
        <f t="shared" si="16"/>
        <v>0.98197554006092014</v>
      </c>
      <c r="AC59" s="19">
        <f t="shared" si="17"/>
        <v>0.99519142618801715</v>
      </c>
      <c r="AD59" s="8">
        <f t="shared" si="18"/>
        <v>0</v>
      </c>
      <c r="AE59" s="8">
        <f t="shared" si="19"/>
        <v>259668.71867260733</v>
      </c>
      <c r="AF59" s="8">
        <f t="shared" si="20"/>
        <v>23318.900230368516</v>
      </c>
      <c r="AG59" s="8">
        <f t="shared" si="21"/>
        <v>0</v>
      </c>
      <c r="AH59" s="8">
        <f t="shared" si="1"/>
        <v>0</v>
      </c>
      <c r="AI59" s="8">
        <f t="shared" si="2"/>
        <v>185473.96669889963</v>
      </c>
      <c r="AJ59" s="8">
        <f t="shared" si="22"/>
        <v>22433.971843018542</v>
      </c>
      <c r="AK59" s="8">
        <f t="shared" si="23"/>
        <v>0</v>
      </c>
      <c r="AL59" s="8">
        <f t="shared" si="24"/>
        <v>0</v>
      </c>
      <c r="AM59" s="8">
        <f t="shared" si="25"/>
        <v>1434.5018079523595</v>
      </c>
      <c r="AN59" s="8">
        <f t="shared" si="26"/>
        <v>20019.800982839679</v>
      </c>
      <c r="AO59" s="8">
        <f t="shared" si="27"/>
        <v>0</v>
      </c>
    </row>
    <row r="60" spans="1:41">
      <c r="A60" s="1">
        <v>41787</v>
      </c>
      <c r="B60" s="5">
        <v>58</v>
      </c>
      <c r="C60" s="3">
        <f>B60/365+input!$K$3</f>
        <v>0.15890410958904111</v>
      </c>
      <c r="D60" s="4">
        <f t="shared" si="3"/>
        <v>0</v>
      </c>
      <c r="E60" s="12">
        <f t="shared" si="4"/>
        <v>0</v>
      </c>
      <c r="F60" s="20">
        <f>input!E59</f>
        <v>0</v>
      </c>
      <c r="G60" s="19">
        <f t="shared" si="5"/>
        <v>0</v>
      </c>
      <c r="H60" s="19">
        <f t="shared" si="6"/>
        <v>7.6198530241604755E-24</v>
      </c>
      <c r="I60" s="5">
        <v>423</v>
      </c>
      <c r="J60" s="3">
        <f>I60/365+input!$K$3</f>
        <v>1.1589041095890411</v>
      </c>
      <c r="K60" s="4">
        <f t="shared" si="7"/>
        <v>7.5939063670980715</v>
      </c>
      <c r="L60" s="12">
        <f t="shared" si="8"/>
        <v>5.9557248068797586</v>
      </c>
      <c r="M60" s="20">
        <f>input!F59</f>
        <v>43752.34</v>
      </c>
      <c r="N60" s="19">
        <f t="shared" si="9"/>
        <v>0.71664525697159187</v>
      </c>
      <c r="O60" s="19">
        <f t="shared" si="10"/>
        <v>8.062065740648959E-3</v>
      </c>
      <c r="P60" s="21">
        <v>788</v>
      </c>
      <c r="Q60" s="3">
        <f>P60/365+input!$K$3</f>
        <v>2.1589041095890411</v>
      </c>
      <c r="R60" s="4">
        <f t="shared" si="11"/>
        <v>11.245538505056642</v>
      </c>
      <c r="S60" s="12">
        <f t="shared" si="12"/>
        <v>19.341033590644614</v>
      </c>
      <c r="T60" s="20">
        <f>input!G59</f>
        <v>1173.94</v>
      </c>
      <c r="U60" s="19">
        <f t="shared" si="13"/>
        <v>0.96218080940907069</v>
      </c>
      <c r="V60" s="19">
        <f t="shared" si="0"/>
        <v>0.89353306458544779</v>
      </c>
      <c r="W60" s="21">
        <v>1153</v>
      </c>
      <c r="X60" s="3">
        <f>W60/365+input!$K$3</f>
        <v>3.1589041095890411</v>
      </c>
      <c r="Y60" s="4">
        <f t="shared" si="14"/>
        <v>12.589299260865312</v>
      </c>
      <c r="Z60" s="12">
        <f t="shared" si="15"/>
        <v>27.135859395209948</v>
      </c>
      <c r="AA60" s="20">
        <f>input!H59</f>
        <v>0</v>
      </c>
      <c r="AB60" s="19">
        <f t="shared" si="16"/>
        <v>0.98197554006092014</v>
      </c>
      <c r="AC60" s="19">
        <f t="shared" si="17"/>
        <v>0.99519142618801715</v>
      </c>
      <c r="AD60" s="8">
        <f t="shared" si="18"/>
        <v>0</v>
      </c>
      <c r="AE60" s="8">
        <f t="shared" si="19"/>
        <v>260576.8966970375</v>
      </c>
      <c r="AF60" s="8">
        <f t="shared" si="20"/>
        <v>22705.21297340134</v>
      </c>
      <c r="AG60" s="8">
        <f t="shared" si="21"/>
        <v>0</v>
      </c>
      <c r="AH60" s="8">
        <f t="shared" si="1"/>
        <v>0</v>
      </c>
      <c r="AI60" s="8">
        <f t="shared" si="2"/>
        <v>186741.19709430839</v>
      </c>
      <c r="AJ60" s="8">
        <f t="shared" si="22"/>
        <v>21846.520196552632</v>
      </c>
      <c r="AK60" s="8">
        <f t="shared" si="23"/>
        <v>0</v>
      </c>
      <c r="AL60" s="8">
        <f t="shared" si="24"/>
        <v>0</v>
      </c>
      <c r="AM60" s="8">
        <f t="shared" si="25"/>
        <v>1505.5198074617986</v>
      </c>
      <c r="AN60" s="8">
        <f t="shared" si="26"/>
        <v>19520.588141753553</v>
      </c>
      <c r="AO60" s="8">
        <f t="shared" si="27"/>
        <v>0</v>
      </c>
    </row>
    <row r="61" spans="1:41">
      <c r="A61" s="1">
        <v>41788</v>
      </c>
      <c r="B61" s="5">
        <v>59</v>
      </c>
      <c r="C61" s="3">
        <f>B61/365+input!$K$3</f>
        <v>0.16164383561643836</v>
      </c>
      <c r="D61" s="4">
        <f t="shared" si="3"/>
        <v>0</v>
      </c>
      <c r="E61" s="12">
        <f t="shared" si="4"/>
        <v>0</v>
      </c>
      <c r="F61" s="20">
        <f>input!E60</f>
        <v>0</v>
      </c>
      <c r="G61" s="19">
        <f t="shared" si="5"/>
        <v>0</v>
      </c>
      <c r="H61" s="19">
        <f t="shared" si="6"/>
        <v>7.6198530241604755E-24</v>
      </c>
      <c r="I61" s="5">
        <v>424</v>
      </c>
      <c r="J61" s="3">
        <f>I61/365+input!$K$3</f>
        <v>1.1616438356164382</v>
      </c>
      <c r="K61" s="4">
        <f t="shared" si="7"/>
        <v>7.6089962454774644</v>
      </c>
      <c r="L61" s="12">
        <f t="shared" si="8"/>
        <v>5.9912993294928825</v>
      </c>
      <c r="M61" s="20">
        <f>input!F60</f>
        <v>43643.51</v>
      </c>
      <c r="N61" s="19">
        <f t="shared" si="9"/>
        <v>0.71899357852883417</v>
      </c>
      <c r="O61" s="19">
        <f t="shared" si="10"/>
        <v>8.4011905250128555E-3</v>
      </c>
      <c r="P61" s="21">
        <v>789</v>
      </c>
      <c r="Q61" s="3">
        <f>P61/365+input!$K$3</f>
        <v>2.1616438356164385</v>
      </c>
      <c r="R61" s="4">
        <f t="shared" si="11"/>
        <v>11.251735250421476</v>
      </c>
      <c r="S61" s="12">
        <f t="shared" si="12"/>
        <v>19.373024281527112</v>
      </c>
      <c r="T61" s="20">
        <f>input!G60</f>
        <v>1171.02</v>
      </c>
      <c r="U61" s="19">
        <f t="shared" si="13"/>
        <v>0.96230983658556613</v>
      </c>
      <c r="V61" s="19">
        <f t="shared" si="0"/>
        <v>0.89466682459166058</v>
      </c>
      <c r="W61" s="21">
        <v>1154</v>
      </c>
      <c r="X61" s="3">
        <f>W61/365+input!$K$3</f>
        <v>3.1616438356164385</v>
      </c>
      <c r="Y61" s="4">
        <f t="shared" si="14"/>
        <v>12.589299260865312</v>
      </c>
      <c r="Z61" s="12">
        <f t="shared" si="15"/>
        <v>27.135859395209948</v>
      </c>
      <c r="AA61" s="20">
        <f>input!H60</f>
        <v>0</v>
      </c>
      <c r="AB61" s="19">
        <f t="shared" si="16"/>
        <v>0.98197554006092014</v>
      </c>
      <c r="AC61" s="19">
        <f t="shared" si="17"/>
        <v>0.99519142618801715</v>
      </c>
      <c r="AD61" s="8">
        <f t="shared" si="18"/>
        <v>0</v>
      </c>
      <c r="AE61" s="8">
        <f t="shared" si="19"/>
        <v>261481.33219971592</v>
      </c>
      <c r="AF61" s="8">
        <f t="shared" si="20"/>
        <v>22686.198894153877</v>
      </c>
      <c r="AG61" s="8">
        <f t="shared" si="21"/>
        <v>0</v>
      </c>
      <c r="AH61" s="8">
        <f t="shared" si="1"/>
        <v>0</v>
      </c>
      <c r="AI61" s="8">
        <f t="shared" si="2"/>
        <v>188003.39875676061</v>
      </c>
      <c r="AJ61" s="8">
        <f t="shared" si="22"/>
        <v>21831.152350580869</v>
      </c>
      <c r="AK61" s="8">
        <f t="shared" si="23"/>
        <v>0</v>
      </c>
      <c r="AL61" s="8">
        <f t="shared" si="24"/>
        <v>0</v>
      </c>
      <c r="AM61" s="8">
        <f t="shared" si="25"/>
        <v>1579.4523723055108</v>
      </c>
      <c r="AN61" s="8">
        <f t="shared" si="26"/>
        <v>19531.607750670952</v>
      </c>
      <c r="AO61" s="8">
        <f t="shared" si="27"/>
        <v>0</v>
      </c>
    </row>
    <row r="62" spans="1:41">
      <c r="A62" s="1">
        <v>41789</v>
      </c>
      <c r="B62" s="5">
        <v>60</v>
      </c>
      <c r="C62" s="3">
        <f>B62/365+input!$K$3</f>
        <v>0.16438356164383561</v>
      </c>
      <c r="D62" s="4">
        <f t="shared" si="3"/>
        <v>0</v>
      </c>
      <c r="E62" s="12">
        <f t="shared" si="4"/>
        <v>0</v>
      </c>
      <c r="F62" s="20">
        <f>input!E61</f>
        <v>0</v>
      </c>
      <c r="G62" s="19">
        <f t="shared" si="5"/>
        <v>0</v>
      </c>
      <c r="H62" s="19">
        <f t="shared" si="6"/>
        <v>7.6198530241604755E-24</v>
      </c>
      <c r="I62" s="5">
        <v>425</v>
      </c>
      <c r="J62" s="3">
        <f>I62/365+input!$K$3</f>
        <v>1.1643835616438356</v>
      </c>
      <c r="K62" s="4">
        <f t="shared" si="7"/>
        <v>7.6240493741815021</v>
      </c>
      <c r="L62" s="12">
        <f t="shared" si="8"/>
        <v>6.0269280784735759</v>
      </c>
      <c r="M62" s="20">
        <f>input!F61</f>
        <v>43534.96</v>
      </c>
      <c r="N62" s="19">
        <f t="shared" si="9"/>
        <v>0.72131679005103877</v>
      </c>
      <c r="O62" s="19">
        <f t="shared" si="10"/>
        <v>8.7519024076336965E-3</v>
      </c>
      <c r="P62" s="21">
        <v>790</v>
      </c>
      <c r="Q62" s="3">
        <f>P62/365+input!$K$3</f>
        <v>2.1643835616438358</v>
      </c>
      <c r="R62" s="4">
        <f t="shared" si="11"/>
        <v>11.257916904320709</v>
      </c>
      <c r="S62" s="12">
        <f t="shared" si="12"/>
        <v>19.404972190349202</v>
      </c>
      <c r="T62" s="20">
        <f>input!G61</f>
        <v>1138.3900000000001</v>
      </c>
      <c r="U62" s="19">
        <f t="shared" si="13"/>
        <v>0.96243811093655296</v>
      </c>
      <c r="V62" s="19">
        <f t="shared" si="0"/>
        <v>0.89578909523861117</v>
      </c>
      <c r="W62" s="21">
        <v>1155</v>
      </c>
      <c r="X62" s="3">
        <f>W62/365+input!$K$3</f>
        <v>3.1643835616438358</v>
      </c>
      <c r="Y62" s="4">
        <f t="shared" si="14"/>
        <v>12.589299260865312</v>
      </c>
      <c r="Z62" s="12">
        <f t="shared" si="15"/>
        <v>27.135859395209948</v>
      </c>
      <c r="AA62" s="20">
        <f>input!H61</f>
        <v>0</v>
      </c>
      <c r="AB62" s="19">
        <f t="shared" si="16"/>
        <v>0.98197554006092014</v>
      </c>
      <c r="AC62" s="19">
        <f t="shared" si="17"/>
        <v>0.99519142618801715</v>
      </c>
      <c r="AD62" s="8">
        <f t="shared" si="18"/>
        <v>0</v>
      </c>
      <c r="AE62" s="8">
        <f t="shared" si="19"/>
        <v>262382.07281922398</v>
      </c>
      <c r="AF62" s="8">
        <f t="shared" si="20"/>
        <v>22090.42629177163</v>
      </c>
      <c r="AG62" s="8">
        <f t="shared" si="21"/>
        <v>0</v>
      </c>
      <c r="AH62" s="8">
        <f t="shared" si="1"/>
        <v>0</v>
      </c>
      <c r="AI62" s="8">
        <f t="shared" si="2"/>
        <v>189260.59453290055</v>
      </c>
      <c r="AJ62" s="8">
        <f t="shared" si="22"/>
        <v>21260.66815003585</v>
      </c>
      <c r="AK62" s="8">
        <f t="shared" si="23"/>
        <v>0</v>
      </c>
      <c r="AL62" s="8">
        <f t="shared" si="24"/>
        <v>0</v>
      </c>
      <c r="AM62" s="8">
        <f t="shared" si="25"/>
        <v>1656.3902529626771</v>
      </c>
      <c r="AN62" s="8">
        <f t="shared" si="26"/>
        <v>19045.074686288972</v>
      </c>
      <c r="AO62" s="8">
        <f t="shared" si="27"/>
        <v>0</v>
      </c>
    </row>
    <row r="63" spans="1:41">
      <c r="A63" s="1">
        <v>41790</v>
      </c>
      <c r="B63" s="5">
        <v>61</v>
      </c>
      <c r="C63" s="3">
        <f>B63/365+input!$K$3</f>
        <v>0.16712328767123288</v>
      </c>
      <c r="D63" s="4">
        <f t="shared" si="3"/>
        <v>0</v>
      </c>
      <c r="E63" s="12">
        <f t="shared" si="4"/>
        <v>0</v>
      </c>
      <c r="F63" s="20">
        <f>input!E62</f>
        <v>0</v>
      </c>
      <c r="G63" s="19">
        <f t="shared" si="5"/>
        <v>0</v>
      </c>
      <c r="H63" s="19">
        <f t="shared" si="6"/>
        <v>7.6198530241604755E-24</v>
      </c>
      <c r="I63" s="5">
        <v>426</v>
      </c>
      <c r="J63" s="3">
        <f>I63/365+input!$K$3</f>
        <v>1.167123287671233</v>
      </c>
      <c r="K63" s="4">
        <f t="shared" si="7"/>
        <v>7.6390658427098135</v>
      </c>
      <c r="L63" s="12">
        <f t="shared" si="8"/>
        <v>6.0626105137998376</v>
      </c>
      <c r="M63" s="20">
        <f>input!F62</f>
        <v>43426.67</v>
      </c>
      <c r="N63" s="19">
        <f t="shared" si="9"/>
        <v>0.72361520655991807</v>
      </c>
      <c r="O63" s="19">
        <f t="shared" si="10"/>
        <v>9.114483398974452E-3</v>
      </c>
      <c r="P63" s="21">
        <v>791</v>
      </c>
      <c r="Q63" s="3">
        <f>P63/365+input!$K$3</f>
        <v>2.1671232876712327</v>
      </c>
      <c r="R63" s="4">
        <f t="shared" si="11"/>
        <v>11.264083503507884</v>
      </c>
      <c r="S63" s="12">
        <f t="shared" si="12"/>
        <v>19.436877269616598</v>
      </c>
      <c r="T63" s="20">
        <f>input!G62</f>
        <v>1135.55</v>
      </c>
      <c r="U63" s="19">
        <f t="shared" si="13"/>
        <v>0.96256563791459626</v>
      </c>
      <c r="V63" s="19">
        <f t="shared" si="0"/>
        <v>0.89689997151871426</v>
      </c>
      <c r="W63" s="21">
        <v>1156</v>
      </c>
      <c r="X63" s="3">
        <f>W63/365+input!$K$3</f>
        <v>3.1671232876712327</v>
      </c>
      <c r="Y63" s="4">
        <f t="shared" si="14"/>
        <v>12.589299260865312</v>
      </c>
      <c r="Z63" s="12">
        <f t="shared" si="15"/>
        <v>27.135859395209948</v>
      </c>
      <c r="AA63" s="20">
        <f>input!H62</f>
        <v>0</v>
      </c>
      <c r="AB63" s="19">
        <f t="shared" si="16"/>
        <v>0.98197554006092014</v>
      </c>
      <c r="AC63" s="19">
        <f t="shared" si="17"/>
        <v>0.99519142618801715</v>
      </c>
      <c r="AD63" s="8">
        <f t="shared" si="18"/>
        <v>0</v>
      </c>
      <c r="AE63" s="8">
        <f t="shared" si="19"/>
        <v>263278.98612131597</v>
      </c>
      <c r="AF63" s="8">
        <f t="shared" si="20"/>
        <v>22071.545983513126</v>
      </c>
      <c r="AG63" s="8">
        <f t="shared" si="21"/>
        <v>0</v>
      </c>
      <c r="AH63" s="8">
        <f t="shared" si="1"/>
        <v>0</v>
      </c>
      <c r="AI63" s="8">
        <f t="shared" si="2"/>
        <v>190512.67792506187</v>
      </c>
      <c r="AJ63" s="8">
        <f t="shared" si="22"/>
        <v>21245.311739381657</v>
      </c>
      <c r="AK63" s="8">
        <f t="shared" si="23"/>
        <v>0</v>
      </c>
      <c r="AL63" s="8">
        <f t="shared" si="24"/>
        <v>0</v>
      </c>
      <c r="AM63" s="8">
        <f t="shared" si="25"/>
        <v>1736.4246402421429</v>
      </c>
      <c r="AN63" s="8">
        <f t="shared" si="26"/>
        <v>19054.919493957615</v>
      </c>
      <c r="AO63" s="8">
        <f t="shared" si="27"/>
        <v>0</v>
      </c>
    </row>
    <row r="64" spans="1:41">
      <c r="A64" s="1">
        <v>41791</v>
      </c>
      <c r="B64" s="5">
        <v>62</v>
      </c>
      <c r="C64" s="3">
        <f>B64/365+input!$K$3</f>
        <v>0.16986301369863013</v>
      </c>
      <c r="D64" s="4">
        <f t="shared" si="3"/>
        <v>0</v>
      </c>
      <c r="E64" s="12">
        <f t="shared" si="4"/>
        <v>0</v>
      </c>
      <c r="F64" s="20">
        <f>input!E63</f>
        <v>0</v>
      </c>
      <c r="G64" s="19">
        <f t="shared" si="5"/>
        <v>0</v>
      </c>
      <c r="H64" s="19">
        <f t="shared" si="6"/>
        <v>7.6198530241604755E-24</v>
      </c>
      <c r="I64" s="5">
        <v>427</v>
      </c>
      <c r="J64" s="3">
        <f>I64/365+input!$K$3</f>
        <v>1.1698630136986301</v>
      </c>
      <c r="K64" s="4">
        <f t="shared" si="7"/>
        <v>7.6540457403440758</v>
      </c>
      <c r="L64" s="12">
        <f t="shared" si="8"/>
        <v>6.0983460967282976</v>
      </c>
      <c r="M64" s="20">
        <f>input!F63</f>
        <v>43126.42</v>
      </c>
      <c r="N64" s="19">
        <f t="shared" si="9"/>
        <v>0.72588913860444038</v>
      </c>
      <c r="O64" s="19">
        <f t="shared" si="10"/>
        <v>9.4892181722984765E-3</v>
      </c>
      <c r="P64" s="21">
        <v>792</v>
      </c>
      <c r="Q64" s="3">
        <f>P64/365+input!$K$3</f>
        <v>2.1698630136986301</v>
      </c>
      <c r="R64" s="4">
        <f t="shared" si="11"/>
        <v>11.270235084647034</v>
      </c>
      <c r="S64" s="12">
        <f t="shared" si="12"/>
        <v>19.468739472548634</v>
      </c>
      <c r="T64" s="20">
        <f>input!G63</f>
        <v>1098.57</v>
      </c>
      <c r="U64" s="19">
        <f t="shared" si="13"/>
        <v>0.96269242292553603</v>
      </c>
      <c r="V64" s="19">
        <f t="shared" si="0"/>
        <v>0.8979995481533376</v>
      </c>
      <c r="W64" s="21">
        <v>1157</v>
      </c>
      <c r="X64" s="3">
        <f>W64/365+input!$K$3</f>
        <v>3.1698630136986301</v>
      </c>
      <c r="Y64" s="4">
        <f t="shared" si="14"/>
        <v>12.589299260865312</v>
      </c>
      <c r="Z64" s="12">
        <f t="shared" si="15"/>
        <v>27.135859395209948</v>
      </c>
      <c r="AA64" s="20">
        <f>input!H63</f>
        <v>0</v>
      </c>
      <c r="AB64" s="19">
        <f t="shared" si="16"/>
        <v>0.98197554006092014</v>
      </c>
      <c r="AC64" s="19">
        <f t="shared" si="17"/>
        <v>0.99519142618801715</v>
      </c>
      <c r="AD64" s="8">
        <f t="shared" si="18"/>
        <v>0</v>
      </c>
      <c r="AE64" s="8">
        <f t="shared" si="19"/>
        <v>262999.83507286519</v>
      </c>
      <c r="AF64" s="8">
        <f t="shared" si="20"/>
        <v>21387.77312235775</v>
      </c>
      <c r="AG64" s="8">
        <f t="shared" si="21"/>
        <v>0</v>
      </c>
      <c r="AH64" s="8">
        <f t="shared" si="1"/>
        <v>0</v>
      </c>
      <c r="AI64" s="8">
        <f t="shared" si="2"/>
        <v>190908.72373415201</v>
      </c>
      <c r="AJ64" s="8">
        <f t="shared" si="22"/>
        <v>20589.84712814424</v>
      </c>
      <c r="AK64" s="8">
        <f t="shared" si="23"/>
        <v>0</v>
      </c>
      <c r="AL64" s="8">
        <f t="shared" si="24"/>
        <v>0</v>
      </c>
      <c r="AM64" s="8">
        <f t="shared" si="25"/>
        <v>1811.5745305084247</v>
      </c>
      <c r="AN64" s="8">
        <f t="shared" si="26"/>
        <v>18489.673417619822</v>
      </c>
      <c r="AO64" s="8">
        <f t="shared" si="27"/>
        <v>0</v>
      </c>
    </row>
    <row r="65" spans="1:41">
      <c r="A65" s="1">
        <v>41792</v>
      </c>
      <c r="B65" s="5">
        <v>63</v>
      </c>
      <c r="C65" s="3">
        <f>B65/365+input!$K$3</f>
        <v>0.17260273972602741</v>
      </c>
      <c r="D65" s="4">
        <f t="shared" si="3"/>
        <v>0</v>
      </c>
      <c r="E65" s="12">
        <f t="shared" si="4"/>
        <v>0</v>
      </c>
      <c r="F65" s="20">
        <f>input!E64</f>
        <v>0</v>
      </c>
      <c r="G65" s="19">
        <f t="shared" si="5"/>
        <v>0</v>
      </c>
      <c r="H65" s="19">
        <f t="shared" si="6"/>
        <v>7.6198530241604755E-24</v>
      </c>
      <c r="I65" s="5">
        <v>428</v>
      </c>
      <c r="J65" s="3">
        <f>I65/365+input!$K$3</f>
        <v>1.1726027397260275</v>
      </c>
      <c r="K65" s="4">
        <f t="shared" si="7"/>
        <v>7.6689891561485206</v>
      </c>
      <c r="L65" s="12">
        <f t="shared" si="8"/>
        <v>6.1341342898059583</v>
      </c>
      <c r="M65" s="20">
        <f>input!F64</f>
        <v>43019.16</v>
      </c>
      <c r="N65" s="19">
        <f t="shared" si="9"/>
        <v>0.72813889233112805</v>
      </c>
      <c r="O65" s="19">
        <f t="shared" si="10"/>
        <v>9.87639394681342E-3</v>
      </c>
      <c r="P65" s="21">
        <v>793</v>
      </c>
      <c r="Q65" s="3">
        <f>P65/365+input!$K$3</f>
        <v>2.1726027397260275</v>
      </c>
      <c r="R65" s="4">
        <f t="shared" si="11"/>
        <v>11.276371684312901</v>
      </c>
      <c r="S65" s="12">
        <f t="shared" si="12"/>
        <v>19.500558753074614</v>
      </c>
      <c r="T65" s="20">
        <f>input!G64</f>
        <v>1095.83</v>
      </c>
      <c r="U65" s="19">
        <f t="shared" si="13"/>
        <v>0.96281847132894494</v>
      </c>
      <c r="V65" s="19">
        <f t="shared" si="0"/>
        <v>0.89908791958068601</v>
      </c>
      <c r="W65" s="21">
        <v>1158</v>
      </c>
      <c r="X65" s="3">
        <f>W65/365+input!$K$3</f>
        <v>3.1726027397260275</v>
      </c>
      <c r="Y65" s="4">
        <f t="shared" si="14"/>
        <v>12.589299260865312</v>
      </c>
      <c r="Z65" s="12">
        <f t="shared" si="15"/>
        <v>27.135859395209948</v>
      </c>
      <c r="AA65" s="20">
        <f>input!H64</f>
        <v>0</v>
      </c>
      <c r="AB65" s="19">
        <f t="shared" si="16"/>
        <v>0.98197554006092014</v>
      </c>
      <c r="AC65" s="19">
        <f t="shared" si="17"/>
        <v>0.99519142618801715</v>
      </c>
      <c r="AD65" s="8">
        <f t="shared" si="18"/>
        <v>0</v>
      </c>
      <c r="AE65" s="8">
        <f t="shared" si="19"/>
        <v>263885.3044746489</v>
      </c>
      <c r="AF65" s="8">
        <f t="shared" si="20"/>
        <v>21369.297298381753</v>
      </c>
      <c r="AG65" s="8">
        <f t="shared" si="21"/>
        <v>0</v>
      </c>
      <c r="AH65" s="8">
        <f t="shared" si="1"/>
        <v>0</v>
      </c>
      <c r="AI65" s="8">
        <f t="shared" si="2"/>
        <v>192145.15330263332</v>
      </c>
      <c r="AJ65" s="8">
        <f t="shared" si="22"/>
        <v>20574.754158201671</v>
      </c>
      <c r="AK65" s="8">
        <f t="shared" si="23"/>
        <v>0</v>
      </c>
      <c r="AL65" s="8">
        <f t="shared" si="24"/>
        <v>0</v>
      </c>
      <c r="AM65" s="8">
        <f t="shared" si="25"/>
        <v>1897.7012289876643</v>
      </c>
      <c r="AN65" s="8">
        <f t="shared" si="26"/>
        <v>18498.512911981608</v>
      </c>
      <c r="AO65" s="8">
        <f t="shared" si="27"/>
        <v>0</v>
      </c>
    </row>
    <row r="66" spans="1:41">
      <c r="A66" s="1">
        <v>41793</v>
      </c>
      <c r="B66" s="5">
        <v>64</v>
      </c>
      <c r="C66" s="3">
        <f>B66/365+input!$K$3</f>
        <v>0.17534246575342466</v>
      </c>
      <c r="D66" s="4">
        <f t="shared" si="3"/>
        <v>0</v>
      </c>
      <c r="E66" s="12">
        <f t="shared" si="4"/>
        <v>0</v>
      </c>
      <c r="F66" s="20">
        <f>input!E65</f>
        <v>0</v>
      </c>
      <c r="G66" s="19">
        <f t="shared" si="5"/>
        <v>0</v>
      </c>
      <c r="H66" s="19">
        <f t="shared" si="6"/>
        <v>7.6198530241604755E-24</v>
      </c>
      <c r="I66" s="5">
        <v>429</v>
      </c>
      <c r="J66" s="3">
        <f>I66/365+input!$K$3</f>
        <v>1.1753424657534246</v>
      </c>
      <c r="K66" s="4">
        <f t="shared" si="7"/>
        <v>7.6838961789704809</v>
      </c>
      <c r="L66" s="12">
        <f t="shared" si="8"/>
        <v>6.169974556881817</v>
      </c>
      <c r="M66" s="20">
        <f>input!F65</f>
        <v>42740.11</v>
      </c>
      <c r="N66" s="19">
        <f t="shared" si="9"/>
        <v>0.73036476955315233</v>
      </c>
      <c r="O66" s="19">
        <f t="shared" si="10"/>
        <v>1.0276300366444162E-2</v>
      </c>
      <c r="P66" s="21">
        <v>794</v>
      </c>
      <c r="Q66" s="3">
        <f>P66/365+input!$K$3</f>
        <v>2.1753424657534248</v>
      </c>
      <c r="R66" s="4">
        <f t="shared" si="11"/>
        <v>11.28249333899115</v>
      </c>
      <c r="S66" s="12">
        <f t="shared" si="12"/>
        <v>19.532335065830221</v>
      </c>
      <c r="T66" s="20">
        <f>input!G65</f>
        <v>1058.32</v>
      </c>
      <c r="U66" s="19">
        <f t="shared" si="13"/>
        <v>0.96294378843858086</v>
      </c>
      <c r="V66" s="19">
        <f t="shared" si="0"/>
        <v>0.90016517994403489</v>
      </c>
      <c r="W66" s="21">
        <v>1159</v>
      </c>
      <c r="X66" s="3">
        <f>W66/365+input!$K$3</f>
        <v>3.1753424657534248</v>
      </c>
      <c r="Y66" s="4">
        <f t="shared" si="14"/>
        <v>12.589299260865312</v>
      </c>
      <c r="Z66" s="12">
        <f t="shared" si="15"/>
        <v>27.135859395209948</v>
      </c>
      <c r="AA66" s="20">
        <f>input!H65</f>
        <v>0</v>
      </c>
      <c r="AB66" s="19">
        <f t="shared" si="16"/>
        <v>0.98197554006092014</v>
      </c>
      <c r="AC66" s="19">
        <f t="shared" si="17"/>
        <v>0.99519142618801715</v>
      </c>
      <c r="AD66" s="8">
        <f t="shared" si="18"/>
        <v>0</v>
      </c>
      <c r="AE66" s="8">
        <f t="shared" si="19"/>
        <v>263705.39125833014</v>
      </c>
      <c r="AF66" s="8">
        <f t="shared" si="20"/>
        <v>20671.460846869439</v>
      </c>
      <c r="AG66" s="8">
        <f t="shared" si="21"/>
        <v>0</v>
      </c>
      <c r="AH66" s="8">
        <f t="shared" si="1"/>
        <v>0</v>
      </c>
      <c r="AI66" s="8">
        <f t="shared" si="2"/>
        <v>192601.12731631417</v>
      </c>
      <c r="AJ66" s="8">
        <f t="shared" si="22"/>
        <v>19905.454820444251</v>
      </c>
      <c r="AK66" s="8">
        <f t="shared" si="23"/>
        <v>0</v>
      </c>
      <c r="AL66" s="8">
        <f t="shared" si="24"/>
        <v>0</v>
      </c>
      <c r="AM66" s="8">
        <f t="shared" si="25"/>
        <v>1979.2270352181981</v>
      </c>
      <c r="AN66" s="8">
        <f t="shared" si="26"/>
        <v>17918.197320313055</v>
      </c>
      <c r="AO66" s="8">
        <f t="shared" si="27"/>
        <v>0</v>
      </c>
    </row>
    <row r="67" spans="1:41">
      <c r="A67" s="1">
        <v>41794</v>
      </c>
      <c r="B67" s="5">
        <v>65</v>
      </c>
      <c r="C67" s="3">
        <f>B67/365+input!$K$3</f>
        <v>0.17808219178082191</v>
      </c>
      <c r="D67" s="4">
        <f t="shared" si="3"/>
        <v>0</v>
      </c>
      <c r="E67" s="12">
        <f t="shared" si="4"/>
        <v>0</v>
      </c>
      <c r="F67" s="20">
        <f>input!E66</f>
        <v>0</v>
      </c>
      <c r="G67" s="19">
        <f t="shared" si="5"/>
        <v>0</v>
      </c>
      <c r="H67" s="19">
        <f t="shared" si="6"/>
        <v>7.6198530241604755E-24</v>
      </c>
      <c r="I67" s="5">
        <v>430</v>
      </c>
      <c r="J67" s="3">
        <f>I67/365+input!$K$3</f>
        <v>1.178082191780822</v>
      </c>
      <c r="K67" s="4">
        <f t="shared" si="7"/>
        <v>7.6987668974409091</v>
      </c>
      <c r="L67" s="12">
        <f t="shared" si="8"/>
        <v>6.2058663631182274</v>
      </c>
      <c r="M67" s="20">
        <f>input!F66</f>
        <v>42633.8</v>
      </c>
      <c r="N67" s="19">
        <f t="shared" si="9"/>
        <v>0.73256706781824632</v>
      </c>
      <c r="O67" s="19">
        <f t="shared" si="10"/>
        <v>1.0689229374299572E-2</v>
      </c>
      <c r="P67" s="21">
        <v>795</v>
      </c>
      <c r="Q67" s="3">
        <f>P67/365+input!$K$3</f>
        <v>2.1780821917808217</v>
      </c>
      <c r="R67" s="4">
        <f t="shared" si="11"/>
        <v>11.28860008507859</v>
      </c>
      <c r="S67" s="12">
        <f t="shared" si="12"/>
        <v>19.564068366153887</v>
      </c>
      <c r="T67" s="20">
        <f>input!G66</f>
        <v>1055.68</v>
      </c>
      <c r="U67" s="19">
        <f t="shared" si="13"/>
        <v>0.96306837952283386</v>
      </c>
      <c r="V67" s="19">
        <f t="shared" ref="V67:V130" si="28">_xlfn.NORM.DIST(R67,10,1,TRUE)</f>
        <v>0.90123142308031035</v>
      </c>
      <c r="W67" s="21">
        <v>1160</v>
      </c>
      <c r="X67" s="3">
        <f>W67/365+input!$K$3</f>
        <v>3.1780821917808217</v>
      </c>
      <c r="Y67" s="4">
        <f t="shared" si="14"/>
        <v>12.589299260865312</v>
      </c>
      <c r="Z67" s="12">
        <f t="shared" si="15"/>
        <v>27.135859395209948</v>
      </c>
      <c r="AA67" s="20">
        <f>input!H66</f>
        <v>0</v>
      </c>
      <c r="AB67" s="19">
        <f t="shared" si="16"/>
        <v>0.98197554006092014</v>
      </c>
      <c r="AC67" s="19">
        <f t="shared" si="17"/>
        <v>0.99519142618801715</v>
      </c>
      <c r="AD67" s="8">
        <f t="shared" si="18"/>
        <v>0</v>
      </c>
      <c r="AE67" s="8">
        <f t="shared" si="19"/>
        <v>264579.66535190988</v>
      </c>
      <c r="AF67" s="8">
        <f t="shared" si="20"/>
        <v>20653.395692781338</v>
      </c>
      <c r="AG67" s="8">
        <f t="shared" si="21"/>
        <v>0</v>
      </c>
      <c r="AH67" s="8">
        <f t="shared" ref="AH67:AH130" si="29">E67*F67*G67</f>
        <v>0</v>
      </c>
      <c r="AI67" s="8">
        <f t="shared" ref="AI67:AI130" si="30">L67*M67*N67</f>
        <v>193822.34965118149</v>
      </c>
      <c r="AJ67" s="8">
        <f t="shared" si="22"/>
        <v>19890.632321490801</v>
      </c>
      <c r="AK67" s="8">
        <f t="shared" si="23"/>
        <v>0</v>
      </c>
      <c r="AL67" s="8">
        <f t="shared" si="24"/>
        <v>0</v>
      </c>
      <c r="AM67" s="8">
        <f t="shared" si="25"/>
        <v>2071.8115532871716</v>
      </c>
      <c r="AN67" s="8">
        <f t="shared" si="26"/>
        <v>17926.062873064373</v>
      </c>
      <c r="AO67" s="8">
        <f t="shared" si="27"/>
        <v>0</v>
      </c>
    </row>
    <row r="68" spans="1:41">
      <c r="A68" s="1">
        <v>41795</v>
      </c>
      <c r="B68" s="5">
        <v>66</v>
      </c>
      <c r="C68" s="3">
        <f>B68/365+input!$K$3</f>
        <v>0.18082191780821918</v>
      </c>
      <c r="D68" s="4">
        <f t="shared" ref="D68:D131" si="31">MAX(0,13.79*(1-EXP(-0.89*(C68-0.26))))</f>
        <v>0</v>
      </c>
      <c r="E68" s="12">
        <f t="shared" ref="E68:E131" si="32">0.0136*D68^3</f>
        <v>0</v>
      </c>
      <c r="F68" s="20">
        <f>input!E67</f>
        <v>0</v>
      </c>
      <c r="G68" s="19">
        <f t="shared" ref="G68:G131" si="33">MAX(1-EXP(2.927-1.285*(D68/2.33)),0)</f>
        <v>0</v>
      </c>
      <c r="H68" s="19">
        <f t="shared" ref="H68:H131" si="34">_xlfn.NORM.DIST(D68,10,1,TRUE)</f>
        <v>7.6198530241604755E-24</v>
      </c>
      <c r="I68" s="5">
        <v>431</v>
      </c>
      <c r="J68" s="3">
        <f>I68/365+input!$K$3</f>
        <v>1.1808219178082191</v>
      </c>
      <c r="K68" s="4">
        <f t="shared" ref="K68:K131" si="35">MAX(0,13.79*(1-EXP(-0.89*(J68-0.26))))</f>
        <v>7.7136013999749045</v>
      </c>
      <c r="L68" s="12">
        <f t="shared" ref="L68:L131" si="36">0.0136*K68^3</f>
        <v>6.2418091750020741</v>
      </c>
      <c r="M68" s="20">
        <f>input!F67</f>
        <v>42357.97</v>
      </c>
      <c r="N68" s="19">
        <f t="shared" ref="N68:N131" si="37">MAX(1-EXP(2.927-1.285*(K68/2.33)),0)</f>
        <v>0.7347460804754562</v>
      </c>
      <c r="O68" s="19">
        <f t="shared" ref="O68:O131" si="38">_xlfn.NORM.DIST(K68,10,1,TRUE)</f>
        <v>1.1115475082907032E-2</v>
      </c>
      <c r="P68" s="21">
        <v>796</v>
      </c>
      <c r="Q68" s="3">
        <f>P68/365+input!$K$3</f>
        <v>2.1808219178082191</v>
      </c>
      <c r="R68" s="4">
        <f t="shared" ref="R68:R131" si="39">MAX(0,13.79*(1-EXP(-0.89*(Q68-0.26))))</f>
        <v>11.294691958883396</v>
      </c>
      <c r="S68" s="12">
        <f t="shared" ref="S68:S131" si="40">0.0136*R68^3</f>
        <v>19.595758610083269</v>
      </c>
      <c r="T68" s="20">
        <f>input!G67</f>
        <v>1019.55</v>
      </c>
      <c r="U68" s="19">
        <f t="shared" ref="U68:U131" si="41">MAX(1-EXP(2.927-1.285*(R68/2.33)),0)</f>
        <v>0.9631922498051696</v>
      </c>
      <c r="V68" s="19">
        <f t="shared" si="28"/>
        <v>0.90228674250900842</v>
      </c>
      <c r="W68" s="21">
        <v>1161</v>
      </c>
      <c r="X68" s="3">
        <f>W68/365+input!$K$3</f>
        <v>3.1808219178082191</v>
      </c>
      <c r="Y68" s="4">
        <f t="shared" ref="Y68:Y131" si="42">MAX(0,13.79*(1-EXP(-0.89*(X$3-0.26))))</f>
        <v>12.589299260865312</v>
      </c>
      <c r="Z68" s="12">
        <f t="shared" ref="Z68:Z131" si="43">0.0136*Y68^3</f>
        <v>27.135859395209948</v>
      </c>
      <c r="AA68" s="20">
        <f>input!H67</f>
        <v>0</v>
      </c>
      <c r="AB68" s="19">
        <f t="shared" ref="AB68:AB131" si="44">MAX(1-EXP(2.927-1.285*(Y68/2.33)),0)</f>
        <v>0.98197554006092014</v>
      </c>
      <c r="AC68" s="19">
        <f t="shared" ref="AC68:AC131" si="45">_xlfn.NORM.DIST(Y68,10,1,TRUE)</f>
        <v>0.99519142618801715</v>
      </c>
      <c r="AD68" s="8">
        <f t="shared" ref="AD68:AD131" si="46">E68*F68</f>
        <v>0</v>
      </c>
      <c r="AE68" s="8">
        <f t="shared" ref="AE68:AE131" si="47">L68*M68</f>
        <v>264390.36578046263</v>
      </c>
      <c r="AF68" s="8">
        <f t="shared" ref="AF68:AF131" si="48">S68*T68</f>
        <v>19978.855690910397</v>
      </c>
      <c r="AG68" s="8">
        <f t="shared" ref="AG68:AG131" si="49">Z68*AA68</f>
        <v>0</v>
      </c>
      <c r="AH68" s="8">
        <f t="shared" si="29"/>
        <v>0</v>
      </c>
      <c r="AI68" s="8">
        <f t="shared" si="30"/>
        <v>194259.78497266708</v>
      </c>
      <c r="AJ68" s="8">
        <f t="shared" ref="AJ68:AJ131" si="50">AF68*U68</f>
        <v>19243.478961460802</v>
      </c>
      <c r="AK68" s="8">
        <f t="shared" ref="AK68:AK131" si="51">AG68*AB68</f>
        <v>0</v>
      </c>
      <c r="AL68" s="8">
        <f t="shared" ref="AL68:AL131" si="52">AH68*H68</f>
        <v>0</v>
      </c>
      <c r="AM68" s="8">
        <f t="shared" ref="AM68:AM131" si="53">AI68*O68</f>
        <v>2159.2897994745585</v>
      </c>
      <c r="AN68" s="8">
        <f t="shared" ref="AN68:AN131" si="54">AJ68*V68</f>
        <v>17363.135946677103</v>
      </c>
      <c r="AO68" s="8">
        <f t="shared" ref="AO68:AO131" si="55">AK68*AC68</f>
        <v>0</v>
      </c>
    </row>
    <row r="69" spans="1:41">
      <c r="A69" s="1">
        <v>41796</v>
      </c>
      <c r="B69" s="5">
        <v>67</v>
      </c>
      <c r="C69" s="3">
        <f>B69/365+input!$K$3</f>
        <v>0.18356164383561643</v>
      </c>
      <c r="D69" s="4">
        <f t="shared" si="31"/>
        <v>0</v>
      </c>
      <c r="E69" s="12">
        <f t="shared" si="32"/>
        <v>0</v>
      </c>
      <c r="F69" s="20">
        <f>input!E68</f>
        <v>0</v>
      </c>
      <c r="G69" s="19">
        <f t="shared" si="33"/>
        <v>0</v>
      </c>
      <c r="H69" s="19">
        <f t="shared" si="34"/>
        <v>7.6198530241604755E-24</v>
      </c>
      <c r="I69" s="5">
        <v>432</v>
      </c>
      <c r="J69" s="3">
        <f>I69/365+input!$K$3</f>
        <v>1.1835616438356165</v>
      </c>
      <c r="K69" s="4">
        <f t="shared" si="35"/>
        <v>7.7283997747722442</v>
      </c>
      <c r="L69" s="12">
        <f t="shared" si="36"/>
        <v>6.2778024603557609</v>
      </c>
      <c r="M69" s="20">
        <f>input!F68</f>
        <v>42252.62</v>
      </c>
      <c r="N69" s="19">
        <f t="shared" si="37"/>
        <v>0.73690209674075224</v>
      </c>
      <c r="O69" s="19">
        <f t="shared" si="38"/>
        <v>1.1555333640293885E-2</v>
      </c>
      <c r="P69" s="21">
        <v>797</v>
      </c>
      <c r="Q69" s="3">
        <f>P69/365+input!$K$3</f>
        <v>2.1835616438356165</v>
      </c>
      <c r="R69" s="4">
        <f t="shared" si="39"/>
        <v>11.30076899662531</v>
      </c>
      <c r="S69" s="12">
        <f t="shared" si="40"/>
        <v>19.627405754351567</v>
      </c>
      <c r="T69" s="20">
        <f>input!G68</f>
        <v>1017.01</v>
      </c>
      <c r="U69" s="19">
        <f t="shared" si="41"/>
        <v>0.96331540446456654</v>
      </c>
      <c r="V69" s="19">
        <f t="shared" si="28"/>
        <v>0.90333123142144667</v>
      </c>
      <c r="W69" s="21">
        <v>1162</v>
      </c>
      <c r="X69" s="3">
        <f>W69/365+input!$K$3</f>
        <v>3.1835616438356165</v>
      </c>
      <c r="Y69" s="4">
        <f t="shared" si="42"/>
        <v>12.589299260865312</v>
      </c>
      <c r="Z69" s="12">
        <f t="shared" si="43"/>
        <v>27.135859395209948</v>
      </c>
      <c r="AA69" s="20">
        <f>input!H68</f>
        <v>0</v>
      </c>
      <c r="AB69" s="19">
        <f t="shared" si="44"/>
        <v>0.98197554006092014</v>
      </c>
      <c r="AC69" s="19">
        <f t="shared" si="45"/>
        <v>0.99519142618801715</v>
      </c>
      <c r="AD69" s="8">
        <f t="shared" si="46"/>
        <v>0</v>
      </c>
      <c r="AE69" s="8">
        <f t="shared" si="47"/>
        <v>265253.60179247707</v>
      </c>
      <c r="AF69" s="8">
        <f t="shared" si="48"/>
        <v>19961.267926233086</v>
      </c>
      <c r="AG69" s="8">
        <f t="shared" si="49"/>
        <v>0</v>
      </c>
      <c r="AH69" s="8">
        <f t="shared" si="29"/>
        <v>0</v>
      </c>
      <c r="AI69" s="8">
        <f t="shared" si="30"/>
        <v>195465.93532891292</v>
      </c>
      <c r="AJ69" s="8">
        <f t="shared" si="50"/>
        <v>19228.996885984805</v>
      </c>
      <c r="AK69" s="8">
        <f t="shared" si="51"/>
        <v>0</v>
      </c>
      <c r="AL69" s="8">
        <f t="shared" si="52"/>
        <v>0</v>
      </c>
      <c r="AM69" s="8">
        <f t="shared" si="53"/>
        <v>2258.6740980376962</v>
      </c>
      <c r="AN69" s="8">
        <f t="shared" si="54"/>
        <v>17370.153436015818</v>
      </c>
      <c r="AO69" s="8">
        <f t="shared" si="55"/>
        <v>0</v>
      </c>
    </row>
    <row r="70" spans="1:41">
      <c r="A70" s="1">
        <v>41797</v>
      </c>
      <c r="B70" s="5">
        <v>68</v>
      </c>
      <c r="C70" s="3">
        <f>B70/365+input!$K$3</f>
        <v>0.18630136986301371</v>
      </c>
      <c r="D70" s="4">
        <f t="shared" si="31"/>
        <v>0</v>
      </c>
      <c r="E70" s="12">
        <f t="shared" si="32"/>
        <v>0</v>
      </c>
      <c r="F70" s="20">
        <f>input!E69</f>
        <v>0</v>
      </c>
      <c r="G70" s="19">
        <f t="shared" si="33"/>
        <v>0</v>
      </c>
      <c r="H70" s="19">
        <f t="shared" si="34"/>
        <v>7.6198530241604755E-24</v>
      </c>
      <c r="I70" s="5">
        <v>433</v>
      </c>
      <c r="J70" s="3">
        <f>I70/365+input!$K$3</f>
        <v>1.1863013698630136</v>
      </c>
      <c r="K70" s="4">
        <f t="shared" si="35"/>
        <v>7.7431621098179058</v>
      </c>
      <c r="L70" s="12">
        <f t="shared" si="36"/>
        <v>6.3138456883479765</v>
      </c>
      <c r="M70" s="20">
        <f>input!F69</f>
        <v>41973.46</v>
      </c>
      <c r="N70" s="19">
        <f t="shared" si="37"/>
        <v>0.73903540176152416</v>
      </c>
      <c r="O70" s="19">
        <f t="shared" si="38"/>
        <v>1.200910309200161E-2</v>
      </c>
      <c r="P70" s="21">
        <v>798</v>
      </c>
      <c r="Q70" s="3">
        <f>P70/365+input!$K$3</f>
        <v>2.1863013698630138</v>
      </c>
      <c r="R70" s="4">
        <f t="shared" si="39"/>
        <v>11.306831234435869</v>
      </c>
      <c r="S70" s="12">
        <f t="shared" si="40"/>
        <v>19.659009756384005</v>
      </c>
      <c r="T70" s="20">
        <f>input!G69</f>
        <v>982.75</v>
      </c>
      <c r="U70" s="19">
        <f t="shared" si="41"/>
        <v>0.96343784863594906</v>
      </c>
      <c r="V70" s="19">
        <f t="shared" si="28"/>
        <v>0.90436498267034937</v>
      </c>
      <c r="W70" s="21">
        <v>1163</v>
      </c>
      <c r="X70" s="3">
        <f>W70/365+input!$K$3</f>
        <v>3.1863013698630138</v>
      </c>
      <c r="Y70" s="4">
        <f t="shared" si="42"/>
        <v>12.589299260865312</v>
      </c>
      <c r="Z70" s="12">
        <f t="shared" si="43"/>
        <v>27.135859395209948</v>
      </c>
      <c r="AA70" s="20">
        <f>input!H69</f>
        <v>0</v>
      </c>
      <c r="AB70" s="19">
        <f t="shared" si="44"/>
        <v>0.98197554006092014</v>
      </c>
      <c r="AC70" s="19">
        <f t="shared" si="45"/>
        <v>0.99519142618801715</v>
      </c>
      <c r="AD70" s="8">
        <f t="shared" si="46"/>
        <v>0</v>
      </c>
      <c r="AE70" s="8">
        <f t="shared" si="47"/>
        <v>265013.94944604626</v>
      </c>
      <c r="AF70" s="8">
        <f t="shared" si="48"/>
        <v>19319.89183808638</v>
      </c>
      <c r="AG70" s="8">
        <f t="shared" si="49"/>
        <v>0</v>
      </c>
      <c r="AH70" s="8">
        <f t="shared" si="29"/>
        <v>0</v>
      </c>
      <c r="AI70" s="8">
        <f t="shared" si="30"/>
        <v>195854.69060126704</v>
      </c>
      <c r="AJ70" s="8">
        <f t="shared" si="50"/>
        <v>18613.515028365175</v>
      </c>
      <c r="AK70" s="8">
        <f t="shared" si="51"/>
        <v>0</v>
      </c>
      <c r="AL70" s="8">
        <f t="shared" si="52"/>
        <v>0</v>
      </c>
      <c r="AM70" s="8">
        <f t="shared" si="53"/>
        <v>2352.0391704826948</v>
      </c>
      <c r="AN70" s="8">
        <f t="shared" si="54"/>
        <v>16833.411196061759</v>
      </c>
      <c r="AO70" s="8">
        <f t="shared" si="55"/>
        <v>0</v>
      </c>
    </row>
    <row r="71" spans="1:41">
      <c r="A71" s="1">
        <v>41798</v>
      </c>
      <c r="B71" s="5">
        <v>69</v>
      </c>
      <c r="C71" s="3">
        <f>B71/365+input!$K$3</f>
        <v>0.18904109589041096</v>
      </c>
      <c r="D71" s="4">
        <f t="shared" si="31"/>
        <v>0</v>
      </c>
      <c r="E71" s="12">
        <f t="shared" si="32"/>
        <v>0</v>
      </c>
      <c r="F71" s="20">
        <f>input!E70</f>
        <v>0</v>
      </c>
      <c r="G71" s="19">
        <f t="shared" si="33"/>
        <v>0</v>
      </c>
      <c r="H71" s="19">
        <f t="shared" si="34"/>
        <v>7.6198530241604755E-24</v>
      </c>
      <c r="I71" s="5">
        <v>434</v>
      </c>
      <c r="J71" s="3">
        <f>I71/365+input!$K$3</f>
        <v>1.189041095890411</v>
      </c>
      <c r="K71" s="4">
        <f t="shared" si="35"/>
        <v>7.7578884928825902</v>
      </c>
      <c r="L71" s="12">
        <f t="shared" si="36"/>
        <v>6.3499383295042735</v>
      </c>
      <c r="M71" s="20">
        <f>input!F70</f>
        <v>41869.06</v>
      </c>
      <c r="N71" s="19">
        <f t="shared" si="37"/>
        <v>0.74114627667997435</v>
      </c>
      <c r="O71" s="19">
        <f t="shared" si="38"/>
        <v>1.2477083239125135E-2</v>
      </c>
      <c r="P71" s="21">
        <v>799</v>
      </c>
      <c r="Q71" s="3">
        <f>P71/365+input!$K$3</f>
        <v>2.1890410958904107</v>
      </c>
      <c r="R71" s="4">
        <f t="shared" si="39"/>
        <v>11.312878708358614</v>
      </c>
      <c r="S71" s="12">
        <f t="shared" si="40"/>
        <v>19.690570574294263</v>
      </c>
      <c r="T71" s="20">
        <f>input!G70</f>
        <v>980.31</v>
      </c>
      <c r="U71" s="19">
        <f t="shared" si="41"/>
        <v>0.9635595874106162</v>
      </c>
      <c r="V71" s="19">
        <f t="shared" si="28"/>
        <v>0.90538808875975541</v>
      </c>
      <c r="W71" s="21">
        <v>1164</v>
      </c>
      <c r="X71" s="3">
        <f>W71/365+input!$K$3</f>
        <v>3.1890410958904107</v>
      </c>
      <c r="Y71" s="4">
        <f t="shared" si="42"/>
        <v>12.589299260865312</v>
      </c>
      <c r="Z71" s="12">
        <f t="shared" si="43"/>
        <v>27.135859395209948</v>
      </c>
      <c r="AA71" s="20">
        <f>input!H70</f>
        <v>0</v>
      </c>
      <c r="AB71" s="19">
        <f t="shared" si="44"/>
        <v>0.98197554006092014</v>
      </c>
      <c r="AC71" s="19">
        <f t="shared" si="45"/>
        <v>0.99519142618801715</v>
      </c>
      <c r="AD71" s="8">
        <f t="shared" si="46"/>
        <v>0</v>
      </c>
      <c r="AE71" s="8">
        <f t="shared" si="47"/>
        <v>265865.94891431415</v>
      </c>
      <c r="AF71" s="8">
        <f t="shared" si="48"/>
        <v>19302.863239686409</v>
      </c>
      <c r="AG71" s="8">
        <f t="shared" si="49"/>
        <v>0</v>
      </c>
      <c r="AH71" s="8">
        <f t="shared" si="29"/>
        <v>0</v>
      </c>
      <c r="AI71" s="8">
        <f t="shared" si="30"/>
        <v>197045.55813383221</v>
      </c>
      <c r="AJ71" s="8">
        <f t="shared" si="50"/>
        <v>18599.458939075786</v>
      </c>
      <c r="AK71" s="8">
        <f t="shared" si="51"/>
        <v>0</v>
      </c>
      <c r="AL71" s="8">
        <f t="shared" si="52"/>
        <v>0</v>
      </c>
      <c r="AM71" s="8">
        <f t="shared" si="53"/>
        <v>2458.5538307356951</v>
      </c>
      <c r="AN71" s="8">
        <f t="shared" si="54"/>
        <v>16839.728580815376</v>
      </c>
      <c r="AO71" s="8">
        <f t="shared" si="55"/>
        <v>0</v>
      </c>
    </row>
    <row r="72" spans="1:41">
      <c r="A72" s="1">
        <v>41799</v>
      </c>
      <c r="B72" s="5">
        <v>70</v>
      </c>
      <c r="C72" s="3">
        <f>B72/365+input!$K$3</f>
        <v>0.19178082191780821</v>
      </c>
      <c r="D72" s="4">
        <f t="shared" si="31"/>
        <v>0</v>
      </c>
      <c r="E72" s="12">
        <f t="shared" si="32"/>
        <v>0</v>
      </c>
      <c r="F72" s="20">
        <f>input!E71</f>
        <v>0</v>
      </c>
      <c r="G72" s="19">
        <f t="shared" si="33"/>
        <v>0</v>
      </c>
      <c r="H72" s="19">
        <f t="shared" si="34"/>
        <v>7.6198530241604755E-24</v>
      </c>
      <c r="I72" s="5">
        <v>435</v>
      </c>
      <c r="J72" s="3">
        <f>I72/365+input!$K$3</f>
        <v>1.1917808219178083</v>
      </c>
      <c r="K72" s="4">
        <f t="shared" si="35"/>
        <v>7.7725790115232396</v>
      </c>
      <c r="L72" s="12">
        <f t="shared" si="36"/>
        <v>6.3860798557174387</v>
      </c>
      <c r="M72" s="20">
        <f>input!F71</f>
        <v>41592.71</v>
      </c>
      <c r="N72" s="19">
        <f t="shared" si="37"/>
        <v>0.74323499869543708</v>
      </c>
      <c r="O72" s="19">
        <f t="shared" si="38"/>
        <v>1.2959575492475355E-2</v>
      </c>
      <c r="P72" s="21">
        <v>800</v>
      </c>
      <c r="Q72" s="3">
        <f>P72/365+input!$K$3</f>
        <v>2.1917808219178081</v>
      </c>
      <c r="R72" s="4">
        <f t="shared" si="39"/>
        <v>11.318911454349312</v>
      </c>
      <c r="S72" s="12">
        <f t="shared" si="40"/>
        <v>19.72208816688094</v>
      </c>
      <c r="T72" s="20">
        <f>input!G71</f>
        <v>946.39</v>
      </c>
      <c r="U72" s="19">
        <f t="shared" si="41"/>
        <v>0.96368062583666469</v>
      </c>
      <c r="V72" s="19">
        <f t="shared" si="28"/>
        <v>0.90640064183524716</v>
      </c>
      <c r="W72" s="21">
        <v>1165</v>
      </c>
      <c r="X72" s="3">
        <f>W72/365+input!$K$3</f>
        <v>3.1917808219178081</v>
      </c>
      <c r="Y72" s="4">
        <f t="shared" si="42"/>
        <v>12.589299260865312</v>
      </c>
      <c r="Z72" s="12">
        <f t="shared" si="43"/>
        <v>27.135859395209948</v>
      </c>
      <c r="AA72" s="20">
        <f>input!H71</f>
        <v>0</v>
      </c>
      <c r="AB72" s="19">
        <f t="shared" si="44"/>
        <v>0.98197554006092014</v>
      </c>
      <c r="AC72" s="19">
        <f t="shared" si="45"/>
        <v>0.99519142618801715</v>
      </c>
      <c r="AD72" s="8">
        <f t="shared" si="46"/>
        <v>0</v>
      </c>
      <c r="AE72" s="8">
        <f t="shared" si="47"/>
        <v>265614.36747569725</v>
      </c>
      <c r="AF72" s="8">
        <f t="shared" si="48"/>
        <v>18664.787020254455</v>
      </c>
      <c r="AG72" s="8">
        <f t="shared" si="49"/>
        <v>0</v>
      </c>
      <c r="AH72" s="8">
        <f t="shared" si="29"/>
        <v>0</v>
      </c>
      <c r="AI72" s="8">
        <f t="shared" si="30"/>
        <v>197413.8940642892</v>
      </c>
      <c r="AJ72" s="8">
        <f t="shared" si="50"/>
        <v>17986.89363678687</v>
      </c>
      <c r="AK72" s="8">
        <f t="shared" si="51"/>
        <v>0</v>
      </c>
      <c r="AL72" s="8">
        <f t="shared" si="52"/>
        <v>0</v>
      </c>
      <c r="AM72" s="8">
        <f t="shared" si="53"/>
        <v>2558.400263389688</v>
      </c>
      <c r="AN72" s="8">
        <f t="shared" si="54"/>
        <v>16303.331937005942</v>
      </c>
      <c r="AO72" s="8">
        <f t="shared" si="55"/>
        <v>0</v>
      </c>
    </row>
    <row r="73" spans="1:41">
      <c r="A73" s="1">
        <v>41800</v>
      </c>
      <c r="B73" s="5">
        <v>71</v>
      </c>
      <c r="C73" s="3">
        <f>B73/365+input!$K$3</f>
        <v>0.19452054794520549</v>
      </c>
      <c r="D73" s="4">
        <f t="shared" si="31"/>
        <v>0</v>
      </c>
      <c r="E73" s="12">
        <f t="shared" si="32"/>
        <v>0</v>
      </c>
      <c r="F73" s="20">
        <f>input!E72</f>
        <v>0</v>
      </c>
      <c r="G73" s="19">
        <f t="shared" si="33"/>
        <v>0</v>
      </c>
      <c r="H73" s="19">
        <f t="shared" si="34"/>
        <v>7.6198530241604755E-24</v>
      </c>
      <c r="I73" s="5">
        <v>436</v>
      </c>
      <c r="J73" s="3">
        <f>I73/365+input!$K$3</f>
        <v>1.1945205479452055</v>
      </c>
      <c r="K73" s="4">
        <f t="shared" si="35"/>
        <v>7.7872337530835596</v>
      </c>
      <c r="L73" s="12">
        <f t="shared" si="36"/>
        <v>6.42226974025768</v>
      </c>
      <c r="M73" s="20">
        <f>input!F72</f>
        <v>41489.26</v>
      </c>
      <c r="N73" s="19">
        <f t="shared" si="37"/>
        <v>0.74530184112563624</v>
      </c>
      <c r="O73" s="19">
        <f t="shared" si="38"/>
        <v>1.3456882722970237E-2</v>
      </c>
      <c r="P73" s="21">
        <v>801</v>
      </c>
      <c r="Q73" s="3">
        <f>P73/365+input!$K$3</f>
        <v>2.1945205479452055</v>
      </c>
      <c r="R73" s="4">
        <f t="shared" si="39"/>
        <v>11.324929508276158</v>
      </c>
      <c r="S73" s="12">
        <f t="shared" si="40"/>
        <v>19.753562493623981</v>
      </c>
      <c r="T73" s="20">
        <f>input!G72</f>
        <v>944.04</v>
      </c>
      <c r="U73" s="19">
        <f t="shared" si="41"/>
        <v>0.96380096891940847</v>
      </c>
      <c r="V73" s="19">
        <f t="shared" si="28"/>
        <v>0.90740273367449198</v>
      </c>
      <c r="W73" s="21">
        <v>1166</v>
      </c>
      <c r="X73" s="3">
        <f>W73/365+input!$K$3</f>
        <v>3.1945205479452055</v>
      </c>
      <c r="Y73" s="4">
        <f t="shared" si="42"/>
        <v>12.589299260865312</v>
      </c>
      <c r="Z73" s="12">
        <f t="shared" si="43"/>
        <v>27.135859395209948</v>
      </c>
      <c r="AA73" s="20">
        <f>input!H72</f>
        <v>0</v>
      </c>
      <c r="AB73" s="19">
        <f t="shared" si="44"/>
        <v>0.98197554006092014</v>
      </c>
      <c r="AC73" s="19">
        <f t="shared" si="45"/>
        <v>0.99519142618801715</v>
      </c>
      <c r="AD73" s="8">
        <f t="shared" si="46"/>
        <v>0</v>
      </c>
      <c r="AE73" s="8">
        <f t="shared" si="47"/>
        <v>266455.21904368338</v>
      </c>
      <c r="AF73" s="8">
        <f t="shared" si="48"/>
        <v>18648.153136480782</v>
      </c>
      <c r="AG73" s="8">
        <f t="shared" si="49"/>
        <v>0</v>
      </c>
      <c r="AH73" s="8">
        <f t="shared" si="29"/>
        <v>0</v>
      </c>
      <c r="AI73" s="8">
        <f t="shared" si="30"/>
        <v>198589.56533079193</v>
      </c>
      <c r="AJ73" s="8">
        <f t="shared" si="50"/>
        <v>17973.108061497682</v>
      </c>
      <c r="AK73" s="8">
        <f t="shared" si="51"/>
        <v>0</v>
      </c>
      <c r="AL73" s="8">
        <f t="shared" si="52"/>
        <v>0</v>
      </c>
      <c r="AM73" s="8">
        <f t="shared" si="53"/>
        <v>2672.3964906621031</v>
      </c>
      <c r="AN73" s="8">
        <f t="shared" si="54"/>
        <v>16308.847387630045</v>
      </c>
      <c r="AO73" s="8">
        <f t="shared" si="55"/>
        <v>0</v>
      </c>
    </row>
    <row r="74" spans="1:41">
      <c r="A74" s="1">
        <v>41801</v>
      </c>
      <c r="B74" s="5">
        <v>72</v>
      </c>
      <c r="C74" s="3">
        <f>B74/365+input!$K$3</f>
        <v>0.19726027397260273</v>
      </c>
      <c r="D74" s="4">
        <f t="shared" si="31"/>
        <v>0</v>
      </c>
      <c r="E74" s="12">
        <f t="shared" si="32"/>
        <v>0</v>
      </c>
      <c r="F74" s="20">
        <f>input!E73</f>
        <v>0</v>
      </c>
      <c r="G74" s="19">
        <f t="shared" si="33"/>
        <v>0</v>
      </c>
      <c r="H74" s="19">
        <f t="shared" si="34"/>
        <v>7.6198530241604755E-24</v>
      </c>
      <c r="I74" s="5">
        <v>437</v>
      </c>
      <c r="J74" s="3">
        <f>I74/365+input!$K$3</f>
        <v>1.1972602739726028</v>
      </c>
      <c r="K74" s="4">
        <f t="shared" si="35"/>
        <v>7.8018528046945486</v>
      </c>
      <c r="L74" s="12">
        <f t="shared" si="36"/>
        <v>6.4585074577826465</v>
      </c>
      <c r="M74" s="20">
        <f>input!F73</f>
        <v>41203.269999999997</v>
      </c>
      <c r="N74" s="19">
        <f t="shared" si="37"/>
        <v>0.74734707346690987</v>
      </c>
      <c r="O74" s="19">
        <f t="shared" si="38"/>
        <v>1.3969309108364802E-2</v>
      </c>
      <c r="P74" s="21">
        <v>802</v>
      </c>
      <c r="Q74" s="3">
        <f>P74/365+input!$K$3</f>
        <v>2.1972602739726028</v>
      </c>
      <c r="R74" s="4">
        <f t="shared" si="39"/>
        <v>11.330932905919992</v>
      </c>
      <c r="S74" s="12">
        <f t="shared" si="40"/>
        <v>19.784993514681133</v>
      </c>
      <c r="T74" s="20">
        <f>input!G73</f>
        <v>912.39</v>
      </c>
      <c r="U74" s="19">
        <f t="shared" si="41"/>
        <v>0.96392062162179337</v>
      </c>
      <c r="V74" s="19">
        <f t="shared" si="28"/>
        <v>0.90839445567809585</v>
      </c>
      <c r="W74" s="21">
        <v>1167</v>
      </c>
      <c r="X74" s="3">
        <f>W74/365+input!$K$3</f>
        <v>3.1972602739726028</v>
      </c>
      <c r="Y74" s="4">
        <f t="shared" si="42"/>
        <v>12.589299260865312</v>
      </c>
      <c r="Z74" s="12">
        <f t="shared" si="43"/>
        <v>27.135859395209948</v>
      </c>
      <c r="AA74" s="20">
        <f>input!H73</f>
        <v>0</v>
      </c>
      <c r="AB74" s="19">
        <f t="shared" si="44"/>
        <v>0.98197554006092014</v>
      </c>
      <c r="AC74" s="19">
        <f t="shared" si="45"/>
        <v>0.99519142618801715</v>
      </c>
      <c r="AD74" s="8">
        <f t="shared" si="46"/>
        <v>0</v>
      </c>
      <c r="AE74" s="8">
        <f t="shared" si="47"/>
        <v>266111.62658003194</v>
      </c>
      <c r="AF74" s="8">
        <f t="shared" si="48"/>
        <v>18051.630232859919</v>
      </c>
      <c r="AG74" s="8">
        <f t="shared" si="49"/>
        <v>0</v>
      </c>
      <c r="AH74" s="8">
        <f t="shared" si="29"/>
        <v>0</v>
      </c>
      <c r="AI74" s="8">
        <f t="shared" si="30"/>
        <v>198877.74534010602</v>
      </c>
      <c r="AJ74" s="8">
        <f t="shared" si="50"/>
        <v>17400.338635345091</v>
      </c>
      <c r="AK74" s="8">
        <f t="shared" si="51"/>
        <v>0</v>
      </c>
      <c r="AL74" s="8">
        <f t="shared" si="52"/>
        <v>0</v>
      </c>
      <c r="AM74" s="8">
        <f t="shared" si="53"/>
        <v>2778.1846994305988</v>
      </c>
      <c r="AN74" s="8">
        <f t="shared" si="54"/>
        <v>15806.371143268845</v>
      </c>
      <c r="AO74" s="8">
        <f t="shared" si="55"/>
        <v>0</v>
      </c>
    </row>
    <row r="75" spans="1:41">
      <c r="A75" s="1">
        <v>41802</v>
      </c>
      <c r="B75" s="5">
        <v>73</v>
      </c>
      <c r="C75" s="3">
        <f>B75/365+input!$K$3</f>
        <v>0.2</v>
      </c>
      <c r="D75" s="4">
        <f t="shared" si="31"/>
        <v>0</v>
      </c>
      <c r="E75" s="12">
        <f t="shared" si="32"/>
        <v>0</v>
      </c>
      <c r="F75" s="20">
        <f>input!E74</f>
        <v>0</v>
      </c>
      <c r="G75" s="19">
        <f t="shared" si="33"/>
        <v>0</v>
      </c>
      <c r="H75" s="19">
        <f t="shared" si="34"/>
        <v>7.6198530241604755E-24</v>
      </c>
      <c r="I75" s="5">
        <v>438</v>
      </c>
      <c r="J75" s="3">
        <f>I75/365+input!$K$3</f>
        <v>1.2</v>
      </c>
      <c r="K75" s="4">
        <f t="shared" si="35"/>
        <v>7.8164362532749951</v>
      </c>
      <c r="L75" s="12">
        <f t="shared" si="36"/>
        <v>6.4947924843471823</v>
      </c>
      <c r="M75" s="20">
        <f>input!F74</f>
        <v>41100.78</v>
      </c>
      <c r="N75" s="19">
        <f t="shared" si="37"/>
        <v>0.7493709614534072</v>
      </c>
      <c r="O75" s="19">
        <f t="shared" si="38"/>
        <v>1.4497159976435393E-2</v>
      </c>
      <c r="P75" s="21">
        <v>803</v>
      </c>
      <c r="Q75" s="3">
        <f>P75/365+input!$K$3</f>
        <v>2.2000000000000002</v>
      </c>
      <c r="R75" s="4">
        <f t="shared" si="39"/>
        <v>11.336921682974522</v>
      </c>
      <c r="S75" s="12">
        <f t="shared" si="40"/>
        <v>19.816381190884506</v>
      </c>
      <c r="T75" s="20">
        <f>input!G74</f>
        <v>910.12</v>
      </c>
      <c r="U75" s="19">
        <f t="shared" si="41"/>
        <v>0.96403958886480667</v>
      </c>
      <c r="V75" s="19">
        <f t="shared" si="28"/>
        <v>0.90937589886076331</v>
      </c>
      <c r="W75" s="21">
        <v>1168</v>
      </c>
      <c r="X75" s="3">
        <f>W75/365+input!$K$3</f>
        <v>3.2</v>
      </c>
      <c r="Y75" s="4">
        <f t="shared" si="42"/>
        <v>12.589299260865312</v>
      </c>
      <c r="Z75" s="12">
        <f t="shared" si="43"/>
        <v>27.135859395209948</v>
      </c>
      <c r="AA75" s="20">
        <f>input!H74</f>
        <v>0</v>
      </c>
      <c r="AB75" s="19">
        <f t="shared" si="44"/>
        <v>0.98197554006092014</v>
      </c>
      <c r="AC75" s="19">
        <f t="shared" si="45"/>
        <v>0.99519142618801715</v>
      </c>
      <c r="AD75" s="8">
        <f t="shared" si="46"/>
        <v>0</v>
      </c>
      <c r="AE75" s="8">
        <f t="shared" si="47"/>
        <v>266941.03704480699</v>
      </c>
      <c r="AF75" s="8">
        <f t="shared" si="48"/>
        <v>18035.284849447806</v>
      </c>
      <c r="AG75" s="8">
        <f t="shared" si="49"/>
        <v>0</v>
      </c>
      <c r="AH75" s="8">
        <f t="shared" si="29"/>
        <v>0</v>
      </c>
      <c r="AI75" s="8">
        <f t="shared" si="30"/>
        <v>200037.86158163659</v>
      </c>
      <c r="AJ75" s="8">
        <f t="shared" si="50"/>
        <v>17386.728591321338</v>
      </c>
      <c r="AK75" s="8">
        <f t="shared" si="51"/>
        <v>0</v>
      </c>
      <c r="AL75" s="8">
        <f t="shared" si="52"/>
        <v>0</v>
      </c>
      <c r="AM75" s="8">
        <f t="shared" si="53"/>
        <v>2899.980880693025</v>
      </c>
      <c r="AN75" s="8">
        <f t="shared" si="54"/>
        <v>15811.071940980975</v>
      </c>
      <c r="AO75" s="8">
        <f t="shared" si="55"/>
        <v>0</v>
      </c>
    </row>
    <row r="76" spans="1:41">
      <c r="A76" s="1">
        <v>41803</v>
      </c>
      <c r="B76" s="5">
        <v>74</v>
      </c>
      <c r="C76" s="3">
        <f>B76/365+input!$K$3</f>
        <v>0.20273972602739726</v>
      </c>
      <c r="D76" s="4">
        <f t="shared" si="31"/>
        <v>0</v>
      </c>
      <c r="E76" s="12">
        <f t="shared" si="32"/>
        <v>0</v>
      </c>
      <c r="F76" s="20">
        <f>input!E75</f>
        <v>0</v>
      </c>
      <c r="G76" s="19">
        <f t="shared" si="33"/>
        <v>0</v>
      </c>
      <c r="H76" s="19">
        <f t="shared" si="34"/>
        <v>7.6198530241604755E-24</v>
      </c>
      <c r="I76" s="5">
        <v>439</v>
      </c>
      <c r="J76" s="3">
        <f>I76/365+input!$K$3</f>
        <v>1.2027397260273973</v>
      </c>
      <c r="K76" s="4">
        <f t="shared" si="35"/>
        <v>7.8309841855320208</v>
      </c>
      <c r="L76" s="12">
        <f t="shared" si="36"/>
        <v>6.5311242974130108</v>
      </c>
      <c r="M76" s="20">
        <f>input!F75</f>
        <v>40811.800000000003</v>
      </c>
      <c r="N76" s="19">
        <f t="shared" si="37"/>
        <v>0.75137376711529347</v>
      </c>
      <c r="O76" s="19">
        <f t="shared" si="38"/>
        <v>1.5040741644743031E-2</v>
      </c>
      <c r="P76" s="21">
        <v>804</v>
      </c>
      <c r="Q76" s="3">
        <f>P76/365+input!$K$3</f>
        <v>2.2027397260273971</v>
      </c>
      <c r="R76" s="4">
        <f t="shared" si="39"/>
        <v>11.342895875046519</v>
      </c>
      <c r="S76" s="12">
        <f t="shared" si="40"/>
        <v>19.847725483736959</v>
      </c>
      <c r="T76" s="20">
        <f>input!G75</f>
        <v>878.06</v>
      </c>
      <c r="U76" s="19">
        <f t="shared" si="41"/>
        <v>0.9641578755278829</v>
      </c>
      <c r="V76" s="19">
        <f t="shared" si="28"/>
        <v>0.91034715384275289</v>
      </c>
      <c r="W76" s="21">
        <v>1169</v>
      </c>
      <c r="X76" s="3">
        <f>W76/365+input!$K$3</f>
        <v>3.2027397260273971</v>
      </c>
      <c r="Y76" s="4">
        <f t="shared" si="42"/>
        <v>12.589299260865312</v>
      </c>
      <c r="Z76" s="12">
        <f t="shared" si="43"/>
        <v>27.135859395209948</v>
      </c>
      <c r="AA76" s="20">
        <f>input!H75</f>
        <v>0</v>
      </c>
      <c r="AB76" s="19">
        <f t="shared" si="44"/>
        <v>0.98197554006092014</v>
      </c>
      <c r="AC76" s="19">
        <f t="shared" si="45"/>
        <v>0.99519142618801715</v>
      </c>
      <c r="AD76" s="8">
        <f t="shared" si="46"/>
        <v>0</v>
      </c>
      <c r="AE76" s="8">
        <f t="shared" si="47"/>
        <v>266546.93860116031</v>
      </c>
      <c r="AF76" s="8">
        <f t="shared" si="48"/>
        <v>17427.493838250073</v>
      </c>
      <c r="AG76" s="8">
        <f t="shared" si="49"/>
        <v>0</v>
      </c>
      <c r="AH76" s="8">
        <f t="shared" si="29"/>
        <v>0</v>
      </c>
      <c r="AI76" s="8">
        <f t="shared" si="30"/>
        <v>200276.37736980265</v>
      </c>
      <c r="AJ76" s="8">
        <f t="shared" si="50"/>
        <v>16802.85543486246</v>
      </c>
      <c r="AK76" s="8">
        <f t="shared" si="51"/>
        <v>0</v>
      </c>
      <c r="AL76" s="8">
        <f t="shared" si="52"/>
        <v>0</v>
      </c>
      <c r="AM76" s="8">
        <f t="shared" si="53"/>
        <v>3012.3052495642614</v>
      </c>
      <c r="AN76" s="8">
        <f t="shared" si="54"/>
        <v>15296.431621558273</v>
      </c>
      <c r="AO76" s="8">
        <f t="shared" si="55"/>
        <v>0</v>
      </c>
    </row>
    <row r="77" spans="1:41">
      <c r="A77" s="1">
        <v>41804</v>
      </c>
      <c r="B77" s="5">
        <v>75</v>
      </c>
      <c r="C77" s="3">
        <f>B77/365+input!$K$3</f>
        <v>0.20547945205479451</v>
      </c>
      <c r="D77" s="4">
        <f t="shared" si="31"/>
        <v>0</v>
      </c>
      <c r="E77" s="12">
        <f t="shared" si="32"/>
        <v>0</v>
      </c>
      <c r="F77" s="20">
        <f>input!E76</f>
        <v>0</v>
      </c>
      <c r="G77" s="19">
        <f t="shared" si="33"/>
        <v>0</v>
      </c>
      <c r="H77" s="19">
        <f t="shared" si="34"/>
        <v>7.6198530241604755E-24</v>
      </c>
      <c r="I77" s="5">
        <v>440</v>
      </c>
      <c r="J77" s="3">
        <f>I77/365+input!$K$3</f>
        <v>1.2054794520547945</v>
      </c>
      <c r="K77" s="4">
        <f t="shared" si="35"/>
        <v>7.8454966879615702</v>
      </c>
      <c r="L77" s="12">
        <f t="shared" si="36"/>
        <v>6.567502375858095</v>
      </c>
      <c r="M77" s="20">
        <f>input!F76</f>
        <v>40707.42</v>
      </c>
      <c r="N77" s="19">
        <f t="shared" si="37"/>
        <v>0.75335574883596457</v>
      </c>
      <c r="O77" s="19">
        <f t="shared" si="38"/>
        <v>1.5600361257100083E-2</v>
      </c>
      <c r="P77" s="21">
        <v>805</v>
      </c>
      <c r="Q77" s="3">
        <f>P77/365+input!$K$3</f>
        <v>2.2054794520547945</v>
      </c>
      <c r="R77" s="4">
        <f t="shared" si="39"/>
        <v>11.348855517656048</v>
      </c>
      <c r="S77" s="12">
        <f t="shared" si="40"/>
        <v>19.879026355408691</v>
      </c>
      <c r="T77" s="20">
        <f>input!G76</f>
        <v>875.82</v>
      </c>
      <c r="U77" s="19">
        <f t="shared" si="41"/>
        <v>0.9642754864493055</v>
      </c>
      <c r="V77" s="19">
        <f t="shared" si="28"/>
        <v>0.91130831084163233</v>
      </c>
      <c r="W77" s="21">
        <v>1170</v>
      </c>
      <c r="X77" s="3">
        <f>W77/365+input!$K$3</f>
        <v>3.2054794520547945</v>
      </c>
      <c r="Y77" s="4">
        <f t="shared" si="42"/>
        <v>12.589299260865312</v>
      </c>
      <c r="Z77" s="12">
        <f t="shared" si="43"/>
        <v>27.135859395209948</v>
      </c>
      <c r="AA77" s="20">
        <f>input!H76</f>
        <v>0</v>
      </c>
      <c r="AB77" s="19">
        <f t="shared" si="44"/>
        <v>0.98197554006092014</v>
      </c>
      <c r="AC77" s="19">
        <f t="shared" si="45"/>
        <v>0.99519142618801715</v>
      </c>
      <c r="AD77" s="8">
        <f t="shared" si="46"/>
        <v>0</v>
      </c>
      <c r="AE77" s="8">
        <f t="shared" si="47"/>
        <v>267346.0775650533</v>
      </c>
      <c r="AF77" s="8">
        <f t="shared" si="48"/>
        <v>17410.448862594039</v>
      </c>
      <c r="AG77" s="8">
        <f t="shared" si="49"/>
        <v>0</v>
      </c>
      <c r="AH77" s="8">
        <f t="shared" si="29"/>
        <v>0</v>
      </c>
      <c r="AI77" s="8">
        <f t="shared" si="30"/>
        <v>201406.70446237861</v>
      </c>
      <c r="AJ77" s="8">
        <f t="shared" si="50"/>
        <v>16788.469046278624</v>
      </c>
      <c r="AK77" s="8">
        <f t="shared" si="51"/>
        <v>0</v>
      </c>
      <c r="AL77" s="8">
        <f t="shared" si="52"/>
        <v>0</v>
      </c>
      <c r="AM77" s="8">
        <f t="shared" si="53"/>
        <v>3142.0173492150975</v>
      </c>
      <c r="AN77" s="8">
        <f t="shared" si="54"/>
        <v>15299.471368181203</v>
      </c>
      <c r="AO77" s="8">
        <f t="shared" si="55"/>
        <v>0</v>
      </c>
    </row>
    <row r="78" spans="1:41">
      <c r="A78" s="1">
        <v>41805</v>
      </c>
      <c r="B78" s="5">
        <v>76</v>
      </c>
      <c r="C78" s="3">
        <f>B78/365+input!$K$3</f>
        <v>0.20821917808219179</v>
      </c>
      <c r="D78" s="4">
        <f t="shared" si="31"/>
        <v>0</v>
      </c>
      <c r="E78" s="12">
        <f t="shared" si="32"/>
        <v>0</v>
      </c>
      <c r="F78" s="20">
        <f>input!E77</f>
        <v>0</v>
      </c>
      <c r="G78" s="19">
        <f t="shared" si="33"/>
        <v>0</v>
      </c>
      <c r="H78" s="19">
        <f t="shared" si="34"/>
        <v>7.6198530241604755E-24</v>
      </c>
      <c r="I78" s="5">
        <v>441</v>
      </c>
      <c r="J78" s="3">
        <f>I78/365+input!$K$3</f>
        <v>1.2082191780821918</v>
      </c>
      <c r="K78" s="4">
        <f t="shared" si="35"/>
        <v>7.8599738468489431</v>
      </c>
      <c r="L78" s="12">
        <f t="shared" si="36"/>
        <v>6.6039261999859358</v>
      </c>
      <c r="M78" s="20">
        <f>input!F77</f>
        <v>40411.379999999997</v>
      </c>
      <c r="N78" s="19">
        <f t="shared" si="37"/>
        <v>0.75531716140830119</v>
      </c>
      <c r="O78" s="19">
        <f t="shared" si="38"/>
        <v>1.6176326616876999E-2</v>
      </c>
      <c r="P78" s="21">
        <v>806</v>
      </c>
      <c r="Q78" s="3">
        <f>P78/365+input!$K$3</f>
        <v>2.2082191780821918</v>
      </c>
      <c r="R78" s="4">
        <f t="shared" si="39"/>
        <v>11.354800646236656</v>
      </c>
      <c r="S78" s="12">
        <f t="shared" si="40"/>
        <v>19.91028376873366</v>
      </c>
      <c r="T78" s="20">
        <f>input!G77</f>
        <v>843.97</v>
      </c>
      <c r="U78" s="19">
        <f t="shared" si="41"/>
        <v>0.96439242642660272</v>
      </c>
      <c r="V78" s="19">
        <f t="shared" si="28"/>
        <v>0.91225945966432009</v>
      </c>
      <c r="W78" s="21">
        <v>1171</v>
      </c>
      <c r="X78" s="3">
        <f>W78/365+input!$K$3</f>
        <v>3.2082191780821918</v>
      </c>
      <c r="Y78" s="4">
        <f t="shared" si="42"/>
        <v>12.589299260865312</v>
      </c>
      <c r="Z78" s="12">
        <f t="shared" si="43"/>
        <v>27.135859395209948</v>
      </c>
      <c r="AA78" s="20">
        <f>input!H77</f>
        <v>0</v>
      </c>
      <c r="AB78" s="19">
        <f t="shared" si="44"/>
        <v>0.98197554006092014</v>
      </c>
      <c r="AC78" s="19">
        <f t="shared" si="45"/>
        <v>0.99519142618801715</v>
      </c>
      <c r="AD78" s="8">
        <f t="shared" si="46"/>
        <v>0</v>
      </c>
      <c r="AE78" s="8">
        <f t="shared" si="47"/>
        <v>266873.7711595876</v>
      </c>
      <c r="AF78" s="8">
        <f t="shared" si="48"/>
        <v>16803.682192298147</v>
      </c>
      <c r="AG78" s="8">
        <f t="shared" si="49"/>
        <v>0</v>
      </c>
      <c r="AH78" s="8">
        <f t="shared" si="29"/>
        <v>0</v>
      </c>
      <c r="AI78" s="8">
        <f t="shared" si="30"/>
        <v>201574.33928658825</v>
      </c>
      <c r="AJ78" s="8">
        <f t="shared" si="50"/>
        <v>16205.343842331906</v>
      </c>
      <c r="AK78" s="8">
        <f t="shared" si="51"/>
        <v>0</v>
      </c>
      <c r="AL78" s="8">
        <f t="shared" si="52"/>
        <v>0</v>
      </c>
      <c r="AM78" s="8">
        <f t="shared" si="53"/>
        <v>3260.7323498810324</v>
      </c>
      <c r="AN78" s="8">
        <f t="shared" si="54"/>
        <v>14783.478217280221</v>
      </c>
      <c r="AO78" s="8">
        <f t="shared" si="55"/>
        <v>0</v>
      </c>
    </row>
    <row r="79" spans="1:41">
      <c r="A79" s="1">
        <v>41806</v>
      </c>
      <c r="B79" s="5">
        <v>77</v>
      </c>
      <c r="C79" s="3">
        <f>B79/365+input!$K$3</f>
        <v>0.21095890410958903</v>
      </c>
      <c r="D79" s="4">
        <f t="shared" si="31"/>
        <v>0</v>
      </c>
      <c r="E79" s="12">
        <f t="shared" si="32"/>
        <v>0</v>
      </c>
      <c r="F79" s="20">
        <f>input!E78</f>
        <v>0</v>
      </c>
      <c r="G79" s="19">
        <f t="shared" si="33"/>
        <v>0</v>
      </c>
      <c r="H79" s="19">
        <f t="shared" si="34"/>
        <v>7.6198530241604755E-24</v>
      </c>
      <c r="I79" s="5">
        <v>442</v>
      </c>
      <c r="J79" s="3">
        <f>I79/365+input!$K$3</f>
        <v>1.210958904109589</v>
      </c>
      <c r="K79" s="4">
        <f t="shared" si="35"/>
        <v>7.8744157482693007</v>
      </c>
      <c r="L79" s="12">
        <f t="shared" si="36"/>
        <v>6.6403952515346143</v>
      </c>
      <c r="M79" s="20">
        <f>input!F78</f>
        <v>40285.599999999999</v>
      </c>
      <c r="N79" s="19">
        <f t="shared" si="37"/>
        <v>0.75725825608997543</v>
      </c>
      <c r="O79" s="19">
        <f t="shared" si="38"/>
        <v>1.6768946017284837E-2</v>
      </c>
      <c r="P79" s="21">
        <v>807</v>
      </c>
      <c r="Q79" s="3">
        <f>P79/365+input!$K$3</f>
        <v>2.2109589041095892</v>
      </c>
      <c r="R79" s="4">
        <f t="shared" si="39"/>
        <v>11.360731296135608</v>
      </c>
      <c r="S79" s="12">
        <f t="shared" si="40"/>
        <v>19.941497687206233</v>
      </c>
      <c r="T79" s="20">
        <f>input!G78</f>
        <v>841.43</v>
      </c>
      <c r="U79" s="19">
        <f t="shared" si="41"/>
        <v>0.96450870021694157</v>
      </c>
      <c r="V79" s="19">
        <f t="shared" si="28"/>
        <v>0.91320068969941681</v>
      </c>
      <c r="W79" s="21">
        <v>1172</v>
      </c>
      <c r="X79" s="3">
        <f>W79/365+input!$K$3</f>
        <v>3.2109589041095892</v>
      </c>
      <c r="Y79" s="4">
        <f t="shared" si="42"/>
        <v>12.589299260865312</v>
      </c>
      <c r="Z79" s="12">
        <f t="shared" si="43"/>
        <v>27.135859395209948</v>
      </c>
      <c r="AA79" s="20">
        <f>input!H78</f>
        <v>0</v>
      </c>
      <c r="AB79" s="19">
        <f t="shared" si="44"/>
        <v>0.98197554006092014</v>
      </c>
      <c r="AC79" s="19">
        <f t="shared" si="45"/>
        <v>0.99519142618801715</v>
      </c>
      <c r="AD79" s="8">
        <f t="shared" si="46"/>
        <v>0</v>
      </c>
      <c r="AE79" s="8">
        <f t="shared" si="47"/>
        <v>267512.30694522284</v>
      </c>
      <c r="AF79" s="8">
        <f t="shared" si="48"/>
        <v>16779.37439894594</v>
      </c>
      <c r="AG79" s="8">
        <f t="shared" si="49"/>
        <v>0</v>
      </c>
      <c r="AH79" s="8">
        <f t="shared" si="29"/>
        <v>0</v>
      </c>
      <c r="AI79" s="8">
        <f t="shared" si="30"/>
        <v>202575.90303994567</v>
      </c>
      <c r="AJ79" s="8">
        <f t="shared" si="50"/>
        <v>16183.852591980774</v>
      </c>
      <c r="AK79" s="8">
        <f t="shared" si="51"/>
        <v>0</v>
      </c>
      <c r="AL79" s="8">
        <f t="shared" si="52"/>
        <v>0</v>
      </c>
      <c r="AM79" s="8">
        <f t="shared" si="53"/>
        <v>3396.9843824795762</v>
      </c>
      <c r="AN79" s="8">
        <f t="shared" si="54"/>
        <v>14779.105348990537</v>
      </c>
      <c r="AO79" s="8">
        <f t="shared" si="55"/>
        <v>0</v>
      </c>
    </row>
    <row r="80" spans="1:41">
      <c r="A80" s="1">
        <v>41807</v>
      </c>
      <c r="B80" s="5">
        <v>78</v>
      </c>
      <c r="C80" s="3">
        <f>B80/365+input!$K$3</f>
        <v>0.21369863013698631</v>
      </c>
      <c r="D80" s="4">
        <f t="shared" si="31"/>
        <v>0</v>
      </c>
      <c r="E80" s="12">
        <f t="shared" si="32"/>
        <v>0</v>
      </c>
      <c r="F80" s="20">
        <f>input!E79</f>
        <v>0</v>
      </c>
      <c r="G80" s="19">
        <f t="shared" si="33"/>
        <v>0</v>
      </c>
      <c r="H80" s="19">
        <f t="shared" si="34"/>
        <v>7.6198530241604755E-24</v>
      </c>
      <c r="I80" s="5">
        <v>443</v>
      </c>
      <c r="J80" s="3">
        <f>I80/365+input!$K$3</f>
        <v>1.2136986301369863</v>
      </c>
      <c r="K80" s="4">
        <f t="shared" si="35"/>
        <v>7.8888224780881782</v>
      </c>
      <c r="L80" s="12">
        <f t="shared" si="36"/>
        <v>6.6769090136856839</v>
      </c>
      <c r="M80" s="20">
        <f>input!F79</f>
        <v>39958.51</v>
      </c>
      <c r="N80" s="19">
        <f t="shared" si="37"/>
        <v>0.75917928065782558</v>
      </c>
      <c r="O80" s="19">
        <f t="shared" si="38"/>
        <v>1.7378528068778116E-2</v>
      </c>
      <c r="P80" s="21">
        <v>808</v>
      </c>
      <c r="Q80" s="3">
        <f>P80/365+input!$K$3</f>
        <v>2.2136986301369861</v>
      </c>
      <c r="R80" s="4">
        <f t="shared" si="39"/>
        <v>11.366647502614079</v>
      </c>
      <c r="S80" s="12">
        <f t="shared" si="40"/>
        <v>19.972668074977598</v>
      </c>
      <c r="T80" s="20">
        <f>input!G79</f>
        <v>810.92</v>
      </c>
      <c r="U80" s="19">
        <f t="shared" si="41"/>
        <v>0.96462431253751535</v>
      </c>
      <c r="V80" s="19">
        <f t="shared" si="28"/>
        <v>0.91413208990981232</v>
      </c>
      <c r="W80" s="21">
        <v>1173</v>
      </c>
      <c r="X80" s="3">
        <f>W80/365+input!$K$3</f>
        <v>3.2136986301369861</v>
      </c>
      <c r="Y80" s="4">
        <f t="shared" si="42"/>
        <v>12.589299260865312</v>
      </c>
      <c r="Z80" s="12">
        <f t="shared" si="43"/>
        <v>27.135859395209948</v>
      </c>
      <c r="AA80" s="20">
        <f>input!H79</f>
        <v>0</v>
      </c>
      <c r="AB80" s="19">
        <f t="shared" si="44"/>
        <v>0.98197554006092014</v>
      </c>
      <c r="AC80" s="19">
        <f t="shared" si="45"/>
        <v>0.99519142618801715</v>
      </c>
      <c r="AD80" s="8">
        <f t="shared" si="46"/>
        <v>0</v>
      </c>
      <c r="AE80" s="8">
        <f t="shared" si="47"/>
        <v>266799.33559244953</v>
      </c>
      <c r="AF80" s="8">
        <f t="shared" si="48"/>
        <v>16196.235995360834</v>
      </c>
      <c r="AG80" s="8">
        <f t="shared" si="49"/>
        <v>0</v>
      </c>
      <c r="AH80" s="8">
        <f t="shared" si="29"/>
        <v>0</v>
      </c>
      <c r="AI80" s="8">
        <f t="shared" si="30"/>
        <v>202548.52767506163</v>
      </c>
      <c r="AJ80" s="8">
        <f t="shared" si="50"/>
        <v>15623.283012720305</v>
      </c>
      <c r="AK80" s="8">
        <f t="shared" si="51"/>
        <v>0</v>
      </c>
      <c r="AL80" s="8">
        <f t="shared" si="52"/>
        <v>0</v>
      </c>
      <c r="AM80" s="8">
        <f t="shared" si="53"/>
        <v>3519.9952734907397</v>
      </c>
      <c r="AN80" s="8">
        <f t="shared" si="54"/>
        <v>14281.744351670481</v>
      </c>
      <c r="AO80" s="8">
        <f t="shared" si="55"/>
        <v>0</v>
      </c>
    </row>
    <row r="81" spans="1:41">
      <c r="A81" s="1">
        <v>41808</v>
      </c>
      <c r="B81" s="5">
        <v>79</v>
      </c>
      <c r="C81" s="3">
        <f>B81/365+input!$K$3</f>
        <v>0.21643835616438356</v>
      </c>
      <c r="D81" s="4">
        <f t="shared" si="31"/>
        <v>0</v>
      </c>
      <c r="E81" s="12">
        <f t="shared" si="32"/>
        <v>0</v>
      </c>
      <c r="F81" s="20">
        <f>input!E80</f>
        <v>0</v>
      </c>
      <c r="G81" s="19">
        <f t="shared" si="33"/>
        <v>0</v>
      </c>
      <c r="H81" s="19">
        <f t="shared" si="34"/>
        <v>7.6198530241604755E-24</v>
      </c>
      <c r="I81" s="5">
        <v>444</v>
      </c>
      <c r="J81" s="3">
        <f>I81/365+input!$K$3</f>
        <v>1.2164383561643837</v>
      </c>
      <c r="K81" s="4">
        <f t="shared" si="35"/>
        <v>7.9031941219619899</v>
      </c>
      <c r="L81" s="12">
        <f t="shared" si="36"/>
        <v>6.7134669710728607</v>
      </c>
      <c r="M81" s="20">
        <f>input!F80</f>
        <v>39784.25</v>
      </c>
      <c r="N81" s="19">
        <f t="shared" si="37"/>
        <v>0.7610804794613184</v>
      </c>
      <c r="O81" s="19">
        <f t="shared" si="38"/>
        <v>1.8005381523726008E-2</v>
      </c>
      <c r="P81" s="21">
        <v>809</v>
      </c>
      <c r="Q81" s="3">
        <f>P81/365+input!$K$3</f>
        <v>2.2164383561643834</v>
      </c>
      <c r="R81" s="4">
        <f t="shared" si="39"/>
        <v>11.372549300847369</v>
      </c>
      <c r="S81" s="12">
        <f t="shared" si="40"/>
        <v>20.003794896852366</v>
      </c>
      <c r="T81" s="20">
        <f>input!G80</f>
        <v>807.42</v>
      </c>
      <c r="U81" s="19">
        <f t="shared" si="41"/>
        <v>0.9647392680659278</v>
      </c>
      <c r="V81" s="19">
        <f t="shared" si="28"/>
        <v>0.91505374882557167</v>
      </c>
      <c r="W81" s="21">
        <v>1174</v>
      </c>
      <c r="X81" s="3">
        <f>W81/365+input!$K$3</f>
        <v>3.2164383561643834</v>
      </c>
      <c r="Y81" s="4">
        <f t="shared" si="42"/>
        <v>12.589299260865312</v>
      </c>
      <c r="Z81" s="12">
        <f t="shared" si="43"/>
        <v>27.135859395209948</v>
      </c>
      <c r="AA81" s="20">
        <f>input!H80</f>
        <v>0</v>
      </c>
      <c r="AB81" s="19">
        <f t="shared" si="44"/>
        <v>0.98197554006092014</v>
      </c>
      <c r="AC81" s="19">
        <f t="shared" si="45"/>
        <v>0.99519142618801715</v>
      </c>
      <c r="AD81" s="8">
        <f t="shared" si="46"/>
        <v>0</v>
      </c>
      <c r="AE81" s="8">
        <f t="shared" si="47"/>
        <v>267090.24834390543</v>
      </c>
      <c r="AF81" s="8">
        <f t="shared" si="48"/>
        <v>16151.464075616537</v>
      </c>
      <c r="AG81" s="8">
        <f t="shared" si="49"/>
        <v>0</v>
      </c>
      <c r="AH81" s="8">
        <f t="shared" si="29"/>
        <v>0</v>
      </c>
      <c r="AI81" s="8">
        <f t="shared" si="30"/>
        <v>203277.17426902216</v>
      </c>
      <c r="AJ81" s="8">
        <f t="shared" si="50"/>
        <v>15581.951630503425</v>
      </c>
      <c r="AK81" s="8">
        <f t="shared" si="51"/>
        <v>0</v>
      </c>
      <c r="AL81" s="8">
        <f t="shared" si="52"/>
        <v>0</v>
      </c>
      <c r="AM81" s="8">
        <f t="shared" si="53"/>
        <v>3660.0830777786832</v>
      </c>
      <c r="AN81" s="8">
        <f t="shared" si="54"/>
        <v>14258.323253510887</v>
      </c>
      <c r="AO81" s="8">
        <f t="shared" si="55"/>
        <v>0</v>
      </c>
    </row>
    <row r="82" spans="1:41">
      <c r="A82" s="1">
        <v>41809</v>
      </c>
      <c r="B82" s="5">
        <v>80</v>
      </c>
      <c r="C82" s="3">
        <f>B82/365+input!$K$3</f>
        <v>0.21917808219178081</v>
      </c>
      <c r="D82" s="4">
        <f t="shared" si="31"/>
        <v>0</v>
      </c>
      <c r="E82" s="12">
        <f t="shared" si="32"/>
        <v>0</v>
      </c>
      <c r="F82" s="20">
        <f>input!E81</f>
        <v>0</v>
      </c>
      <c r="G82" s="19">
        <f t="shared" si="33"/>
        <v>0</v>
      </c>
      <c r="H82" s="19">
        <f t="shared" si="34"/>
        <v>7.6198530241604755E-24</v>
      </c>
      <c r="I82" s="5">
        <v>445</v>
      </c>
      <c r="J82" s="3">
        <f>I82/365+input!$K$3</f>
        <v>1.2191780821917808</v>
      </c>
      <c r="K82" s="4">
        <f t="shared" si="35"/>
        <v>7.9175307653385518</v>
      </c>
      <c r="L82" s="12">
        <f t="shared" si="36"/>
        <v>6.7500686097905875</v>
      </c>
      <c r="M82" s="20">
        <f>input!F81</f>
        <v>39322.32</v>
      </c>
      <c r="N82" s="19">
        <f t="shared" si="37"/>
        <v>0.76296209347511657</v>
      </c>
      <c r="O82" s="19">
        <f t="shared" si="38"/>
        <v>1.8649815098505253E-2</v>
      </c>
      <c r="P82" s="21">
        <v>810</v>
      </c>
      <c r="Q82" s="3">
        <f>P82/365+input!$K$3</f>
        <v>2.2191780821917808</v>
      </c>
      <c r="R82" s="4">
        <f t="shared" si="39"/>
        <v>11.378436725925111</v>
      </c>
      <c r="S82" s="12">
        <f t="shared" si="40"/>
        <v>20.034878118285103</v>
      </c>
      <c r="T82" s="20">
        <f>input!G81</f>
        <v>773.46</v>
      </c>
      <c r="U82" s="19">
        <f t="shared" si="41"/>
        <v>0.9648535714405736</v>
      </c>
      <c r="V82" s="19">
        <f t="shared" si="28"/>
        <v>0.91596575453708973</v>
      </c>
      <c r="W82" s="21">
        <v>1175</v>
      </c>
      <c r="X82" s="3">
        <f>W82/365+input!$K$3</f>
        <v>3.2191780821917808</v>
      </c>
      <c r="Y82" s="4">
        <f t="shared" si="42"/>
        <v>12.589299260865312</v>
      </c>
      <c r="Z82" s="12">
        <f t="shared" si="43"/>
        <v>27.135859395209948</v>
      </c>
      <c r="AA82" s="20">
        <f>input!H81</f>
        <v>0</v>
      </c>
      <c r="AB82" s="19">
        <f t="shared" si="44"/>
        <v>0.98197554006092014</v>
      </c>
      <c r="AC82" s="19">
        <f t="shared" si="45"/>
        <v>0.99519142618801715</v>
      </c>
      <c r="AD82" s="8">
        <f t="shared" si="46"/>
        <v>0</v>
      </c>
      <c r="AE82" s="8">
        <f t="shared" si="47"/>
        <v>265428.3578961406</v>
      </c>
      <c r="AF82" s="8">
        <f t="shared" si="48"/>
        <v>15496.176829368796</v>
      </c>
      <c r="AG82" s="8">
        <f t="shared" si="49"/>
        <v>0</v>
      </c>
      <c r="AH82" s="8">
        <f t="shared" si="29"/>
        <v>0</v>
      </c>
      <c r="AI82" s="8">
        <f t="shared" si="30"/>
        <v>202511.77560810192</v>
      </c>
      <c r="AJ82" s="8">
        <f t="shared" si="50"/>
        <v>14951.541557491148</v>
      </c>
      <c r="AK82" s="8">
        <f t="shared" si="51"/>
        <v>0</v>
      </c>
      <c r="AL82" s="8">
        <f t="shared" si="52"/>
        <v>0</v>
      </c>
      <c r="AM82" s="8">
        <f t="shared" si="53"/>
        <v>3776.8071703610867</v>
      </c>
      <c r="AN82" s="8">
        <f t="shared" si="54"/>
        <v>13695.100044200033</v>
      </c>
      <c r="AO82" s="8">
        <f t="shared" si="55"/>
        <v>0</v>
      </c>
    </row>
    <row r="83" spans="1:41">
      <c r="A83" s="1">
        <v>41810</v>
      </c>
      <c r="B83" s="5">
        <v>81</v>
      </c>
      <c r="C83" s="3">
        <f>B83/365+input!$K$3</f>
        <v>0.22191780821917809</v>
      </c>
      <c r="D83" s="4">
        <f t="shared" si="31"/>
        <v>0</v>
      </c>
      <c r="E83" s="12">
        <f t="shared" si="32"/>
        <v>0</v>
      </c>
      <c r="F83" s="20">
        <f>input!E82</f>
        <v>0</v>
      </c>
      <c r="G83" s="19">
        <f t="shared" si="33"/>
        <v>0</v>
      </c>
      <c r="H83" s="19">
        <f t="shared" si="34"/>
        <v>7.6198530241604755E-24</v>
      </c>
      <c r="I83" s="5">
        <v>446</v>
      </c>
      <c r="J83" s="3">
        <f>I83/365+input!$K$3</f>
        <v>1.2219178082191782</v>
      </c>
      <c r="K83" s="4">
        <f t="shared" si="35"/>
        <v>7.9318324934575761</v>
      </c>
      <c r="L83" s="12">
        <f t="shared" si="36"/>
        <v>6.7867134174023587</v>
      </c>
      <c r="M83" s="20">
        <f>input!F82</f>
        <v>39126.269999999997</v>
      </c>
      <c r="N83" s="19">
        <f t="shared" si="37"/>
        <v>0.76482436035076373</v>
      </c>
      <c r="O83" s="19">
        <f t="shared" si="38"/>
        <v>1.9312137293170568E-2</v>
      </c>
      <c r="P83" s="21">
        <v>811</v>
      </c>
      <c r="Q83" s="3">
        <f>P83/365+input!$K$3</f>
        <v>2.2219178082191782</v>
      </c>
      <c r="R83" s="4">
        <f t="shared" si="39"/>
        <v>11.384309812851489</v>
      </c>
      <c r="S83" s="12">
        <f t="shared" si="40"/>
        <v>20.065917705376972</v>
      </c>
      <c r="T83" s="20">
        <f>input!G82</f>
        <v>769.62</v>
      </c>
      <c r="U83" s="19">
        <f t="shared" si="41"/>
        <v>0.96496722726101436</v>
      </c>
      <c r="V83" s="19">
        <f t="shared" si="28"/>
        <v>0.9168681946885161</v>
      </c>
      <c r="W83" s="21">
        <v>1176</v>
      </c>
      <c r="X83" s="3">
        <f>W83/365+input!$K$3</f>
        <v>3.2219178082191782</v>
      </c>
      <c r="Y83" s="4">
        <f t="shared" si="42"/>
        <v>12.589299260865312</v>
      </c>
      <c r="Z83" s="12">
        <f t="shared" si="43"/>
        <v>27.135859395209948</v>
      </c>
      <c r="AA83" s="20">
        <f>input!H82</f>
        <v>0</v>
      </c>
      <c r="AB83" s="19">
        <f t="shared" si="44"/>
        <v>0.98197554006092014</v>
      </c>
      <c r="AC83" s="19">
        <f t="shared" si="45"/>
        <v>0.99519142618801715</v>
      </c>
      <c r="AD83" s="8">
        <f t="shared" si="46"/>
        <v>0</v>
      </c>
      <c r="AE83" s="8">
        <f t="shared" si="47"/>
        <v>265538.78158190736</v>
      </c>
      <c r="AF83" s="8">
        <f t="shared" si="48"/>
        <v>15443.131584412225</v>
      </c>
      <c r="AG83" s="8">
        <f t="shared" si="49"/>
        <v>0</v>
      </c>
      <c r="AH83" s="8">
        <f t="shared" si="29"/>
        <v>0</v>
      </c>
      <c r="AI83" s="8">
        <f t="shared" si="30"/>
        <v>203090.52877170345</v>
      </c>
      <c r="AJ83" s="8">
        <f t="shared" si="50"/>
        <v>14902.115865237261</v>
      </c>
      <c r="AK83" s="8">
        <f t="shared" si="51"/>
        <v>0</v>
      </c>
      <c r="AL83" s="8">
        <f t="shared" si="52"/>
        <v>0</v>
      </c>
      <c r="AM83" s="8">
        <f t="shared" si="53"/>
        <v>3922.1121745817445</v>
      </c>
      <c r="AN83" s="8">
        <f t="shared" si="54"/>
        <v>13663.276070399183</v>
      </c>
      <c r="AO83" s="8">
        <f t="shared" si="55"/>
        <v>0</v>
      </c>
    </row>
    <row r="84" spans="1:41">
      <c r="A84" s="1">
        <v>41811</v>
      </c>
      <c r="B84" s="5">
        <v>82</v>
      </c>
      <c r="C84" s="3">
        <f>B84/365+input!$K$3</f>
        <v>0.22465753424657534</v>
      </c>
      <c r="D84" s="4">
        <f t="shared" si="31"/>
        <v>0</v>
      </c>
      <c r="E84" s="12">
        <f t="shared" si="32"/>
        <v>0</v>
      </c>
      <c r="F84" s="20">
        <f>input!E83</f>
        <v>0</v>
      </c>
      <c r="G84" s="19">
        <f t="shared" si="33"/>
        <v>0</v>
      </c>
      <c r="H84" s="19">
        <f t="shared" si="34"/>
        <v>7.6198530241604755E-24</v>
      </c>
      <c r="I84" s="5">
        <v>447</v>
      </c>
      <c r="J84" s="3">
        <f>I84/365+input!$K$3</f>
        <v>1.2246575342465753</v>
      </c>
      <c r="K84" s="4">
        <f t="shared" si="35"/>
        <v>7.9460993913511828</v>
      </c>
      <c r="L84" s="12">
        <f t="shared" si="36"/>
        <v>6.8234008829489134</v>
      </c>
      <c r="M84" s="20">
        <f>input!F83</f>
        <v>38742.32</v>
      </c>
      <c r="N84" s="19">
        <f t="shared" si="37"/>
        <v>0.76666751446750536</v>
      </c>
      <c r="O84" s="19">
        <f t="shared" si="38"/>
        <v>1.9992656208865638E-2</v>
      </c>
      <c r="P84" s="21">
        <v>812</v>
      </c>
      <c r="Q84" s="3">
        <f>P84/365+input!$K$3</f>
        <v>2.2246575342465755</v>
      </c>
      <c r="R84" s="4">
        <f t="shared" si="39"/>
        <v>11.390168596545429</v>
      </c>
      <c r="S84" s="12">
        <f t="shared" si="40"/>
        <v>20.096913624872169</v>
      </c>
      <c r="T84" s="20">
        <f>input!G83</f>
        <v>737.35</v>
      </c>
      <c r="U84" s="19">
        <f t="shared" si="41"/>
        <v>0.96508024008835036</v>
      </c>
      <c r="V84" s="19">
        <f t="shared" si="28"/>
        <v>0.91776115647143397</v>
      </c>
      <c r="W84" s="21">
        <v>1177</v>
      </c>
      <c r="X84" s="3">
        <f>W84/365+input!$K$3</f>
        <v>3.2246575342465755</v>
      </c>
      <c r="Y84" s="4">
        <f t="shared" si="42"/>
        <v>12.589299260865312</v>
      </c>
      <c r="Z84" s="12">
        <f t="shared" si="43"/>
        <v>27.135859395209948</v>
      </c>
      <c r="AA84" s="20">
        <f>input!H83</f>
        <v>0</v>
      </c>
      <c r="AB84" s="19">
        <f t="shared" si="44"/>
        <v>0.98197554006092014</v>
      </c>
      <c r="AC84" s="19">
        <f t="shared" si="45"/>
        <v>0.99519142618801715</v>
      </c>
      <c r="AD84" s="8">
        <f t="shared" si="46"/>
        <v>0</v>
      </c>
      <c r="AE84" s="8">
        <f t="shared" si="47"/>
        <v>264354.38049548934</v>
      </c>
      <c r="AF84" s="8">
        <f t="shared" si="48"/>
        <v>14818.459261299495</v>
      </c>
      <c r="AG84" s="8">
        <f t="shared" si="49"/>
        <v>0</v>
      </c>
      <c r="AH84" s="8">
        <f t="shared" si="29"/>
        <v>0</v>
      </c>
      <c r="AI84" s="8">
        <f t="shared" si="30"/>
        <v>202671.91583307399</v>
      </c>
      <c r="AJ84" s="8">
        <f t="shared" si="50"/>
        <v>14301.002221634355</v>
      </c>
      <c r="AK84" s="8">
        <f t="shared" si="51"/>
        <v>0</v>
      </c>
      <c r="AL84" s="8">
        <f t="shared" si="52"/>
        <v>0</v>
      </c>
      <c r="AM84" s="8">
        <f t="shared" si="53"/>
        <v>4051.9499364428007</v>
      </c>
      <c r="AN84" s="8">
        <f t="shared" si="54"/>
        <v>13124.904337627691</v>
      </c>
      <c r="AO84" s="8">
        <f t="shared" si="55"/>
        <v>0</v>
      </c>
    </row>
    <row r="85" spans="1:41">
      <c r="A85" s="1">
        <v>41812</v>
      </c>
      <c r="B85" s="5">
        <v>83</v>
      </c>
      <c r="C85" s="3">
        <f>B85/365+input!$K$3</f>
        <v>0.22739726027397261</v>
      </c>
      <c r="D85" s="4">
        <f t="shared" si="31"/>
        <v>0</v>
      </c>
      <c r="E85" s="12">
        <f t="shared" si="32"/>
        <v>0</v>
      </c>
      <c r="F85" s="20">
        <f>input!E84</f>
        <v>0</v>
      </c>
      <c r="G85" s="19">
        <f t="shared" si="33"/>
        <v>0</v>
      </c>
      <c r="H85" s="19">
        <f t="shared" si="34"/>
        <v>7.6198530241604755E-24</v>
      </c>
      <c r="I85" s="5">
        <v>448</v>
      </c>
      <c r="J85" s="3">
        <f>I85/365+input!$K$3</f>
        <v>1.2273972602739727</v>
      </c>
      <c r="K85" s="4">
        <f t="shared" si="35"/>
        <v>7.9603315438444104</v>
      </c>
      <c r="L85" s="12">
        <f t="shared" si="36"/>
        <v>6.8601304969562644</v>
      </c>
      <c r="M85" s="20">
        <f>input!F84</f>
        <v>38606.69</v>
      </c>
      <c r="N85" s="19">
        <f t="shared" si="37"/>
        <v>0.76849178698226284</v>
      </c>
      <c r="O85" s="19">
        <f t="shared" si="38"/>
        <v>2.0691679363139353E-2</v>
      </c>
      <c r="P85" s="21">
        <v>813</v>
      </c>
      <c r="Q85" s="3">
        <f>P85/365+input!$K$3</f>
        <v>2.2273972602739724</v>
      </c>
      <c r="R85" s="4">
        <f t="shared" si="39"/>
        <v>11.396013111840821</v>
      </c>
      <c r="S85" s="12">
        <f t="shared" si="40"/>
        <v>20.127865844154648</v>
      </c>
      <c r="T85" s="20">
        <f>input!G84</f>
        <v>734.69</v>
      </c>
      <c r="U85" s="19">
        <f t="shared" si="41"/>
        <v>0.96519261444558879</v>
      </c>
      <c r="V85" s="19">
        <f t="shared" si="28"/>
        <v>0.91864472661880303</v>
      </c>
      <c r="W85" s="21">
        <v>1178</v>
      </c>
      <c r="X85" s="3">
        <f>W85/365+input!$K$3</f>
        <v>3.2273972602739724</v>
      </c>
      <c r="Y85" s="4">
        <f t="shared" si="42"/>
        <v>12.589299260865312</v>
      </c>
      <c r="Z85" s="12">
        <f t="shared" si="43"/>
        <v>27.135859395209948</v>
      </c>
      <c r="AA85" s="20">
        <f>input!H84</f>
        <v>0</v>
      </c>
      <c r="AB85" s="19">
        <f t="shared" si="44"/>
        <v>0.98197554006092014</v>
      </c>
      <c r="AC85" s="19">
        <f t="shared" si="45"/>
        <v>0.99519142618801715</v>
      </c>
      <c r="AD85" s="8">
        <f t="shared" si="46"/>
        <v>0</v>
      </c>
      <c r="AE85" s="8">
        <f t="shared" si="47"/>
        <v>264846.93145553645</v>
      </c>
      <c r="AF85" s="8">
        <f t="shared" si="48"/>
        <v>14787.74175704198</v>
      </c>
      <c r="AG85" s="8">
        <f t="shared" si="49"/>
        <v>0</v>
      </c>
      <c r="AH85" s="8">
        <f t="shared" si="29"/>
        <v>0</v>
      </c>
      <c r="AI85" s="8">
        <f t="shared" si="30"/>
        <v>203532.69163103407</v>
      </c>
      <c r="AJ85" s="8">
        <f t="shared" si="50"/>
        <v>14273.019128225555</v>
      </c>
      <c r="AK85" s="8">
        <f t="shared" si="51"/>
        <v>0</v>
      </c>
      <c r="AL85" s="8">
        <f t="shared" si="52"/>
        <v>0</v>
      </c>
      <c r="AM85" s="8">
        <f t="shared" si="53"/>
        <v>4211.4331951460736</v>
      </c>
      <c r="AN85" s="8">
        <f t="shared" si="54"/>
        <v>13111.833755073711</v>
      </c>
      <c r="AO85" s="8">
        <f t="shared" si="55"/>
        <v>0</v>
      </c>
    </row>
    <row r="86" spans="1:41">
      <c r="A86" s="1">
        <v>41813</v>
      </c>
      <c r="B86" s="5">
        <v>84</v>
      </c>
      <c r="C86" s="3">
        <f>B86/365+input!$K$3</f>
        <v>0.23013698630136986</v>
      </c>
      <c r="D86" s="4">
        <f t="shared" si="31"/>
        <v>0</v>
      </c>
      <c r="E86" s="12">
        <f t="shared" si="32"/>
        <v>0</v>
      </c>
      <c r="F86" s="20">
        <f>input!E85</f>
        <v>0</v>
      </c>
      <c r="G86" s="19">
        <f t="shared" si="33"/>
        <v>0</v>
      </c>
      <c r="H86" s="19">
        <f t="shared" si="34"/>
        <v>7.6198530241604755E-24</v>
      </c>
      <c r="I86" s="5">
        <v>449</v>
      </c>
      <c r="J86" s="3">
        <f>I86/365+input!$K$3</f>
        <v>1.2301369863013698</v>
      </c>
      <c r="K86" s="4">
        <f t="shared" si="35"/>
        <v>7.9745290355557126</v>
      </c>
      <c r="L86" s="12">
        <f t="shared" si="36"/>
        <v>6.8969017514435205</v>
      </c>
      <c r="M86" s="20">
        <f>input!F85</f>
        <v>38243.26</v>
      </c>
      <c r="N86" s="19">
        <f t="shared" si="37"/>
        <v>0.77029740587877116</v>
      </c>
      <c r="O86" s="19">
        <f t="shared" si="38"/>
        <v>2.1409513503335757E-2</v>
      </c>
      <c r="P86" s="21">
        <v>814</v>
      </c>
      <c r="Q86" s="3">
        <f>P86/365+input!$K$3</f>
        <v>2.2301369863013698</v>
      </c>
      <c r="R86" s="4">
        <f t="shared" si="39"/>
        <v>11.401843393486722</v>
      </c>
      <c r="S86" s="12">
        <f t="shared" si="40"/>
        <v>20.158774331244654</v>
      </c>
      <c r="T86" s="20">
        <f>input!G85</f>
        <v>704.39</v>
      </c>
      <c r="U86" s="19">
        <f t="shared" si="41"/>
        <v>0.96530435481800758</v>
      </c>
      <c r="V86" s="19">
        <f t="shared" si="28"/>
        <v>0.9195189913991505</v>
      </c>
      <c r="W86" s="21">
        <v>1179</v>
      </c>
      <c r="X86" s="3">
        <f>W86/365+input!$K$3</f>
        <v>3.2301369863013698</v>
      </c>
      <c r="Y86" s="4">
        <f t="shared" si="42"/>
        <v>12.589299260865312</v>
      </c>
      <c r="Z86" s="12">
        <f t="shared" si="43"/>
        <v>27.135859395209948</v>
      </c>
      <c r="AA86" s="20">
        <f>input!H85</f>
        <v>0</v>
      </c>
      <c r="AB86" s="19">
        <f t="shared" si="44"/>
        <v>0.98197554006092014</v>
      </c>
      <c r="AC86" s="19">
        <f t="shared" si="45"/>
        <v>0.99519142618801715</v>
      </c>
      <c r="AD86" s="8">
        <f t="shared" si="46"/>
        <v>0</v>
      </c>
      <c r="AE86" s="8">
        <f t="shared" si="47"/>
        <v>263760.00687490992</v>
      </c>
      <c r="AF86" s="8">
        <f t="shared" si="48"/>
        <v>14199.639051185422</v>
      </c>
      <c r="AG86" s="8">
        <f t="shared" si="49"/>
        <v>0</v>
      </c>
      <c r="AH86" s="8">
        <f t="shared" si="29"/>
        <v>0</v>
      </c>
      <c r="AI86" s="8">
        <f t="shared" si="30"/>
        <v>203173.64907030994</v>
      </c>
      <c r="AJ86" s="8">
        <f t="shared" si="50"/>
        <v>13706.97341295313</v>
      </c>
      <c r="AK86" s="8">
        <f t="shared" si="51"/>
        <v>0</v>
      </c>
      <c r="AL86" s="8">
        <f t="shared" si="52"/>
        <v>0</v>
      </c>
      <c r="AM86" s="8">
        <f t="shared" si="53"/>
        <v>4349.8489832928008</v>
      </c>
      <c r="AN86" s="8">
        <f t="shared" si="54"/>
        <v>12603.822367813633</v>
      </c>
      <c r="AO86" s="8">
        <f t="shared" si="55"/>
        <v>0</v>
      </c>
    </row>
    <row r="87" spans="1:41">
      <c r="A87" s="1">
        <v>41814</v>
      </c>
      <c r="B87" s="5">
        <v>85</v>
      </c>
      <c r="C87" s="3">
        <f>B87/365+input!$K$3</f>
        <v>0.23287671232876711</v>
      </c>
      <c r="D87" s="4">
        <f t="shared" si="31"/>
        <v>0</v>
      </c>
      <c r="E87" s="12">
        <f t="shared" si="32"/>
        <v>0</v>
      </c>
      <c r="F87" s="20">
        <f>input!E86</f>
        <v>0</v>
      </c>
      <c r="G87" s="19">
        <f t="shared" si="33"/>
        <v>0</v>
      </c>
      <c r="H87" s="19">
        <f t="shared" si="34"/>
        <v>7.6198530241604755E-24</v>
      </c>
      <c r="I87" s="5">
        <v>450</v>
      </c>
      <c r="J87" s="3">
        <f>I87/365+input!$K$3</f>
        <v>1.2328767123287672</v>
      </c>
      <c r="K87" s="4">
        <f t="shared" si="35"/>
        <v>7.9886919508974668</v>
      </c>
      <c r="L87" s="12">
        <f t="shared" si="36"/>
        <v>6.9337141399305802</v>
      </c>
      <c r="M87" s="20">
        <f>input!F86</f>
        <v>38133.64</v>
      </c>
      <c r="N87" s="19">
        <f t="shared" si="37"/>
        <v>0.77208459601589996</v>
      </c>
      <c r="O87" s="19">
        <f t="shared" si="38"/>
        <v>2.2146464418231596E-2</v>
      </c>
      <c r="P87" s="21">
        <v>815</v>
      </c>
      <c r="Q87" s="3">
        <f>P87/365+input!$K$3</f>
        <v>2.2328767123287672</v>
      </c>
      <c r="R87" s="4">
        <f t="shared" si="39"/>
        <v>11.407659476147558</v>
      </c>
      <c r="S87" s="12">
        <f t="shared" si="40"/>
        <v>20.189639054795322</v>
      </c>
      <c r="T87" s="20">
        <f>input!G86</f>
        <v>702.45</v>
      </c>
      <c r="U87" s="19">
        <f t="shared" si="41"/>
        <v>0.96541546565351577</v>
      </c>
      <c r="V87" s="19">
        <f t="shared" si="28"/>
        <v>0.92038403661100876</v>
      </c>
      <c r="W87" s="21">
        <v>1180</v>
      </c>
      <c r="X87" s="3">
        <f>W87/365+input!$K$3</f>
        <v>3.2328767123287672</v>
      </c>
      <c r="Y87" s="4">
        <f t="shared" si="42"/>
        <v>12.589299260865312</v>
      </c>
      <c r="Z87" s="12">
        <f t="shared" si="43"/>
        <v>27.135859395209948</v>
      </c>
      <c r="AA87" s="20">
        <f>input!H86</f>
        <v>0</v>
      </c>
      <c r="AB87" s="19">
        <f t="shared" si="44"/>
        <v>0.98197554006092014</v>
      </c>
      <c r="AC87" s="19">
        <f t="shared" si="45"/>
        <v>0.99519142618801715</v>
      </c>
      <c r="AD87" s="8">
        <f t="shared" si="46"/>
        <v>0</v>
      </c>
      <c r="AE87" s="8">
        <f t="shared" si="47"/>
        <v>264407.75887502235</v>
      </c>
      <c r="AF87" s="8">
        <f t="shared" si="48"/>
        <v>14182.211954040975</v>
      </c>
      <c r="AG87" s="8">
        <f t="shared" si="49"/>
        <v>0</v>
      </c>
      <c r="AH87" s="8">
        <f t="shared" si="29"/>
        <v>0</v>
      </c>
      <c r="AI87" s="8">
        <f t="shared" si="30"/>
        <v>204145.15769449112</v>
      </c>
      <c r="AJ87" s="8">
        <f t="shared" si="50"/>
        <v>13691.726757607326</v>
      </c>
      <c r="AK87" s="8">
        <f t="shared" si="51"/>
        <v>0</v>
      </c>
      <c r="AL87" s="8">
        <f t="shared" si="52"/>
        <v>0</v>
      </c>
      <c r="AM87" s="8">
        <f t="shared" si="53"/>
        <v>4521.0934710353258</v>
      </c>
      <c r="AN87" s="8">
        <f t="shared" si="54"/>
        <v>12601.64674134159</v>
      </c>
      <c r="AO87" s="8">
        <f t="shared" si="55"/>
        <v>0</v>
      </c>
    </row>
    <row r="88" spans="1:41">
      <c r="A88" s="1">
        <v>41815</v>
      </c>
      <c r="B88" s="5">
        <v>86</v>
      </c>
      <c r="C88" s="3">
        <f>B88/365+input!$K$3</f>
        <v>0.23561643835616439</v>
      </c>
      <c r="D88" s="4">
        <f t="shared" si="31"/>
        <v>0</v>
      </c>
      <c r="E88" s="12">
        <f t="shared" si="32"/>
        <v>0</v>
      </c>
      <c r="F88" s="20">
        <f>input!E87</f>
        <v>0</v>
      </c>
      <c r="G88" s="19">
        <f t="shared" si="33"/>
        <v>0</v>
      </c>
      <c r="H88" s="19">
        <f t="shared" si="34"/>
        <v>7.6198530241604755E-24</v>
      </c>
      <c r="I88" s="5">
        <v>451</v>
      </c>
      <c r="J88" s="3">
        <f>I88/365+input!$K$3</f>
        <v>1.2356164383561643</v>
      </c>
      <c r="K88" s="4">
        <f t="shared" si="35"/>
        <v>8.0028203740764674</v>
      </c>
      <c r="L88" s="12">
        <f t="shared" si="36"/>
        <v>6.9705671574456236</v>
      </c>
      <c r="M88" s="20">
        <f>input!F87</f>
        <v>37768.400000000001</v>
      </c>
      <c r="N88" s="19">
        <f t="shared" si="37"/>
        <v>0.77385357917516995</v>
      </c>
      <c r="O88" s="19">
        <f t="shared" si="38"/>
        <v>2.2902836748095425E-2</v>
      </c>
      <c r="P88" s="21">
        <v>816</v>
      </c>
      <c r="Q88" s="3">
        <f>P88/365+input!$K$3</f>
        <v>2.2356164383561645</v>
      </c>
      <c r="R88" s="4">
        <f t="shared" si="39"/>
        <v>11.413461394403335</v>
      </c>
      <c r="S88" s="12">
        <f t="shared" si="40"/>
        <v>20.220459984089342</v>
      </c>
      <c r="T88" s="20">
        <f>input!G87</f>
        <v>673.55</v>
      </c>
      <c r="U88" s="19">
        <f t="shared" si="41"/>
        <v>0.96552595136300978</v>
      </c>
      <c r="V88" s="19">
        <f t="shared" si="28"/>
        <v>0.92123994757759786</v>
      </c>
      <c r="W88" s="21">
        <v>1181</v>
      </c>
      <c r="X88" s="3">
        <f>W88/365+input!$K$3</f>
        <v>3.2356164383561645</v>
      </c>
      <c r="Y88" s="4">
        <f t="shared" si="42"/>
        <v>12.589299260865312</v>
      </c>
      <c r="Z88" s="12">
        <f t="shared" si="43"/>
        <v>27.135859395209948</v>
      </c>
      <c r="AA88" s="20">
        <f>input!H87</f>
        <v>0</v>
      </c>
      <c r="AB88" s="19">
        <f t="shared" si="44"/>
        <v>0.98197554006092014</v>
      </c>
      <c r="AC88" s="19">
        <f t="shared" si="45"/>
        <v>0.99519142618801715</v>
      </c>
      <c r="AD88" s="8">
        <f t="shared" si="46"/>
        <v>0</v>
      </c>
      <c r="AE88" s="8">
        <f t="shared" si="47"/>
        <v>263267.16862926929</v>
      </c>
      <c r="AF88" s="8">
        <f t="shared" si="48"/>
        <v>13619.490822283375</v>
      </c>
      <c r="AG88" s="8">
        <f t="shared" si="49"/>
        <v>0</v>
      </c>
      <c r="AH88" s="8">
        <f t="shared" si="29"/>
        <v>0</v>
      </c>
      <c r="AI88" s="8">
        <f t="shared" si="30"/>
        <v>203730.24072307308</v>
      </c>
      <c r="AJ88" s="8">
        <f t="shared" si="50"/>
        <v>13149.971833264935</v>
      </c>
      <c r="AK88" s="8">
        <f t="shared" si="51"/>
        <v>0</v>
      </c>
      <c r="AL88" s="8">
        <f t="shared" si="52"/>
        <v>0</v>
      </c>
      <c r="AM88" s="8">
        <f t="shared" si="53"/>
        <v>4666.0004439307249</v>
      </c>
      <c r="AN88" s="8">
        <f t="shared" si="54"/>
        <v>12114.279362323878</v>
      </c>
      <c r="AO88" s="8">
        <f t="shared" si="55"/>
        <v>0</v>
      </c>
    </row>
    <row r="89" spans="1:41">
      <c r="A89" s="1">
        <v>41816</v>
      </c>
      <c r="B89" s="5">
        <v>87</v>
      </c>
      <c r="C89" s="3">
        <f>B89/365+input!$K$3</f>
        <v>0.23835616438356164</v>
      </c>
      <c r="D89" s="4">
        <f t="shared" si="31"/>
        <v>0</v>
      </c>
      <c r="E89" s="12">
        <f t="shared" si="32"/>
        <v>0</v>
      </c>
      <c r="F89" s="20">
        <f>input!E88</f>
        <v>0</v>
      </c>
      <c r="G89" s="19">
        <f t="shared" si="33"/>
        <v>0</v>
      </c>
      <c r="H89" s="19">
        <f t="shared" si="34"/>
        <v>7.6198530241604755E-24</v>
      </c>
      <c r="I89" s="5">
        <v>452</v>
      </c>
      <c r="J89" s="3">
        <f>I89/365+input!$K$3</f>
        <v>1.2383561643835617</v>
      </c>
      <c r="K89" s="4">
        <f t="shared" si="35"/>
        <v>8.0169143890944419</v>
      </c>
      <c r="L89" s="12">
        <f t="shared" si="36"/>
        <v>7.0074603005325002</v>
      </c>
      <c r="M89" s="20">
        <f>input!F88</f>
        <v>37673.68</v>
      </c>
      <c r="N89" s="19">
        <f t="shared" si="37"/>
        <v>0.77560457410748251</v>
      </c>
      <c r="O89" s="19">
        <f t="shared" si="38"/>
        <v>2.3678933793349732E-2</v>
      </c>
      <c r="P89" s="21">
        <v>817</v>
      </c>
      <c r="Q89" s="3">
        <f>P89/365+input!$K$3</f>
        <v>2.2383561643835614</v>
      </c>
      <c r="R89" s="4">
        <f t="shared" si="39"/>
        <v>11.419249182749843</v>
      </c>
      <c r="S89" s="12">
        <f t="shared" si="40"/>
        <v>20.251237089035538</v>
      </c>
      <c r="T89" s="20">
        <f>input!G88</f>
        <v>671.86</v>
      </c>
      <c r="U89" s="19">
        <f t="shared" si="41"/>
        <v>0.96563581632072581</v>
      </c>
      <c r="V89" s="19">
        <f t="shared" si="28"/>
        <v>0.9220868091417449</v>
      </c>
      <c r="W89" s="21">
        <v>1182</v>
      </c>
      <c r="X89" s="3">
        <f>W89/365+input!$K$3</f>
        <v>3.2383561643835614</v>
      </c>
      <c r="Y89" s="4">
        <f t="shared" si="42"/>
        <v>12.589299260865312</v>
      </c>
      <c r="Z89" s="12">
        <f t="shared" si="43"/>
        <v>27.135859395209948</v>
      </c>
      <c r="AA89" s="20">
        <f>input!H88</f>
        <v>0</v>
      </c>
      <c r="AB89" s="19">
        <f t="shared" si="44"/>
        <v>0.98197554006092014</v>
      </c>
      <c r="AC89" s="19">
        <f t="shared" si="45"/>
        <v>0.99519142618801715</v>
      </c>
      <c r="AD89" s="8">
        <f t="shared" si="46"/>
        <v>0</v>
      </c>
      <c r="AE89" s="8">
        <f t="shared" si="47"/>
        <v>263996.81697496527</v>
      </c>
      <c r="AF89" s="8">
        <f t="shared" si="48"/>
        <v>13605.996150639417</v>
      </c>
      <c r="AG89" s="8">
        <f t="shared" si="49"/>
        <v>0</v>
      </c>
      <c r="AH89" s="8">
        <f t="shared" si="29"/>
        <v>0</v>
      </c>
      <c r="AI89" s="8">
        <f t="shared" si="30"/>
        <v>204757.13879559896</v>
      </c>
      <c r="AJ89" s="8">
        <f t="shared" si="50"/>
        <v>13138.437199779348</v>
      </c>
      <c r="AK89" s="8">
        <f t="shared" si="51"/>
        <v>0</v>
      </c>
      <c r="AL89" s="8">
        <f t="shared" si="52"/>
        <v>0</v>
      </c>
      <c r="AM89" s="8">
        <f t="shared" si="53"/>
        <v>4848.4307332567096</v>
      </c>
      <c r="AN89" s="8">
        <f t="shared" si="54"/>
        <v>12114.779634653742</v>
      </c>
      <c r="AO89" s="8">
        <f t="shared" si="55"/>
        <v>0</v>
      </c>
    </row>
    <row r="90" spans="1:41">
      <c r="A90" s="1">
        <v>41817</v>
      </c>
      <c r="B90" s="5">
        <v>88</v>
      </c>
      <c r="C90" s="3">
        <f>B90/365+input!$K$3</f>
        <v>0.24109589041095891</v>
      </c>
      <c r="D90" s="4">
        <f t="shared" si="31"/>
        <v>0</v>
      </c>
      <c r="E90" s="12">
        <f t="shared" si="32"/>
        <v>0</v>
      </c>
      <c r="F90" s="20">
        <f>input!E89</f>
        <v>0</v>
      </c>
      <c r="G90" s="19">
        <f t="shared" si="33"/>
        <v>0</v>
      </c>
      <c r="H90" s="19">
        <f t="shared" si="34"/>
        <v>7.6198530241604755E-24</v>
      </c>
      <c r="I90" s="5">
        <v>453</v>
      </c>
      <c r="J90" s="3">
        <f>I90/365+input!$K$3</f>
        <v>1.2410958904109588</v>
      </c>
      <c r="K90" s="4">
        <f t="shared" si="35"/>
        <v>8.0309740797485354</v>
      </c>
      <c r="L90" s="12">
        <f t="shared" si="36"/>
        <v>7.0443930672578725</v>
      </c>
      <c r="M90" s="20">
        <f>input!F89</f>
        <v>37311.89</v>
      </c>
      <c r="N90" s="19">
        <f t="shared" si="37"/>
        <v>0.77733779657906932</v>
      </c>
      <c r="O90" s="19">
        <f t="shared" si="38"/>
        <v>2.4475057322013875E-2</v>
      </c>
      <c r="P90" s="21">
        <v>818</v>
      </c>
      <c r="Q90" s="3">
        <f>P90/365+input!$K$3</f>
        <v>2.2410958904109588</v>
      </c>
      <c r="R90" s="4">
        <f t="shared" si="39"/>
        <v>11.425022875598865</v>
      </c>
      <c r="S90" s="12">
        <f t="shared" si="40"/>
        <v>20.281970340165586</v>
      </c>
      <c r="T90" s="20">
        <f>input!G89</f>
        <v>644.96</v>
      </c>
      <c r="U90" s="19">
        <f t="shared" si="41"/>
        <v>0.965745064864589</v>
      </c>
      <c r="V90" s="19">
        <f t="shared" si="28"/>
        <v>0.92292470566103713</v>
      </c>
      <c r="W90" s="21">
        <v>1183</v>
      </c>
      <c r="X90" s="3">
        <f>W90/365+input!$K$3</f>
        <v>3.2410958904109588</v>
      </c>
      <c r="Y90" s="4">
        <f t="shared" si="42"/>
        <v>12.589299260865312</v>
      </c>
      <c r="Z90" s="12">
        <f t="shared" si="43"/>
        <v>27.135859395209948</v>
      </c>
      <c r="AA90" s="20">
        <f>input!H89</f>
        <v>0</v>
      </c>
      <c r="AB90" s="19">
        <f t="shared" si="44"/>
        <v>0.98197554006092014</v>
      </c>
      <c r="AC90" s="19">
        <f t="shared" si="45"/>
        <v>0.99519142618801715</v>
      </c>
      <c r="AD90" s="8">
        <f t="shared" si="46"/>
        <v>0</v>
      </c>
      <c r="AE90" s="8">
        <f t="shared" si="47"/>
        <v>262839.61924228835</v>
      </c>
      <c r="AF90" s="8">
        <f t="shared" si="48"/>
        <v>13081.059590593197</v>
      </c>
      <c r="AG90" s="8">
        <f t="shared" si="49"/>
        <v>0</v>
      </c>
      <c r="AH90" s="8">
        <f t="shared" si="29"/>
        <v>0</v>
      </c>
      <c r="AI90" s="8">
        <f t="shared" si="30"/>
        <v>204315.17047548198</v>
      </c>
      <c r="AJ90" s="8">
        <f t="shared" si="50"/>
        <v>12632.968742814981</v>
      </c>
      <c r="AK90" s="8">
        <f t="shared" si="51"/>
        <v>0</v>
      </c>
      <c r="AL90" s="8">
        <f t="shared" si="52"/>
        <v>0</v>
      </c>
      <c r="AM90" s="8">
        <f t="shared" si="53"/>
        <v>5000.6255091444582</v>
      </c>
      <c r="AN90" s="8">
        <f t="shared" si="54"/>
        <v>11659.278958587598</v>
      </c>
      <c r="AO90" s="8">
        <f t="shared" si="55"/>
        <v>0</v>
      </c>
    </row>
    <row r="91" spans="1:41">
      <c r="A91" s="1">
        <v>41818</v>
      </c>
      <c r="B91" s="5">
        <v>89</v>
      </c>
      <c r="C91" s="3">
        <f>B91/365+input!$K$3</f>
        <v>0.24383561643835616</v>
      </c>
      <c r="D91" s="4">
        <f t="shared" si="31"/>
        <v>0</v>
      </c>
      <c r="E91" s="12">
        <f t="shared" si="32"/>
        <v>0</v>
      </c>
      <c r="F91" s="20">
        <f>input!E90</f>
        <v>0</v>
      </c>
      <c r="G91" s="19">
        <f t="shared" si="33"/>
        <v>0</v>
      </c>
      <c r="H91" s="19">
        <f t="shared" si="34"/>
        <v>7.6198530241604755E-24</v>
      </c>
      <c r="I91" s="5">
        <v>454</v>
      </c>
      <c r="J91" s="3">
        <f>I91/365+input!$K$3</f>
        <v>1.2438356164383562</v>
      </c>
      <c r="K91" s="4">
        <f t="shared" si="35"/>
        <v>8.0449995296318129</v>
      </c>
      <c r="L91" s="12">
        <f t="shared" si="36"/>
        <v>7.0813649572182653</v>
      </c>
      <c r="M91" s="20">
        <f>input!F90</f>
        <v>37217.5</v>
      </c>
      <c r="N91" s="19">
        <f t="shared" si="37"/>
        <v>0.7790534594166848</v>
      </c>
      <c r="O91" s="19">
        <f t="shared" si="38"/>
        <v>2.5291507376114627E-2</v>
      </c>
      <c r="P91" s="21">
        <v>819</v>
      </c>
      <c r="Q91" s="3">
        <f>P91/365+input!$K$3</f>
        <v>2.2438356164383562</v>
      </c>
      <c r="R91" s="4">
        <f t="shared" si="39"/>
        <v>11.430782507278373</v>
      </c>
      <c r="S91" s="12">
        <f t="shared" si="40"/>
        <v>20.312659708630573</v>
      </c>
      <c r="T91" s="20">
        <f>input!G90</f>
        <v>643.32000000000005</v>
      </c>
      <c r="U91" s="19">
        <f t="shared" si="41"/>
        <v>0.9658537012965579</v>
      </c>
      <c r="V91" s="19">
        <f t="shared" si="28"/>
        <v>0.92375372100320263</v>
      </c>
      <c r="W91" s="21">
        <v>1184</v>
      </c>
      <c r="X91" s="3">
        <f>W91/365+input!$K$3</f>
        <v>3.2438356164383562</v>
      </c>
      <c r="Y91" s="4">
        <f t="shared" si="42"/>
        <v>12.589299260865312</v>
      </c>
      <c r="Z91" s="12">
        <f t="shared" si="43"/>
        <v>27.135859395209948</v>
      </c>
      <c r="AA91" s="20">
        <f>input!H90</f>
        <v>0</v>
      </c>
      <c r="AB91" s="19">
        <f t="shared" si="44"/>
        <v>0.98197554006092014</v>
      </c>
      <c r="AC91" s="19">
        <f t="shared" si="45"/>
        <v>0.99519142618801715</v>
      </c>
      <c r="AD91" s="8">
        <f t="shared" si="46"/>
        <v>0</v>
      </c>
      <c r="AE91" s="8">
        <f t="shared" si="47"/>
        <v>263550.70029527077</v>
      </c>
      <c r="AF91" s="8">
        <f t="shared" si="48"/>
        <v>13067.540243756221</v>
      </c>
      <c r="AG91" s="8">
        <f t="shared" si="49"/>
        <v>0</v>
      </c>
      <c r="AH91" s="8">
        <f t="shared" si="29"/>
        <v>0</v>
      </c>
      <c r="AI91" s="8">
        <f t="shared" si="30"/>
        <v>205320.08479672059</v>
      </c>
      <c r="AJ91" s="8">
        <f t="shared" si="50"/>
        <v>12621.33211127367</v>
      </c>
      <c r="AK91" s="8">
        <f t="shared" si="51"/>
        <v>0</v>
      </c>
      <c r="AL91" s="8">
        <f t="shared" si="52"/>
        <v>0</v>
      </c>
      <c r="AM91" s="8">
        <f t="shared" si="53"/>
        <v>5192.8544391007399</v>
      </c>
      <c r="AN91" s="8">
        <f t="shared" si="54"/>
        <v>11659.002501806261</v>
      </c>
      <c r="AO91" s="8">
        <f t="shared" si="55"/>
        <v>0</v>
      </c>
    </row>
    <row r="92" spans="1:41">
      <c r="A92" s="1">
        <v>41819</v>
      </c>
      <c r="B92" s="5">
        <v>90</v>
      </c>
      <c r="C92" s="3">
        <f>B92/365+input!$K$3</f>
        <v>0.24657534246575341</v>
      </c>
      <c r="D92" s="4">
        <f t="shared" si="31"/>
        <v>0</v>
      </c>
      <c r="E92" s="12">
        <f t="shared" si="32"/>
        <v>0</v>
      </c>
      <c r="F92" s="20">
        <f>input!E91</f>
        <v>0</v>
      </c>
      <c r="G92" s="19">
        <f t="shared" si="33"/>
        <v>0</v>
      </c>
      <c r="H92" s="19">
        <f t="shared" si="34"/>
        <v>7.6198530241604755E-24</v>
      </c>
      <c r="I92" s="5">
        <v>455</v>
      </c>
      <c r="J92" s="3">
        <f>I92/365+input!$K$3</f>
        <v>1.2465753424657535</v>
      </c>
      <c r="K92" s="4">
        <f t="shared" si="35"/>
        <v>8.0589908221337669</v>
      </c>
      <c r="L92" s="12">
        <f t="shared" si="36"/>
        <v>7.1183754715469494</v>
      </c>
      <c r="M92" s="20">
        <f>input!F91</f>
        <v>36854.04</v>
      </c>
      <c r="N92" s="19">
        <f t="shared" si="37"/>
        <v>0.78075177255205097</v>
      </c>
      <c r="O92" s="19">
        <f t="shared" si="38"/>
        <v>2.6128582077249857E-2</v>
      </c>
      <c r="P92" s="21">
        <v>820</v>
      </c>
      <c r="Q92" s="3">
        <f>P92/365+input!$K$3</f>
        <v>2.2465753424657535</v>
      </c>
      <c r="R92" s="4">
        <f t="shared" si="39"/>
        <v>11.43652811203274</v>
      </c>
      <c r="S92" s="12">
        <f t="shared" si="40"/>
        <v>20.343305166197734</v>
      </c>
      <c r="T92" s="20">
        <f>input!G91</f>
        <v>618.79</v>
      </c>
      <c r="U92" s="19">
        <f t="shared" si="41"/>
        <v>0.96596172988296647</v>
      </c>
      <c r="V92" s="19">
        <f t="shared" si="28"/>
        <v>0.92457393854171821</v>
      </c>
      <c r="W92" s="21">
        <v>1185</v>
      </c>
      <c r="X92" s="3">
        <f>W92/365+input!$K$3</f>
        <v>3.2465753424657535</v>
      </c>
      <c r="Y92" s="4">
        <f t="shared" si="42"/>
        <v>12.589299260865312</v>
      </c>
      <c r="Z92" s="12">
        <f t="shared" si="43"/>
        <v>27.135859395209948</v>
      </c>
      <c r="AA92" s="20">
        <f>input!H91</f>
        <v>0</v>
      </c>
      <c r="AB92" s="19">
        <f t="shared" si="44"/>
        <v>0.98197554006092014</v>
      </c>
      <c r="AC92" s="19">
        <f t="shared" si="45"/>
        <v>0.99519142618801715</v>
      </c>
      <c r="AD92" s="8">
        <f t="shared" si="46"/>
        <v>0</v>
      </c>
      <c r="AE92" s="8">
        <f t="shared" si="47"/>
        <v>262340.89436341013</v>
      </c>
      <c r="AF92" s="8">
        <f t="shared" si="48"/>
        <v>12588.233803791494</v>
      </c>
      <c r="AG92" s="8">
        <f t="shared" si="49"/>
        <v>0</v>
      </c>
      <c r="AH92" s="8">
        <f t="shared" si="29"/>
        <v>0</v>
      </c>
      <c r="AI92" s="8">
        <f t="shared" si="30"/>
        <v>204823.11828712281</v>
      </c>
      <c r="AJ92" s="8">
        <f t="shared" si="50"/>
        <v>12159.752101281667</v>
      </c>
      <c r="AK92" s="8">
        <f t="shared" si="51"/>
        <v>0</v>
      </c>
      <c r="AL92" s="8">
        <f t="shared" si="52"/>
        <v>0</v>
      </c>
      <c r="AM92" s="8">
        <f t="shared" si="53"/>
        <v>5351.7376574833443</v>
      </c>
      <c r="AN92" s="8">
        <f t="shared" si="54"/>
        <v>11242.589891972924</v>
      </c>
      <c r="AO92" s="8">
        <f t="shared" si="55"/>
        <v>0</v>
      </c>
    </row>
    <row r="93" spans="1:41">
      <c r="A93" s="1">
        <v>41820</v>
      </c>
      <c r="B93" s="5">
        <v>91</v>
      </c>
      <c r="C93" s="3">
        <f>B93/365+input!$K$3</f>
        <v>0.24931506849315069</v>
      </c>
      <c r="D93" s="4">
        <f t="shared" si="31"/>
        <v>0</v>
      </c>
      <c r="E93" s="12">
        <f t="shared" si="32"/>
        <v>0</v>
      </c>
      <c r="F93" s="20">
        <f>input!E92</f>
        <v>0</v>
      </c>
      <c r="G93" s="19">
        <f t="shared" si="33"/>
        <v>0</v>
      </c>
      <c r="H93" s="19">
        <f t="shared" si="34"/>
        <v>7.6198530241604755E-24</v>
      </c>
      <c r="I93" s="5">
        <v>456</v>
      </c>
      <c r="J93" s="3">
        <f>I93/365+input!$K$3</f>
        <v>1.2493150684931507</v>
      </c>
      <c r="K93" s="4">
        <f t="shared" si="35"/>
        <v>8.0729480404407941</v>
      </c>
      <c r="L93" s="12">
        <f t="shared" si="36"/>
        <v>7.1554241129206213</v>
      </c>
      <c r="M93" s="20">
        <f>input!F92</f>
        <v>36759.96</v>
      </c>
      <c r="N93" s="19">
        <f t="shared" si="37"/>
        <v>0.78243294306556388</v>
      </c>
      <c r="O93" s="19">
        <f t="shared" si="38"/>
        <v>2.6986577431490664E-2</v>
      </c>
      <c r="P93" s="21">
        <v>821</v>
      </c>
      <c r="Q93" s="3">
        <f>P93/365+input!$K$3</f>
        <v>2.2493150684931509</v>
      </c>
      <c r="R93" s="4">
        <f t="shared" si="39"/>
        <v>11.442259724022943</v>
      </c>
      <c r="S93" s="12">
        <f t="shared" si="40"/>
        <v>20.373906685247114</v>
      </c>
      <c r="T93" s="20">
        <f>input!G92</f>
        <v>617.23</v>
      </c>
      <c r="U93" s="19">
        <f t="shared" si="41"/>
        <v>0.96606915485486167</v>
      </c>
      <c r="V93" s="19">
        <f t="shared" si="28"/>
        <v>0.92538544115163535</v>
      </c>
      <c r="W93" s="21">
        <v>1186</v>
      </c>
      <c r="X93" s="3">
        <f>W93/365+input!$K$3</f>
        <v>3.2493150684931509</v>
      </c>
      <c r="Y93" s="4">
        <f t="shared" si="42"/>
        <v>12.589299260865312</v>
      </c>
      <c r="Z93" s="12">
        <f t="shared" si="43"/>
        <v>27.135859395209948</v>
      </c>
      <c r="AA93" s="20">
        <f>input!H92</f>
        <v>0</v>
      </c>
      <c r="AB93" s="19">
        <f t="shared" si="44"/>
        <v>0.98197554006092014</v>
      </c>
      <c r="AC93" s="19">
        <f t="shared" si="45"/>
        <v>0.99519142618801715</v>
      </c>
      <c r="AD93" s="8">
        <f t="shared" si="46"/>
        <v>0</v>
      </c>
      <c r="AE93" s="8">
        <f t="shared" si="47"/>
        <v>263033.10417399753</v>
      </c>
      <c r="AF93" s="8">
        <f t="shared" si="48"/>
        <v>12575.386423335076</v>
      </c>
      <c r="AG93" s="8">
        <f t="shared" si="49"/>
        <v>0</v>
      </c>
      <c r="AH93" s="8">
        <f t="shared" si="29"/>
        <v>0</v>
      </c>
      <c r="AI93" s="8">
        <f t="shared" si="30"/>
        <v>205805.76582253195</v>
      </c>
      <c r="AJ93" s="8">
        <f t="shared" si="50"/>
        <v>12148.692933964618</v>
      </c>
      <c r="AK93" s="8">
        <f t="shared" si="51"/>
        <v>0</v>
      </c>
      <c r="AL93" s="8">
        <f t="shared" si="52"/>
        <v>0</v>
      </c>
      <c r="AM93" s="8">
        <f t="shared" si="53"/>
        <v>5553.9932352169935</v>
      </c>
      <c r="AN93" s="8">
        <f t="shared" si="54"/>
        <v>11242.223570112603</v>
      </c>
      <c r="AO93" s="8">
        <f t="shared" si="55"/>
        <v>0</v>
      </c>
    </row>
    <row r="94" spans="1:41">
      <c r="A94" s="1">
        <v>41821</v>
      </c>
      <c r="B94" s="5">
        <v>92</v>
      </c>
      <c r="C94" s="3">
        <f>B94/365+input!$K$3</f>
        <v>0.25205479452054796</v>
      </c>
      <c r="D94" s="4">
        <f t="shared" si="31"/>
        <v>0</v>
      </c>
      <c r="E94" s="12">
        <f t="shared" si="32"/>
        <v>0</v>
      </c>
      <c r="F94" s="20">
        <f>input!E93</f>
        <v>0</v>
      </c>
      <c r="G94" s="19">
        <f t="shared" si="33"/>
        <v>0</v>
      </c>
      <c r="H94" s="19">
        <f t="shared" si="34"/>
        <v>7.6198530241604755E-24</v>
      </c>
      <c r="I94" s="5">
        <v>457</v>
      </c>
      <c r="J94" s="3">
        <f>I94/365+input!$K$3</f>
        <v>1.252054794520548</v>
      </c>
      <c r="K94" s="4">
        <f t="shared" si="35"/>
        <v>8.086871267536706</v>
      </c>
      <c r="L94" s="12">
        <f t="shared" si="36"/>
        <v>7.1925103855659902</v>
      </c>
      <c r="M94" s="20">
        <f>input!F93</f>
        <v>36319.35</v>
      </c>
      <c r="N94" s="19">
        <f t="shared" si="37"/>
        <v>0.78409717522928446</v>
      </c>
      <c r="O94" s="19">
        <f t="shared" si="38"/>
        <v>2.7865787133815833E-2</v>
      </c>
      <c r="P94" s="21">
        <v>822</v>
      </c>
      <c r="Q94" s="3">
        <f>P94/365+input!$K$3</f>
        <v>2.2520547945205478</v>
      </c>
      <c r="R94" s="4">
        <f t="shared" si="39"/>
        <v>11.447977377326755</v>
      </c>
      <c r="S94" s="12">
        <f t="shared" si="40"/>
        <v>20.404464238768202</v>
      </c>
      <c r="T94" s="20">
        <f>input!G93</f>
        <v>598.67999999999995</v>
      </c>
      <c r="U94" s="19">
        <f t="shared" si="41"/>
        <v>0.96617598040833708</v>
      </c>
      <c r="V94" s="19">
        <f t="shared" si="28"/>
        <v>0.92618831120562062</v>
      </c>
      <c r="W94" s="21">
        <v>1187</v>
      </c>
      <c r="X94" s="3">
        <f>W94/365+input!$K$3</f>
        <v>3.2520547945205478</v>
      </c>
      <c r="Y94" s="4">
        <f t="shared" si="42"/>
        <v>12.589299260865312</v>
      </c>
      <c r="Z94" s="12">
        <f t="shared" si="43"/>
        <v>27.135859395209948</v>
      </c>
      <c r="AA94" s="20">
        <f>input!H93</f>
        <v>0</v>
      </c>
      <c r="AB94" s="19">
        <f t="shared" si="44"/>
        <v>0.98197554006092014</v>
      </c>
      <c r="AC94" s="19">
        <f t="shared" si="45"/>
        <v>0.99519142618801715</v>
      </c>
      <c r="AD94" s="8">
        <f t="shared" si="46"/>
        <v>0</v>
      </c>
      <c r="AE94" s="8">
        <f t="shared" si="47"/>
        <v>261227.30207200613</v>
      </c>
      <c r="AF94" s="8">
        <f t="shared" si="48"/>
        <v>12215.744650465747</v>
      </c>
      <c r="AG94" s="8">
        <f t="shared" si="49"/>
        <v>0</v>
      </c>
      <c r="AH94" s="8">
        <f t="shared" si="29"/>
        <v>0</v>
      </c>
      <c r="AI94" s="8">
        <f t="shared" si="30"/>
        <v>204827.58964742703</v>
      </c>
      <c r="AJ94" s="8">
        <f t="shared" si="50"/>
        <v>11802.559064081643</v>
      </c>
      <c r="AK94" s="8">
        <f t="shared" si="51"/>
        <v>0</v>
      </c>
      <c r="AL94" s="8">
        <f t="shared" si="52"/>
        <v>0</v>
      </c>
      <c r="AM94" s="8">
        <f t="shared" si="53"/>
        <v>5707.6820122477811</v>
      </c>
      <c r="AN94" s="8">
        <f t="shared" si="54"/>
        <v>10931.392247466367</v>
      </c>
      <c r="AO94" s="8">
        <f t="shared" si="55"/>
        <v>0</v>
      </c>
    </row>
    <row r="95" spans="1:41">
      <c r="A95" s="1">
        <v>41822</v>
      </c>
      <c r="B95" s="5">
        <v>93</v>
      </c>
      <c r="C95" s="3">
        <f>B95/365+input!$K$3</f>
        <v>0.25479452054794521</v>
      </c>
      <c r="D95" s="4">
        <f t="shared" si="31"/>
        <v>0</v>
      </c>
      <c r="E95" s="12">
        <f t="shared" si="32"/>
        <v>0</v>
      </c>
      <c r="F95" s="20">
        <f>input!E94</f>
        <v>0</v>
      </c>
      <c r="G95" s="19">
        <f t="shared" si="33"/>
        <v>0</v>
      </c>
      <c r="H95" s="19">
        <f t="shared" si="34"/>
        <v>7.6198530241604755E-24</v>
      </c>
      <c r="I95" s="5">
        <v>458</v>
      </c>
      <c r="J95" s="3">
        <f>I95/365+input!$K$3</f>
        <v>1.2547945205479452</v>
      </c>
      <c r="K95" s="4">
        <f t="shared" si="35"/>
        <v>8.1007605862032133</v>
      </c>
      <c r="L95" s="12">
        <f t="shared" si="36"/>
        <v>7.2296337952661593</v>
      </c>
      <c r="M95" s="20">
        <f>input!F94</f>
        <v>36224.230000000003</v>
      </c>
      <c r="N95" s="19">
        <f t="shared" si="37"/>
        <v>0.78574467054921626</v>
      </c>
      <c r="O95" s="19">
        <f t="shared" si="38"/>
        <v>2.8766502372265326E-2</v>
      </c>
      <c r="P95" s="21">
        <v>823</v>
      </c>
      <c r="Q95" s="3">
        <f>P95/365+input!$K$3</f>
        <v>2.2547945205479452</v>
      </c>
      <c r="R95" s="4">
        <f t="shared" si="39"/>
        <v>11.453681105938967</v>
      </c>
      <c r="S95" s="12">
        <f t="shared" si="40"/>
        <v>20.434977800356712</v>
      </c>
      <c r="T95" s="20">
        <f>input!G94</f>
        <v>597.13</v>
      </c>
      <c r="U95" s="19">
        <f t="shared" si="41"/>
        <v>0.96628221070486453</v>
      </c>
      <c r="V95" s="19">
        <f t="shared" si="28"/>
        <v>0.92698263057021169</v>
      </c>
      <c r="W95" s="21">
        <v>1188</v>
      </c>
      <c r="X95" s="3">
        <f>W95/365+input!$K$3</f>
        <v>3.2547945205479452</v>
      </c>
      <c r="Y95" s="4">
        <f t="shared" si="42"/>
        <v>12.589299260865312</v>
      </c>
      <c r="Z95" s="12">
        <f t="shared" si="43"/>
        <v>27.135859395209948</v>
      </c>
      <c r="AA95" s="20">
        <f>input!H94</f>
        <v>0</v>
      </c>
      <c r="AB95" s="19">
        <f t="shared" si="44"/>
        <v>0.98197554006092014</v>
      </c>
      <c r="AC95" s="19">
        <f t="shared" si="45"/>
        <v>0.99519142618801715</v>
      </c>
      <c r="AD95" s="8">
        <f t="shared" si="46"/>
        <v>0</v>
      </c>
      <c r="AE95" s="8">
        <f t="shared" si="47"/>
        <v>261887.9174154943</v>
      </c>
      <c r="AF95" s="8">
        <f t="shared" si="48"/>
        <v>12202.338293927003</v>
      </c>
      <c r="AG95" s="8">
        <f t="shared" si="49"/>
        <v>0</v>
      </c>
      <c r="AH95" s="8">
        <f t="shared" si="29"/>
        <v>0</v>
      </c>
      <c r="AI95" s="8">
        <f t="shared" si="30"/>
        <v>205777.03539045792</v>
      </c>
      <c r="AJ95" s="8">
        <f t="shared" si="50"/>
        <v>11790.902422424409</v>
      </c>
      <c r="AK95" s="8">
        <f t="shared" si="51"/>
        <v>0</v>
      </c>
      <c r="AL95" s="8">
        <f t="shared" si="52"/>
        <v>0</v>
      </c>
      <c r="AM95" s="8">
        <f t="shared" si="53"/>
        <v>5919.485576717334</v>
      </c>
      <c r="AN95" s="8">
        <f t="shared" si="54"/>
        <v>10929.96174433566</v>
      </c>
      <c r="AO95" s="8">
        <f t="shared" si="55"/>
        <v>0</v>
      </c>
    </row>
    <row r="96" spans="1:41">
      <c r="A96" s="1">
        <v>41823</v>
      </c>
      <c r="B96" s="5">
        <v>94</v>
      </c>
      <c r="C96" s="3">
        <f>B96/365+input!$K$3</f>
        <v>0.25753424657534246</v>
      </c>
      <c r="D96" s="4">
        <f t="shared" si="31"/>
        <v>0</v>
      </c>
      <c r="E96" s="12">
        <f t="shared" si="32"/>
        <v>0</v>
      </c>
      <c r="F96" s="20">
        <f>input!E95</f>
        <v>0</v>
      </c>
      <c r="G96" s="19">
        <f t="shared" si="33"/>
        <v>0</v>
      </c>
      <c r="H96" s="19">
        <f t="shared" si="34"/>
        <v>7.6198530241604755E-24</v>
      </c>
      <c r="I96" s="5">
        <v>459</v>
      </c>
      <c r="J96" s="3">
        <f>I96/365+input!$K$3</f>
        <v>1.2575342465753425</v>
      </c>
      <c r="K96" s="4">
        <f t="shared" si="35"/>
        <v>8.1146160790204256</v>
      </c>
      <c r="L96" s="12">
        <f t="shared" si="36"/>
        <v>7.2667938493669144</v>
      </c>
      <c r="M96" s="20">
        <f>input!F95</f>
        <v>35813.07</v>
      </c>
      <c r="N96" s="19">
        <f t="shared" si="37"/>
        <v>0.78737562780689141</v>
      </c>
      <c r="O96" s="19">
        <f t="shared" si="38"/>
        <v>2.9689011632007718E-2</v>
      </c>
      <c r="P96" s="21">
        <v>824</v>
      </c>
      <c r="Q96" s="3">
        <f>P96/365+input!$K$3</f>
        <v>2.2575342465753425</v>
      </c>
      <c r="R96" s="4">
        <f t="shared" si="39"/>
        <v>11.459370943771575</v>
      </c>
      <c r="S96" s="12">
        <f t="shared" si="40"/>
        <v>20.465447344211224</v>
      </c>
      <c r="T96" s="20">
        <f>input!G95</f>
        <v>577.92999999999995</v>
      </c>
      <c r="U96" s="19">
        <f t="shared" si="41"/>
        <v>0.96638784987162074</v>
      </c>
      <c r="V96" s="19">
        <f t="shared" si="28"/>
        <v>0.92776848060227535</v>
      </c>
      <c r="W96" s="21">
        <v>1189</v>
      </c>
      <c r="X96" s="3">
        <f>W96/365+input!$K$3</f>
        <v>3.2575342465753425</v>
      </c>
      <c r="Y96" s="4">
        <f t="shared" si="42"/>
        <v>12.589299260865312</v>
      </c>
      <c r="Z96" s="12">
        <f t="shared" si="43"/>
        <v>27.135859395209948</v>
      </c>
      <c r="AA96" s="20">
        <f>input!H95</f>
        <v>0</v>
      </c>
      <c r="AB96" s="19">
        <f t="shared" si="44"/>
        <v>0.98197554006092014</v>
      </c>
      <c r="AC96" s="19">
        <f t="shared" si="45"/>
        <v>0.99519142618801715</v>
      </c>
      <c r="AD96" s="8">
        <f t="shared" si="46"/>
        <v>0</v>
      </c>
      <c r="AE96" s="8">
        <f t="shared" si="47"/>
        <v>260246.19680294677</v>
      </c>
      <c r="AF96" s="8">
        <f t="shared" si="48"/>
        <v>11827.595983639992</v>
      </c>
      <c r="AG96" s="8">
        <f t="shared" si="49"/>
        <v>0</v>
      </c>
      <c r="AH96" s="8">
        <f t="shared" si="29"/>
        <v>0</v>
      </c>
      <c r="AI96" s="8">
        <f t="shared" si="30"/>
        <v>204911.51259207603</v>
      </c>
      <c r="AJ96" s="8">
        <f t="shared" si="50"/>
        <v>11430.045051780069</v>
      </c>
      <c r="AK96" s="8">
        <f t="shared" si="51"/>
        <v>0</v>
      </c>
      <c r="AL96" s="8">
        <f t="shared" si="52"/>
        <v>0</v>
      </c>
      <c r="AM96" s="8">
        <f t="shared" si="53"/>
        <v>6083.620280878441</v>
      </c>
      <c r="AN96" s="8">
        <f t="shared" si="54"/>
        <v>10604.43553090555</v>
      </c>
      <c r="AO96" s="8">
        <f t="shared" si="55"/>
        <v>0</v>
      </c>
    </row>
    <row r="97" spans="1:41">
      <c r="A97" s="1">
        <v>41824</v>
      </c>
      <c r="B97" s="5">
        <v>95</v>
      </c>
      <c r="C97" s="3">
        <f>B97/365+input!$K$3</f>
        <v>0.26027397260273971</v>
      </c>
      <c r="D97" s="4">
        <f t="shared" si="31"/>
        <v>3.3620832362076902E-3</v>
      </c>
      <c r="E97" s="12">
        <f t="shared" si="32"/>
        <v>5.1684972792988629E-10</v>
      </c>
      <c r="F97" s="20">
        <f>input!E96</f>
        <v>0</v>
      </c>
      <c r="G97" s="19">
        <f t="shared" si="33"/>
        <v>0</v>
      </c>
      <c r="H97" s="19">
        <f t="shared" si="34"/>
        <v>7.8829493190891745E-24</v>
      </c>
      <c r="I97" s="5">
        <v>460</v>
      </c>
      <c r="J97" s="3">
        <f>I97/365+input!$K$3</f>
        <v>1.2602739726027397</v>
      </c>
      <c r="K97" s="4">
        <f t="shared" si="35"/>
        <v>8.1284378283673355</v>
      </c>
      <c r="L97" s="12">
        <f t="shared" si="36"/>
        <v>7.3039900567827978</v>
      </c>
      <c r="M97" s="20">
        <f>input!F96</f>
        <v>35721.910000000003</v>
      </c>
      <c r="N97" s="19">
        <f t="shared" si="37"/>
        <v>0.78899024310027022</v>
      </c>
      <c r="O97" s="19">
        <f t="shared" si="38"/>
        <v>3.06336004995118E-2</v>
      </c>
      <c r="P97" s="21">
        <v>825</v>
      </c>
      <c r="Q97" s="3">
        <f>P97/365+input!$K$3</f>
        <v>2.2602739726027399</v>
      </c>
      <c r="R97" s="4">
        <f t="shared" si="39"/>
        <v>11.465046924653985</v>
      </c>
      <c r="S97" s="12">
        <f t="shared" si="40"/>
        <v>20.495872845129927</v>
      </c>
      <c r="T97" s="20">
        <f>input!G96</f>
        <v>576.47</v>
      </c>
      <c r="U97" s="19">
        <f t="shared" si="41"/>
        <v>0.96649290200181059</v>
      </c>
      <c r="V97" s="19">
        <f t="shared" si="28"/>
        <v>0.92854594214567143</v>
      </c>
      <c r="W97" s="21">
        <v>1190</v>
      </c>
      <c r="X97" s="3">
        <f>W97/365+input!$K$3</f>
        <v>3.2602739726027399</v>
      </c>
      <c r="Y97" s="4">
        <f t="shared" si="42"/>
        <v>12.589299260865312</v>
      </c>
      <c r="Z97" s="12">
        <f t="shared" si="43"/>
        <v>27.135859395209948</v>
      </c>
      <c r="AA97" s="20">
        <f>input!H96</f>
        <v>0</v>
      </c>
      <c r="AB97" s="19">
        <f t="shared" si="44"/>
        <v>0.98197554006092014</v>
      </c>
      <c r="AC97" s="19">
        <f t="shared" si="45"/>
        <v>0.99519142618801715</v>
      </c>
      <c r="AD97" s="8">
        <f t="shared" si="46"/>
        <v>0</v>
      </c>
      <c r="AE97" s="8">
        <f t="shared" si="47"/>
        <v>260912.47544929001</v>
      </c>
      <c r="AF97" s="8">
        <f t="shared" si="48"/>
        <v>11815.255819032051</v>
      </c>
      <c r="AG97" s="8">
        <f t="shared" si="49"/>
        <v>0</v>
      </c>
      <c r="AH97" s="8">
        <f t="shared" si="29"/>
        <v>0</v>
      </c>
      <c r="AI97" s="8">
        <f t="shared" si="30"/>
        <v>205857.39743262861</v>
      </c>
      <c r="AJ97" s="8">
        <f t="shared" si="50"/>
        <v>11419.360884430065</v>
      </c>
      <c r="AK97" s="8">
        <f t="shared" si="51"/>
        <v>0</v>
      </c>
      <c r="AL97" s="8">
        <f t="shared" si="52"/>
        <v>0</v>
      </c>
      <c r="AM97" s="8">
        <f t="shared" si="53"/>
        <v>6306.1532728203711</v>
      </c>
      <c r="AN97" s="8">
        <f t="shared" si="54"/>
        <v>10603.401211134542</v>
      </c>
      <c r="AO97" s="8">
        <f t="shared" si="55"/>
        <v>0</v>
      </c>
    </row>
    <row r="98" spans="1:41">
      <c r="A98" s="1">
        <v>41825</v>
      </c>
      <c r="B98" s="5">
        <v>96</v>
      </c>
      <c r="C98" s="3">
        <f>B98/365+input!$K$3</f>
        <v>0.26301369863013696</v>
      </c>
      <c r="D98" s="4">
        <f t="shared" si="31"/>
        <v>3.6937865293471005E-2</v>
      </c>
      <c r="E98" s="12">
        <f t="shared" si="32"/>
        <v>6.8541607842301018E-7</v>
      </c>
      <c r="F98" s="20">
        <f>input!E97</f>
        <v>0</v>
      </c>
      <c r="G98" s="19">
        <f t="shared" si="33"/>
        <v>0</v>
      </c>
      <c r="H98" s="19">
        <f t="shared" si="34"/>
        <v>1.1057217085800867E-23</v>
      </c>
      <c r="I98" s="5">
        <v>461</v>
      </c>
      <c r="J98" s="3">
        <f>I98/365+input!$K$3</f>
        <v>1.263013698630137</v>
      </c>
      <c r="K98" s="4">
        <f t="shared" si="35"/>
        <v>8.1422259164223121</v>
      </c>
      <c r="L98" s="12">
        <f t="shared" si="36"/>
        <v>7.3412219280030726</v>
      </c>
      <c r="M98" s="20">
        <f>input!F97</f>
        <v>35327.19</v>
      </c>
      <c r="N98" s="19">
        <f t="shared" si="37"/>
        <v>0.79058870988397134</v>
      </c>
      <c r="O98" s="19">
        <f t="shared" si="38"/>
        <v>3.1600551467017686E-2</v>
      </c>
      <c r="P98" s="21">
        <v>826</v>
      </c>
      <c r="Q98" s="3">
        <f>P98/365+input!$K$3</f>
        <v>2.2630136986301368</v>
      </c>
      <c r="R98" s="4">
        <f t="shared" si="39"/>
        <v>11.470709082333215</v>
      </c>
      <c r="S98" s="12">
        <f t="shared" si="40"/>
        <v>20.526254278507352</v>
      </c>
      <c r="T98" s="20">
        <f>input!G97</f>
        <v>557.52</v>
      </c>
      <c r="U98" s="19">
        <f t="shared" si="41"/>
        <v>0.96659737115498834</v>
      </c>
      <c r="V98" s="19">
        <f t="shared" si="28"/>
        <v>0.92931509552811342</v>
      </c>
      <c r="W98" s="21">
        <v>1191</v>
      </c>
      <c r="X98" s="3">
        <f>W98/365+input!$K$3</f>
        <v>3.2630136986301368</v>
      </c>
      <c r="Y98" s="4">
        <f t="shared" si="42"/>
        <v>12.589299260865312</v>
      </c>
      <c r="Z98" s="12">
        <f t="shared" si="43"/>
        <v>27.135859395209948</v>
      </c>
      <c r="AA98" s="20">
        <f>input!H97</f>
        <v>0</v>
      </c>
      <c r="AB98" s="19">
        <f t="shared" si="44"/>
        <v>0.98197554006092014</v>
      </c>
      <c r="AC98" s="19">
        <f t="shared" si="45"/>
        <v>0.99519142618801715</v>
      </c>
      <c r="AD98" s="8">
        <f t="shared" si="46"/>
        <v>0</v>
      </c>
      <c r="AE98" s="8">
        <f t="shared" si="47"/>
        <v>259344.74188273089</v>
      </c>
      <c r="AF98" s="8">
        <f t="shared" si="48"/>
        <v>11443.797285353419</v>
      </c>
      <c r="AG98" s="8">
        <f t="shared" si="49"/>
        <v>0</v>
      </c>
      <c r="AH98" s="8">
        <f t="shared" si="29"/>
        <v>0</v>
      </c>
      <c r="AI98" s="8">
        <f t="shared" si="30"/>
        <v>205035.02490025977</v>
      </c>
      <c r="AJ98" s="8">
        <f t="shared" si="50"/>
        <v>11061.544372053208</v>
      </c>
      <c r="AK98" s="8">
        <f t="shared" si="51"/>
        <v>0</v>
      </c>
      <c r="AL98" s="8">
        <f t="shared" si="52"/>
        <v>0</v>
      </c>
      <c r="AM98" s="8">
        <f t="shared" si="53"/>
        <v>6479.219856901912</v>
      </c>
      <c r="AN98" s="8">
        <f t="shared" si="54"/>
        <v>10279.660164803092</v>
      </c>
      <c r="AO98" s="8">
        <f t="shared" si="55"/>
        <v>0</v>
      </c>
    </row>
    <row r="99" spans="1:41">
      <c r="A99" s="1">
        <v>41826</v>
      </c>
      <c r="B99" s="5">
        <v>97</v>
      </c>
      <c r="C99" s="3">
        <f>B99/365+input!$K$3</f>
        <v>0.26575342465753427</v>
      </c>
      <c r="D99" s="4">
        <f t="shared" si="31"/>
        <v>7.043187736826538E-2</v>
      </c>
      <c r="E99" s="12">
        <f t="shared" si="32"/>
        <v>4.7516747145662984E-6</v>
      </c>
      <c r="F99" s="20">
        <f>input!E98</f>
        <v>0</v>
      </c>
      <c r="G99" s="19">
        <f t="shared" si="33"/>
        <v>0</v>
      </c>
      <c r="H99" s="19">
        <f t="shared" si="34"/>
        <v>1.5479676238523329E-23</v>
      </c>
      <c r="I99" s="5">
        <v>462</v>
      </c>
      <c r="J99" s="3">
        <f>I99/365+input!$K$3</f>
        <v>1.2657534246575342</v>
      </c>
      <c r="K99" s="4">
        <f t="shared" si="35"/>
        <v>8.1559804251635803</v>
      </c>
      <c r="L99" s="12">
        <f t="shared" si="36"/>
        <v>7.3784889750975191</v>
      </c>
      <c r="M99" s="20">
        <f>input!F98</f>
        <v>35226.79</v>
      </c>
      <c r="N99" s="19">
        <f t="shared" si="37"/>
        <v>0.7921712190088408</v>
      </c>
      <c r="O99" s="19">
        <f t="shared" si="38"/>
        <v>3.2590143737498641E-2</v>
      </c>
      <c r="P99" s="21">
        <v>827</v>
      </c>
      <c r="Q99" s="3">
        <f>P99/365+input!$K$3</f>
        <v>2.2657534246575342</v>
      </c>
      <c r="R99" s="4">
        <f t="shared" si="39"/>
        <v>11.476357450474101</v>
      </c>
      <c r="S99" s="12">
        <f t="shared" si="40"/>
        <v>20.556591620331115</v>
      </c>
      <c r="T99" s="20">
        <f>input!G98</f>
        <v>556.04999999999995</v>
      </c>
      <c r="U99" s="19">
        <f t="shared" si="41"/>
        <v>0.966701261357374</v>
      </c>
      <c r="V99" s="19">
        <f t="shared" si="28"/>
        <v>0.93007602055822547</v>
      </c>
      <c r="W99" s="21">
        <v>1192</v>
      </c>
      <c r="X99" s="3">
        <f>W99/365+input!$K$3</f>
        <v>3.2657534246575342</v>
      </c>
      <c r="Y99" s="4">
        <f t="shared" si="42"/>
        <v>12.589299260865312</v>
      </c>
      <c r="Z99" s="12">
        <f t="shared" si="43"/>
        <v>27.135859395209948</v>
      </c>
      <c r="AA99" s="20">
        <f>input!H98</f>
        <v>0</v>
      </c>
      <c r="AB99" s="19">
        <f t="shared" si="44"/>
        <v>0.98197554006092014</v>
      </c>
      <c r="AC99" s="19">
        <f t="shared" si="45"/>
        <v>0.99519142618801715</v>
      </c>
      <c r="AD99" s="8">
        <f t="shared" si="46"/>
        <v>0</v>
      </c>
      <c r="AE99" s="8">
        <f t="shared" si="47"/>
        <v>259920.48164307553</v>
      </c>
      <c r="AF99" s="8">
        <f t="shared" si="48"/>
        <v>11430.492770485116</v>
      </c>
      <c r="AG99" s="8">
        <f t="shared" si="49"/>
        <v>0</v>
      </c>
      <c r="AH99" s="8">
        <f t="shared" si="29"/>
        <v>0</v>
      </c>
      <c r="AI99" s="8">
        <f t="shared" si="30"/>
        <v>205901.52478856017</v>
      </c>
      <c r="AJ99" s="8">
        <f t="shared" si="50"/>
        <v>11049.871779164307</v>
      </c>
      <c r="AK99" s="8">
        <f t="shared" si="51"/>
        <v>0</v>
      </c>
      <c r="AL99" s="8">
        <f t="shared" si="52"/>
        <v>0</v>
      </c>
      <c r="AM99" s="8">
        <f t="shared" si="53"/>
        <v>6710.3602886293156</v>
      </c>
      <c r="AN99" s="8">
        <f t="shared" si="54"/>
        <v>10277.220772043776</v>
      </c>
      <c r="AO99" s="8">
        <f t="shared" si="55"/>
        <v>0</v>
      </c>
    </row>
    <row r="100" spans="1:41">
      <c r="A100" s="1">
        <v>41827</v>
      </c>
      <c r="B100" s="5">
        <v>98</v>
      </c>
      <c r="C100" s="3">
        <f>B100/365+input!$K$3</f>
        <v>0.26849315068493151</v>
      </c>
      <c r="D100" s="4">
        <f t="shared" si="31"/>
        <v>0.10384431860204445</v>
      </c>
      <c r="E100" s="12">
        <f t="shared" si="32"/>
        <v>1.5229552109828268E-5</v>
      </c>
      <c r="F100" s="20">
        <f>input!E99</f>
        <v>0</v>
      </c>
      <c r="G100" s="19">
        <f t="shared" si="33"/>
        <v>0</v>
      </c>
      <c r="H100" s="19">
        <f t="shared" si="34"/>
        <v>2.1629240688172923E-23</v>
      </c>
      <c r="I100" s="5">
        <v>463</v>
      </c>
      <c r="J100" s="3">
        <f>I100/365+input!$K$3</f>
        <v>1.2684931506849315</v>
      </c>
      <c r="K100" s="4">
        <f t="shared" si="35"/>
        <v>8.1697014363697331</v>
      </c>
      <c r="L100" s="12">
        <f t="shared" si="36"/>
        <v>7.4157907117221562</v>
      </c>
      <c r="M100" s="20">
        <f>input!F99</f>
        <v>34825.769999999997</v>
      </c>
      <c r="N100" s="19">
        <f t="shared" si="37"/>
        <v>0.79373795876087772</v>
      </c>
      <c r="O100" s="19">
        <f t="shared" si="38"/>
        <v>3.3602653030310854E-2</v>
      </c>
      <c r="P100" s="21">
        <v>828</v>
      </c>
      <c r="Q100" s="3">
        <f>P100/365+input!$K$3</f>
        <v>2.2684931506849315</v>
      </c>
      <c r="R100" s="4">
        <f t="shared" si="39"/>
        <v>11.481992062659486</v>
      </c>
      <c r="S100" s="12">
        <f t="shared" si="40"/>
        <v>20.586884847178652</v>
      </c>
      <c r="T100" s="20">
        <f>input!G99</f>
        <v>539.47</v>
      </c>
      <c r="U100" s="19">
        <f t="shared" si="41"/>
        <v>0.96680457660216657</v>
      </c>
      <c r="V100" s="19">
        <f t="shared" si="28"/>
        <v>0.93082879652278683</v>
      </c>
      <c r="W100" s="21">
        <v>1193</v>
      </c>
      <c r="X100" s="3">
        <f>W100/365+input!$K$3</f>
        <v>3.2684931506849315</v>
      </c>
      <c r="Y100" s="4">
        <f t="shared" si="42"/>
        <v>12.589299260865312</v>
      </c>
      <c r="Z100" s="12">
        <f t="shared" si="43"/>
        <v>27.135859395209948</v>
      </c>
      <c r="AA100" s="20">
        <f>input!H99</f>
        <v>0</v>
      </c>
      <c r="AB100" s="19">
        <f t="shared" si="44"/>
        <v>0.98197554006092014</v>
      </c>
      <c r="AC100" s="19">
        <f t="shared" si="45"/>
        <v>0.99519142618801715</v>
      </c>
      <c r="AD100" s="8">
        <f t="shared" si="46"/>
        <v>0</v>
      </c>
      <c r="AE100" s="8">
        <f t="shared" si="47"/>
        <v>258260.6216945721</v>
      </c>
      <c r="AF100" s="8">
        <f t="shared" si="48"/>
        <v>11106.006768507468</v>
      </c>
      <c r="AG100" s="8">
        <f t="shared" si="49"/>
        <v>0</v>
      </c>
      <c r="AH100" s="8">
        <f t="shared" si="29"/>
        <v>0</v>
      </c>
      <c r="AI100" s="8">
        <f t="shared" si="30"/>
        <v>204991.25869216491</v>
      </c>
      <c r="AJ100" s="8">
        <f t="shared" si="50"/>
        <v>10737.338171567659</v>
      </c>
      <c r="AK100" s="8">
        <f t="shared" si="51"/>
        <v>0</v>
      </c>
      <c r="AL100" s="8">
        <f t="shared" si="52"/>
        <v>0</v>
      </c>
      <c r="AM100" s="8">
        <f t="shared" si="53"/>
        <v>6888.2501400795109</v>
      </c>
      <c r="AN100" s="8">
        <f t="shared" si="54"/>
        <v>9994.6235680985046</v>
      </c>
      <c r="AO100" s="8">
        <f t="shared" si="55"/>
        <v>0</v>
      </c>
    </row>
    <row r="101" spans="1:41">
      <c r="A101" s="1">
        <v>41828</v>
      </c>
      <c r="B101" s="5">
        <v>99</v>
      </c>
      <c r="C101" s="3">
        <f>B101/365+input!$K$3</f>
        <v>0.27123287671232876</v>
      </c>
      <c r="D101" s="4">
        <f t="shared" si="31"/>
        <v>0.13717538765127396</v>
      </c>
      <c r="E101" s="12">
        <f t="shared" si="32"/>
        <v>3.5104880327830199E-5</v>
      </c>
      <c r="F101" s="20">
        <f>input!E100</f>
        <v>0</v>
      </c>
      <c r="G101" s="19">
        <f t="shared" si="33"/>
        <v>0</v>
      </c>
      <c r="H101" s="19">
        <f t="shared" si="34"/>
        <v>3.0163966053822458E-23</v>
      </c>
      <c r="I101" s="5">
        <v>464</v>
      </c>
      <c r="J101" s="3">
        <f>I101/365+input!$K$3</f>
        <v>1.2712328767123289</v>
      </c>
      <c r="K101" s="4">
        <f t="shared" si="35"/>
        <v>8.1833890316201856</v>
      </c>
      <c r="L101" s="12">
        <f t="shared" si="36"/>
        <v>7.4531266531246851</v>
      </c>
      <c r="M101" s="20">
        <f>input!F100</f>
        <v>34734.559999999998</v>
      </c>
      <c r="N101" s="19">
        <f t="shared" si="37"/>
        <v>0.7952891148995177</v>
      </c>
      <c r="O101" s="19">
        <f t="shared" si="38"/>
        <v>3.463835138771694E-2</v>
      </c>
      <c r="P101" s="21">
        <v>829</v>
      </c>
      <c r="Q101" s="3">
        <f>P101/365+input!$K$3</f>
        <v>2.2712328767123289</v>
      </c>
      <c r="R101" s="4">
        <f t="shared" si="39"/>
        <v>11.48761295239043</v>
      </c>
      <c r="S101" s="12">
        <f t="shared" si="40"/>
        <v>20.617133936213992</v>
      </c>
      <c r="T101" s="20">
        <f>input!G100</f>
        <v>538.08000000000004</v>
      </c>
      <c r="U101" s="19">
        <f t="shared" si="41"/>
        <v>0.96690732084985498</v>
      </c>
      <c r="V101" s="19">
        <f t="shared" si="28"/>
        <v>0.93157350218416424</v>
      </c>
      <c r="W101" s="21">
        <v>1194</v>
      </c>
      <c r="X101" s="3">
        <f>W101/365+input!$K$3</f>
        <v>3.2712328767123289</v>
      </c>
      <c r="Y101" s="4">
        <f t="shared" si="42"/>
        <v>12.589299260865312</v>
      </c>
      <c r="Z101" s="12">
        <f t="shared" si="43"/>
        <v>27.135859395209948</v>
      </c>
      <c r="AA101" s="20">
        <f>input!H100</f>
        <v>0</v>
      </c>
      <c r="AB101" s="19">
        <f t="shared" si="44"/>
        <v>0.98197554006092014</v>
      </c>
      <c r="AC101" s="19">
        <f t="shared" si="45"/>
        <v>0.99519142618801715</v>
      </c>
      <c r="AD101" s="8">
        <f t="shared" si="46"/>
        <v>0</v>
      </c>
      <c r="AE101" s="8">
        <f t="shared" si="47"/>
        <v>258881.07492055855</v>
      </c>
      <c r="AF101" s="8">
        <f t="shared" si="48"/>
        <v>11093.667428398026</v>
      </c>
      <c r="AG101" s="8">
        <f t="shared" si="49"/>
        <v>0</v>
      </c>
      <c r="AH101" s="8">
        <f t="shared" si="29"/>
        <v>0</v>
      </c>
      <c r="AI101" s="8">
        <f t="shared" si="30"/>
        <v>205885.30093780672</v>
      </c>
      <c r="AJ101" s="8">
        <f t="shared" si="50"/>
        <v>10726.548251591636</v>
      </c>
      <c r="AK101" s="8">
        <f t="shared" si="51"/>
        <v>0</v>
      </c>
      <c r="AL101" s="8">
        <f t="shared" si="52"/>
        <v>0</v>
      </c>
      <c r="AM101" s="8">
        <f t="shared" si="53"/>
        <v>7131.5273994495974</v>
      </c>
      <c r="AN101" s="8">
        <f t="shared" si="54"/>
        <v>9992.5681210826442</v>
      </c>
      <c r="AO101" s="8">
        <f t="shared" si="55"/>
        <v>0</v>
      </c>
    </row>
    <row r="102" spans="1:41">
      <c r="A102" s="1">
        <v>41829</v>
      </c>
      <c r="B102" s="5">
        <v>100</v>
      </c>
      <c r="C102" s="3">
        <f>B102/365+input!$K$3</f>
        <v>0.27397260273972601</v>
      </c>
      <c r="D102" s="4">
        <f t="shared" si="31"/>
        <v>0.17042528268861834</v>
      </c>
      <c r="E102" s="12">
        <f t="shared" si="32"/>
        <v>6.7319514852074111E-5</v>
      </c>
      <c r="F102" s="20">
        <f>input!E101</f>
        <v>0</v>
      </c>
      <c r="G102" s="19">
        <f t="shared" si="33"/>
        <v>0</v>
      </c>
      <c r="H102" s="19">
        <f t="shared" si="34"/>
        <v>4.1986315669688875E-23</v>
      </c>
      <c r="I102" s="5">
        <v>465</v>
      </c>
      <c r="J102" s="3">
        <f>I102/365+input!$K$3</f>
        <v>1.273972602739726</v>
      </c>
      <c r="K102" s="4">
        <f t="shared" si="35"/>
        <v>8.19704329229568</v>
      </c>
      <c r="L102" s="12">
        <f t="shared" si="36"/>
        <v>7.4904963161499154</v>
      </c>
      <c r="M102" s="20">
        <f>input!F101</f>
        <v>34343.160000000003</v>
      </c>
      <c r="N102" s="19">
        <f t="shared" si="37"/>
        <v>0.79682487069529606</v>
      </c>
      <c r="O102" s="19">
        <f t="shared" si="38"/>
        <v>3.5697506982484119E-2</v>
      </c>
      <c r="P102" s="21">
        <v>830</v>
      </c>
      <c r="Q102" s="3">
        <f>P102/365+input!$K$3</f>
        <v>2.2739726027397262</v>
      </c>
      <c r="R102" s="4">
        <f t="shared" si="39"/>
        <v>11.493220153086403</v>
      </c>
      <c r="S102" s="12">
        <f t="shared" si="40"/>
        <v>20.647338865184548</v>
      </c>
      <c r="T102" s="20">
        <f>input!G101</f>
        <v>521.54</v>
      </c>
      <c r="U102" s="19">
        <f t="shared" si="41"/>
        <v>0.96700949802852465</v>
      </c>
      <c r="V102" s="19">
        <f t="shared" si="28"/>
        <v>0.9323102157779255</v>
      </c>
      <c r="W102" s="21">
        <v>1195</v>
      </c>
      <c r="X102" s="3">
        <f>W102/365+input!$K$3</f>
        <v>3.2739726027397262</v>
      </c>
      <c r="Y102" s="4">
        <f t="shared" si="42"/>
        <v>12.589299260865312</v>
      </c>
      <c r="Z102" s="12">
        <f t="shared" si="43"/>
        <v>27.135859395209948</v>
      </c>
      <c r="AA102" s="20">
        <f>input!H101</f>
        <v>0</v>
      </c>
      <c r="AB102" s="19">
        <f t="shared" si="44"/>
        <v>0.98197554006092014</v>
      </c>
      <c r="AC102" s="19">
        <f t="shared" si="45"/>
        <v>0.99519142618801715</v>
      </c>
      <c r="AD102" s="8">
        <f t="shared" si="46"/>
        <v>0</v>
      </c>
      <c r="AE102" s="8">
        <f t="shared" si="47"/>
        <v>257247.31346494716</v>
      </c>
      <c r="AF102" s="8">
        <f t="shared" si="48"/>
        <v>10768.413111748348</v>
      </c>
      <c r="AG102" s="8">
        <f t="shared" si="49"/>
        <v>0</v>
      </c>
      <c r="AH102" s="8">
        <f t="shared" si="29"/>
        <v>0</v>
      </c>
      <c r="AI102" s="8">
        <f t="shared" si="30"/>
        <v>204981.05728841882</v>
      </c>
      <c r="AJ102" s="8">
        <f t="shared" si="50"/>
        <v>10413.157757755553</v>
      </c>
      <c r="AK102" s="8">
        <f t="shared" si="51"/>
        <v>0</v>
      </c>
      <c r="AL102" s="8">
        <f t="shared" si="52"/>
        <v>0</v>
      </c>
      <c r="AM102" s="8">
        <f t="shared" si="53"/>
        <v>7317.3127238303077</v>
      </c>
      <c r="AN102" s="8">
        <f t="shared" si="54"/>
        <v>9708.2933560626589</v>
      </c>
      <c r="AO102" s="8">
        <f t="shared" si="55"/>
        <v>0</v>
      </c>
    </row>
    <row r="103" spans="1:41">
      <c r="A103" s="1">
        <v>41830</v>
      </c>
      <c r="B103" s="5">
        <v>101</v>
      </c>
      <c r="C103" s="3">
        <f>B103/365+input!$K$3</f>
        <v>0.27671232876712326</v>
      </c>
      <c r="D103" s="4">
        <f t="shared" si="31"/>
        <v>0.20359420140410878</v>
      </c>
      <c r="E103" s="12">
        <f t="shared" si="32"/>
        <v>1.1477178134719327E-4</v>
      </c>
      <c r="F103" s="20">
        <f>input!E102</f>
        <v>0</v>
      </c>
      <c r="G103" s="19">
        <f t="shared" si="33"/>
        <v>0</v>
      </c>
      <c r="H103" s="19">
        <f t="shared" si="34"/>
        <v>5.8331561858830031E-23</v>
      </c>
      <c r="I103" s="5">
        <v>466</v>
      </c>
      <c r="J103" s="3">
        <f>I103/365+input!$K$3</f>
        <v>1.2767123287671234</v>
      </c>
      <c r="K103" s="4">
        <f t="shared" si="35"/>
        <v>8.2106642995787738</v>
      </c>
      <c r="L103" s="12">
        <f t="shared" si="36"/>
        <v>7.5278992192450263</v>
      </c>
      <c r="M103" s="20">
        <f>input!F102</f>
        <v>34254.75</v>
      </c>
      <c r="N103" s="19">
        <f t="shared" si="37"/>
        <v>0.7983454069668966</v>
      </c>
      <c r="O103" s="19">
        <f t="shared" si="38"/>
        <v>3.6780383926742946E-2</v>
      </c>
      <c r="P103" s="21">
        <v>831</v>
      </c>
      <c r="Q103" s="3">
        <f>P103/365+input!$K$3</f>
        <v>2.2767123287671232</v>
      </c>
      <c r="R103" s="4">
        <f t="shared" si="39"/>
        <v>11.498813698085485</v>
      </c>
      <c r="S103" s="12">
        <f t="shared" si="40"/>
        <v>20.677499612417851</v>
      </c>
      <c r="T103" s="20">
        <f>input!G102</f>
        <v>520.21</v>
      </c>
      <c r="U103" s="19">
        <f t="shared" si="41"/>
        <v>0.96711111203416156</v>
      </c>
      <c r="V103" s="19">
        <f t="shared" si="28"/>
        <v>0.93303901501063191</v>
      </c>
      <c r="W103" s="21">
        <v>1196</v>
      </c>
      <c r="X103" s="3">
        <f>W103/365+input!$K$3</f>
        <v>3.2767123287671232</v>
      </c>
      <c r="Y103" s="4">
        <f t="shared" si="42"/>
        <v>12.589299260865312</v>
      </c>
      <c r="Z103" s="12">
        <f t="shared" si="43"/>
        <v>27.135859395209948</v>
      </c>
      <c r="AA103" s="20">
        <f>input!H102</f>
        <v>0</v>
      </c>
      <c r="AB103" s="19">
        <f t="shared" si="44"/>
        <v>0.98197554006092014</v>
      </c>
      <c r="AC103" s="19">
        <f t="shared" si="45"/>
        <v>0.99519142618801715</v>
      </c>
      <c r="AD103" s="8">
        <f t="shared" si="46"/>
        <v>0</v>
      </c>
      <c r="AE103" s="8">
        <f t="shared" si="47"/>
        <v>257866.30578043355</v>
      </c>
      <c r="AF103" s="8">
        <f t="shared" si="48"/>
        <v>10756.642073375891</v>
      </c>
      <c r="AG103" s="8">
        <f t="shared" si="49"/>
        <v>0</v>
      </c>
      <c r="AH103" s="8">
        <f t="shared" si="29"/>
        <v>0</v>
      </c>
      <c r="AI103" s="8">
        <f t="shared" si="30"/>
        <v>205866.38083133043</v>
      </c>
      <c r="AJ103" s="8">
        <f t="shared" si="50"/>
        <v>10402.868077336008</v>
      </c>
      <c r="AK103" s="8">
        <f t="shared" si="51"/>
        <v>0</v>
      </c>
      <c r="AL103" s="8">
        <f t="shared" si="52"/>
        <v>0</v>
      </c>
      <c r="AM103" s="8">
        <f t="shared" si="53"/>
        <v>7571.8445245854082</v>
      </c>
      <c r="AN103" s="8">
        <f t="shared" si="54"/>
        <v>9706.2817841631349</v>
      </c>
      <c r="AO103" s="8">
        <f t="shared" si="55"/>
        <v>0</v>
      </c>
    </row>
    <row r="104" spans="1:41">
      <c r="A104" s="1">
        <v>41831</v>
      </c>
      <c r="B104" s="5">
        <v>102</v>
      </c>
      <c r="C104" s="3">
        <f>B104/365+input!$K$3</f>
        <v>0.27945205479452057</v>
      </c>
      <c r="D104" s="4">
        <f t="shared" si="31"/>
        <v>0.2366823410063344</v>
      </c>
      <c r="E104" s="12">
        <f t="shared" si="32"/>
        <v>1.8031691850565576E-4</v>
      </c>
      <c r="F104" s="20">
        <f>input!E103</f>
        <v>0</v>
      </c>
      <c r="G104" s="19">
        <f t="shared" si="33"/>
        <v>0</v>
      </c>
      <c r="H104" s="19">
        <f t="shared" si="34"/>
        <v>8.0887292432019581E-23</v>
      </c>
      <c r="I104" s="5">
        <v>467</v>
      </c>
      <c r="J104" s="3">
        <f>I104/365+input!$K$3</f>
        <v>1.2794520547945205</v>
      </c>
      <c r="K104" s="4">
        <f t="shared" si="35"/>
        <v>8.2242521344542983</v>
      </c>
      <c r="L104" s="12">
        <f t="shared" si="36"/>
        <v>7.5653348824645965</v>
      </c>
      <c r="M104" s="20">
        <f>input!F103</f>
        <v>33861.21</v>
      </c>
      <c r="N104" s="19">
        <f t="shared" si="37"/>
        <v>0.79985090211759391</v>
      </c>
      <c r="O104" s="19">
        <f t="shared" si="38"/>
        <v>3.7887242082296359E-2</v>
      </c>
      <c r="P104" s="21">
        <v>832</v>
      </c>
      <c r="Q104" s="3">
        <f>P104/365+input!$K$3</f>
        <v>2.2794520547945205</v>
      </c>
      <c r="R104" s="4">
        <f t="shared" si="39"/>
        <v>11.504393620644569</v>
      </c>
      <c r="S104" s="12">
        <f t="shared" si="40"/>
        <v>20.707616156818428</v>
      </c>
      <c r="T104" s="20">
        <f>input!G103</f>
        <v>504.77</v>
      </c>
      <c r="U104" s="19">
        <f t="shared" si="41"/>
        <v>0.96721216673095245</v>
      </c>
      <c r="V104" s="19">
        <f t="shared" si="28"/>
        <v>0.93375997705780367</v>
      </c>
      <c r="W104" s="21">
        <v>1197</v>
      </c>
      <c r="X104" s="3">
        <f>W104/365+input!$K$3</f>
        <v>3.2794520547945205</v>
      </c>
      <c r="Y104" s="4">
        <f t="shared" si="42"/>
        <v>12.589299260865312</v>
      </c>
      <c r="Z104" s="12">
        <f t="shared" si="43"/>
        <v>27.135859395209948</v>
      </c>
      <c r="AA104" s="20">
        <f>input!H103</f>
        <v>0</v>
      </c>
      <c r="AB104" s="19">
        <f t="shared" si="44"/>
        <v>0.98197554006092014</v>
      </c>
      <c r="AC104" s="19">
        <f t="shared" si="45"/>
        <v>0.99519142618801715</v>
      </c>
      <c r="AD104" s="8">
        <f t="shared" si="46"/>
        <v>0</v>
      </c>
      <c r="AE104" s="8">
        <f t="shared" si="47"/>
        <v>256171.393175459</v>
      </c>
      <c r="AF104" s="8">
        <f t="shared" si="48"/>
        <v>10452.583407477237</v>
      </c>
      <c r="AG104" s="8">
        <f t="shared" si="49"/>
        <v>0</v>
      </c>
      <c r="AH104" s="8">
        <f t="shared" si="29"/>
        <v>0</v>
      </c>
      <c r="AI104" s="8">
        <f t="shared" si="30"/>
        <v>204898.91992811172</v>
      </c>
      <c r="AJ104" s="8">
        <f t="shared" si="50"/>
        <v>10109.865845482062</v>
      </c>
      <c r="AK104" s="8">
        <f t="shared" si="51"/>
        <v>0</v>
      </c>
      <c r="AL104" s="8">
        <f t="shared" si="52"/>
        <v>0</v>
      </c>
      <c r="AM104" s="8">
        <f t="shared" si="53"/>
        <v>7763.054981717426</v>
      </c>
      <c r="AN104" s="8">
        <f t="shared" si="54"/>
        <v>9440.1880999348032</v>
      </c>
      <c r="AO104" s="8">
        <f t="shared" si="55"/>
        <v>0</v>
      </c>
    </row>
    <row r="105" spans="1:41">
      <c r="A105" s="1">
        <v>41832</v>
      </c>
      <c r="B105" s="5">
        <v>103</v>
      </c>
      <c r="C105" s="3">
        <f>B105/365+input!$K$3</f>
        <v>0.28219178082191781</v>
      </c>
      <c r="D105" s="4">
        <f t="shared" si="31"/>
        <v>0.26968989822359357</v>
      </c>
      <c r="E105" s="12">
        <f t="shared" si="32"/>
        <v>2.6676751701168081E-4</v>
      </c>
      <c r="F105" s="20">
        <f>input!E104</f>
        <v>0</v>
      </c>
      <c r="G105" s="19">
        <f t="shared" si="33"/>
        <v>0</v>
      </c>
      <c r="H105" s="19">
        <f t="shared" si="34"/>
        <v>1.1195465720732886E-22</v>
      </c>
      <c r="I105" s="5">
        <v>468</v>
      </c>
      <c r="J105" s="3">
        <f>I105/365+input!$K$3</f>
        <v>1.2821917808219179</v>
      </c>
      <c r="K105" s="4">
        <f t="shared" si="35"/>
        <v>8.2378068777098701</v>
      </c>
      <c r="L105" s="12">
        <f t="shared" si="36"/>
        <v>7.6028028274756494</v>
      </c>
      <c r="M105" s="20">
        <f>input!F104</f>
        <v>33771.629999999997</v>
      </c>
      <c r="N105" s="19">
        <f t="shared" si="37"/>
        <v>0.80134153217110782</v>
      </c>
      <c r="O105" s="19">
        <f t="shared" si="38"/>
        <v>3.9018336872573993E-2</v>
      </c>
      <c r="P105" s="21">
        <v>833</v>
      </c>
      <c r="Q105" s="3">
        <f>P105/365+input!$K$3</f>
        <v>2.2821917808219179</v>
      </c>
      <c r="R105" s="4">
        <f t="shared" si="39"/>
        <v>11.50995995393955</v>
      </c>
      <c r="S105" s="12">
        <f t="shared" si="40"/>
        <v>20.737688477864506</v>
      </c>
      <c r="T105" s="20">
        <f>input!G104</f>
        <v>503.49</v>
      </c>
      <c r="U105" s="19">
        <f t="shared" si="41"/>
        <v>0.9673126659515825</v>
      </c>
      <c r="V105" s="19">
        <f t="shared" si="28"/>
        <v>0.93447317856205536</v>
      </c>
      <c r="W105" s="21">
        <v>1198</v>
      </c>
      <c r="X105" s="3">
        <f>W105/365+input!$K$3</f>
        <v>3.2821917808219179</v>
      </c>
      <c r="Y105" s="4">
        <f t="shared" si="42"/>
        <v>12.589299260865312</v>
      </c>
      <c r="Z105" s="12">
        <f t="shared" si="43"/>
        <v>27.135859395209948</v>
      </c>
      <c r="AA105" s="20">
        <f>input!H104</f>
        <v>0</v>
      </c>
      <c r="AB105" s="19">
        <f t="shared" si="44"/>
        <v>0.98197554006092014</v>
      </c>
      <c r="AC105" s="19">
        <f t="shared" si="45"/>
        <v>0.99519142618801715</v>
      </c>
      <c r="AD105" s="8">
        <f t="shared" si="46"/>
        <v>0</v>
      </c>
      <c r="AE105" s="8">
        <f t="shared" si="47"/>
        <v>256759.04405246145</v>
      </c>
      <c r="AF105" s="8">
        <f t="shared" si="48"/>
        <v>10441.218771719999</v>
      </c>
      <c r="AG105" s="8">
        <f t="shared" si="49"/>
        <v>0</v>
      </c>
      <c r="AH105" s="8">
        <f t="shared" si="29"/>
        <v>0</v>
      </c>
      <c r="AI105" s="8">
        <f t="shared" si="30"/>
        <v>205751.68575978844</v>
      </c>
      <c r="AJ105" s="8">
        <f t="shared" si="50"/>
        <v>10099.92316585618</v>
      </c>
      <c r="AK105" s="8">
        <f t="shared" si="51"/>
        <v>0</v>
      </c>
      <c r="AL105" s="8">
        <f t="shared" si="52"/>
        <v>0</v>
      </c>
      <c r="AM105" s="8">
        <f t="shared" si="53"/>
        <v>8028.0885870754109</v>
      </c>
      <c r="AN105" s="8">
        <f t="shared" si="54"/>
        <v>9438.1073040301617</v>
      </c>
      <c r="AO105" s="8">
        <f t="shared" si="55"/>
        <v>0</v>
      </c>
    </row>
    <row r="106" spans="1:41">
      <c r="A106" s="1">
        <v>41833</v>
      </c>
      <c r="B106" s="5">
        <v>104</v>
      </c>
      <c r="C106" s="3">
        <f>B106/365+input!$K$3</f>
        <v>0.28493150684931506</v>
      </c>
      <c r="D106" s="4">
        <f t="shared" si="31"/>
        <v>0.30261706930508497</v>
      </c>
      <c r="E106" s="12">
        <f t="shared" si="32"/>
        <v>3.7689395465408896E-4</v>
      </c>
      <c r="F106" s="20">
        <f>input!E105</f>
        <v>0</v>
      </c>
      <c r="G106" s="19">
        <f t="shared" si="33"/>
        <v>0</v>
      </c>
      <c r="H106" s="19">
        <f t="shared" si="34"/>
        <v>1.5466551773471278E-22</v>
      </c>
      <c r="I106" s="5">
        <v>469</v>
      </c>
      <c r="J106" s="3">
        <f>I106/365+input!$K$3</f>
        <v>1.284931506849315</v>
      </c>
      <c r="K106" s="4">
        <f t="shared" si="35"/>
        <v>8.2513286099363423</v>
      </c>
      <c r="L106" s="12">
        <f t="shared" si="36"/>
        <v>7.6403025775624087</v>
      </c>
      <c r="M106" s="20">
        <f>input!F105</f>
        <v>33394.910000000003</v>
      </c>
      <c r="N106" s="19">
        <f t="shared" si="37"/>
        <v>0.80281747080687182</v>
      </c>
      <c r="O106" s="19">
        <f t="shared" si="38"/>
        <v>4.0173919096409889E-2</v>
      </c>
      <c r="P106" s="21">
        <v>834</v>
      </c>
      <c r="Q106" s="3">
        <f>P106/365+input!$K$3</f>
        <v>2.2849315068493152</v>
      </c>
      <c r="R106" s="4">
        <f t="shared" si="39"/>
        <v>11.515512731065529</v>
      </c>
      <c r="S106" s="12">
        <f t="shared" si="40"/>
        <v>20.767716555604917</v>
      </c>
      <c r="T106" s="20">
        <f>input!G105</f>
        <v>489.39</v>
      </c>
      <c r="U106" s="19">
        <f t="shared" si="41"/>
        <v>0.96741261349752972</v>
      </c>
      <c r="V106" s="19">
        <f t="shared" si="28"/>
        <v>0.93517869563139944</v>
      </c>
      <c r="W106" s="21">
        <v>1199</v>
      </c>
      <c r="X106" s="3">
        <f>W106/365+input!$K$3</f>
        <v>3.2849315068493152</v>
      </c>
      <c r="Y106" s="4">
        <f t="shared" si="42"/>
        <v>12.589299260865312</v>
      </c>
      <c r="Z106" s="12">
        <f t="shared" si="43"/>
        <v>27.135859395209948</v>
      </c>
      <c r="AA106" s="20">
        <f>input!H105</f>
        <v>0</v>
      </c>
      <c r="AB106" s="19">
        <f t="shared" si="44"/>
        <v>0.98197554006092014</v>
      </c>
      <c r="AC106" s="19">
        <f t="shared" si="45"/>
        <v>0.99519142618801715</v>
      </c>
      <c r="AD106" s="8">
        <f t="shared" si="46"/>
        <v>0</v>
      </c>
      <c r="AE106" s="8">
        <f t="shared" si="47"/>
        <v>255147.21695046467</v>
      </c>
      <c r="AF106" s="8">
        <f t="shared" si="48"/>
        <v>10163.512805147489</v>
      </c>
      <c r="AG106" s="8">
        <f t="shared" si="49"/>
        <v>0</v>
      </c>
      <c r="AH106" s="8">
        <f t="shared" si="29"/>
        <v>0</v>
      </c>
      <c r="AI106" s="8">
        <f t="shared" si="30"/>
        <v>204836.64339558425</v>
      </c>
      <c r="AJ106" s="8">
        <f t="shared" si="50"/>
        <v>9832.3104851433418</v>
      </c>
      <c r="AK106" s="8">
        <f t="shared" si="51"/>
        <v>0</v>
      </c>
      <c r="AL106" s="8">
        <f t="shared" si="52"/>
        <v>0</v>
      </c>
      <c r="AM106" s="8">
        <f t="shared" si="53"/>
        <v>8229.0907397543651</v>
      </c>
      <c r="AN106" s="8">
        <f t="shared" si="54"/>
        <v>9194.9672945392831</v>
      </c>
      <c r="AO106" s="8">
        <f t="shared" si="55"/>
        <v>0</v>
      </c>
    </row>
    <row r="107" spans="1:41">
      <c r="A107" s="1">
        <v>41834</v>
      </c>
      <c r="B107" s="5">
        <v>105</v>
      </c>
      <c r="C107" s="3">
        <f>B107/365+input!$K$3</f>
        <v>0.28767123287671231</v>
      </c>
      <c r="D107" s="4">
        <f t="shared" si="31"/>
        <v>0.33546405002206053</v>
      </c>
      <c r="E107" s="12">
        <f t="shared" si="32"/>
        <v>5.1342482761929076E-4</v>
      </c>
      <c r="F107" s="20">
        <f>input!E106</f>
        <v>0</v>
      </c>
      <c r="G107" s="19">
        <f t="shared" si="33"/>
        <v>0</v>
      </c>
      <c r="H107" s="19">
        <f t="shared" si="34"/>
        <v>2.1327432611668265E-22</v>
      </c>
      <c r="I107" s="5">
        <v>470</v>
      </c>
      <c r="J107" s="3">
        <f>I107/365+input!$K$3</f>
        <v>1.2876712328767124</v>
      </c>
      <c r="K107" s="4">
        <f t="shared" si="35"/>
        <v>8.2648174115283144</v>
      </c>
      <c r="L107" s="12">
        <f t="shared" si="36"/>
        <v>7.6778336576310791</v>
      </c>
      <c r="M107" s="20">
        <f>input!F106</f>
        <v>33310.339999999997</v>
      </c>
      <c r="N107" s="19">
        <f t="shared" si="37"/>
        <v>0.80427888939473424</v>
      </c>
      <c r="O107" s="19">
        <f t="shared" si="38"/>
        <v>4.1354234743838855E-2</v>
      </c>
      <c r="P107" s="21">
        <v>835</v>
      </c>
      <c r="Q107" s="3">
        <f>P107/365+input!$K$3</f>
        <v>2.2876712328767121</v>
      </c>
      <c r="R107" s="4">
        <f t="shared" si="39"/>
        <v>11.521051985037008</v>
      </c>
      <c r="S107" s="12">
        <f t="shared" si="40"/>
        <v>20.797700370655882</v>
      </c>
      <c r="T107" s="20">
        <f>input!G106</f>
        <v>488.15</v>
      </c>
      <c r="U107" s="19">
        <f t="shared" si="41"/>
        <v>0.96751201313935598</v>
      </c>
      <c r="V107" s="19">
        <f t="shared" si="28"/>
        <v>0.93587660383770976</v>
      </c>
      <c r="W107" s="21">
        <v>1200</v>
      </c>
      <c r="X107" s="3">
        <f>W107/365+input!$K$3</f>
        <v>3.2876712328767121</v>
      </c>
      <c r="Y107" s="4">
        <f t="shared" si="42"/>
        <v>12.589299260865312</v>
      </c>
      <c r="Z107" s="12">
        <f t="shared" si="43"/>
        <v>27.135859395209948</v>
      </c>
      <c r="AA107" s="20">
        <f>input!H106</f>
        <v>0</v>
      </c>
      <c r="AB107" s="19">
        <f t="shared" si="44"/>
        <v>0.98197554006092014</v>
      </c>
      <c r="AC107" s="19">
        <f t="shared" si="45"/>
        <v>0.99519142618801715</v>
      </c>
      <c r="AD107" s="8">
        <f t="shared" si="46"/>
        <v>0</v>
      </c>
      <c r="AE107" s="8">
        <f t="shared" si="47"/>
        <v>255751.24959913481</v>
      </c>
      <c r="AF107" s="8">
        <f t="shared" si="48"/>
        <v>10152.397435935669</v>
      </c>
      <c r="AG107" s="8">
        <f t="shared" si="49"/>
        <v>0</v>
      </c>
      <c r="AH107" s="8">
        <f t="shared" si="29"/>
        <v>0</v>
      </c>
      <c r="AI107" s="8">
        <f t="shared" si="30"/>
        <v>205695.3309889076</v>
      </c>
      <c r="AJ107" s="8">
        <f t="shared" si="50"/>
        <v>9822.5664814329557</v>
      </c>
      <c r="AK107" s="8">
        <f t="shared" si="51"/>
        <v>0</v>
      </c>
      <c r="AL107" s="8">
        <f t="shared" si="52"/>
        <v>0</v>
      </c>
      <c r="AM107" s="8">
        <f t="shared" si="53"/>
        <v>8506.3730034269156</v>
      </c>
      <c r="AN107" s="8">
        <f t="shared" si="54"/>
        <v>9192.7101596135963</v>
      </c>
      <c r="AO107" s="8">
        <f t="shared" si="55"/>
        <v>0</v>
      </c>
    </row>
    <row r="108" spans="1:41">
      <c r="A108" s="1">
        <v>41835</v>
      </c>
      <c r="B108" s="5">
        <v>106</v>
      </c>
      <c r="C108" s="3">
        <f>B108/365+input!$K$3</f>
        <v>0.29041095890410956</v>
      </c>
      <c r="D108" s="4">
        <f t="shared" si="31"/>
        <v>0.3682310356689934</v>
      </c>
      <c r="E108" s="12">
        <f t="shared" si="32"/>
        <v>6.7904737799561821E-4</v>
      </c>
      <c r="F108" s="20">
        <f>input!E107</f>
        <v>0</v>
      </c>
      <c r="G108" s="19">
        <f t="shared" si="33"/>
        <v>0</v>
      </c>
      <c r="H108" s="19">
        <f t="shared" si="34"/>
        <v>2.9354970860111304E-22</v>
      </c>
      <c r="I108" s="5">
        <v>471</v>
      </c>
      <c r="J108" s="3">
        <f>I108/365+input!$K$3</f>
        <v>1.2904109589041095</v>
      </c>
      <c r="K108" s="4">
        <f t="shared" si="35"/>
        <v>8.2782733626845815</v>
      </c>
      <c r="L108" s="12">
        <f t="shared" si="36"/>
        <v>7.7153955942143213</v>
      </c>
      <c r="M108" s="20">
        <f>input!F107</f>
        <v>32924.699999999997</v>
      </c>
      <c r="N108" s="19">
        <f t="shared" si="37"/>
        <v>0.80572595702909178</v>
      </c>
      <c r="O108" s="19">
        <f t="shared" si="38"/>
        <v>4.2559524814084031E-2</v>
      </c>
      <c r="P108" s="21">
        <v>836</v>
      </c>
      <c r="Q108" s="3">
        <f>P108/365+input!$K$3</f>
        <v>2.2904109589041095</v>
      </c>
      <c r="R108" s="4">
        <f t="shared" si="39"/>
        <v>11.526577748788084</v>
      </c>
      <c r="S108" s="12">
        <f t="shared" si="40"/>
        <v>20.827639904197845</v>
      </c>
      <c r="T108" s="20">
        <f>input!G107</f>
        <v>474.1</v>
      </c>
      <c r="U108" s="19">
        <f t="shared" si="41"/>
        <v>0.96761086861699552</v>
      </c>
      <c r="V108" s="19">
        <f t="shared" si="28"/>
        <v>0.9365669782153454</v>
      </c>
      <c r="W108" s="21">
        <v>1201</v>
      </c>
      <c r="X108" s="3">
        <f>W108/365+input!$K$3</f>
        <v>3.2904109589041095</v>
      </c>
      <c r="Y108" s="4">
        <f t="shared" si="42"/>
        <v>12.589299260865312</v>
      </c>
      <c r="Z108" s="12">
        <f t="shared" si="43"/>
        <v>27.135859395209948</v>
      </c>
      <c r="AA108" s="20">
        <f>input!H107</f>
        <v>0</v>
      </c>
      <c r="AB108" s="19">
        <f t="shared" si="44"/>
        <v>0.98197554006092014</v>
      </c>
      <c r="AC108" s="19">
        <f t="shared" si="45"/>
        <v>0.99519142618801715</v>
      </c>
      <c r="AD108" s="8">
        <f t="shared" si="46"/>
        <v>0</v>
      </c>
      <c r="AE108" s="8">
        <f t="shared" si="47"/>
        <v>254027.08532082825</v>
      </c>
      <c r="AF108" s="8">
        <f t="shared" si="48"/>
        <v>9874.3840785801985</v>
      </c>
      <c r="AG108" s="8">
        <f t="shared" si="49"/>
        <v>0</v>
      </c>
      <c r="AH108" s="8">
        <f t="shared" si="29"/>
        <v>0</v>
      </c>
      <c r="AI108" s="8">
        <f t="shared" si="30"/>
        <v>204676.21643143508</v>
      </c>
      <c r="AJ108" s="8">
        <f t="shared" si="50"/>
        <v>9554.5613553328167</v>
      </c>
      <c r="AK108" s="8">
        <f t="shared" si="51"/>
        <v>0</v>
      </c>
      <c r="AL108" s="8">
        <f t="shared" si="52"/>
        <v>0</v>
      </c>
      <c r="AM108" s="8">
        <f t="shared" si="53"/>
        <v>8710.9225120664942</v>
      </c>
      <c r="AN108" s="8">
        <f t="shared" si="54"/>
        <v>8948.4866567371719</v>
      </c>
      <c r="AO108" s="8">
        <f t="shared" si="55"/>
        <v>0</v>
      </c>
    </row>
    <row r="109" spans="1:41">
      <c r="A109" s="1">
        <v>41836</v>
      </c>
      <c r="B109" s="5">
        <v>107</v>
      </c>
      <c r="C109" s="3">
        <f>B109/365+input!$K$3</f>
        <v>0.29315068493150687</v>
      </c>
      <c r="D109" s="4">
        <f t="shared" si="31"/>
        <v>0.40091822106474329</v>
      </c>
      <c r="E109" s="12">
        <f t="shared" si="32"/>
        <v>8.7640791751984282E-4</v>
      </c>
      <c r="F109" s="20">
        <f>input!E108</f>
        <v>0</v>
      </c>
      <c r="G109" s="19">
        <f t="shared" si="33"/>
        <v>0</v>
      </c>
      <c r="H109" s="19">
        <f t="shared" si="34"/>
        <v>4.0329882516469723E-22</v>
      </c>
      <c r="I109" s="5">
        <v>472</v>
      </c>
      <c r="J109" s="3">
        <f>I109/365+input!$K$3</f>
        <v>1.2931506849315069</v>
      </c>
      <c r="K109" s="4">
        <f t="shared" si="35"/>
        <v>8.2916965434086283</v>
      </c>
      <c r="L109" s="12">
        <f t="shared" si="36"/>
        <v>7.7529879154757406</v>
      </c>
      <c r="M109" s="20">
        <f>input!F108</f>
        <v>32829.550000000003</v>
      </c>
      <c r="N109" s="19">
        <f t="shared" si="37"/>
        <v>0.80715884056247622</v>
      </c>
      <c r="O109" s="19">
        <f t="shared" si="38"/>
        <v>4.3790025135925364E-2</v>
      </c>
      <c r="P109" s="21">
        <v>837</v>
      </c>
      <c r="Q109" s="3">
        <f>P109/365+input!$K$3</f>
        <v>2.2931506849315069</v>
      </c>
      <c r="R109" s="4">
        <f t="shared" si="39"/>
        <v>11.532090055172647</v>
      </c>
      <c r="S109" s="12">
        <f t="shared" si="40"/>
        <v>20.857535137972349</v>
      </c>
      <c r="T109" s="20">
        <f>input!G108</f>
        <v>472.82</v>
      </c>
      <c r="U109" s="19">
        <f t="shared" si="41"/>
        <v>0.96770918364003977</v>
      </c>
      <c r="V109" s="19">
        <f t="shared" si="28"/>
        <v>0.93724989325992913</v>
      </c>
      <c r="W109" s="21">
        <v>1202</v>
      </c>
      <c r="X109" s="3">
        <f>W109/365+input!$K$3</f>
        <v>3.2931506849315069</v>
      </c>
      <c r="Y109" s="4">
        <f t="shared" si="42"/>
        <v>12.589299260865312</v>
      </c>
      <c r="Z109" s="12">
        <f t="shared" si="43"/>
        <v>27.135859395209948</v>
      </c>
      <c r="AA109" s="20">
        <f>input!H108</f>
        <v>0</v>
      </c>
      <c r="AB109" s="19">
        <f t="shared" si="44"/>
        <v>0.98197554006092014</v>
      </c>
      <c r="AC109" s="19">
        <f t="shared" si="45"/>
        <v>0.99519142618801715</v>
      </c>
      <c r="AD109" s="8">
        <f t="shared" si="46"/>
        <v>0</v>
      </c>
      <c r="AE109" s="8">
        <f t="shared" si="47"/>
        <v>254527.10442050663</v>
      </c>
      <c r="AF109" s="8">
        <f t="shared" si="48"/>
        <v>9861.8597639360851</v>
      </c>
      <c r="AG109" s="8">
        <f t="shared" si="49"/>
        <v>0</v>
      </c>
      <c r="AH109" s="8">
        <f t="shared" si="29"/>
        <v>0</v>
      </c>
      <c r="AI109" s="8">
        <f t="shared" si="30"/>
        <v>205443.80249578046</v>
      </c>
      <c r="AJ109" s="8">
        <f t="shared" si="50"/>
        <v>9543.4122613311447</v>
      </c>
      <c r="AK109" s="8">
        <f t="shared" si="51"/>
        <v>0</v>
      </c>
      <c r="AL109" s="8">
        <f t="shared" si="52"/>
        <v>0</v>
      </c>
      <c r="AM109" s="8">
        <f t="shared" si="53"/>
        <v>8996.3892753103119</v>
      </c>
      <c r="AN109" s="8">
        <f t="shared" si="54"/>
        <v>8944.5621232681151</v>
      </c>
      <c r="AO109" s="8">
        <f t="shared" si="55"/>
        <v>0</v>
      </c>
    </row>
    <row r="110" spans="1:41">
      <c r="A110" s="1">
        <v>41837</v>
      </c>
      <c r="B110" s="5">
        <v>108</v>
      </c>
      <c r="C110" s="3">
        <f>B110/365+input!$K$3</f>
        <v>0.29589041095890412</v>
      </c>
      <c r="D110" s="4">
        <f t="shared" si="31"/>
        <v>0.43352580055370293</v>
      </c>
      <c r="E110" s="12">
        <f t="shared" si="32"/>
        <v>1.1081122475963868E-3</v>
      </c>
      <c r="F110" s="20">
        <f>input!E109</f>
        <v>0</v>
      </c>
      <c r="G110" s="19">
        <f t="shared" si="33"/>
        <v>0</v>
      </c>
      <c r="H110" s="19">
        <f t="shared" si="34"/>
        <v>5.5306821284400516E-22</v>
      </c>
      <c r="I110" s="5">
        <v>473</v>
      </c>
      <c r="J110" s="3">
        <f>I110/365+input!$K$3</f>
        <v>1.295890410958904</v>
      </c>
      <c r="K110" s="4">
        <f t="shared" si="35"/>
        <v>8.305087033509098</v>
      </c>
      <c r="L110" s="12">
        <f t="shared" si="36"/>
        <v>7.7906101512141683</v>
      </c>
      <c r="M110" s="20">
        <f>input!F109</f>
        <v>32381.64</v>
      </c>
      <c r="N110" s="19">
        <f t="shared" si="37"/>
        <v>0.80857770463859557</v>
      </c>
      <c r="O110" s="19">
        <f t="shared" si="38"/>
        <v>4.5045966190620693E-2</v>
      </c>
      <c r="P110" s="21">
        <v>838</v>
      </c>
      <c r="Q110" s="3">
        <f>P110/365+input!$K$3</f>
        <v>2.2958904109589042</v>
      </c>
      <c r="R110" s="4">
        <f t="shared" si="39"/>
        <v>11.53758893696458</v>
      </c>
      <c r="S110" s="12">
        <f t="shared" si="40"/>
        <v>20.887386054278906</v>
      </c>
      <c r="T110" s="20">
        <f>input!G109</f>
        <v>460.34</v>
      </c>
      <c r="U110" s="19">
        <f t="shared" si="41"/>
        <v>0.96780696188801985</v>
      </c>
      <c r="V110" s="19">
        <f t="shared" si="28"/>
        <v>0.93792542292727754</v>
      </c>
      <c r="W110" s="21">
        <v>1203</v>
      </c>
      <c r="X110" s="3">
        <f>W110/365+input!$K$3</f>
        <v>3.2958904109589042</v>
      </c>
      <c r="Y110" s="4">
        <f t="shared" si="42"/>
        <v>12.589299260865312</v>
      </c>
      <c r="Z110" s="12">
        <f t="shared" si="43"/>
        <v>27.135859395209948</v>
      </c>
      <c r="AA110" s="20">
        <f>input!H109</f>
        <v>0</v>
      </c>
      <c r="AB110" s="19">
        <f t="shared" si="44"/>
        <v>0.98197554006092014</v>
      </c>
      <c r="AC110" s="19">
        <f t="shared" si="45"/>
        <v>0.99519142618801715</v>
      </c>
      <c r="AD110" s="8">
        <f t="shared" si="46"/>
        <v>0</v>
      </c>
      <c r="AE110" s="8">
        <f t="shared" si="47"/>
        <v>252272.73329696275</v>
      </c>
      <c r="AF110" s="8">
        <f t="shared" si="48"/>
        <v>9615.2992962267508</v>
      </c>
      <c r="AG110" s="8">
        <f t="shared" si="49"/>
        <v>0</v>
      </c>
      <c r="AH110" s="8">
        <f t="shared" si="29"/>
        <v>0</v>
      </c>
      <c r="AI110" s="8">
        <f t="shared" si="30"/>
        <v>203982.10763216275</v>
      </c>
      <c r="AJ110" s="8">
        <f t="shared" si="50"/>
        <v>9305.7535995252274</v>
      </c>
      <c r="AK110" s="8">
        <f t="shared" si="51"/>
        <v>0</v>
      </c>
      <c r="AL110" s="8">
        <f t="shared" si="52"/>
        <v>0</v>
      </c>
      <c r="AM110" s="8">
        <f t="shared" si="53"/>
        <v>9188.5711238899548</v>
      </c>
      <c r="AN110" s="8">
        <f t="shared" si="54"/>
        <v>8728.102880491735</v>
      </c>
      <c r="AO110" s="8">
        <f t="shared" si="55"/>
        <v>0</v>
      </c>
    </row>
    <row r="111" spans="1:41">
      <c r="A111" s="1">
        <v>41838</v>
      </c>
      <c r="B111" s="5">
        <v>109</v>
      </c>
      <c r="C111" s="3">
        <f>B111/365+input!$K$3</f>
        <v>0.29863013698630136</v>
      </c>
      <c r="D111" s="4">
        <f t="shared" si="31"/>
        <v>0.46605396800697102</v>
      </c>
      <c r="E111" s="12">
        <f t="shared" si="32"/>
        <v>1.3767260756198773E-3</v>
      </c>
      <c r="F111" s="20">
        <f>input!E110</f>
        <v>0</v>
      </c>
      <c r="G111" s="19">
        <f t="shared" si="33"/>
        <v>0</v>
      </c>
      <c r="H111" s="19">
        <f t="shared" si="34"/>
        <v>7.5707876905808453E-22</v>
      </c>
      <c r="I111" s="5">
        <v>474</v>
      </c>
      <c r="J111" s="3">
        <f>I111/365+input!$K$3</f>
        <v>1.2986301369863014</v>
      </c>
      <c r="K111" s="4">
        <f t="shared" si="35"/>
        <v>8.318444912600274</v>
      </c>
      <c r="L111" s="12">
        <f t="shared" si="36"/>
        <v>7.8282618328678533</v>
      </c>
      <c r="M111" s="20">
        <f>input!F110</f>
        <v>32284.02</v>
      </c>
      <c r="N111" s="19">
        <f t="shared" si="37"/>
        <v>0.80998271172484504</v>
      </c>
      <c r="O111" s="19">
        <f t="shared" si="38"/>
        <v>4.6327572937557529E-2</v>
      </c>
      <c r="P111" s="21">
        <v>839</v>
      </c>
      <c r="Q111" s="3">
        <f>P111/365+input!$K$3</f>
        <v>2.2986301369863016</v>
      </c>
      <c r="R111" s="4">
        <f t="shared" si="39"/>
        <v>11.543074426857942</v>
      </c>
      <c r="S111" s="12">
        <f t="shared" si="40"/>
        <v>20.917192635971805</v>
      </c>
      <c r="T111" s="20">
        <f>input!G110</f>
        <v>459.01</v>
      </c>
      <c r="U111" s="19">
        <f t="shared" si="41"/>
        <v>0.96790420701068569</v>
      </c>
      <c r="V111" s="19">
        <f t="shared" si="28"/>
        <v>0.93859364063247708</v>
      </c>
      <c r="W111" s="21">
        <v>1204</v>
      </c>
      <c r="X111" s="3">
        <f>W111/365+input!$K$3</f>
        <v>3.2986301369863016</v>
      </c>
      <c r="Y111" s="4">
        <f t="shared" si="42"/>
        <v>12.589299260865312</v>
      </c>
      <c r="Z111" s="12">
        <f t="shared" si="43"/>
        <v>27.135859395209948</v>
      </c>
      <c r="AA111" s="20">
        <f>input!H110</f>
        <v>0</v>
      </c>
      <c r="AB111" s="19">
        <f t="shared" si="44"/>
        <v>0.98197554006092014</v>
      </c>
      <c r="AC111" s="19">
        <f t="shared" si="45"/>
        <v>0.99519142618801715</v>
      </c>
      <c r="AD111" s="8">
        <f t="shared" si="46"/>
        <v>0</v>
      </c>
      <c r="AE111" s="8">
        <f t="shared" si="47"/>
        <v>252727.76157754243</v>
      </c>
      <c r="AF111" s="8">
        <f t="shared" si="48"/>
        <v>9601.200591837418</v>
      </c>
      <c r="AG111" s="8">
        <f t="shared" si="49"/>
        <v>0</v>
      </c>
      <c r="AH111" s="8">
        <f t="shared" si="29"/>
        <v>0</v>
      </c>
      <c r="AI111" s="8">
        <f t="shared" si="30"/>
        <v>204705.11765072792</v>
      </c>
      <c r="AJ111" s="8">
        <f t="shared" si="50"/>
        <v>9293.042445192923</v>
      </c>
      <c r="AK111" s="8">
        <f t="shared" si="51"/>
        <v>0</v>
      </c>
      <c r="AL111" s="8">
        <f t="shared" si="52"/>
        <v>0</v>
      </c>
      <c r="AM111" s="8">
        <f t="shared" si="53"/>
        <v>9483.4912686553926</v>
      </c>
      <c r="AN111" s="8">
        <f t="shared" si="54"/>
        <v>8722.3905411857631</v>
      </c>
      <c r="AO111" s="8">
        <f t="shared" si="55"/>
        <v>0</v>
      </c>
    </row>
    <row r="112" spans="1:41">
      <c r="A112" s="1">
        <v>41839</v>
      </c>
      <c r="B112" s="5">
        <v>110</v>
      </c>
      <c r="C112" s="3">
        <f>B112/365+input!$K$3</f>
        <v>0.30136986301369861</v>
      </c>
      <c r="D112" s="4">
        <f t="shared" si="31"/>
        <v>0.49850291682348963</v>
      </c>
      <c r="E112" s="12">
        <f t="shared" si="32"/>
        <v>1.6847754276308009E-3</v>
      </c>
      <c r="F112" s="20">
        <f>input!E111</f>
        <v>0</v>
      </c>
      <c r="G112" s="19">
        <f t="shared" si="33"/>
        <v>0</v>
      </c>
      <c r="H112" s="19">
        <f t="shared" si="34"/>
        <v>1.0344707882040703E-21</v>
      </c>
      <c r="I112" s="5">
        <v>475</v>
      </c>
      <c r="J112" s="3">
        <f>I112/365+input!$K$3</f>
        <v>1.3013698630136987</v>
      </c>
      <c r="K112" s="4">
        <f t="shared" si="35"/>
        <v>8.3317702601025463</v>
      </c>
      <c r="L112" s="12">
        <f t="shared" si="36"/>
        <v>7.8659424935184967</v>
      </c>
      <c r="M112" s="20">
        <f>input!F111</f>
        <v>31896.799999999999</v>
      </c>
      <c r="N112" s="19">
        <f t="shared" si="37"/>
        <v>0.81137402214429244</v>
      </c>
      <c r="O112" s="19">
        <f t="shared" si="38"/>
        <v>4.7635064642805043E-2</v>
      </c>
      <c r="P112" s="21">
        <v>840</v>
      </c>
      <c r="Q112" s="3">
        <f>P112/365+input!$K$3</f>
        <v>2.3013698630136985</v>
      </c>
      <c r="R112" s="4">
        <f t="shared" si="39"/>
        <v>11.548546557467169</v>
      </c>
      <c r="S112" s="12">
        <f t="shared" si="40"/>
        <v>20.946954866457052</v>
      </c>
      <c r="T112" s="20">
        <f>input!G111</f>
        <v>445.25</v>
      </c>
      <c r="U112" s="19">
        <f t="shared" si="41"/>
        <v>0.96800092262828252</v>
      </c>
      <c r="V112" s="19">
        <f t="shared" si="28"/>
        <v>0.93925461924910625</v>
      </c>
      <c r="W112" s="21">
        <v>1205</v>
      </c>
      <c r="X112" s="3">
        <f>W112/365+input!$K$3</f>
        <v>3.3013698630136985</v>
      </c>
      <c r="Y112" s="4">
        <f t="shared" si="42"/>
        <v>12.589299260865312</v>
      </c>
      <c r="Z112" s="12">
        <f t="shared" si="43"/>
        <v>27.135859395209948</v>
      </c>
      <c r="AA112" s="20">
        <f>input!H111</f>
        <v>0</v>
      </c>
      <c r="AB112" s="19">
        <f t="shared" si="44"/>
        <v>0.98197554006092014</v>
      </c>
      <c r="AC112" s="19">
        <f t="shared" si="45"/>
        <v>0.99519142618801715</v>
      </c>
      <c r="AD112" s="8">
        <f t="shared" si="46"/>
        <v>0</v>
      </c>
      <c r="AE112" s="8">
        <f t="shared" si="47"/>
        <v>250898.39452726077</v>
      </c>
      <c r="AF112" s="8">
        <f t="shared" si="48"/>
        <v>9326.6316542900022</v>
      </c>
      <c r="AG112" s="8">
        <f t="shared" si="49"/>
        <v>0</v>
      </c>
      <c r="AH112" s="8">
        <f t="shared" si="29"/>
        <v>0</v>
      </c>
      <c r="AI112" s="8">
        <f t="shared" si="30"/>
        <v>203572.4395171291</v>
      </c>
      <c r="AJ112" s="8">
        <f t="shared" si="50"/>
        <v>9028.1880463668676</v>
      </c>
      <c r="AK112" s="8">
        <f t="shared" si="51"/>
        <v>0</v>
      </c>
      <c r="AL112" s="8">
        <f t="shared" si="52"/>
        <v>0</v>
      </c>
      <c r="AM112" s="8">
        <f t="shared" si="53"/>
        <v>9697.1863158919641</v>
      </c>
      <c r="AN112" s="8">
        <f t="shared" si="54"/>
        <v>8479.7673259996445</v>
      </c>
      <c r="AO112" s="8">
        <f t="shared" si="55"/>
        <v>0</v>
      </c>
    </row>
    <row r="113" spans="1:41">
      <c r="A113" s="1">
        <v>41840</v>
      </c>
      <c r="B113" s="5">
        <v>111</v>
      </c>
      <c r="C113" s="3">
        <f>B113/365+input!$K$3</f>
        <v>0.30410958904109592</v>
      </c>
      <c r="D113" s="4">
        <f t="shared" si="31"/>
        <v>0.53087283993120016</v>
      </c>
      <c r="E113" s="12">
        <f t="shared" si="32"/>
        <v>2.0347470573345047E-3</v>
      </c>
      <c r="F113" s="20">
        <f>input!E112</f>
        <v>0</v>
      </c>
      <c r="G113" s="19">
        <f t="shared" si="33"/>
        <v>0</v>
      </c>
      <c r="H113" s="19">
        <f t="shared" si="34"/>
        <v>1.4109588162171771E-21</v>
      </c>
      <c r="I113" s="5">
        <v>476</v>
      </c>
      <c r="J113" s="3">
        <f>I113/365+input!$K$3</f>
        <v>1.3041095890410959</v>
      </c>
      <c r="K113" s="4">
        <f t="shared" si="35"/>
        <v>8.3450631552428778</v>
      </c>
      <c r="L113" s="12">
        <f t="shared" si="36"/>
        <v>7.9036516678951569</v>
      </c>
      <c r="M113" s="20">
        <f>input!F112</f>
        <v>31814.12</v>
      </c>
      <c r="N113" s="19">
        <f t="shared" si="37"/>
        <v>0.81275179410714804</v>
      </c>
      <c r="O113" s="19">
        <f t="shared" si="38"/>
        <v>4.8968654710734819E-2</v>
      </c>
      <c r="P113" s="21">
        <v>841</v>
      </c>
      <c r="Q113" s="3">
        <f>P113/365+input!$K$3</f>
        <v>2.3041095890410959</v>
      </c>
      <c r="R113" s="4">
        <f t="shared" si="39"/>
        <v>11.554005361327281</v>
      </c>
      <c r="S113" s="12">
        <f t="shared" si="40"/>
        <v>20.976672729689295</v>
      </c>
      <c r="T113" s="20">
        <f>input!G112</f>
        <v>444.11</v>
      </c>
      <c r="U113" s="19">
        <f t="shared" si="41"/>
        <v>0.96809711233182449</v>
      </c>
      <c r="V113" s="19">
        <f t="shared" si="28"/>
        <v>0.93990843110859912</v>
      </c>
      <c r="W113" s="21">
        <v>1206</v>
      </c>
      <c r="X113" s="3">
        <f>W113/365+input!$K$3</f>
        <v>3.3041095890410959</v>
      </c>
      <c r="Y113" s="4">
        <f t="shared" si="42"/>
        <v>12.589299260865312</v>
      </c>
      <c r="Z113" s="12">
        <f t="shared" si="43"/>
        <v>27.135859395209948</v>
      </c>
      <c r="AA113" s="20">
        <f>input!H112</f>
        <v>0</v>
      </c>
      <c r="AB113" s="19">
        <f t="shared" si="44"/>
        <v>0.98197554006092014</v>
      </c>
      <c r="AC113" s="19">
        <f t="shared" si="45"/>
        <v>0.99519142618801715</v>
      </c>
      <c r="AD113" s="8">
        <f t="shared" si="46"/>
        <v>0</v>
      </c>
      <c r="AE113" s="8">
        <f t="shared" si="47"/>
        <v>251447.72260061666</v>
      </c>
      <c r="AF113" s="8">
        <f t="shared" si="48"/>
        <v>9315.9501259823137</v>
      </c>
      <c r="AG113" s="8">
        <f t="shared" si="49"/>
        <v>0</v>
      </c>
      <c r="AH113" s="8">
        <f t="shared" si="29"/>
        <v>0</v>
      </c>
      <c r="AI113" s="8">
        <f t="shared" si="30"/>
        <v>204364.58766780767</v>
      </c>
      <c r="AJ113" s="8">
        <f t="shared" si="50"/>
        <v>9018.7444155907742</v>
      </c>
      <c r="AK113" s="8">
        <f t="shared" si="51"/>
        <v>0</v>
      </c>
      <c r="AL113" s="8">
        <f t="shared" si="52"/>
        <v>0</v>
      </c>
      <c r="AM113" s="8">
        <f t="shared" si="53"/>
        <v>10007.458928606569</v>
      </c>
      <c r="AN113" s="8">
        <f t="shared" si="54"/>
        <v>8476.7939142273644</v>
      </c>
      <c r="AO113" s="8">
        <f t="shared" si="55"/>
        <v>0</v>
      </c>
    </row>
    <row r="114" spans="1:41">
      <c r="A114" s="1">
        <v>41841</v>
      </c>
      <c r="B114" s="5">
        <v>112</v>
      </c>
      <c r="C114" s="3">
        <f>B114/365+input!$K$3</f>
        <v>0.30684931506849317</v>
      </c>
      <c r="D114" s="4">
        <f t="shared" si="31"/>
        <v>0.56316392978819008</v>
      </c>
      <c r="E114" s="12">
        <f t="shared" si="32"/>
        <v>2.4290888515130461E-3</v>
      </c>
      <c r="F114" s="20">
        <f>input!E113</f>
        <v>0</v>
      </c>
      <c r="G114" s="19">
        <f t="shared" si="33"/>
        <v>0</v>
      </c>
      <c r="H114" s="19">
        <f t="shared" si="34"/>
        <v>1.9210271893525044E-21</v>
      </c>
      <c r="I114" s="5">
        <v>477</v>
      </c>
      <c r="J114" s="3">
        <f>I114/365+input!$K$3</f>
        <v>1.3068493150684932</v>
      </c>
      <c r="K114" s="4">
        <f t="shared" si="35"/>
        <v>8.358323677055294</v>
      </c>
      <c r="L114" s="12">
        <f t="shared" si="36"/>
        <v>7.941388892378094</v>
      </c>
      <c r="M114" s="20">
        <f>input!F113</f>
        <v>31415.51</v>
      </c>
      <c r="N114" s="19">
        <f t="shared" si="37"/>
        <v>0.81411618374173345</v>
      </c>
      <c r="O114" s="19">
        <f t="shared" si="38"/>
        <v>5.0328550518878752E-2</v>
      </c>
      <c r="P114" s="21">
        <v>842</v>
      </c>
      <c r="Q114" s="3">
        <f>P114/365+input!$K$3</f>
        <v>2.3068493150684932</v>
      </c>
      <c r="R114" s="4">
        <f t="shared" si="39"/>
        <v>11.559450870894048</v>
      </c>
      <c r="S114" s="12">
        <f t="shared" si="40"/>
        <v>21.006346210168637</v>
      </c>
      <c r="T114" s="20">
        <f>input!G113</f>
        <v>431.52</v>
      </c>
      <c r="U114" s="19">
        <f t="shared" si="41"/>
        <v>0.96819277968336515</v>
      </c>
      <c r="V114" s="19">
        <f t="shared" si="28"/>
        <v>0.94055514799974149</v>
      </c>
      <c r="W114" s="21">
        <v>1207</v>
      </c>
      <c r="X114" s="3">
        <f>W114/365+input!$K$3</f>
        <v>3.3068493150684932</v>
      </c>
      <c r="Y114" s="4">
        <f t="shared" si="42"/>
        <v>12.589299260865312</v>
      </c>
      <c r="Z114" s="12">
        <f t="shared" si="43"/>
        <v>27.135859395209948</v>
      </c>
      <c r="AA114" s="20">
        <f>input!H113</f>
        <v>0</v>
      </c>
      <c r="AB114" s="19">
        <f t="shared" si="44"/>
        <v>0.98197554006092014</v>
      </c>
      <c r="AC114" s="19">
        <f t="shared" si="45"/>
        <v>0.99519142618801715</v>
      </c>
      <c r="AD114" s="8">
        <f t="shared" si="46"/>
        <v>0</v>
      </c>
      <c r="AE114" s="8">
        <f t="shared" si="47"/>
        <v>249482.78216239292</v>
      </c>
      <c r="AF114" s="8">
        <f t="shared" si="48"/>
        <v>9064.6585166119694</v>
      </c>
      <c r="AG114" s="8">
        <f t="shared" si="49"/>
        <v>0</v>
      </c>
      <c r="AH114" s="8">
        <f t="shared" si="29"/>
        <v>0</v>
      </c>
      <c r="AI114" s="8">
        <f t="shared" si="30"/>
        <v>203107.97052331752</v>
      </c>
      <c r="AJ114" s="8">
        <f t="shared" si="50"/>
        <v>8776.3369260790314</v>
      </c>
      <c r="AK114" s="8">
        <f t="shared" si="51"/>
        <v>0</v>
      </c>
      <c r="AL114" s="8">
        <f t="shared" si="52"/>
        <v>0</v>
      </c>
      <c r="AM114" s="8">
        <f t="shared" si="53"/>
        <v>10222.129755269721</v>
      </c>
      <c r="AN114" s="8">
        <f t="shared" si="54"/>
        <v>8254.62887640386</v>
      </c>
      <c r="AO114" s="8">
        <f t="shared" si="55"/>
        <v>0</v>
      </c>
    </row>
    <row r="115" spans="1:41">
      <c r="A115" s="1">
        <v>41842</v>
      </c>
      <c r="B115" s="5">
        <v>113</v>
      </c>
      <c r="C115" s="3">
        <f>B115/365+input!$K$3</f>
        <v>0.30958904109589042</v>
      </c>
      <c r="D115" s="4">
        <f t="shared" si="31"/>
        <v>0.59537637838383806</v>
      </c>
      <c r="E115" s="12">
        <f t="shared" si="32"/>
        <v>2.8702102318593835E-3</v>
      </c>
      <c r="F115" s="20">
        <f>input!E114</f>
        <v>0</v>
      </c>
      <c r="G115" s="19">
        <f t="shared" si="33"/>
        <v>0</v>
      </c>
      <c r="H115" s="19">
        <f t="shared" si="34"/>
        <v>2.6108376033034104E-21</v>
      </c>
      <c r="I115" s="5">
        <v>478</v>
      </c>
      <c r="J115" s="3">
        <f>I115/365+input!$K$3</f>
        <v>1.3095890410958904</v>
      </c>
      <c r="K115" s="4">
        <f t="shared" si="35"/>
        <v>8.3715519043813345</v>
      </c>
      <c r="L115" s="12">
        <f t="shared" si="36"/>
        <v>7.9791537050024095</v>
      </c>
      <c r="M115" s="20">
        <f>input!F114</f>
        <v>31336.26</v>
      </c>
      <c r="N115" s="19">
        <f t="shared" si="37"/>
        <v>0.81546734512494967</v>
      </c>
      <c r="O115" s="19">
        <f t="shared" si="38"/>
        <v>5.1714953256177441E-2</v>
      </c>
      <c r="P115" s="21">
        <v>843</v>
      </c>
      <c r="Q115" s="3">
        <f>P115/365+input!$K$3</f>
        <v>2.3095890410958906</v>
      </c>
      <c r="R115" s="4">
        <f t="shared" si="39"/>
        <v>11.564883118544204</v>
      </c>
      <c r="S115" s="12">
        <f t="shared" si="40"/>
        <v>21.035975292937589</v>
      </c>
      <c r="T115" s="20">
        <f>input!G114</f>
        <v>430.44</v>
      </c>
      <c r="U115" s="19">
        <f t="shared" si="41"/>
        <v>0.96828792821626508</v>
      </c>
      <c r="V115" s="19">
        <f t="shared" si="28"/>
        <v>0.9411948411683061</v>
      </c>
      <c r="W115" s="21">
        <v>1208</v>
      </c>
      <c r="X115" s="3">
        <f>W115/365+input!$K$3</f>
        <v>3.3095890410958906</v>
      </c>
      <c r="Y115" s="4">
        <f t="shared" si="42"/>
        <v>12.589299260865312</v>
      </c>
      <c r="Z115" s="12">
        <f t="shared" si="43"/>
        <v>27.135859395209948</v>
      </c>
      <c r="AA115" s="20">
        <f>input!H114</f>
        <v>0</v>
      </c>
      <c r="AB115" s="19">
        <f t="shared" si="44"/>
        <v>0.98197554006092014</v>
      </c>
      <c r="AC115" s="19">
        <f t="shared" si="45"/>
        <v>0.99519142618801715</v>
      </c>
      <c r="AD115" s="8">
        <f t="shared" si="46"/>
        <v>0</v>
      </c>
      <c r="AE115" s="8">
        <f t="shared" si="47"/>
        <v>250036.83507991879</v>
      </c>
      <c r="AF115" s="8">
        <f t="shared" si="48"/>
        <v>9054.7252050920561</v>
      </c>
      <c r="AG115" s="8">
        <f t="shared" si="49"/>
        <v>0</v>
      </c>
      <c r="AH115" s="8">
        <f t="shared" si="29"/>
        <v>0</v>
      </c>
      <c r="AI115" s="8">
        <f t="shared" si="30"/>
        <v>203896.87408606627</v>
      </c>
      <c r="AJ115" s="8">
        <f t="shared" si="50"/>
        <v>8767.5811094061828</v>
      </c>
      <c r="AK115" s="8">
        <f t="shared" si="51"/>
        <v>0</v>
      </c>
      <c r="AL115" s="8">
        <f t="shared" si="52"/>
        <v>0</v>
      </c>
      <c r="AM115" s="8">
        <f t="shared" si="53"/>
        <v>10544.517312441614</v>
      </c>
      <c r="AN115" s="8">
        <f t="shared" si="54"/>
        <v>8252.0021096977925</v>
      </c>
      <c r="AO115" s="8">
        <f t="shared" si="55"/>
        <v>0</v>
      </c>
    </row>
    <row r="116" spans="1:41">
      <c r="A116" s="1">
        <v>41843</v>
      </c>
      <c r="B116" s="5">
        <v>114</v>
      </c>
      <c r="C116" s="3">
        <f>B116/365+input!$K$3</f>
        <v>0.31232876712328766</v>
      </c>
      <c r="D116" s="4">
        <f t="shared" si="31"/>
        <v>0.62751037723995617</v>
      </c>
      <c r="E116" s="12">
        <f t="shared" si="32"/>
        <v>3.3604825532631125E-3</v>
      </c>
      <c r="F116" s="20">
        <f>input!E115</f>
        <v>0</v>
      </c>
      <c r="G116" s="19">
        <f t="shared" si="33"/>
        <v>0</v>
      </c>
      <c r="H116" s="19">
        <f t="shared" si="34"/>
        <v>3.5420726469483627E-21</v>
      </c>
      <c r="I116" s="5">
        <v>479</v>
      </c>
      <c r="J116" s="3">
        <f>I116/365+input!$K$3</f>
        <v>1.3123287671232877</v>
      </c>
      <c r="K116" s="4">
        <f t="shared" si="35"/>
        <v>8.3847479158705376</v>
      </c>
      <c r="L116" s="12">
        <f t="shared" si="36"/>
        <v>8.0169456454616341</v>
      </c>
      <c r="M116" s="20">
        <f>input!F115</f>
        <v>30918.91</v>
      </c>
      <c r="N116" s="19">
        <f t="shared" si="37"/>
        <v>0.81680543031225805</v>
      </c>
      <c r="O116" s="19">
        <f t="shared" si="38"/>
        <v>5.3128057764783673E-2</v>
      </c>
      <c r="P116" s="21">
        <v>844</v>
      </c>
      <c r="Q116" s="3">
        <f>P116/365+input!$K$3</f>
        <v>2.3123287671232875</v>
      </c>
      <c r="R116" s="4">
        <f t="shared" si="39"/>
        <v>11.570302136575632</v>
      </c>
      <c r="S116" s="12">
        <f t="shared" si="40"/>
        <v>21.065559963578039</v>
      </c>
      <c r="T116" s="20">
        <f>input!G115</f>
        <v>418.95</v>
      </c>
      <c r="U116" s="19">
        <f t="shared" si="41"/>
        <v>0.96838256143545753</v>
      </c>
      <c r="V116" s="19">
        <f t="shared" si="28"/>
        <v>0.94182758131681477</v>
      </c>
      <c r="W116" s="21">
        <v>1209</v>
      </c>
      <c r="X116" s="3">
        <f>W116/365+input!$K$3</f>
        <v>3.3123287671232875</v>
      </c>
      <c r="Y116" s="4">
        <f t="shared" si="42"/>
        <v>12.589299260865312</v>
      </c>
      <c r="Z116" s="12">
        <f t="shared" si="43"/>
        <v>27.135859395209948</v>
      </c>
      <c r="AA116" s="20">
        <f>input!H115</f>
        <v>0</v>
      </c>
      <c r="AB116" s="19">
        <f t="shared" si="44"/>
        <v>0.98197554006092014</v>
      </c>
      <c r="AC116" s="19">
        <f t="shared" si="45"/>
        <v>0.99519142618801715</v>
      </c>
      <c r="AD116" s="8">
        <f t="shared" si="46"/>
        <v>0</v>
      </c>
      <c r="AE116" s="8">
        <f t="shared" si="47"/>
        <v>247875.22088692017</v>
      </c>
      <c r="AF116" s="8">
        <f t="shared" si="48"/>
        <v>8825.4163467410199</v>
      </c>
      <c r="AG116" s="8">
        <f t="shared" si="49"/>
        <v>0</v>
      </c>
      <c r="AH116" s="8">
        <f t="shared" si="29"/>
        <v>0</v>
      </c>
      <c r="AI116" s="8">
        <f t="shared" si="30"/>
        <v>202465.82646028686</v>
      </c>
      <c r="AJ116" s="8">
        <f t="shared" si="50"/>
        <v>8546.379287591426</v>
      </c>
      <c r="AK116" s="8">
        <f t="shared" si="51"/>
        <v>0</v>
      </c>
      <c r="AL116" s="8">
        <f t="shared" si="52"/>
        <v>0</v>
      </c>
      <c r="AM116" s="8">
        <f t="shared" si="53"/>
        <v>10756.616123576787</v>
      </c>
      <c r="AN116" s="8">
        <f t="shared" si="54"/>
        <v>8049.2157334483554</v>
      </c>
      <c r="AO116" s="8">
        <f t="shared" si="55"/>
        <v>0</v>
      </c>
    </row>
    <row r="117" spans="1:41">
      <c r="A117" s="1">
        <v>41844</v>
      </c>
      <c r="B117" s="5">
        <v>115</v>
      </c>
      <c r="C117" s="3">
        <f>B117/365+input!$K$3</f>
        <v>0.31506849315068491</v>
      </c>
      <c r="D117" s="4">
        <f t="shared" si="31"/>
        <v>0.65956611741192406</v>
      </c>
      <c r="E117" s="12">
        <f t="shared" si="32"/>
        <v>3.9022394985766327E-3</v>
      </c>
      <c r="F117" s="20">
        <f>input!E116</f>
        <v>0</v>
      </c>
      <c r="G117" s="19">
        <f t="shared" si="33"/>
        <v>0</v>
      </c>
      <c r="H117" s="19">
        <f t="shared" si="34"/>
        <v>4.7970074270513402E-21</v>
      </c>
      <c r="I117" s="5">
        <v>480</v>
      </c>
      <c r="J117" s="3">
        <f>I117/365+input!$K$3</f>
        <v>1.3150684931506849</v>
      </c>
      <c r="K117" s="4">
        <f t="shared" si="35"/>
        <v>8.3979117899808919</v>
      </c>
      <c r="L117" s="12">
        <f t="shared" si="36"/>
        <v>8.0547642551111274</v>
      </c>
      <c r="M117" s="20">
        <f>input!F116</f>
        <v>30834.3</v>
      </c>
      <c r="N117" s="19">
        <f t="shared" si="37"/>
        <v>0.81813058936718286</v>
      </c>
      <c r="O117" s="19">
        <f t="shared" si="38"/>
        <v>5.4568052385566522E-2</v>
      </c>
      <c r="P117" s="21">
        <v>845</v>
      </c>
      <c r="Q117" s="3">
        <f>P117/365+input!$K$3</f>
        <v>2.3150684931506849</v>
      </c>
      <c r="R117" s="4">
        <f t="shared" si="39"/>
        <v>11.575707957207554</v>
      </c>
      <c r="S117" s="12">
        <f t="shared" si="40"/>
        <v>21.095100208208109</v>
      </c>
      <c r="T117" s="20">
        <f>input!G116</f>
        <v>417.86</v>
      </c>
      <c r="U117" s="19">
        <f t="shared" si="41"/>
        <v>0.96847668281771027</v>
      </c>
      <c r="V117" s="19">
        <f t="shared" si="28"/>
        <v>0.94245343860442854</v>
      </c>
      <c r="W117" s="21">
        <v>1210</v>
      </c>
      <c r="X117" s="3">
        <f>W117/365+input!$K$3</f>
        <v>3.3150684931506849</v>
      </c>
      <c r="Y117" s="4">
        <f t="shared" si="42"/>
        <v>12.589299260865312</v>
      </c>
      <c r="Z117" s="12">
        <f t="shared" si="43"/>
        <v>27.135859395209948</v>
      </c>
      <c r="AA117" s="20">
        <f>input!H116</f>
        <v>0</v>
      </c>
      <c r="AB117" s="19">
        <f t="shared" si="44"/>
        <v>0.98197554006092014</v>
      </c>
      <c r="AC117" s="19">
        <f t="shared" si="45"/>
        <v>0.99519142618801715</v>
      </c>
      <c r="AD117" s="8">
        <f t="shared" si="46"/>
        <v>0</v>
      </c>
      <c r="AE117" s="8">
        <f t="shared" si="47"/>
        <v>248363.01747137302</v>
      </c>
      <c r="AF117" s="8">
        <f t="shared" si="48"/>
        <v>8814.7985730018409</v>
      </c>
      <c r="AG117" s="8">
        <f t="shared" si="49"/>
        <v>0</v>
      </c>
      <c r="AH117" s="8">
        <f t="shared" si="29"/>
        <v>0</v>
      </c>
      <c r="AI117" s="8">
        <f t="shared" si="30"/>
        <v>203193.38186086636</v>
      </c>
      <c r="AJ117" s="8">
        <f t="shared" si="50"/>
        <v>8536.9268816871081</v>
      </c>
      <c r="AK117" s="8">
        <f t="shared" si="51"/>
        <v>0</v>
      </c>
      <c r="AL117" s="8">
        <f t="shared" si="52"/>
        <v>0</v>
      </c>
      <c r="AM117" s="8">
        <f t="shared" si="53"/>
        <v>11087.867105784178</v>
      </c>
      <c r="AN117" s="8">
        <f t="shared" si="54"/>
        <v>8045.6560947605967</v>
      </c>
      <c r="AO117" s="8">
        <f t="shared" si="55"/>
        <v>0</v>
      </c>
    </row>
    <row r="118" spans="1:41">
      <c r="A118" s="1">
        <v>41845</v>
      </c>
      <c r="B118" s="5">
        <v>116</v>
      </c>
      <c r="C118" s="3">
        <f>B118/365+input!$K$3</f>
        <v>0.31780821917808222</v>
      </c>
      <c r="D118" s="4">
        <f t="shared" si="31"/>
        <v>0.69154378948982864</v>
      </c>
      <c r="E118" s="12">
        <f t="shared" si="32"/>
        <v>4.4977774698907111E-3</v>
      </c>
      <c r="F118" s="20">
        <f>input!E117</f>
        <v>0</v>
      </c>
      <c r="G118" s="19">
        <f t="shared" si="33"/>
        <v>0</v>
      </c>
      <c r="H118" s="19">
        <f t="shared" si="34"/>
        <v>6.4851896734009726E-21</v>
      </c>
      <c r="I118" s="5">
        <v>481</v>
      </c>
      <c r="J118" s="3">
        <f>I118/365+input!$K$3</f>
        <v>1.3178082191780822</v>
      </c>
      <c r="K118" s="4">
        <f t="shared" si="35"/>
        <v>8.4110436049793105</v>
      </c>
      <c r="L118" s="12">
        <f t="shared" si="36"/>
        <v>8.0926090769714136</v>
      </c>
      <c r="M118" s="20">
        <f>input!F117</f>
        <v>30413.89</v>
      </c>
      <c r="N118" s="19">
        <f t="shared" si="37"/>
        <v>0.81944297039034075</v>
      </c>
      <c r="O118" s="19">
        <f t="shared" si="38"/>
        <v>5.6035118807469406E-2</v>
      </c>
      <c r="P118" s="21">
        <v>846</v>
      </c>
      <c r="Q118" s="3">
        <f>P118/365+input!$K$3</f>
        <v>2.3178082191780822</v>
      </c>
      <c r="R118" s="4">
        <f t="shared" si="39"/>
        <v>11.581100612580737</v>
      </c>
      <c r="S118" s="12">
        <f t="shared" si="40"/>
        <v>21.124596013479238</v>
      </c>
      <c r="T118" s="20">
        <f>input!G117</f>
        <v>406.03</v>
      </c>
      <c r="U118" s="19">
        <f t="shared" si="41"/>
        <v>0.96857029581188592</v>
      </c>
      <c r="V118" s="19">
        <f t="shared" si="28"/>
        <v>0.94307248264696331</v>
      </c>
      <c r="W118" s="21">
        <v>1211</v>
      </c>
      <c r="X118" s="3">
        <f>W118/365+input!$K$3</f>
        <v>3.3178082191780822</v>
      </c>
      <c r="Y118" s="4">
        <f t="shared" si="42"/>
        <v>12.589299260865312</v>
      </c>
      <c r="Z118" s="12">
        <f t="shared" si="43"/>
        <v>27.135859395209948</v>
      </c>
      <c r="AA118" s="20">
        <f>input!H117</f>
        <v>0</v>
      </c>
      <c r="AB118" s="19">
        <f t="shared" si="44"/>
        <v>0.98197554006092014</v>
      </c>
      <c r="AC118" s="19">
        <f t="shared" si="45"/>
        <v>0.99519142618801715</v>
      </c>
      <c r="AD118" s="8">
        <f t="shared" si="46"/>
        <v>0</v>
      </c>
      <c r="AE118" s="8">
        <f t="shared" si="47"/>
        <v>246127.72228001012</v>
      </c>
      <c r="AF118" s="8">
        <f t="shared" si="48"/>
        <v>8577.2197193529737</v>
      </c>
      <c r="AG118" s="8">
        <f t="shared" si="49"/>
        <v>0</v>
      </c>
      <c r="AH118" s="8">
        <f t="shared" si="29"/>
        <v>0</v>
      </c>
      <c r="AI118" s="8">
        <f t="shared" si="30"/>
        <v>201687.63184054033</v>
      </c>
      <c r="AJ118" s="8">
        <f t="shared" si="50"/>
        <v>8307.6402408172507</v>
      </c>
      <c r="AK118" s="8">
        <f t="shared" si="51"/>
        <v>0</v>
      </c>
      <c r="AL118" s="8">
        <f t="shared" si="52"/>
        <v>0</v>
      </c>
      <c r="AM118" s="8">
        <f t="shared" si="53"/>
        <v>11301.590412181828</v>
      </c>
      <c r="AN118" s="8">
        <f t="shared" si="54"/>
        <v>7834.7069068453411</v>
      </c>
      <c r="AO118" s="8">
        <f t="shared" si="55"/>
        <v>0</v>
      </c>
    </row>
    <row r="119" spans="1:41">
      <c r="A119" s="1">
        <v>41846</v>
      </c>
      <c r="B119" s="5">
        <v>117</v>
      </c>
      <c r="C119" s="3">
        <f>B119/365+input!$K$3</f>
        <v>0.32054794520547947</v>
      </c>
      <c r="D119" s="4">
        <f t="shared" si="31"/>
        <v>0.72344358359959793</v>
      </c>
      <c r="E119" s="12">
        <f t="shared" si="32"/>
        <v>5.1493559763478199E-3</v>
      </c>
      <c r="F119" s="20">
        <f>input!E118</f>
        <v>0</v>
      </c>
      <c r="G119" s="19">
        <f t="shared" si="33"/>
        <v>0</v>
      </c>
      <c r="H119" s="19">
        <f t="shared" si="34"/>
        <v>8.7522227465907814E-21</v>
      </c>
      <c r="I119" s="5">
        <v>482</v>
      </c>
      <c r="J119" s="3">
        <f>I119/365+input!$K$3</f>
        <v>1.3205479452054794</v>
      </c>
      <c r="K119" s="4">
        <f t="shared" si="35"/>
        <v>8.4241434389421013</v>
      </c>
      <c r="L119" s="12">
        <f t="shared" si="36"/>
        <v>8.1304796557314027</v>
      </c>
      <c r="M119" s="20">
        <f>input!F118</f>
        <v>30300.18</v>
      </c>
      <c r="N119" s="19">
        <f t="shared" si="37"/>
        <v>0.82074271954800948</v>
      </c>
      <c r="O119" s="19">
        <f t="shared" si="38"/>
        <v>5.7529431920863842E-2</v>
      </c>
      <c r="P119" s="21">
        <v>847</v>
      </c>
      <c r="Q119" s="3">
        <f>P119/365+input!$K$3</f>
        <v>2.3205479452054796</v>
      </c>
      <c r="R119" s="4">
        <f t="shared" si="39"/>
        <v>11.586480134757657</v>
      </c>
      <c r="S119" s="12">
        <f t="shared" si="40"/>
        <v>21.154047366572936</v>
      </c>
      <c r="T119" s="20">
        <f>input!G118</f>
        <v>404.53</v>
      </c>
      <c r="U119" s="19">
        <f t="shared" si="41"/>
        <v>0.96866340383919769</v>
      </c>
      <c r="V119" s="19">
        <f t="shared" si="28"/>
        <v>0.94368478251702048</v>
      </c>
      <c r="W119" s="21">
        <v>1212</v>
      </c>
      <c r="X119" s="3">
        <f>W119/365+input!$K$3</f>
        <v>3.3205479452054796</v>
      </c>
      <c r="Y119" s="4">
        <f t="shared" si="42"/>
        <v>12.589299260865312</v>
      </c>
      <c r="Z119" s="12">
        <f t="shared" si="43"/>
        <v>27.135859395209948</v>
      </c>
      <c r="AA119" s="20">
        <f>input!H118</f>
        <v>0</v>
      </c>
      <c r="AB119" s="19">
        <f t="shared" si="44"/>
        <v>0.98197554006092014</v>
      </c>
      <c r="AC119" s="19">
        <f t="shared" si="45"/>
        <v>0.99519142618801715</v>
      </c>
      <c r="AD119" s="8">
        <f t="shared" si="46"/>
        <v>0</v>
      </c>
      <c r="AE119" s="8">
        <f t="shared" si="47"/>
        <v>246354.99705499955</v>
      </c>
      <c r="AF119" s="8">
        <f t="shared" si="48"/>
        <v>8557.4467811997492</v>
      </c>
      <c r="AG119" s="8">
        <f t="shared" si="49"/>
        <v>0</v>
      </c>
      <c r="AH119" s="8">
        <f t="shared" si="29"/>
        <v>0</v>
      </c>
      <c r="AI119" s="8">
        <f t="shared" si="30"/>
        <v>202194.07025716221</v>
      </c>
      <c r="AJ119" s="8">
        <f t="shared" si="50"/>
        <v>8289.2855272497345</v>
      </c>
      <c r="AK119" s="8">
        <f t="shared" si="51"/>
        <v>0</v>
      </c>
      <c r="AL119" s="8">
        <f t="shared" si="52"/>
        <v>0</v>
      </c>
      <c r="AM119" s="8">
        <f t="shared" si="53"/>
        <v>11632.109999661774</v>
      </c>
      <c r="AN119" s="8">
        <f t="shared" si="54"/>
        <v>7822.4726100041507</v>
      </c>
      <c r="AO119" s="8">
        <f t="shared" si="55"/>
        <v>0</v>
      </c>
    </row>
    <row r="120" spans="1:41">
      <c r="A120" s="1">
        <v>41847</v>
      </c>
      <c r="B120" s="5">
        <v>118</v>
      </c>
      <c r="C120" s="3">
        <f>B120/365+input!$K$3</f>
        <v>0.32328767123287672</v>
      </c>
      <c r="D120" s="4">
        <f t="shared" si="31"/>
        <v>0.75526568940412653</v>
      </c>
      <c r="E120" s="12">
        <f t="shared" si="32"/>
        <v>5.8591980185214642E-3</v>
      </c>
      <c r="F120" s="20">
        <f>input!E119</f>
        <v>0</v>
      </c>
      <c r="G120" s="19">
        <f t="shared" si="33"/>
        <v>0</v>
      </c>
      <c r="H120" s="19">
        <f t="shared" si="34"/>
        <v>1.1791293028265977E-20</v>
      </c>
      <c r="I120" s="5">
        <v>483</v>
      </c>
      <c r="J120" s="3">
        <f>I120/365+input!$K$3</f>
        <v>1.3232876712328767</v>
      </c>
      <c r="K120" s="4">
        <f t="shared" si="35"/>
        <v>8.4372113697554258</v>
      </c>
      <c r="L120" s="12">
        <f t="shared" si="36"/>
        <v>8.1683755377514515</v>
      </c>
      <c r="M120" s="20">
        <f>input!F119</f>
        <v>29861.54</v>
      </c>
      <c r="N120" s="19">
        <f t="shared" si="37"/>
        <v>0.8220299811002385</v>
      </c>
      <c r="O120" s="19">
        <f t="shared" si="38"/>
        <v>5.9051159675035228E-2</v>
      </c>
      <c r="P120" s="21">
        <v>848</v>
      </c>
      <c r="Q120" s="3">
        <f>P120/365+input!$K$3</f>
        <v>2.3232876712328765</v>
      </c>
      <c r="R120" s="4">
        <f t="shared" si="39"/>
        <v>11.591846555722718</v>
      </c>
      <c r="S120" s="12">
        <f t="shared" si="40"/>
        <v>21.183454255197955</v>
      </c>
      <c r="T120" s="20">
        <f>input!G119</f>
        <v>392.57</v>
      </c>
      <c r="U120" s="19">
        <f t="shared" si="41"/>
        <v>0.96875601029346514</v>
      </c>
      <c r="V120" s="19">
        <f t="shared" si="28"/>
        <v>0.94429040674424236</v>
      </c>
      <c r="W120" s="21">
        <v>1213</v>
      </c>
      <c r="X120" s="3">
        <f>W120/365+input!$K$3</f>
        <v>3.3232876712328765</v>
      </c>
      <c r="Y120" s="4">
        <f t="shared" si="42"/>
        <v>12.589299260865312</v>
      </c>
      <c r="Z120" s="12">
        <f t="shared" si="43"/>
        <v>27.135859395209948</v>
      </c>
      <c r="AA120" s="20">
        <f>input!H119</f>
        <v>0</v>
      </c>
      <c r="AB120" s="19">
        <f t="shared" si="44"/>
        <v>0.98197554006092014</v>
      </c>
      <c r="AC120" s="19">
        <f t="shared" si="45"/>
        <v>0.99519142618801715</v>
      </c>
      <c r="AD120" s="8">
        <f t="shared" si="46"/>
        <v>0</v>
      </c>
      <c r="AE120" s="8">
        <f t="shared" si="47"/>
        <v>243920.27285558649</v>
      </c>
      <c r="AF120" s="8">
        <f t="shared" si="48"/>
        <v>8315.9886369630603</v>
      </c>
      <c r="AG120" s="8">
        <f t="shared" si="49"/>
        <v>0</v>
      </c>
      <c r="AH120" s="8">
        <f t="shared" si="29"/>
        <v>0</v>
      </c>
      <c r="AI120" s="8">
        <f t="shared" si="30"/>
        <v>200509.77728544277</v>
      </c>
      <c r="AJ120" s="8">
        <f t="shared" si="50"/>
        <v>8056.1639735901254</v>
      </c>
      <c r="AK120" s="8">
        <f t="shared" si="51"/>
        <v>0</v>
      </c>
      <c r="AL120" s="8">
        <f t="shared" si="52"/>
        <v>0</v>
      </c>
      <c r="AM120" s="8">
        <f t="shared" si="53"/>
        <v>11840.334874888433</v>
      </c>
      <c r="AN120" s="8">
        <f t="shared" si="54"/>
        <v>7607.3583554197312</v>
      </c>
      <c r="AO120" s="8">
        <f t="shared" si="55"/>
        <v>0</v>
      </c>
    </row>
    <row r="121" spans="1:41">
      <c r="A121" s="1">
        <v>41848</v>
      </c>
      <c r="B121" s="5">
        <v>119</v>
      </c>
      <c r="C121" s="3">
        <f>B121/365+input!$K$3</f>
        <v>0.32602739726027397</v>
      </c>
      <c r="D121" s="4">
        <f t="shared" si="31"/>
        <v>0.78701029610441031</v>
      </c>
      <c r="E121" s="12">
        <f t="shared" si="32"/>
        <v>6.6294904693899592E-3</v>
      </c>
      <c r="F121" s="20">
        <f>input!E120</f>
        <v>0</v>
      </c>
      <c r="G121" s="19">
        <f t="shared" si="33"/>
        <v>0</v>
      </c>
      <c r="H121" s="19">
        <f t="shared" si="34"/>
        <v>1.5858272476665951E-20</v>
      </c>
      <c r="I121" s="5">
        <v>484</v>
      </c>
      <c r="J121" s="3">
        <f>I121/365+input!$K$3</f>
        <v>1.3260273972602741</v>
      </c>
      <c r="K121" s="4">
        <f t="shared" si="35"/>
        <v>8.4502474751157592</v>
      </c>
      <c r="L121" s="12">
        <f t="shared" si="36"/>
        <v>8.2062962710663481</v>
      </c>
      <c r="M121" s="20">
        <f>input!F120</f>
        <v>29776.36</v>
      </c>
      <c r="N121" s="19">
        <f t="shared" si="37"/>
        <v>0.82330489742851409</v>
      </c>
      <c r="O121" s="19">
        <f t="shared" si="38"/>
        <v>6.0600462939936733E-2</v>
      </c>
      <c r="P121" s="21">
        <v>849</v>
      </c>
      <c r="Q121" s="3">
        <f>P121/365+input!$K$3</f>
        <v>2.3260273972602739</v>
      </c>
      <c r="R121" s="4">
        <f t="shared" si="39"/>
        <v>11.597199907382423</v>
      </c>
      <c r="S121" s="12">
        <f t="shared" si="40"/>
        <v>21.212816667587155</v>
      </c>
      <c r="T121" s="20">
        <f>input!G120</f>
        <v>391.53</v>
      </c>
      <c r="U121" s="19">
        <f t="shared" si="41"/>
        <v>0.96884811854136454</v>
      </c>
      <c r="V121" s="19">
        <f t="shared" si="28"/>
        <v>0.94488942331567594</v>
      </c>
      <c r="W121" s="21">
        <v>1214</v>
      </c>
      <c r="X121" s="3">
        <f>W121/365+input!$K$3</f>
        <v>3.3260273972602739</v>
      </c>
      <c r="Y121" s="4">
        <f t="shared" si="42"/>
        <v>12.589299260865312</v>
      </c>
      <c r="Z121" s="12">
        <f t="shared" si="43"/>
        <v>27.135859395209948</v>
      </c>
      <c r="AA121" s="20">
        <f>input!H120</f>
        <v>0</v>
      </c>
      <c r="AB121" s="19">
        <f t="shared" si="44"/>
        <v>0.98197554006092014</v>
      </c>
      <c r="AC121" s="19">
        <f t="shared" si="45"/>
        <v>0.99519142618801715</v>
      </c>
      <c r="AD121" s="8">
        <f t="shared" si="46"/>
        <v>0</v>
      </c>
      <c r="AE121" s="8">
        <f t="shared" si="47"/>
        <v>244353.63203392917</v>
      </c>
      <c r="AF121" s="8">
        <f t="shared" si="48"/>
        <v>8305.4541098603986</v>
      </c>
      <c r="AG121" s="8">
        <f t="shared" si="49"/>
        <v>0</v>
      </c>
      <c r="AH121" s="8">
        <f t="shared" si="29"/>
        <v>0</v>
      </c>
      <c r="AI121" s="8">
        <f t="shared" si="30"/>
        <v>201177.54195797894</v>
      </c>
      <c r="AJ121" s="8">
        <f t="shared" si="50"/>
        <v>8046.723587969891</v>
      </c>
      <c r="AK121" s="8">
        <f t="shared" si="51"/>
        <v>0</v>
      </c>
      <c r="AL121" s="8">
        <f t="shared" si="52"/>
        <v>0</v>
      </c>
      <c r="AM121" s="8">
        <f t="shared" si="53"/>
        <v>12191.45217577207</v>
      </c>
      <c r="AN121" s="8">
        <f t="shared" si="54"/>
        <v>7603.2640106175168</v>
      </c>
      <c r="AO121" s="8">
        <f t="shared" si="55"/>
        <v>0</v>
      </c>
    </row>
    <row r="122" spans="1:41">
      <c r="A122" s="1">
        <v>41849</v>
      </c>
      <c r="B122" s="5">
        <v>120</v>
      </c>
      <c r="C122" s="3">
        <f>B122/365+input!$K$3</f>
        <v>0.32876712328767121</v>
      </c>
      <c r="D122" s="4">
        <f t="shared" si="31"/>
        <v>0.8186775924406684</v>
      </c>
      <c r="E122" s="12">
        <f t="shared" si="32"/>
        <v>7.4623844519320784E-3</v>
      </c>
      <c r="F122" s="20">
        <f>input!E121</f>
        <v>0</v>
      </c>
      <c r="G122" s="19">
        <f t="shared" si="33"/>
        <v>0</v>
      </c>
      <c r="H122" s="19">
        <f t="shared" si="34"/>
        <v>2.1291470374883992E-20</v>
      </c>
      <c r="I122" s="5">
        <v>485</v>
      </c>
      <c r="J122" s="3">
        <f>I122/365+input!$K$3</f>
        <v>1.3287671232876712</v>
      </c>
      <c r="K122" s="4">
        <f t="shared" si="35"/>
        <v>8.4632518325303554</v>
      </c>
      <c r="L122" s="12">
        <f t="shared" si="36"/>
        <v>8.2442414053881485</v>
      </c>
      <c r="M122" s="20">
        <f>input!F121</f>
        <v>29322.23</v>
      </c>
      <c r="N122" s="19">
        <f t="shared" si="37"/>
        <v>0.82456760906298476</v>
      </c>
      <c r="O122" s="19">
        <f t="shared" si="38"/>
        <v>6.2177495372340241E-2</v>
      </c>
      <c r="P122" s="21">
        <v>850</v>
      </c>
      <c r="Q122" s="3">
        <f>P122/365+input!$K$3</f>
        <v>2.3287671232876712</v>
      </c>
      <c r="R122" s="4">
        <f t="shared" si="39"/>
        <v>11.602540221565576</v>
      </c>
      <c r="S122" s="12">
        <f t="shared" si="40"/>
        <v>21.242134592494544</v>
      </c>
      <c r="T122" s="20">
        <f>input!G121</f>
        <v>381.32</v>
      </c>
      <c r="U122" s="19">
        <f t="shared" si="41"/>
        <v>0.96893973192267913</v>
      </c>
      <c r="V122" s="19">
        <f t="shared" si="28"/>
        <v>0.94548189967625063</v>
      </c>
      <c r="W122" s="21">
        <v>1215</v>
      </c>
      <c r="X122" s="3">
        <f>W122/365+input!$K$3</f>
        <v>3.3287671232876712</v>
      </c>
      <c r="Y122" s="4">
        <f t="shared" si="42"/>
        <v>12.589299260865312</v>
      </c>
      <c r="Z122" s="12">
        <f t="shared" si="43"/>
        <v>27.135859395209948</v>
      </c>
      <c r="AA122" s="20">
        <f>input!H121</f>
        <v>0</v>
      </c>
      <c r="AB122" s="19">
        <f t="shared" si="44"/>
        <v>0.98197554006092014</v>
      </c>
      <c r="AC122" s="19">
        <f t="shared" si="45"/>
        <v>0.99519142618801715</v>
      </c>
      <c r="AD122" s="8">
        <f t="shared" si="46"/>
        <v>0</v>
      </c>
      <c r="AE122" s="8">
        <f t="shared" si="47"/>
        <v>241739.54266431453</v>
      </c>
      <c r="AF122" s="8">
        <f t="shared" si="48"/>
        <v>8100.0507628100195</v>
      </c>
      <c r="AG122" s="8">
        <f t="shared" si="49"/>
        <v>0</v>
      </c>
      <c r="AH122" s="8">
        <f t="shared" si="29"/>
        <v>0</v>
      </c>
      <c r="AI122" s="8">
        <f t="shared" si="30"/>
        <v>199330.59671069324</v>
      </c>
      <c r="AJ122" s="8">
        <f t="shared" si="50"/>
        <v>7848.4610146772329</v>
      </c>
      <c r="AK122" s="8">
        <f t="shared" si="51"/>
        <v>0</v>
      </c>
      <c r="AL122" s="8">
        <f t="shared" si="52"/>
        <v>0</v>
      </c>
      <c r="AM122" s="8">
        <f t="shared" si="53"/>
        <v>12393.877254544948</v>
      </c>
      <c r="AN122" s="8">
        <f t="shared" si="54"/>
        <v>7420.5778296920234</v>
      </c>
      <c r="AO122" s="8">
        <f t="shared" si="55"/>
        <v>0</v>
      </c>
    </row>
    <row r="123" spans="1:41">
      <c r="A123" s="1">
        <v>41850</v>
      </c>
      <c r="B123" s="5">
        <v>121</v>
      </c>
      <c r="C123" s="3">
        <f>B123/365+input!$K$3</f>
        <v>0.33150684931506852</v>
      </c>
      <c r="D123" s="4">
        <f t="shared" si="31"/>
        <v>0.85026776669345938</v>
      </c>
      <c r="E123" s="12">
        <f t="shared" si="32"/>
        <v>8.3599957133722903E-3</v>
      </c>
      <c r="F123" s="20">
        <f>input!E122</f>
        <v>0</v>
      </c>
      <c r="G123" s="19">
        <f t="shared" si="33"/>
        <v>0</v>
      </c>
      <c r="H123" s="19">
        <f t="shared" si="34"/>
        <v>2.853742029481963E-20</v>
      </c>
      <c r="I123" s="5">
        <v>486</v>
      </c>
      <c r="J123" s="3">
        <f>I123/365+input!$K$3</f>
        <v>1.3315068493150686</v>
      </c>
      <c r="K123" s="4">
        <f t="shared" si="35"/>
        <v>8.4762245193177126</v>
      </c>
      <c r="L123" s="12">
        <f t="shared" si="36"/>
        <v>8.2822104921089732</v>
      </c>
      <c r="M123" s="20">
        <f>input!F122</f>
        <v>29228.35</v>
      </c>
      <c r="N123" s="19">
        <f t="shared" si="37"/>
        <v>0.82581825470925452</v>
      </c>
      <c r="O123" s="19">
        <f t="shared" si="38"/>
        <v>6.3782403286506265E-2</v>
      </c>
      <c r="P123" s="21">
        <v>851</v>
      </c>
      <c r="Q123" s="3">
        <f>P123/365+input!$K$3</f>
        <v>2.3315068493150686</v>
      </c>
      <c r="R123" s="4">
        <f t="shared" si="39"/>
        <v>11.607867530023459</v>
      </c>
      <c r="S123" s="12">
        <f t="shared" si="40"/>
        <v>21.271408019192229</v>
      </c>
      <c r="T123" s="20">
        <f>input!G122</f>
        <v>380.27</v>
      </c>
      <c r="U123" s="19">
        <f t="shared" si="41"/>
        <v>0.96903085375054465</v>
      </c>
      <c r="V123" s="19">
        <f t="shared" si="28"/>
        <v>0.94606790272936203</v>
      </c>
      <c r="W123" s="21">
        <v>1216</v>
      </c>
      <c r="X123" s="3">
        <f>W123/365+input!$K$3</f>
        <v>3.3315068493150686</v>
      </c>
      <c r="Y123" s="4">
        <f t="shared" si="42"/>
        <v>12.589299260865312</v>
      </c>
      <c r="Z123" s="12">
        <f t="shared" si="43"/>
        <v>27.135859395209948</v>
      </c>
      <c r="AA123" s="20">
        <f>input!H122</f>
        <v>0</v>
      </c>
      <c r="AB123" s="19">
        <f t="shared" si="44"/>
        <v>0.98197554006092014</v>
      </c>
      <c r="AC123" s="19">
        <f t="shared" si="45"/>
        <v>0.99519142618801715</v>
      </c>
      <c r="AD123" s="8">
        <f t="shared" si="46"/>
        <v>0</v>
      </c>
      <c r="AE123" s="8">
        <f t="shared" si="47"/>
        <v>242075.34703703329</v>
      </c>
      <c r="AF123" s="8">
        <f t="shared" si="48"/>
        <v>8088.8783274582283</v>
      </c>
      <c r="AG123" s="8">
        <f t="shared" si="49"/>
        <v>0</v>
      </c>
      <c r="AH123" s="8">
        <f t="shared" si="29"/>
        <v>0</v>
      </c>
      <c r="AI123" s="8">
        <f t="shared" si="30"/>
        <v>199910.24059825993</v>
      </c>
      <c r="AJ123" s="8">
        <f t="shared" si="50"/>
        <v>7838.3726715411249</v>
      </c>
      <c r="AK123" s="8">
        <f t="shared" si="51"/>
        <v>0</v>
      </c>
      <c r="AL123" s="8">
        <f t="shared" si="52"/>
        <v>0</v>
      </c>
      <c r="AM123" s="8">
        <f t="shared" si="53"/>
        <v>12750.755586940712</v>
      </c>
      <c r="AN123" s="8">
        <f t="shared" si="54"/>
        <v>7415.6327941760583</v>
      </c>
      <c r="AO123" s="8">
        <f t="shared" si="55"/>
        <v>0</v>
      </c>
    </row>
    <row r="124" spans="1:41">
      <c r="A124" s="1">
        <v>41851</v>
      </c>
      <c r="B124" s="5">
        <v>122</v>
      </c>
      <c r="C124" s="3">
        <f>B124/365+input!$K$3</f>
        <v>0.33424657534246577</v>
      </c>
      <c r="D124" s="4">
        <f t="shared" si="31"/>
        <v>0.88178100668481085</v>
      </c>
      <c r="E124" s="12">
        <f t="shared" si="32"/>
        <v>9.324404996103576E-3</v>
      </c>
      <c r="F124" s="20">
        <f>input!E123</f>
        <v>0</v>
      </c>
      <c r="G124" s="19">
        <f t="shared" si="33"/>
        <v>0</v>
      </c>
      <c r="H124" s="19">
        <f t="shared" si="34"/>
        <v>3.8184487763129501E-20</v>
      </c>
      <c r="I124" s="5">
        <v>487</v>
      </c>
      <c r="J124" s="3">
        <f>I124/365+input!$K$3</f>
        <v>1.3342465753424657</v>
      </c>
      <c r="K124" s="4">
        <f t="shared" si="35"/>
        <v>8.4891656126080282</v>
      </c>
      <c r="L124" s="12">
        <f t="shared" si="36"/>
        <v>8.3202030843036088</v>
      </c>
      <c r="M124" s="20">
        <f>input!F123</f>
        <v>28764.15</v>
      </c>
      <c r="N124" s="19">
        <f t="shared" si="37"/>
        <v>0.82705697127475131</v>
      </c>
      <c r="O124" s="19">
        <f t="shared" si="38"/>
        <v>6.5415325529491017E-2</v>
      </c>
      <c r="P124" s="21">
        <v>852</v>
      </c>
      <c r="Q124" s="3">
        <f>P124/365+input!$K$3</f>
        <v>2.3342465753424659</v>
      </c>
      <c r="R124" s="4">
        <f t="shared" si="39"/>
        <v>11.613181864430031</v>
      </c>
      <c r="S124" s="12">
        <f t="shared" si="40"/>
        <v>21.300636937467491</v>
      </c>
      <c r="T124" s="20">
        <f>input!G123</f>
        <v>369.96</v>
      </c>
      <c r="U124" s="19">
        <f t="shared" si="41"/>
        <v>0.9691214873116939</v>
      </c>
      <c r="V124" s="19">
        <f t="shared" si="28"/>
        <v>0.94664749883756349</v>
      </c>
      <c r="W124" s="21">
        <v>1217</v>
      </c>
      <c r="X124" s="3">
        <f>W124/365+input!$K$3</f>
        <v>3.3342465753424659</v>
      </c>
      <c r="Y124" s="4">
        <f t="shared" si="42"/>
        <v>12.589299260865312</v>
      </c>
      <c r="Z124" s="12">
        <f t="shared" si="43"/>
        <v>27.135859395209948</v>
      </c>
      <c r="AA124" s="20">
        <f>input!H123</f>
        <v>0</v>
      </c>
      <c r="AB124" s="19">
        <f t="shared" si="44"/>
        <v>0.98197554006092014</v>
      </c>
      <c r="AC124" s="19">
        <f t="shared" si="45"/>
        <v>0.99519142618801715</v>
      </c>
      <c r="AD124" s="8">
        <f t="shared" si="46"/>
        <v>0</v>
      </c>
      <c r="AE124" s="8">
        <f t="shared" si="47"/>
        <v>239323.56954737165</v>
      </c>
      <c r="AF124" s="8">
        <f t="shared" si="48"/>
        <v>7880.3836413854724</v>
      </c>
      <c r="AG124" s="8">
        <f t="shared" si="49"/>
        <v>0</v>
      </c>
      <c r="AH124" s="8">
        <f t="shared" si="29"/>
        <v>0</v>
      </c>
      <c r="AI124" s="8">
        <f t="shared" si="30"/>
        <v>197934.22658451149</v>
      </c>
      <c r="AJ124" s="8">
        <f t="shared" si="50"/>
        <v>7637.0491151262313</v>
      </c>
      <c r="AK124" s="8">
        <f t="shared" si="51"/>
        <v>0</v>
      </c>
      <c r="AL124" s="8">
        <f t="shared" si="52"/>
        <v>0</v>
      </c>
      <c r="AM124" s="8">
        <f t="shared" si="53"/>
        <v>12947.931865453855</v>
      </c>
      <c r="AN124" s="8">
        <f t="shared" si="54"/>
        <v>7229.5934433338743</v>
      </c>
      <c r="AO124" s="8">
        <f t="shared" si="55"/>
        <v>0</v>
      </c>
    </row>
    <row r="125" spans="1:41">
      <c r="A125" s="1">
        <v>41852</v>
      </c>
      <c r="B125" s="5">
        <v>123</v>
      </c>
      <c r="C125" s="3">
        <f>B125/365+input!$K$3</f>
        <v>0.33698630136986302</v>
      </c>
      <c r="D125" s="4">
        <f t="shared" si="31"/>
        <v>0.91321749977932865</v>
      </c>
      <c r="E125" s="12">
        <f t="shared" si="32"/>
        <v>1.0357658405314144E-2</v>
      </c>
      <c r="F125" s="20">
        <f>input!E124</f>
        <v>0</v>
      </c>
      <c r="G125" s="19">
        <f t="shared" si="33"/>
        <v>0</v>
      </c>
      <c r="H125" s="19">
        <f t="shared" si="34"/>
        <v>5.1006594658667214E-20</v>
      </c>
      <c r="I125" s="5">
        <v>488</v>
      </c>
      <c r="J125" s="3">
        <f>I125/365+input!$K$3</f>
        <v>1.3369863013698631</v>
      </c>
      <c r="K125" s="4">
        <f t="shared" si="35"/>
        <v>8.5020751893436497</v>
      </c>
      <c r="L125" s="12">
        <f t="shared" si="36"/>
        <v>8.3582187367320167</v>
      </c>
      <c r="M125" s="20">
        <f>input!F124</f>
        <v>28668.400000000001</v>
      </c>
      <c r="N125" s="19">
        <f t="shared" si="37"/>
        <v>0.82828389389467616</v>
      </c>
      <c r="O125" s="19">
        <f t="shared" si="38"/>
        <v>6.7076393361202219E-2</v>
      </c>
      <c r="P125" s="21">
        <v>853</v>
      </c>
      <c r="Q125" s="3">
        <f>P125/365+input!$K$3</f>
        <v>2.3369863013698629</v>
      </c>
      <c r="R125" s="4">
        <f t="shared" si="39"/>
        <v>11.618483256382113</v>
      </c>
      <c r="S125" s="12">
        <f t="shared" si="40"/>
        <v>21.329821337619777</v>
      </c>
      <c r="T125" s="20">
        <f>input!G124</f>
        <v>368.85</v>
      </c>
      <c r="U125" s="19">
        <f t="shared" si="41"/>
        <v>0.96921163586669812</v>
      </c>
      <c r="V125" s="19">
        <f t="shared" si="28"/>
        <v>0.94722075382335691</v>
      </c>
      <c r="W125" s="21">
        <v>1218</v>
      </c>
      <c r="X125" s="3">
        <f>W125/365+input!$K$3</f>
        <v>3.3369863013698629</v>
      </c>
      <c r="Y125" s="4">
        <f t="shared" si="42"/>
        <v>12.589299260865312</v>
      </c>
      <c r="Z125" s="12">
        <f t="shared" si="43"/>
        <v>27.135859395209948</v>
      </c>
      <c r="AA125" s="20">
        <f>input!H124</f>
        <v>0</v>
      </c>
      <c r="AB125" s="19">
        <f t="shared" si="44"/>
        <v>0.98197554006092014</v>
      </c>
      <c r="AC125" s="19">
        <f t="shared" si="45"/>
        <v>0.99519142618801715</v>
      </c>
      <c r="AD125" s="8">
        <f t="shared" si="46"/>
        <v>0</v>
      </c>
      <c r="AE125" s="8">
        <f t="shared" si="47"/>
        <v>239616.75803212816</v>
      </c>
      <c r="AF125" s="8">
        <f t="shared" si="48"/>
        <v>7867.5046003810548</v>
      </c>
      <c r="AG125" s="8">
        <f t="shared" si="49"/>
        <v>0</v>
      </c>
      <c r="AH125" s="8">
        <f t="shared" si="29"/>
        <v>0</v>
      </c>
      <c r="AI125" s="8">
        <f t="shared" si="30"/>
        <v>198470.70138526952</v>
      </c>
      <c r="AJ125" s="8">
        <f t="shared" si="50"/>
        <v>7625.277003924095</v>
      </c>
      <c r="AK125" s="8">
        <f t="shared" si="51"/>
        <v>0</v>
      </c>
      <c r="AL125" s="8">
        <f t="shared" si="52"/>
        <v>0</v>
      </c>
      <c r="AM125" s="8">
        <f t="shared" si="53"/>
        <v>13312.69883679204</v>
      </c>
      <c r="AN125" s="8">
        <f t="shared" si="54"/>
        <v>7222.8206317688901</v>
      </c>
      <c r="AO125" s="8">
        <f t="shared" si="55"/>
        <v>0</v>
      </c>
    </row>
    <row r="126" spans="1:41">
      <c r="A126" s="1">
        <v>41853</v>
      </c>
      <c r="B126" s="5">
        <v>124</v>
      </c>
      <c r="C126" s="3">
        <f>B126/365+input!$K$3</f>
        <v>0.33972602739726027</v>
      </c>
      <c r="D126" s="4">
        <f t="shared" si="31"/>
        <v>0.9445774328853167</v>
      </c>
      <c r="E126" s="12">
        <f t="shared" si="32"/>
        <v>1.1461767773345871E-2</v>
      </c>
      <c r="F126" s="20">
        <f>input!E125</f>
        <v>0</v>
      </c>
      <c r="G126" s="19">
        <f t="shared" si="33"/>
        <v>0</v>
      </c>
      <c r="H126" s="19">
        <f t="shared" si="34"/>
        <v>6.8020007727531101E-20</v>
      </c>
      <c r="I126" s="5">
        <v>489</v>
      </c>
      <c r="J126" s="3">
        <f>I126/365+input!$K$3</f>
        <v>1.3397260273972602</v>
      </c>
      <c r="K126" s="4">
        <f t="shared" si="35"/>
        <v>8.5149533262795529</v>
      </c>
      <c r="L126" s="12">
        <f t="shared" si="36"/>
        <v>8.3962570058418269</v>
      </c>
      <c r="M126" s="20">
        <f>input!F125</f>
        <v>28175.68</v>
      </c>
      <c r="N126" s="19">
        <f t="shared" si="37"/>
        <v>0.82949915595754764</v>
      </c>
      <c r="O126" s="19">
        <f t="shared" si="38"/>
        <v>6.8765730339315559E-2</v>
      </c>
      <c r="P126" s="21">
        <v>854</v>
      </c>
      <c r="Q126" s="3">
        <f>P126/365+input!$K$3</f>
        <v>2.3397260273972602</v>
      </c>
      <c r="R126" s="4">
        <f t="shared" si="39"/>
        <v>11.623771737399572</v>
      </c>
      <c r="S126" s="12">
        <f t="shared" si="40"/>
        <v>21.358961210457714</v>
      </c>
      <c r="T126" s="20">
        <f>input!G125</f>
        <v>358.57</v>
      </c>
      <c r="U126" s="19">
        <f t="shared" si="41"/>
        <v>0.9693013026502062</v>
      </c>
      <c r="V126" s="19">
        <f t="shared" si="28"/>
        <v>0.94778773297008456</v>
      </c>
      <c r="W126" s="21">
        <v>1219</v>
      </c>
      <c r="X126" s="3">
        <f>W126/365+input!$K$3</f>
        <v>3.3397260273972602</v>
      </c>
      <c r="Y126" s="4">
        <f t="shared" si="42"/>
        <v>12.589299260865312</v>
      </c>
      <c r="Z126" s="12">
        <f t="shared" si="43"/>
        <v>27.135859395209948</v>
      </c>
      <c r="AA126" s="20">
        <f>input!H125</f>
        <v>0</v>
      </c>
      <c r="AB126" s="19">
        <f t="shared" si="44"/>
        <v>0.98197554006092014</v>
      </c>
      <c r="AC126" s="19">
        <f t="shared" si="45"/>
        <v>0.99519142618801715</v>
      </c>
      <c r="AD126" s="8">
        <f t="shared" si="46"/>
        <v>0</v>
      </c>
      <c r="AE126" s="8">
        <f t="shared" si="47"/>
        <v>236570.25059435744</v>
      </c>
      <c r="AF126" s="8">
        <f t="shared" si="48"/>
        <v>7658.6827212338221</v>
      </c>
      <c r="AG126" s="8">
        <f t="shared" si="49"/>
        <v>0</v>
      </c>
      <c r="AH126" s="8">
        <f t="shared" si="29"/>
        <v>0</v>
      </c>
      <c r="AI126" s="8">
        <f t="shared" si="30"/>
        <v>196234.82319268503</v>
      </c>
      <c r="AJ126" s="8">
        <f t="shared" si="50"/>
        <v>7423.5711382765694</v>
      </c>
      <c r="AK126" s="8">
        <f t="shared" si="51"/>
        <v>0</v>
      </c>
      <c r="AL126" s="8">
        <f t="shared" si="52"/>
        <v>0</v>
      </c>
      <c r="AM126" s="8">
        <f t="shared" si="53"/>
        <v>13494.230934851445</v>
      </c>
      <c r="AN126" s="8">
        <f t="shared" si="54"/>
        <v>7035.9696596893</v>
      </c>
      <c r="AO126" s="8">
        <f t="shared" si="55"/>
        <v>0</v>
      </c>
    </row>
    <row r="127" spans="1:41">
      <c r="A127" s="1">
        <v>41854</v>
      </c>
      <c r="B127" s="5">
        <v>125</v>
      </c>
      <c r="C127" s="3">
        <f>B127/365+input!$K$3</f>
        <v>0.34246575342465752</v>
      </c>
      <c r="D127" s="4">
        <f t="shared" si="31"/>
        <v>0.9758609924558812</v>
      </c>
      <c r="E127" s="12">
        <f t="shared" si="32"/>
        <v>1.2638711020810526E-2</v>
      </c>
      <c r="F127" s="20">
        <f>input!E126</f>
        <v>0</v>
      </c>
      <c r="G127" s="19">
        <f t="shared" si="33"/>
        <v>0</v>
      </c>
      <c r="H127" s="19">
        <f t="shared" si="34"/>
        <v>9.0556968146331091E-20</v>
      </c>
      <c r="I127" s="5">
        <v>490</v>
      </c>
      <c r="J127" s="3">
        <f>I127/365+input!$K$3</f>
        <v>1.3424657534246576</v>
      </c>
      <c r="K127" s="4">
        <f t="shared" si="35"/>
        <v>8.5278000999837769</v>
      </c>
      <c r="L127" s="12">
        <f t="shared" si="36"/>
        <v>8.4343174497705764</v>
      </c>
      <c r="M127" s="20">
        <f>input!F126</f>
        <v>28077.03</v>
      </c>
      <c r="N127" s="19">
        <f t="shared" si="37"/>
        <v>0.83070288913033663</v>
      </c>
      <c r="O127" s="19">
        <f t="shared" si="38"/>
        <v>7.0483452209143566E-2</v>
      </c>
      <c r="P127" s="21">
        <v>855</v>
      </c>
      <c r="Q127" s="3">
        <f>P127/365+input!$K$3</f>
        <v>2.3424657534246576</v>
      </c>
      <c r="R127" s="4">
        <f t="shared" si="39"/>
        <v>11.62904733892552</v>
      </c>
      <c r="S127" s="12">
        <f t="shared" si="40"/>
        <v>21.388056547296234</v>
      </c>
      <c r="T127" s="20">
        <f>input!G126</f>
        <v>357.38</v>
      </c>
      <c r="U127" s="19">
        <f t="shared" si="41"/>
        <v>0.96939049087118079</v>
      </c>
      <c r="V127" s="19">
        <f t="shared" si="28"/>
        <v>0.94834850102291768</v>
      </c>
      <c r="W127" s="21">
        <v>1220</v>
      </c>
      <c r="X127" s="3">
        <f>W127/365+input!$K$3</f>
        <v>3.3424657534246576</v>
      </c>
      <c r="Y127" s="4">
        <f t="shared" si="42"/>
        <v>12.589299260865312</v>
      </c>
      <c r="Z127" s="12">
        <f t="shared" si="43"/>
        <v>27.135859395209948</v>
      </c>
      <c r="AA127" s="20">
        <f>input!H126</f>
        <v>0</v>
      </c>
      <c r="AB127" s="19">
        <f t="shared" si="44"/>
        <v>0.98197554006092014</v>
      </c>
      <c r="AC127" s="19">
        <f t="shared" si="45"/>
        <v>0.99519142618801715</v>
      </c>
      <c r="AD127" s="8">
        <f t="shared" si="46"/>
        <v>0</v>
      </c>
      <c r="AE127" s="8">
        <f t="shared" si="47"/>
        <v>236810.58406673194</v>
      </c>
      <c r="AF127" s="8">
        <f t="shared" si="48"/>
        <v>7643.6636488727281</v>
      </c>
      <c r="AG127" s="8">
        <f t="shared" si="49"/>
        <v>0</v>
      </c>
      <c r="AH127" s="8">
        <f t="shared" si="29"/>
        <v>0</v>
      </c>
      <c r="AI127" s="8">
        <f t="shared" si="30"/>
        <v>196719.23636087668</v>
      </c>
      <c r="AJ127" s="8">
        <f t="shared" si="50"/>
        <v>7409.6948566349347</v>
      </c>
      <c r="AK127" s="8">
        <f t="shared" si="51"/>
        <v>0</v>
      </c>
      <c r="AL127" s="8">
        <f t="shared" si="52"/>
        <v>0</v>
      </c>
      <c r="AM127" s="8">
        <f t="shared" si="53"/>
        <v>13865.450894661068</v>
      </c>
      <c r="AN127" s="8">
        <f t="shared" si="54"/>
        <v>7026.973010326963</v>
      </c>
      <c r="AO127" s="8">
        <f t="shared" si="55"/>
        <v>0</v>
      </c>
    </row>
    <row r="128" spans="1:41">
      <c r="A128" s="1">
        <v>41855</v>
      </c>
      <c r="B128" s="5">
        <v>126</v>
      </c>
      <c r="C128" s="3">
        <f>B128/365+input!$K$3</f>
        <v>0.34520547945205482</v>
      </c>
      <c r="D128" s="4">
        <f t="shared" si="31"/>
        <v>1.0070683644900469</v>
      </c>
      <c r="E128" s="12">
        <f t="shared" si="32"/>
        <v>1.3890432514491175E-2</v>
      </c>
      <c r="F128" s="20">
        <f>input!E127</f>
        <v>0</v>
      </c>
      <c r="G128" s="19">
        <f t="shared" si="33"/>
        <v>0</v>
      </c>
      <c r="H128" s="19">
        <f t="shared" si="34"/>
        <v>1.2036099369089152E-19</v>
      </c>
      <c r="I128" s="5">
        <v>491</v>
      </c>
      <c r="J128" s="3">
        <f>I128/365+input!$K$3</f>
        <v>1.3452054794520547</v>
      </c>
      <c r="K128" s="4">
        <f t="shared" si="35"/>
        <v>8.5406155868378892</v>
      </c>
      <c r="L128" s="12">
        <f t="shared" si="36"/>
        <v>8.4723996283479561</v>
      </c>
      <c r="M128" s="20">
        <f>input!F127</f>
        <v>27467.39</v>
      </c>
      <c r="N128" s="19">
        <f t="shared" si="37"/>
        <v>0.83189522338320843</v>
      </c>
      <c r="O128" s="19">
        <f t="shared" si="38"/>
        <v>7.2229666798561729E-2</v>
      </c>
      <c r="P128" s="21">
        <v>856</v>
      </c>
      <c r="Q128" s="3">
        <f>P128/365+input!$K$3</f>
        <v>2.3452054794520549</v>
      </c>
      <c r="R128" s="4">
        <f t="shared" si="39"/>
        <v>11.634310092326485</v>
      </c>
      <c r="S128" s="12">
        <f t="shared" si="40"/>
        <v>21.417107339953525</v>
      </c>
      <c r="T128" s="20">
        <f>input!G127</f>
        <v>348.75</v>
      </c>
      <c r="U128" s="19">
        <f t="shared" si="41"/>
        <v>0.96947920371313279</v>
      </c>
      <c r="V128" s="19">
        <f t="shared" si="28"/>
        <v>0.948903122189936</v>
      </c>
      <c r="W128" s="21">
        <v>1221</v>
      </c>
      <c r="X128" s="3">
        <f>W128/365+input!$K$3</f>
        <v>3.3452054794520549</v>
      </c>
      <c r="Y128" s="4">
        <f t="shared" si="42"/>
        <v>12.589299260865312</v>
      </c>
      <c r="Z128" s="12">
        <f t="shared" si="43"/>
        <v>27.135859395209948</v>
      </c>
      <c r="AA128" s="20">
        <f>input!H127</f>
        <v>0</v>
      </c>
      <c r="AB128" s="19">
        <f t="shared" si="44"/>
        <v>0.98197554006092014</v>
      </c>
      <c r="AC128" s="19">
        <f t="shared" si="45"/>
        <v>0.99519142618801715</v>
      </c>
      <c r="AD128" s="8">
        <f t="shared" si="46"/>
        <v>0</v>
      </c>
      <c r="AE128" s="8">
        <f t="shared" si="47"/>
        <v>232714.70482768837</v>
      </c>
      <c r="AF128" s="8">
        <f t="shared" si="48"/>
        <v>7469.2161848087917</v>
      </c>
      <c r="AG128" s="8">
        <f t="shared" si="49"/>
        <v>0</v>
      </c>
      <c r="AH128" s="8">
        <f t="shared" si="29"/>
        <v>0</v>
      </c>
      <c r="AI128" s="8">
        <f t="shared" si="30"/>
        <v>193594.25135718723</v>
      </c>
      <c r="AJ128" s="8">
        <f t="shared" si="50"/>
        <v>7241.2497592096706</v>
      </c>
      <c r="AK128" s="8">
        <f t="shared" si="51"/>
        <v>0</v>
      </c>
      <c r="AL128" s="8">
        <f t="shared" si="52"/>
        <v>0</v>
      </c>
      <c r="AM128" s="8">
        <f t="shared" si="53"/>
        <v>13983.24826964664</v>
      </c>
      <c r="AN128" s="8">
        <f t="shared" si="54"/>
        <v>6871.2445050711785</v>
      </c>
      <c r="AO128" s="8">
        <f t="shared" si="55"/>
        <v>0</v>
      </c>
    </row>
    <row r="129" spans="1:41">
      <c r="A129" s="1">
        <v>41856</v>
      </c>
      <c r="B129" s="5">
        <v>127</v>
      </c>
      <c r="C129" s="3">
        <f>B129/365+input!$K$3</f>
        <v>0.34794520547945207</v>
      </c>
      <c r="D129" s="4">
        <f t="shared" si="31"/>
        <v>1.0381997345338558</v>
      </c>
      <c r="E129" s="12">
        <f t="shared" si="32"/>
        <v>1.5218843422054219E-2</v>
      </c>
      <c r="F129" s="20">
        <f>input!E128</f>
        <v>0</v>
      </c>
      <c r="G129" s="19">
        <f t="shared" si="33"/>
        <v>0</v>
      </c>
      <c r="H129" s="19">
        <f t="shared" si="34"/>
        <v>1.5971002350969882E-19</v>
      </c>
      <c r="I129" s="5">
        <v>492</v>
      </c>
      <c r="J129" s="3">
        <f>I129/365+input!$K$3</f>
        <v>1.3479452054794521</v>
      </c>
      <c r="K129" s="4">
        <f t="shared" si="35"/>
        <v>8.5533998630374413</v>
      </c>
      <c r="L129" s="12">
        <f t="shared" si="36"/>
        <v>8.510503103097923</v>
      </c>
      <c r="M129" s="20">
        <f>input!F128</f>
        <v>27295.66</v>
      </c>
      <c r="N129" s="19">
        <f t="shared" si="37"/>
        <v>0.8330762870138757</v>
      </c>
      <c r="O129" s="19">
        <f t="shared" si="38"/>
        <v>7.4004473918075894E-2</v>
      </c>
      <c r="P129" s="21">
        <v>857</v>
      </c>
      <c r="Q129" s="3">
        <f>P129/365+input!$K$3</f>
        <v>2.3479452054794518</v>
      </c>
      <c r="R129" s="4">
        <f t="shared" si="39"/>
        <v>11.639560028892603</v>
      </c>
      <c r="S129" s="12">
        <f t="shared" si="40"/>
        <v>21.446113580748136</v>
      </c>
      <c r="T129" s="20">
        <f>input!G128</f>
        <v>347.35</v>
      </c>
      <c r="U129" s="19">
        <f t="shared" si="41"/>
        <v>0.96956744433435316</v>
      </c>
      <c r="V129" s="19">
        <f t="shared" si="28"/>
        <v>0.94945166014330074</v>
      </c>
      <c r="W129" s="21">
        <v>1222</v>
      </c>
      <c r="X129" s="3">
        <f>W129/365+input!$K$3</f>
        <v>3.3479452054794518</v>
      </c>
      <c r="Y129" s="4">
        <f t="shared" si="42"/>
        <v>12.589299260865312</v>
      </c>
      <c r="Z129" s="12">
        <f t="shared" si="43"/>
        <v>27.135859395209948</v>
      </c>
      <c r="AA129" s="20">
        <f>input!H128</f>
        <v>0</v>
      </c>
      <c r="AB129" s="19">
        <f t="shared" si="44"/>
        <v>0.98197554006092014</v>
      </c>
      <c r="AC129" s="19">
        <f t="shared" si="45"/>
        <v>0.99519142618801715</v>
      </c>
      <c r="AD129" s="8">
        <f t="shared" si="46"/>
        <v>0</v>
      </c>
      <c r="AE129" s="8">
        <f t="shared" si="47"/>
        <v>232299.79913110586</v>
      </c>
      <c r="AF129" s="8">
        <f t="shared" si="48"/>
        <v>7449.3075522728659</v>
      </c>
      <c r="AG129" s="8">
        <f t="shared" si="49"/>
        <v>0</v>
      </c>
      <c r="AH129" s="8">
        <f t="shared" si="29"/>
        <v>0</v>
      </c>
      <c r="AI129" s="8">
        <f t="shared" si="30"/>
        <v>193523.45413421083</v>
      </c>
      <c r="AJ129" s="8">
        <f t="shared" si="50"/>
        <v>7222.6060855177984</v>
      </c>
      <c r="AK129" s="8">
        <f t="shared" si="51"/>
        <v>0</v>
      </c>
      <c r="AL129" s="8">
        <f t="shared" si="52"/>
        <v>0</v>
      </c>
      <c r="AM129" s="8">
        <f t="shared" si="53"/>
        <v>14321.601414011162</v>
      </c>
      <c r="AN129" s="8">
        <f t="shared" si="54"/>
        <v>6857.5153384559808</v>
      </c>
      <c r="AO129" s="8">
        <f t="shared" si="55"/>
        <v>0</v>
      </c>
    </row>
    <row r="130" spans="1:41">
      <c r="A130" s="1">
        <v>41857</v>
      </c>
      <c r="B130" s="5">
        <v>128</v>
      </c>
      <c r="C130" s="3">
        <f>B130/365+input!$K$3</f>
        <v>0.35068493150684932</v>
      </c>
      <c r="D130" s="4">
        <f t="shared" si="31"/>
        <v>1.0692552876814752</v>
      </c>
      <c r="E130" s="12">
        <f t="shared" si="32"/>
        <v>1.6625822063599121E-2</v>
      </c>
      <c r="F130" s="20">
        <f>input!E129</f>
        <v>0</v>
      </c>
      <c r="G130" s="19">
        <f t="shared" si="33"/>
        <v>0</v>
      </c>
      <c r="H130" s="19">
        <f t="shared" si="34"/>
        <v>2.1157527118948814E-19</v>
      </c>
      <c r="I130" s="5">
        <v>493</v>
      </c>
      <c r="J130" s="3">
        <f>I130/365+input!$K$3</f>
        <v>1.3506849315068492</v>
      </c>
      <c r="K130" s="4">
        <f t="shared" si="35"/>
        <v>8.5661530045924152</v>
      </c>
      <c r="L130" s="12">
        <f t="shared" si="36"/>
        <v>8.5486274372406772</v>
      </c>
      <c r="M130" s="20">
        <f>input!F129</f>
        <v>26792.34</v>
      </c>
      <c r="N130" s="19">
        <f t="shared" si="37"/>
        <v>0.83424620667156568</v>
      </c>
      <c r="O130" s="19">
        <f t="shared" si="38"/>
        <v>7.5807965266115038E-2</v>
      </c>
      <c r="P130" s="21">
        <v>858</v>
      </c>
      <c r="Q130" s="3">
        <f>P130/365+input!$K$3</f>
        <v>2.3506849315068492</v>
      </c>
      <c r="R130" s="4">
        <f t="shared" si="39"/>
        <v>11.64479717983782</v>
      </c>
      <c r="S130" s="12">
        <f t="shared" si="40"/>
        <v>21.475075262496155</v>
      </c>
      <c r="T130" s="20">
        <f>input!G129</f>
        <v>337.69</v>
      </c>
      <c r="U130" s="19">
        <f t="shared" si="41"/>
        <v>0.96965521586814218</v>
      </c>
      <c r="V130" s="19">
        <f t="shared" si="28"/>
        <v>0.949994178020516</v>
      </c>
      <c r="W130" s="21">
        <v>1223</v>
      </c>
      <c r="X130" s="3">
        <f>W130/365+input!$K$3</f>
        <v>3.3506849315068492</v>
      </c>
      <c r="Y130" s="4">
        <f t="shared" si="42"/>
        <v>12.589299260865312</v>
      </c>
      <c r="Z130" s="12">
        <f t="shared" si="43"/>
        <v>27.135859395209948</v>
      </c>
      <c r="AA130" s="20">
        <f>input!H129</f>
        <v>0</v>
      </c>
      <c r="AB130" s="19">
        <f t="shared" si="44"/>
        <v>0.98197554006092014</v>
      </c>
      <c r="AC130" s="19">
        <f t="shared" si="45"/>
        <v>0.99519142618801715</v>
      </c>
      <c r="AD130" s="8">
        <f t="shared" si="46"/>
        <v>0</v>
      </c>
      <c r="AE130" s="8">
        <f t="shared" si="47"/>
        <v>229037.73283188089</v>
      </c>
      <c r="AF130" s="8">
        <f t="shared" si="48"/>
        <v>7251.918165392327</v>
      </c>
      <c r="AG130" s="8">
        <f t="shared" si="49"/>
        <v>0</v>
      </c>
      <c r="AH130" s="8">
        <f t="shared" si="29"/>
        <v>0</v>
      </c>
      <c r="AI130" s="8">
        <f t="shared" si="30"/>
        <v>191073.85979965216</v>
      </c>
      <c r="AJ130" s="8">
        <f t="shared" si="50"/>
        <v>7031.8602741215982</v>
      </c>
      <c r="AK130" s="8">
        <f t="shared" si="51"/>
        <v>0</v>
      </c>
      <c r="AL130" s="8">
        <f t="shared" si="52"/>
        <v>0</v>
      </c>
      <c r="AM130" s="8">
        <f t="shared" si="53"/>
        <v>14484.920526954566</v>
      </c>
      <c r="AN130" s="8">
        <f t="shared" si="54"/>
        <v>6680.2263210692681</v>
      </c>
      <c r="AO130" s="8">
        <f t="shared" si="55"/>
        <v>0</v>
      </c>
    </row>
    <row r="131" spans="1:41">
      <c r="A131" s="1">
        <v>41858</v>
      </c>
      <c r="B131" s="5">
        <v>129</v>
      </c>
      <c r="C131" s="3">
        <f>B131/365+input!$K$3</f>
        <v>0.35342465753424657</v>
      </c>
      <c r="D131" s="4">
        <f t="shared" si="31"/>
        <v>1.1002352085762968</v>
      </c>
      <c r="E131" s="12">
        <f t="shared" si="32"/>
        <v>1.8113214260071162E-2</v>
      </c>
      <c r="F131" s="20">
        <f>input!E130</f>
        <v>0</v>
      </c>
      <c r="G131" s="19">
        <f t="shared" si="33"/>
        <v>0</v>
      </c>
      <c r="H131" s="19">
        <f t="shared" si="34"/>
        <v>2.7982579637633296E-19</v>
      </c>
      <c r="I131" s="5">
        <v>494</v>
      </c>
      <c r="J131" s="3">
        <f>I131/365+input!$K$3</f>
        <v>1.3534246575342466</v>
      </c>
      <c r="K131" s="4">
        <f t="shared" si="35"/>
        <v>8.5788750873276882</v>
      </c>
      <c r="L131" s="12">
        <f t="shared" si="36"/>
        <v>8.5867721956946106</v>
      </c>
      <c r="M131" s="20">
        <f>input!F130</f>
        <v>26700.37</v>
      </c>
      <c r="N131" s="19">
        <f t="shared" si="37"/>
        <v>0.83540510738061491</v>
      </c>
      <c r="O131" s="19">
        <f t="shared" si="38"/>
        <v>7.7640224339629582E-2</v>
      </c>
      <c r="P131" s="21">
        <v>859</v>
      </c>
      <c r="Q131" s="3">
        <f>P131/365+input!$K$3</f>
        <v>2.3534246575342466</v>
      </c>
      <c r="R131" s="4">
        <f t="shared" si="39"/>
        <v>11.65002157630005</v>
      </c>
      <c r="S131" s="12">
        <f t="shared" si="40"/>
        <v>21.50399237850813</v>
      </c>
      <c r="T131" s="20">
        <f>input!G130</f>
        <v>336.32</v>
      </c>
      <c r="U131" s="19">
        <f t="shared" si="41"/>
        <v>0.96974252142303652</v>
      </c>
      <c r="V131" s="19">
        <f t="shared" ref="V131:V194" si="56">_xlfn.NORM.DIST(R131,10,1,TRUE)</f>
        <v>0.95053073842577251</v>
      </c>
      <c r="W131" s="21">
        <v>1224</v>
      </c>
      <c r="X131" s="3">
        <f>W131/365+input!$K$3</f>
        <v>3.3534246575342466</v>
      </c>
      <c r="Y131" s="4">
        <f t="shared" si="42"/>
        <v>12.589299260865312</v>
      </c>
      <c r="Z131" s="12">
        <f t="shared" si="43"/>
        <v>27.135859395209948</v>
      </c>
      <c r="AA131" s="20">
        <f>input!H130</f>
        <v>0</v>
      </c>
      <c r="AB131" s="19">
        <f t="shared" si="44"/>
        <v>0.98197554006092014</v>
      </c>
      <c r="AC131" s="19">
        <f t="shared" si="45"/>
        <v>0.99519142618801715</v>
      </c>
      <c r="AD131" s="8">
        <f t="shared" si="46"/>
        <v>0</v>
      </c>
      <c r="AE131" s="8">
        <f t="shared" si="47"/>
        <v>229269.99473075851</v>
      </c>
      <c r="AF131" s="8">
        <f t="shared" si="48"/>
        <v>7232.2227167398541</v>
      </c>
      <c r="AG131" s="8">
        <f t="shared" si="49"/>
        <v>0</v>
      </c>
      <c r="AH131" s="8">
        <f t="shared" ref="AH131:AH194" si="57">E131*F131*G131</f>
        <v>0</v>
      </c>
      <c r="AI131" s="8">
        <f t="shared" ref="AI131:AI194" si="58">L131*M131*N131</f>
        <v>191533.32456720233</v>
      </c>
      <c r="AJ131" s="8">
        <f t="shared" si="50"/>
        <v>7013.3938928242696</v>
      </c>
      <c r="AK131" s="8">
        <f t="shared" si="51"/>
        <v>0</v>
      </c>
      <c r="AL131" s="8">
        <f t="shared" si="52"/>
        <v>0</v>
      </c>
      <c r="AM131" s="8">
        <f t="shared" si="53"/>
        <v>14870.690287912676</v>
      </c>
      <c r="AN131" s="8">
        <f t="shared" si="54"/>
        <v>6666.4464758170561</v>
      </c>
      <c r="AO131" s="8">
        <f t="shared" si="55"/>
        <v>0</v>
      </c>
    </row>
    <row r="132" spans="1:41">
      <c r="A132" s="1">
        <v>41859</v>
      </c>
      <c r="B132" s="5">
        <v>130</v>
      </c>
      <c r="C132" s="3">
        <f>B132/365+input!$K$3</f>
        <v>0.35616438356164382</v>
      </c>
      <c r="D132" s="4">
        <f t="shared" ref="D132:D195" si="59">MAX(0,13.79*(1-EXP(-0.89*(C132-0.26))))</f>
        <v>1.1311396814120331</v>
      </c>
      <c r="E132" s="12">
        <f t="shared" ref="E132:E195" si="60">0.0136*D132^3</f>
        <v>1.9682833678563164E-2</v>
      </c>
      <c r="F132" s="20">
        <f>input!E131</f>
        <v>0</v>
      </c>
      <c r="G132" s="19">
        <f t="shared" ref="G132:G195" si="61">MAX(1-EXP(2.927-1.285*(D132/2.33)),0)</f>
        <v>0</v>
      </c>
      <c r="H132" s="19">
        <f t="shared" ref="H132:H195" si="62">_xlfn.NORM.DIST(D132,10,1,TRUE)</f>
        <v>3.6949151284736559E-19</v>
      </c>
      <c r="I132" s="5">
        <v>495</v>
      </c>
      <c r="J132" s="3">
        <f>I132/365+input!$K$3</f>
        <v>1.3561643835616439</v>
      </c>
      <c r="K132" s="4">
        <f t="shared" ref="K132:K195" si="63">MAX(0,13.79*(1-EXP(-0.89*(J132-0.26))))</f>
        <v>8.5915661868834636</v>
      </c>
      <c r="L132" s="12">
        <f t="shared" ref="L132:L195" si="64">0.0136*K132^3</f>
        <v>8.6249369450780389</v>
      </c>
      <c r="M132" s="20">
        <f>input!F131</f>
        <v>26220.13</v>
      </c>
      <c r="N132" s="19">
        <f t="shared" ref="N132:N195" si="65">MAX(1-EXP(2.927-1.285*(K132/2.33)),0)</f>
        <v>0.83655311256368925</v>
      </c>
      <c r="O132" s="19">
        <f t="shared" ref="O132:O195" si="66">_xlfn.NORM.DIST(K132,10,1,TRUE)</f>
        <v>7.9501326350060672E-2</v>
      </c>
      <c r="P132" s="21">
        <v>860</v>
      </c>
      <c r="Q132" s="3">
        <f>P132/365+input!$K$3</f>
        <v>2.3561643835616439</v>
      </c>
      <c r="R132" s="4">
        <f t="shared" ref="R132:R195" si="67">MAX(0,13.79*(1-EXP(-0.89*(Q132-0.26))))</f>
        <v>11.655233249341382</v>
      </c>
      <c r="S132" s="12">
        <f t="shared" ref="S132:S195" si="68">0.0136*R132^3</f>
        <v>21.532864922586274</v>
      </c>
      <c r="T132" s="20">
        <f>input!G131</f>
        <v>326.48</v>
      </c>
      <c r="U132" s="19">
        <f t="shared" ref="U132:U195" si="69">MAX(1-EXP(2.927-1.285*(R132/2.33)),0)</f>
        <v>0.96982936408303411</v>
      </c>
      <c r="V132" s="19">
        <f t="shared" si="56"/>
        <v>0.95106140343137779</v>
      </c>
      <c r="W132" s="21">
        <v>1225</v>
      </c>
      <c r="X132" s="3">
        <f>W132/365+input!$K$3</f>
        <v>3.3561643835616439</v>
      </c>
      <c r="Y132" s="4">
        <f t="shared" ref="Y132:Y195" si="70">MAX(0,13.79*(1-EXP(-0.89*(X$3-0.26))))</f>
        <v>12.589299260865312</v>
      </c>
      <c r="Z132" s="12">
        <f t="shared" ref="Z132:Z195" si="71">0.0136*Y132^3</f>
        <v>27.135859395209948</v>
      </c>
      <c r="AA132" s="20">
        <f>input!H131</f>
        <v>0</v>
      </c>
      <c r="AB132" s="19">
        <f t="shared" ref="AB132:AB195" si="72">MAX(1-EXP(2.927-1.285*(Y132/2.33)),0)</f>
        <v>0.98197554006092014</v>
      </c>
      <c r="AC132" s="19">
        <f t="shared" ref="AC132:AC195" si="73">_xlfn.NORM.DIST(Y132,10,1,TRUE)</f>
        <v>0.99519142618801715</v>
      </c>
      <c r="AD132" s="8">
        <f t="shared" ref="AD132:AD195" si="74">E132*F132</f>
        <v>0</v>
      </c>
      <c r="AE132" s="8">
        <f t="shared" ref="AE132:AE195" si="75">L132*M132</f>
        <v>226146.96794174906</v>
      </c>
      <c r="AF132" s="8">
        <f t="shared" ref="AF132:AF195" si="76">S132*T132</f>
        <v>7030.0497399259675</v>
      </c>
      <c r="AG132" s="8">
        <f t="shared" ref="AG132:AG195" si="77">Z132*AA132</f>
        <v>0</v>
      </c>
      <c r="AH132" s="8">
        <f t="shared" si="57"/>
        <v>0</v>
      </c>
      <c r="AI132" s="8">
        <f t="shared" si="58"/>
        <v>189183.94992851102</v>
      </c>
      <c r="AJ132" s="8">
        <f t="shared" ref="AJ132:AJ195" si="78">AF132*U132</f>
        <v>6817.9486687445005</v>
      </c>
      <c r="AK132" s="8">
        <f t="shared" ref="AK132:AK195" si="79">AG132*AB132</f>
        <v>0</v>
      </c>
      <c r="AL132" s="8">
        <f t="shared" ref="AL132:AL195" si="80">AH132*H132</f>
        <v>0</v>
      </c>
      <c r="AM132" s="8">
        <f t="shared" ref="AM132:AM195" si="81">AI132*O132</f>
        <v>15040.374943460092</v>
      </c>
      <c r="AN132" s="8">
        <f t="shared" ref="AN132:AN195" si="82">AJ132*V132</f>
        <v>6484.2878294192387</v>
      </c>
      <c r="AO132" s="8">
        <f t="shared" ref="AO132:AO195" si="83">AK132*AC132</f>
        <v>0</v>
      </c>
    </row>
    <row r="133" spans="1:41">
      <c r="A133" s="1">
        <v>41860</v>
      </c>
      <c r="B133" s="5">
        <v>131</v>
      </c>
      <c r="C133" s="3">
        <f>B133/365+input!$K$3</f>
        <v>0.35890410958904112</v>
      </c>
      <c r="D133" s="4">
        <f t="shared" si="59"/>
        <v>1.1619688899338183</v>
      </c>
      <c r="E133" s="12">
        <f t="shared" si="60"/>
        <v>2.1336462174532101E-2</v>
      </c>
      <c r="F133" s="20">
        <f>input!E132</f>
        <v>0</v>
      </c>
      <c r="G133" s="19">
        <f t="shared" si="61"/>
        <v>0</v>
      </c>
      <c r="H133" s="19">
        <f t="shared" si="62"/>
        <v>4.8710076359663873E-19</v>
      </c>
      <c r="I133" s="5">
        <v>496</v>
      </c>
      <c r="J133" s="3">
        <f>I133/365+input!$K$3</f>
        <v>1.3589041095890411</v>
      </c>
      <c r="K133" s="4">
        <f t="shared" si="63"/>
        <v>8.6042263787157349</v>
      </c>
      <c r="L133" s="12">
        <f t="shared" si="64"/>
        <v>8.6631212537109565</v>
      </c>
      <c r="M133" s="20">
        <f>input!F132</f>
        <v>26124.97</v>
      </c>
      <c r="N133" s="19">
        <f t="shared" si="65"/>
        <v>0.83769034406464493</v>
      </c>
      <c r="O133" s="19">
        <f t="shared" si="66"/>
        <v>8.1391338144753578E-2</v>
      </c>
      <c r="P133" s="21">
        <v>861</v>
      </c>
      <c r="Q133" s="3">
        <f>P133/365+input!$K$3</f>
        <v>2.3589041095890413</v>
      </c>
      <c r="R133" s="4">
        <f t="shared" si="67"/>
        <v>11.660432229948253</v>
      </c>
      <c r="S133" s="12">
        <f t="shared" si="68"/>
        <v>21.561692889021568</v>
      </c>
      <c r="T133" s="20">
        <f>input!G132</f>
        <v>325.19</v>
      </c>
      <c r="U133" s="19">
        <f t="shared" si="69"/>
        <v>0.96991574690781612</v>
      </c>
      <c r="V133" s="19">
        <f t="shared" si="56"/>
        <v>0.95158623457926383</v>
      </c>
      <c r="W133" s="21">
        <v>1226</v>
      </c>
      <c r="X133" s="3">
        <f>W133/365+input!$K$3</f>
        <v>3.3589041095890413</v>
      </c>
      <c r="Y133" s="4">
        <f t="shared" si="70"/>
        <v>12.589299260865312</v>
      </c>
      <c r="Z133" s="12">
        <f t="shared" si="71"/>
        <v>27.135859395209948</v>
      </c>
      <c r="AA133" s="20">
        <f>input!H132</f>
        <v>0</v>
      </c>
      <c r="AB133" s="19">
        <f t="shared" si="72"/>
        <v>0.98197554006092014</v>
      </c>
      <c r="AC133" s="19">
        <f t="shared" si="73"/>
        <v>0.99519142618801715</v>
      </c>
      <c r="AD133" s="8">
        <f t="shared" si="74"/>
        <v>0</v>
      </c>
      <c r="AE133" s="8">
        <f t="shared" si="75"/>
        <v>226323.78285956115</v>
      </c>
      <c r="AF133" s="8">
        <f t="shared" si="76"/>
        <v>7011.6469105809238</v>
      </c>
      <c r="AG133" s="8">
        <f t="shared" si="77"/>
        <v>0</v>
      </c>
      <c r="AH133" s="8">
        <f t="shared" si="57"/>
        <v>0</v>
      </c>
      <c r="AI133" s="8">
        <f t="shared" si="58"/>
        <v>189589.24753363777</v>
      </c>
      <c r="AJ133" s="8">
        <f t="shared" si="78"/>
        <v>6800.7067503299777</v>
      </c>
      <c r="AK133" s="8">
        <f t="shared" si="79"/>
        <v>0</v>
      </c>
      <c r="AL133" s="8">
        <f t="shared" si="80"/>
        <v>0</v>
      </c>
      <c r="AM133" s="8">
        <f t="shared" si="81"/>
        <v>15430.922554619699</v>
      </c>
      <c r="AN133" s="8">
        <f t="shared" si="82"/>
        <v>6471.4589290242848</v>
      </c>
      <c r="AO133" s="8">
        <f t="shared" si="83"/>
        <v>0</v>
      </c>
    </row>
    <row r="134" spans="1:41">
      <c r="A134" s="1">
        <v>41861</v>
      </c>
      <c r="B134" s="5">
        <v>132</v>
      </c>
      <c r="C134" s="3">
        <f>B134/365+input!$K$3</f>
        <v>0.36164383561643837</v>
      </c>
      <c r="D134" s="4">
        <f t="shared" si="59"/>
        <v>1.1927230174392887</v>
      </c>
      <c r="E134" s="12">
        <f t="shared" si="60"/>
        <v>2.3075850130954759E-2</v>
      </c>
      <c r="F134" s="20">
        <f>input!E133</f>
        <v>0</v>
      </c>
      <c r="G134" s="19">
        <f t="shared" si="61"/>
        <v>0</v>
      </c>
      <c r="H134" s="19">
        <f t="shared" si="62"/>
        <v>6.411128874619814E-19</v>
      </c>
      <c r="I134" s="5">
        <v>497</v>
      </c>
      <c r="J134" s="3">
        <f>I134/365+input!$K$3</f>
        <v>1.3616438356164384</v>
      </c>
      <c r="K134" s="4">
        <f t="shared" si="63"/>
        <v>8.6168557380967368</v>
      </c>
      <c r="L134" s="12">
        <f t="shared" si="64"/>
        <v>8.7013246916166391</v>
      </c>
      <c r="M134" s="20">
        <f>input!F133</f>
        <v>25665.52</v>
      </c>
      <c r="N134" s="19">
        <f t="shared" si="65"/>
        <v>0.83881692217102977</v>
      </c>
      <c r="O134" s="19">
        <f t="shared" si="66"/>
        <v>8.3310318133868813E-2</v>
      </c>
      <c r="P134" s="21">
        <v>862</v>
      </c>
      <c r="Q134" s="3">
        <f>P134/365+input!$K$3</f>
        <v>2.3616438356164382</v>
      </c>
      <c r="R134" s="4">
        <f t="shared" si="67"/>
        <v>11.665618549031638</v>
      </c>
      <c r="S134" s="12">
        <f t="shared" si="68"/>
        <v>21.590476272590855</v>
      </c>
      <c r="T134" s="20">
        <f>input!G133</f>
        <v>317.72000000000003</v>
      </c>
      <c r="U134" s="19">
        <f t="shared" si="69"/>
        <v>0.97000167293296813</v>
      </c>
      <c r="V134" s="19">
        <f t="shared" si="56"/>
        <v>0.95210529288257528</v>
      </c>
      <c r="W134" s="21">
        <v>1227</v>
      </c>
      <c r="X134" s="3">
        <f>W134/365+input!$K$3</f>
        <v>3.3616438356164382</v>
      </c>
      <c r="Y134" s="4">
        <f t="shared" si="70"/>
        <v>12.589299260865312</v>
      </c>
      <c r="Z134" s="12">
        <f t="shared" si="71"/>
        <v>27.135859395209948</v>
      </c>
      <c r="AA134" s="20">
        <f>input!H133</f>
        <v>0</v>
      </c>
      <c r="AB134" s="19">
        <f t="shared" si="72"/>
        <v>0.98197554006092014</v>
      </c>
      <c r="AC134" s="19">
        <f t="shared" si="73"/>
        <v>0.99519142618801715</v>
      </c>
      <c r="AD134" s="8">
        <f t="shared" si="74"/>
        <v>0</v>
      </c>
      <c r="AE134" s="8">
        <f t="shared" si="75"/>
        <v>223324.02289918068</v>
      </c>
      <c r="AF134" s="8">
        <f t="shared" si="76"/>
        <v>6859.7261213275669</v>
      </c>
      <c r="AG134" s="8">
        <f t="shared" si="77"/>
        <v>0</v>
      </c>
      <c r="AH134" s="8">
        <f t="shared" si="57"/>
        <v>0</v>
      </c>
      <c r="AI134" s="8">
        <f t="shared" si="58"/>
        <v>187327.96953514332</v>
      </c>
      <c r="AJ134" s="8">
        <f t="shared" si="78"/>
        <v>6653.9458135497207</v>
      </c>
      <c r="AK134" s="8">
        <f t="shared" si="79"/>
        <v>0</v>
      </c>
      <c r="AL134" s="8">
        <f t="shared" si="80"/>
        <v>0</v>
      </c>
      <c r="AM134" s="8">
        <f t="shared" si="81"/>
        <v>15606.352737344476</v>
      </c>
      <c r="AN134" s="8">
        <f t="shared" si="82"/>
        <v>6335.2570276345423</v>
      </c>
      <c r="AO134" s="8">
        <f t="shared" si="83"/>
        <v>0</v>
      </c>
    </row>
    <row r="135" spans="1:41">
      <c r="A135" s="1">
        <v>41862</v>
      </c>
      <c r="B135" s="5">
        <v>133</v>
      </c>
      <c r="C135" s="3">
        <f>B135/365+input!$K$3</f>
        <v>0.36438356164383562</v>
      </c>
      <c r="D135" s="4">
        <f t="shared" si="59"/>
        <v>1.2234022467796888</v>
      </c>
      <c r="E135" s="12">
        <f t="shared" si="60"/>
        <v>2.4902716794449917E-2</v>
      </c>
      <c r="F135" s="20">
        <f>input!E134</f>
        <v>0</v>
      </c>
      <c r="G135" s="19">
        <f t="shared" si="61"/>
        <v>0</v>
      </c>
      <c r="H135" s="19">
        <f t="shared" si="62"/>
        <v>8.4247159551033357E-19</v>
      </c>
      <c r="I135" s="5">
        <v>498</v>
      </c>
      <c r="J135" s="3">
        <f>I135/365+input!$K$3</f>
        <v>1.3643835616438356</v>
      </c>
      <c r="K135" s="4">
        <f t="shared" si="63"/>
        <v>8.6294543401153767</v>
      </c>
      <c r="L135" s="12">
        <f t="shared" si="64"/>
        <v>8.7395468305231212</v>
      </c>
      <c r="M135" s="20">
        <f>input!F134</f>
        <v>25596.47</v>
      </c>
      <c r="N135" s="19">
        <f t="shared" si="65"/>
        <v>0.83993296563623132</v>
      </c>
      <c r="O135" s="19">
        <f t="shared" si="66"/>
        <v>8.5258316222842467E-2</v>
      </c>
      <c r="P135" s="21">
        <v>863</v>
      </c>
      <c r="Q135" s="3">
        <f>P135/365+input!$K$3</f>
        <v>2.3643835616438356</v>
      </c>
      <c r="R135" s="4">
        <f t="shared" si="67"/>
        <v>11.67079223742723</v>
      </c>
      <c r="S135" s="12">
        <f t="shared" si="68"/>
        <v>21.619215068553967</v>
      </c>
      <c r="T135" s="20">
        <f>input!G134</f>
        <v>316.88</v>
      </c>
      <c r="U135" s="19">
        <f t="shared" si="69"/>
        <v>0.97008714517019712</v>
      </c>
      <c r="V135" s="19">
        <f t="shared" si="56"/>
        <v>0.95261863882732989</v>
      </c>
      <c r="W135" s="21">
        <v>1228</v>
      </c>
      <c r="X135" s="3">
        <f>W135/365+input!$K$3</f>
        <v>3.3643835616438356</v>
      </c>
      <c r="Y135" s="4">
        <f t="shared" si="70"/>
        <v>12.589299260865312</v>
      </c>
      <c r="Z135" s="12">
        <f t="shared" si="71"/>
        <v>27.135859395209948</v>
      </c>
      <c r="AA135" s="20">
        <f>input!H134</f>
        <v>0</v>
      </c>
      <c r="AB135" s="19">
        <f t="shared" si="72"/>
        <v>0.98197554006092014</v>
      </c>
      <c r="AC135" s="19">
        <f t="shared" si="73"/>
        <v>0.99519142618801715</v>
      </c>
      <c r="AD135" s="8">
        <f t="shared" si="74"/>
        <v>0</v>
      </c>
      <c r="AE135" s="8">
        <f t="shared" si="75"/>
        <v>223701.54826108017</v>
      </c>
      <c r="AF135" s="8">
        <f t="shared" si="76"/>
        <v>6850.6968709233806</v>
      </c>
      <c r="AG135" s="8">
        <f t="shared" si="77"/>
        <v>0</v>
      </c>
      <c r="AH135" s="8">
        <f t="shared" si="57"/>
        <v>0</v>
      </c>
      <c r="AI135" s="8">
        <f t="shared" si="58"/>
        <v>187894.30484834558</v>
      </c>
      <c r="AJ135" s="8">
        <f t="shared" si="78"/>
        <v>6645.7729699404645</v>
      </c>
      <c r="AK135" s="8">
        <f t="shared" si="79"/>
        <v>0</v>
      </c>
      <c r="AL135" s="8">
        <f t="shared" si="80"/>
        <v>0</v>
      </c>
      <c r="AM135" s="8">
        <f t="shared" si="81"/>
        <v>16019.55205923141</v>
      </c>
      <c r="AN135" s="8">
        <f t="shared" si="82"/>
        <v>6330.8872005801468</v>
      </c>
      <c r="AO135" s="8">
        <f t="shared" si="83"/>
        <v>0</v>
      </c>
    </row>
    <row r="136" spans="1:41">
      <c r="A136" s="1">
        <v>41863</v>
      </c>
      <c r="B136" s="5">
        <v>134</v>
      </c>
      <c r="C136" s="3">
        <f>B136/365+input!$K$3</f>
        <v>0.36712328767123287</v>
      </c>
      <c r="D136" s="4">
        <f t="shared" si="59"/>
        <v>1.2540067603609406</v>
      </c>
      <c r="E136" s="12">
        <f t="shared" si="60"/>
        <v>2.6818750608388679E-2</v>
      </c>
      <c r="F136" s="20">
        <f>input!E135</f>
        <v>0</v>
      </c>
      <c r="G136" s="19">
        <f t="shared" si="61"/>
        <v>0</v>
      </c>
      <c r="H136" s="19">
        <f t="shared" si="62"/>
        <v>1.1053117390389694E-18</v>
      </c>
      <c r="I136" s="5">
        <v>499</v>
      </c>
      <c r="J136" s="3">
        <f>I136/365+input!$K$3</f>
        <v>1.3671232876712329</v>
      </c>
      <c r="K136" s="4">
        <f t="shared" si="63"/>
        <v>8.6420222596777059</v>
      </c>
      <c r="L136" s="12">
        <f t="shared" si="64"/>
        <v>8.77778724386466</v>
      </c>
      <c r="M136" s="20">
        <f>input!F135</f>
        <v>25158.720000000001</v>
      </c>
      <c r="N136" s="19">
        <f t="shared" si="65"/>
        <v>0.84103859170128414</v>
      </c>
      <c r="O136" s="19">
        <f t="shared" si="66"/>
        <v>8.7235373750450998E-2</v>
      </c>
      <c r="P136" s="21">
        <v>864</v>
      </c>
      <c r="Q136" s="3">
        <f>P136/365+input!$K$3</f>
        <v>2.3671232876712329</v>
      </c>
      <c r="R136" s="4">
        <f t="shared" si="67"/>
        <v>11.67595332589563</v>
      </c>
      <c r="S136" s="12">
        <f t="shared" si="68"/>
        <v>21.647909272650921</v>
      </c>
      <c r="T136" s="20">
        <f>input!G135</f>
        <v>310.35000000000002</v>
      </c>
      <c r="U136" s="19">
        <f t="shared" si="69"/>
        <v>0.97017216660754779</v>
      </c>
      <c r="V136" s="19">
        <f t="shared" si="56"/>
        <v>0.95312633237415456</v>
      </c>
      <c r="W136" s="21">
        <v>1229</v>
      </c>
      <c r="X136" s="3">
        <f>W136/365+input!$K$3</f>
        <v>3.3671232876712329</v>
      </c>
      <c r="Y136" s="4">
        <f t="shared" si="70"/>
        <v>12.589299260865312</v>
      </c>
      <c r="Z136" s="12">
        <f t="shared" si="71"/>
        <v>27.135859395209948</v>
      </c>
      <c r="AA136" s="20">
        <f>input!H135</f>
        <v>0</v>
      </c>
      <c r="AB136" s="19">
        <f t="shared" si="72"/>
        <v>0.98197554006092014</v>
      </c>
      <c r="AC136" s="19">
        <f t="shared" si="73"/>
        <v>0.99519142618801715</v>
      </c>
      <c r="AD136" s="8">
        <f t="shared" si="74"/>
        <v>0</v>
      </c>
      <c r="AE136" s="8">
        <f t="shared" si="75"/>
        <v>220837.89148796271</v>
      </c>
      <c r="AF136" s="8">
        <f t="shared" si="76"/>
        <v>6718.4286427672141</v>
      </c>
      <c r="AG136" s="8">
        <f t="shared" si="77"/>
        <v>0</v>
      </c>
      <c r="AH136" s="8">
        <f t="shared" si="57"/>
        <v>0</v>
      </c>
      <c r="AI136" s="8">
        <f t="shared" si="58"/>
        <v>185733.18925131718</v>
      </c>
      <c r="AJ136" s="8">
        <f t="shared" si="78"/>
        <v>6518.0324725516748</v>
      </c>
      <c r="AK136" s="8">
        <f t="shared" si="79"/>
        <v>0</v>
      </c>
      <c r="AL136" s="8">
        <f t="shared" si="80"/>
        <v>0</v>
      </c>
      <c r="AM136" s="8">
        <f t="shared" si="81"/>
        <v>16202.504182201901</v>
      </c>
      <c r="AN136" s="8">
        <f t="shared" si="82"/>
        <v>6212.5083848588201</v>
      </c>
      <c r="AO136" s="8">
        <f t="shared" si="83"/>
        <v>0</v>
      </c>
    </row>
    <row r="137" spans="1:41">
      <c r="A137" s="1">
        <v>41864</v>
      </c>
      <c r="B137" s="5">
        <v>135</v>
      </c>
      <c r="C137" s="3">
        <f>B137/365+input!$K$3</f>
        <v>0.36986301369863012</v>
      </c>
      <c r="D137" s="4">
        <f t="shared" si="59"/>
        <v>1.2845367401447472</v>
      </c>
      <c r="E137" s="12">
        <f t="shared" si="60"/>
        <v>2.8825609543021713E-2</v>
      </c>
      <c r="F137" s="20">
        <f>input!E136</f>
        <v>0</v>
      </c>
      <c r="G137" s="19">
        <f t="shared" si="61"/>
        <v>0</v>
      </c>
      <c r="H137" s="19">
        <f t="shared" si="62"/>
        <v>1.4478605183596843E-18</v>
      </c>
      <c r="I137" s="5">
        <v>500</v>
      </c>
      <c r="J137" s="3">
        <f>I137/365+input!$K$3</f>
        <v>1.3698630136986301</v>
      </c>
      <c r="K137" s="4">
        <f t="shared" si="63"/>
        <v>8.65455957150734</v>
      </c>
      <c r="L137" s="12">
        <f t="shared" si="64"/>
        <v>8.8160455067829933</v>
      </c>
      <c r="M137" s="20">
        <f>input!F136</f>
        <v>25032.78</v>
      </c>
      <c r="N137" s="19">
        <f t="shared" si="65"/>
        <v>0.84213391611633215</v>
      </c>
      <c r="O137" s="19">
        <f t="shared" si="66"/>
        <v>8.9241523432507242E-2</v>
      </c>
      <c r="P137" s="21">
        <v>865</v>
      </c>
      <c r="Q137" s="3">
        <f>P137/365+input!$K$3</f>
        <v>2.3698630136986303</v>
      </c>
      <c r="R137" s="4">
        <f t="shared" si="67"/>
        <v>11.681101845122519</v>
      </c>
      <c r="S137" s="12">
        <f t="shared" si="68"/>
        <v>21.676558881099002</v>
      </c>
      <c r="T137" s="20">
        <f>input!G136</f>
        <v>308.98</v>
      </c>
      <c r="U137" s="19">
        <f t="shared" si="69"/>
        <v>0.97025674020961572</v>
      </c>
      <c r="V137" s="19">
        <f t="shared" si="56"/>
        <v>0.95362843296009014</v>
      </c>
      <c r="W137" s="21">
        <v>1230</v>
      </c>
      <c r="X137" s="3">
        <f>W137/365+input!$K$3</f>
        <v>3.3698630136986303</v>
      </c>
      <c r="Y137" s="4">
        <f t="shared" si="70"/>
        <v>12.589299260865312</v>
      </c>
      <c r="Z137" s="12">
        <f t="shared" si="71"/>
        <v>27.135859395209948</v>
      </c>
      <c r="AA137" s="20">
        <f>input!H136</f>
        <v>0</v>
      </c>
      <c r="AB137" s="19">
        <f t="shared" si="72"/>
        <v>0.98197554006092014</v>
      </c>
      <c r="AC137" s="19">
        <f t="shared" si="73"/>
        <v>0.99519142618801715</v>
      </c>
      <c r="AD137" s="8">
        <f t="shared" si="74"/>
        <v>0</v>
      </c>
      <c r="AE137" s="8">
        <f t="shared" si="75"/>
        <v>220690.12764128717</v>
      </c>
      <c r="AF137" s="8">
        <f t="shared" si="76"/>
        <v>6697.6231630819702</v>
      </c>
      <c r="AG137" s="8">
        <f t="shared" si="77"/>
        <v>0</v>
      </c>
      <c r="AH137" s="8">
        <f t="shared" si="57"/>
        <v>0</v>
      </c>
      <c r="AI137" s="8">
        <f t="shared" si="58"/>
        <v>185850.64143877037</v>
      </c>
      <c r="AJ137" s="8">
        <f t="shared" si="78"/>
        <v>6498.4140173643282</v>
      </c>
      <c r="AK137" s="8">
        <f t="shared" si="79"/>
        <v>0</v>
      </c>
      <c r="AL137" s="8">
        <f t="shared" si="80"/>
        <v>0</v>
      </c>
      <c r="AM137" s="8">
        <f t="shared" si="81"/>
        <v>16585.594372904528</v>
      </c>
      <c r="AN137" s="8">
        <f t="shared" si="82"/>
        <v>6197.0723761050285</v>
      </c>
      <c r="AO137" s="8">
        <f t="shared" si="83"/>
        <v>0</v>
      </c>
    </row>
    <row r="138" spans="1:41">
      <c r="A138" s="1">
        <v>41865</v>
      </c>
      <c r="B138" s="5">
        <v>136</v>
      </c>
      <c r="C138" s="3">
        <f>B138/365+input!$K$3</f>
        <v>0.37260273972602742</v>
      </c>
      <c r="D138" s="4">
        <f t="shared" si="59"/>
        <v>1.3149923676496564</v>
      </c>
      <c r="E138" s="12">
        <f t="shared" si="60"/>
        <v>3.0924921422643636E-2</v>
      </c>
      <c r="F138" s="20">
        <f>input!E137</f>
        <v>0</v>
      </c>
      <c r="G138" s="19">
        <f t="shared" si="61"/>
        <v>0</v>
      </c>
      <c r="H138" s="19">
        <f t="shared" si="62"/>
        <v>1.8935847639294133E-18</v>
      </c>
      <c r="I138" s="5">
        <v>501</v>
      </c>
      <c r="J138" s="3">
        <f>I138/365+input!$K$3</f>
        <v>1.3726027397260274</v>
      </c>
      <c r="K138" s="4">
        <f t="shared" si="63"/>
        <v>8.6670663501459142</v>
      </c>
      <c r="L138" s="12">
        <f t="shared" si="64"/>
        <v>8.8543211961285984</v>
      </c>
      <c r="M138" s="20">
        <f>input!F137</f>
        <v>24569.9</v>
      </c>
      <c r="N138" s="19">
        <f t="shared" si="65"/>
        <v>0.84321905316176038</v>
      </c>
      <c r="O138" s="19">
        <f t="shared" si="66"/>
        <v>9.1276789311235368E-2</v>
      </c>
      <c r="P138" s="21">
        <v>866</v>
      </c>
      <c r="Q138" s="3">
        <f>P138/365+input!$K$3</f>
        <v>2.3726027397260272</v>
      </c>
      <c r="R138" s="4">
        <f t="shared" si="67"/>
        <v>11.686237825718848</v>
      </c>
      <c r="S138" s="12">
        <f t="shared" si="68"/>
        <v>21.705163890589976</v>
      </c>
      <c r="T138" s="20">
        <f>input!G137</f>
        <v>303.29000000000002</v>
      </c>
      <c r="U138" s="19">
        <f t="shared" si="69"/>
        <v>0.97034086891775928</v>
      </c>
      <c r="V138" s="19">
        <f t="shared" si="56"/>
        <v>0.95412499950046481</v>
      </c>
      <c r="W138" s="21">
        <v>1231</v>
      </c>
      <c r="X138" s="3">
        <f>W138/365+input!$K$3</f>
        <v>3.3726027397260272</v>
      </c>
      <c r="Y138" s="4">
        <f t="shared" si="70"/>
        <v>12.589299260865312</v>
      </c>
      <c r="Z138" s="12">
        <f t="shared" si="71"/>
        <v>27.135859395209948</v>
      </c>
      <c r="AA138" s="20">
        <f>input!H137</f>
        <v>0</v>
      </c>
      <c r="AB138" s="19">
        <f t="shared" si="72"/>
        <v>0.98197554006092014</v>
      </c>
      <c r="AC138" s="19">
        <f t="shared" si="73"/>
        <v>0.99519142618801715</v>
      </c>
      <c r="AD138" s="8">
        <f t="shared" si="74"/>
        <v>0</v>
      </c>
      <c r="AE138" s="8">
        <f t="shared" si="75"/>
        <v>217549.78635676007</v>
      </c>
      <c r="AF138" s="8">
        <f t="shared" si="76"/>
        <v>6582.9591563770346</v>
      </c>
      <c r="AG138" s="8">
        <f t="shared" si="77"/>
        <v>0</v>
      </c>
      <c r="AH138" s="8">
        <f t="shared" si="57"/>
        <v>0</v>
      </c>
      <c r="AI138" s="8">
        <f t="shared" si="58"/>
        <v>183442.12486729049</v>
      </c>
      <c r="AJ138" s="8">
        <f t="shared" si="78"/>
        <v>6387.7143078490117</v>
      </c>
      <c r="AK138" s="8">
        <f t="shared" si="79"/>
        <v>0</v>
      </c>
      <c r="AL138" s="8">
        <f t="shared" si="80"/>
        <v>0</v>
      </c>
      <c r="AM138" s="8">
        <f t="shared" si="81"/>
        <v>16744.008182317004</v>
      </c>
      <c r="AN138" s="8">
        <f t="shared" si="82"/>
        <v>6094.67791078555</v>
      </c>
      <c r="AO138" s="8">
        <f t="shared" si="83"/>
        <v>0</v>
      </c>
    </row>
    <row r="139" spans="1:41">
      <c r="A139" s="1">
        <v>41866</v>
      </c>
      <c r="B139" s="5">
        <v>137</v>
      </c>
      <c r="C139" s="3">
        <f>B139/365+input!$K$3</f>
        <v>0.37534246575342467</v>
      </c>
      <c r="D139" s="4">
        <f t="shared" si="59"/>
        <v>1.3453738239521515</v>
      </c>
      <c r="E139" s="12">
        <f t="shared" si="60"/>
        <v>3.3118284249822924E-2</v>
      </c>
      <c r="F139" s="20">
        <f>input!E138</f>
        <v>0</v>
      </c>
      <c r="G139" s="19">
        <f t="shared" si="61"/>
        <v>0</v>
      </c>
      <c r="H139" s="19">
        <f t="shared" si="62"/>
        <v>2.4726491252245911E-18</v>
      </c>
      <c r="I139" s="5">
        <v>502</v>
      </c>
      <c r="J139" s="3">
        <f>I139/365+input!$K$3</f>
        <v>1.3753424657534246</v>
      </c>
      <c r="K139" s="4">
        <f t="shared" si="63"/>
        <v>8.679542669953527</v>
      </c>
      <c r="L139" s="12">
        <f t="shared" si="64"/>
        <v>8.8926138904618206</v>
      </c>
      <c r="M139" s="20">
        <f>input!F138</f>
        <v>24467.84</v>
      </c>
      <c r="N139" s="19">
        <f t="shared" si="65"/>
        <v>0.84429411566899693</v>
      </c>
      <c r="O139" s="19">
        <f t="shared" si="66"/>
        <v>9.3341186710345025E-2</v>
      </c>
      <c r="P139" s="21">
        <v>867</v>
      </c>
      <c r="Q139" s="3">
        <f>P139/365+input!$K$3</f>
        <v>2.3753424657534246</v>
      </c>
      <c r="R139" s="4">
        <f t="shared" si="67"/>
        <v>11.691361298221022</v>
      </c>
      <c r="S139" s="12">
        <f t="shared" si="68"/>
        <v>21.73372429828725</v>
      </c>
      <c r="T139" s="20">
        <f>input!G138</f>
        <v>302.39999999999998</v>
      </c>
      <c r="U139" s="19">
        <f t="shared" si="69"/>
        <v>0.97042455565030872</v>
      </c>
      <c r="V139" s="19">
        <f t="shared" si="56"/>
        <v>0.95461609039083428</v>
      </c>
      <c r="W139" s="21">
        <v>1232</v>
      </c>
      <c r="X139" s="3">
        <f>W139/365+input!$K$3</f>
        <v>3.3753424657534246</v>
      </c>
      <c r="Y139" s="4">
        <f t="shared" si="70"/>
        <v>12.589299260865312</v>
      </c>
      <c r="Z139" s="12">
        <f t="shared" si="71"/>
        <v>27.135859395209948</v>
      </c>
      <c r="AA139" s="20">
        <f>input!H138</f>
        <v>0</v>
      </c>
      <c r="AB139" s="19">
        <f t="shared" si="72"/>
        <v>0.98197554006092014</v>
      </c>
      <c r="AC139" s="19">
        <f t="shared" si="73"/>
        <v>0.99519142618801715</v>
      </c>
      <c r="AD139" s="8">
        <f t="shared" si="74"/>
        <v>0</v>
      </c>
      <c r="AE139" s="8">
        <f t="shared" si="75"/>
        <v>217583.05385359735</v>
      </c>
      <c r="AF139" s="8">
        <f t="shared" si="76"/>
        <v>6572.2782278020641</v>
      </c>
      <c r="AG139" s="8">
        <f t="shared" si="77"/>
        <v>0</v>
      </c>
      <c r="AH139" s="8">
        <f t="shared" si="57"/>
        <v>0</v>
      </c>
      <c r="AI139" s="8">
        <f t="shared" si="58"/>
        <v>183704.09203788271</v>
      </c>
      <c r="AJ139" s="8">
        <f t="shared" si="78"/>
        <v>6377.9001788250162</v>
      </c>
      <c r="AK139" s="8">
        <f t="shared" si="79"/>
        <v>0</v>
      </c>
      <c r="AL139" s="8">
        <f t="shared" si="80"/>
        <v>0</v>
      </c>
      <c r="AM139" s="8">
        <f t="shared" si="81"/>
        <v>17147.157954362418</v>
      </c>
      <c r="AN139" s="8">
        <f t="shared" si="82"/>
        <v>6088.4461336129398</v>
      </c>
      <c r="AO139" s="8">
        <f t="shared" si="83"/>
        <v>0</v>
      </c>
    </row>
    <row r="140" spans="1:41">
      <c r="A140" s="1">
        <v>41867</v>
      </c>
      <c r="B140" s="5">
        <v>138</v>
      </c>
      <c r="C140" s="3">
        <f>B140/365+input!$K$3</f>
        <v>0.37808219178082192</v>
      </c>
      <c r="D140" s="4">
        <f t="shared" si="59"/>
        <v>1.375681289687726</v>
      </c>
      <c r="E140" s="12">
        <f t="shared" si="60"/>
        <v>3.5407266526718939E-2</v>
      </c>
      <c r="F140" s="20">
        <f>input!E139</f>
        <v>0</v>
      </c>
      <c r="G140" s="19">
        <f t="shared" si="61"/>
        <v>0</v>
      </c>
      <c r="H140" s="19">
        <f t="shared" si="62"/>
        <v>3.2237664501336716E-18</v>
      </c>
      <c r="I140" s="5">
        <v>503</v>
      </c>
      <c r="J140" s="3">
        <f>I140/365+input!$K$3</f>
        <v>1.3780821917808219</v>
      </c>
      <c r="K140" s="4">
        <f t="shared" si="63"/>
        <v>8.6919886051091861</v>
      </c>
      <c r="L140" s="12">
        <f t="shared" si="64"/>
        <v>8.9309231700539211</v>
      </c>
      <c r="M140" s="20">
        <f>input!F139</f>
        <v>23967.11</v>
      </c>
      <c r="N140" s="19">
        <f t="shared" si="65"/>
        <v>0.84535921504099398</v>
      </c>
      <c r="O140" s="19">
        <f t="shared" si="66"/>
        <v>9.5434722195829255E-2</v>
      </c>
      <c r="P140" s="21">
        <v>868</v>
      </c>
      <c r="Q140" s="3">
        <f>P140/365+input!$K$3</f>
        <v>2.3780821917808219</v>
      </c>
      <c r="R140" s="4">
        <f t="shared" si="67"/>
        <v>11.696472293091077</v>
      </c>
      <c r="S140" s="12">
        <f t="shared" si="68"/>
        <v>21.762240101823078</v>
      </c>
      <c r="T140" s="20">
        <f>input!G139</f>
        <v>296.60000000000002</v>
      </c>
      <c r="U140" s="19">
        <f t="shared" si="69"/>
        <v>0.97050780330277286</v>
      </c>
      <c r="V140" s="19">
        <f t="shared" si="56"/>
        <v>0.95510176350898413</v>
      </c>
      <c r="W140" s="21">
        <v>1233</v>
      </c>
      <c r="X140" s="3">
        <f>W140/365+input!$K$3</f>
        <v>3.3780821917808219</v>
      </c>
      <c r="Y140" s="4">
        <f t="shared" si="70"/>
        <v>12.589299260865312</v>
      </c>
      <c r="Z140" s="12">
        <f t="shared" si="71"/>
        <v>27.135859395209948</v>
      </c>
      <c r="AA140" s="20">
        <f>input!H139</f>
        <v>0</v>
      </c>
      <c r="AB140" s="19">
        <f t="shared" si="72"/>
        <v>0.98197554006092014</v>
      </c>
      <c r="AC140" s="19">
        <f t="shared" si="73"/>
        <v>0.99519142618801715</v>
      </c>
      <c r="AD140" s="8">
        <f t="shared" si="74"/>
        <v>0</v>
      </c>
      <c r="AE140" s="8">
        <f t="shared" si="75"/>
        <v>214048.41801823105</v>
      </c>
      <c r="AF140" s="8">
        <f t="shared" si="76"/>
        <v>6454.6804142007259</v>
      </c>
      <c r="AG140" s="8">
        <f t="shared" si="77"/>
        <v>0</v>
      </c>
      <c r="AH140" s="8">
        <f t="shared" si="57"/>
        <v>0</v>
      </c>
      <c r="AI140" s="8">
        <f t="shared" si="58"/>
        <v>180947.80263665837</v>
      </c>
      <c r="AJ140" s="8">
        <f t="shared" si="78"/>
        <v>6264.3177098073784</v>
      </c>
      <c r="AK140" s="8">
        <f t="shared" si="79"/>
        <v>0</v>
      </c>
      <c r="AL140" s="8">
        <f t="shared" si="80"/>
        <v>0</v>
      </c>
      <c r="AM140" s="8">
        <f t="shared" si="81"/>
        <v>17268.70327657523</v>
      </c>
      <c r="AN140" s="8">
        <f t="shared" si="82"/>
        <v>5983.0608918175876</v>
      </c>
      <c r="AO140" s="8">
        <f t="shared" si="83"/>
        <v>0</v>
      </c>
    </row>
    <row r="141" spans="1:41">
      <c r="A141" s="1">
        <v>41868</v>
      </c>
      <c r="B141" s="5">
        <v>139</v>
      </c>
      <c r="C141" s="3">
        <f>B141/365+input!$K$3</f>
        <v>0.38082191780821917</v>
      </c>
      <c r="D141" s="4">
        <f t="shared" si="59"/>
        <v>1.4059149450519544</v>
      </c>
      <c r="E141" s="12">
        <f t="shared" si="60"/>
        <v>3.7793407573510719E-2</v>
      </c>
      <c r="F141" s="20">
        <f>input!E140</f>
        <v>0</v>
      </c>
      <c r="G141" s="19">
        <f t="shared" si="61"/>
        <v>0</v>
      </c>
      <c r="H141" s="19">
        <f t="shared" si="62"/>
        <v>4.1965420915972731E-18</v>
      </c>
      <c r="I141" s="5">
        <v>504</v>
      </c>
      <c r="J141" s="3">
        <f>I141/365+input!$K$3</f>
        <v>1.3808219178082193</v>
      </c>
      <c r="K141" s="4">
        <f t="shared" si="63"/>
        <v>8.7044042296112369</v>
      </c>
      <c r="L141" s="12">
        <f t="shared" si="64"/>
        <v>8.969248616888013</v>
      </c>
      <c r="M141" s="20">
        <f>input!F140</f>
        <v>23904.41</v>
      </c>
      <c r="N141" s="19">
        <f t="shared" si="65"/>
        <v>0.84641446127238829</v>
      </c>
      <c r="O141" s="19">
        <f t="shared" si="66"/>
        <v>9.7557393542497761E-2</v>
      </c>
      <c r="P141" s="21">
        <v>869</v>
      </c>
      <c r="Q141" s="3">
        <f>P141/365+input!$K$3</f>
        <v>2.3808219178082193</v>
      </c>
      <c r="R141" s="4">
        <f t="shared" si="67"/>
        <v>11.701570840716858</v>
      </c>
      <c r="S141" s="12">
        <f t="shared" si="68"/>
        <v>21.790711299295687</v>
      </c>
      <c r="T141" s="20">
        <f>input!G140</f>
        <v>295.83</v>
      </c>
      <c r="U141" s="19">
        <f t="shared" si="69"/>
        <v>0.97059061474804498</v>
      </c>
      <c r="V141" s="19">
        <f t="shared" si="56"/>
        <v>0.95558207621699365</v>
      </c>
      <c r="W141" s="21">
        <v>1234</v>
      </c>
      <c r="X141" s="3">
        <f>W141/365+input!$K$3</f>
        <v>3.3808219178082193</v>
      </c>
      <c r="Y141" s="4">
        <f t="shared" si="70"/>
        <v>12.589299260865312</v>
      </c>
      <c r="Z141" s="12">
        <f t="shared" si="71"/>
        <v>27.135859395209948</v>
      </c>
      <c r="AA141" s="20">
        <f>input!H140</f>
        <v>0</v>
      </c>
      <c r="AB141" s="19">
        <f t="shared" si="72"/>
        <v>0.98197554006092014</v>
      </c>
      <c r="AC141" s="19">
        <f t="shared" si="73"/>
        <v>0.99519142618801715</v>
      </c>
      <c r="AD141" s="8">
        <f t="shared" si="74"/>
        <v>0</v>
      </c>
      <c r="AE141" s="8">
        <f t="shared" si="75"/>
        <v>214404.59633002398</v>
      </c>
      <c r="AF141" s="8">
        <f t="shared" si="76"/>
        <v>6446.3461236706426</v>
      </c>
      <c r="AG141" s="8">
        <f t="shared" si="77"/>
        <v>0</v>
      </c>
      <c r="AH141" s="8">
        <f t="shared" si="57"/>
        <v>0</v>
      </c>
      <c r="AI141" s="8">
        <f t="shared" si="58"/>
        <v>181475.15089700112</v>
      </c>
      <c r="AJ141" s="8">
        <f t="shared" si="78"/>
        <v>6256.7630470521653</v>
      </c>
      <c r="AK141" s="8">
        <f t="shared" si="79"/>
        <v>0</v>
      </c>
      <c r="AL141" s="8">
        <f t="shared" si="80"/>
        <v>0</v>
      </c>
      <c r="AM141" s="8">
        <f t="shared" si="81"/>
        <v>17704.242714242904</v>
      </c>
      <c r="AN141" s="8">
        <f t="shared" si="82"/>
        <v>5978.8506228998713</v>
      </c>
      <c r="AO141" s="8">
        <f t="shared" si="83"/>
        <v>0</v>
      </c>
    </row>
    <row r="142" spans="1:41">
      <c r="A142" s="1">
        <v>41869</v>
      </c>
      <c r="B142" s="5">
        <v>140</v>
      </c>
      <c r="C142" s="3">
        <f>B142/365+input!$K$3</f>
        <v>0.38356164383561642</v>
      </c>
      <c r="D142" s="4">
        <f t="shared" si="59"/>
        <v>1.4360749698015662</v>
      </c>
      <c r="E142" s="12">
        <f t="shared" si="60"/>
        <v>4.0278217843961954E-2</v>
      </c>
      <c r="F142" s="20">
        <f>input!E141</f>
        <v>0</v>
      </c>
      <c r="G142" s="19">
        <f t="shared" si="61"/>
        <v>0</v>
      </c>
      <c r="H142" s="19">
        <f t="shared" si="62"/>
        <v>5.4544392730683433E-18</v>
      </c>
      <c r="I142" s="5">
        <v>505</v>
      </c>
      <c r="J142" s="3">
        <f>I142/365+input!$K$3</f>
        <v>1.3835616438356164</v>
      </c>
      <c r="K142" s="4">
        <f t="shared" si="63"/>
        <v>8.7167896172778203</v>
      </c>
      <c r="L142" s="12">
        <f t="shared" si="64"/>
        <v>9.0075898146599513</v>
      </c>
      <c r="M142" s="20">
        <f>input!F141</f>
        <v>23518.400000000001</v>
      </c>
      <c r="N142" s="19">
        <f t="shared" si="65"/>
        <v>0.84745996296935333</v>
      </c>
      <c r="O142" s="19">
        <f t="shared" si="66"/>
        <v>9.9709189706264328E-2</v>
      </c>
      <c r="P142" s="21">
        <v>870</v>
      </c>
      <c r="Q142" s="3">
        <f>P142/365+input!$K$3</f>
        <v>2.3835616438356166</v>
      </c>
      <c r="R142" s="4">
        <f t="shared" si="67"/>
        <v>11.706656971412208</v>
      </c>
      <c r="S142" s="12">
        <f t="shared" si="68"/>
        <v>21.819137889266571</v>
      </c>
      <c r="T142" s="20">
        <f>input!G141</f>
        <v>289.86</v>
      </c>
      <c r="U142" s="19">
        <f t="shared" si="69"/>
        <v>0.97067299283660502</v>
      </c>
      <c r="V142" s="19">
        <f t="shared" si="56"/>
        <v>0.95605708536336065</v>
      </c>
      <c r="W142" s="21">
        <v>1235</v>
      </c>
      <c r="X142" s="3">
        <f>W142/365+input!$K$3</f>
        <v>3.3835616438356166</v>
      </c>
      <c r="Y142" s="4">
        <f t="shared" si="70"/>
        <v>12.589299260865312</v>
      </c>
      <c r="Z142" s="12">
        <f t="shared" si="71"/>
        <v>27.135859395209948</v>
      </c>
      <c r="AA142" s="20">
        <f>input!H141</f>
        <v>0</v>
      </c>
      <c r="AB142" s="19">
        <f t="shared" si="72"/>
        <v>0.98197554006092014</v>
      </c>
      <c r="AC142" s="19">
        <f t="shared" si="73"/>
        <v>0.99519142618801715</v>
      </c>
      <c r="AD142" s="8">
        <f t="shared" si="74"/>
        <v>0</v>
      </c>
      <c r="AE142" s="8">
        <f t="shared" si="75"/>
        <v>211844.1002970986</v>
      </c>
      <c r="AF142" s="8">
        <f t="shared" si="76"/>
        <v>6324.4953085828083</v>
      </c>
      <c r="AG142" s="8">
        <f t="shared" si="77"/>
        <v>0</v>
      </c>
      <c r="AH142" s="8">
        <f t="shared" si="57"/>
        <v>0</v>
      </c>
      <c r="AI142" s="8">
        <f t="shared" si="58"/>
        <v>179529.39339305516</v>
      </c>
      <c r="AJ142" s="8">
        <f t="shared" si="78"/>
        <v>6139.0167893631424</v>
      </c>
      <c r="AK142" s="8">
        <f t="shared" si="79"/>
        <v>0</v>
      </c>
      <c r="AL142" s="8">
        <f t="shared" si="80"/>
        <v>0</v>
      </c>
      <c r="AM142" s="8">
        <f t="shared" si="81"/>
        <v>17900.730343678693</v>
      </c>
      <c r="AN142" s="8">
        <f t="shared" si="82"/>
        <v>5869.2504986352624</v>
      </c>
      <c r="AO142" s="8">
        <f t="shared" si="83"/>
        <v>0</v>
      </c>
    </row>
    <row r="143" spans="1:41">
      <c r="A143" s="1">
        <v>41870</v>
      </c>
      <c r="B143" s="5">
        <v>141</v>
      </c>
      <c r="C143" s="3">
        <f>B143/365+input!$K$3</f>
        <v>0.38630136986301372</v>
      </c>
      <c r="D143" s="4">
        <f t="shared" si="59"/>
        <v>1.4661615432555166</v>
      </c>
      <c r="E143" s="12">
        <f t="shared" si="60"/>
        <v>4.2863179238145123E-2</v>
      </c>
      <c r="F143" s="20">
        <f>input!E142</f>
        <v>0</v>
      </c>
      <c r="G143" s="19">
        <f t="shared" si="61"/>
        <v>0</v>
      </c>
      <c r="H143" s="19">
        <f t="shared" si="62"/>
        <v>7.0785241221651895E-18</v>
      </c>
      <c r="I143" s="5">
        <v>506</v>
      </c>
      <c r="J143" s="3">
        <f>I143/365+input!$K$3</f>
        <v>1.3863013698630138</v>
      </c>
      <c r="K143" s="4">
        <f t="shared" si="63"/>
        <v>8.7291448417472903</v>
      </c>
      <c r="L143" s="12">
        <f t="shared" si="64"/>
        <v>9.0459463487790632</v>
      </c>
      <c r="M143" s="20">
        <f>input!F142</f>
        <v>23418.959999999999</v>
      </c>
      <c r="N143" s="19">
        <f t="shared" si="65"/>
        <v>0.84849582736914053</v>
      </c>
      <c r="O143" s="19">
        <f t="shared" si="66"/>
        <v>0.10189009080217813</v>
      </c>
      <c r="P143" s="21">
        <v>871</v>
      </c>
      <c r="Q143" s="3">
        <f>P143/365+input!$K$3</f>
        <v>2.3863013698630136</v>
      </c>
      <c r="R143" s="4">
        <f t="shared" si="67"/>
        <v>11.711730715417144</v>
      </c>
      <c r="S143" s="12">
        <f t="shared" si="68"/>
        <v>21.847519870757658</v>
      </c>
      <c r="T143" s="20">
        <f>input!G142</f>
        <v>288.04000000000002</v>
      </c>
      <c r="U143" s="19">
        <f t="shared" si="69"/>
        <v>0.97075494039672106</v>
      </c>
      <c r="V143" s="19">
        <f t="shared" si="56"/>
        <v>0.95652684728518145</v>
      </c>
      <c r="W143" s="21">
        <v>1236</v>
      </c>
      <c r="X143" s="3">
        <f>W143/365+input!$K$3</f>
        <v>3.3863013698630136</v>
      </c>
      <c r="Y143" s="4">
        <f t="shared" si="70"/>
        <v>12.589299260865312</v>
      </c>
      <c r="Z143" s="12">
        <f t="shared" si="71"/>
        <v>27.135859395209948</v>
      </c>
      <c r="AA143" s="20">
        <f>input!H142</f>
        <v>0</v>
      </c>
      <c r="AB143" s="19">
        <f t="shared" si="72"/>
        <v>0.98197554006092014</v>
      </c>
      <c r="AC143" s="19">
        <f t="shared" si="73"/>
        <v>0.99519142618801715</v>
      </c>
      <c r="AD143" s="8">
        <f t="shared" si="74"/>
        <v>0</v>
      </c>
      <c r="AE143" s="8">
        <f t="shared" si="75"/>
        <v>211846.65570420292</v>
      </c>
      <c r="AF143" s="8">
        <f t="shared" si="76"/>
        <v>6292.959623573036</v>
      </c>
      <c r="AG143" s="8">
        <f t="shared" si="77"/>
        <v>0</v>
      </c>
      <c r="AH143" s="8">
        <f t="shared" si="57"/>
        <v>0</v>
      </c>
      <c r="AI143" s="8">
        <f t="shared" si="58"/>
        <v>179751.00340712312</v>
      </c>
      <c r="AJ143" s="8">
        <f t="shared" si="78"/>
        <v>6108.9216443006144</v>
      </c>
      <c r="AK143" s="8">
        <f t="shared" si="79"/>
        <v>0</v>
      </c>
      <c r="AL143" s="8">
        <f t="shared" si="80"/>
        <v>0</v>
      </c>
      <c r="AM143" s="8">
        <f t="shared" si="81"/>
        <v>18314.846058934407</v>
      </c>
      <c r="AN143" s="8">
        <f t="shared" si="82"/>
        <v>5843.3475607350729</v>
      </c>
      <c r="AO143" s="8">
        <f t="shared" si="83"/>
        <v>0</v>
      </c>
    </row>
    <row r="144" spans="1:41">
      <c r="A144" s="1">
        <v>41871</v>
      </c>
      <c r="B144" s="5">
        <v>142</v>
      </c>
      <c r="C144" s="3">
        <f>B144/365+input!$K$3</f>
        <v>0.38904109589041097</v>
      </c>
      <c r="D144" s="4">
        <f t="shared" si="59"/>
        <v>1.496174844296043</v>
      </c>
      <c r="E144" s="12">
        <f t="shared" si="60"/>
        <v>4.5549745412347645E-2</v>
      </c>
      <c r="F144" s="20">
        <f>input!E143</f>
        <v>0</v>
      </c>
      <c r="G144" s="19">
        <f t="shared" si="61"/>
        <v>0</v>
      </c>
      <c r="H144" s="19">
        <f t="shared" si="62"/>
        <v>9.1721879363798896E-18</v>
      </c>
      <c r="I144" s="5">
        <v>507</v>
      </c>
      <c r="J144" s="3">
        <f>I144/365+input!$K$3</f>
        <v>1.3890410958904109</v>
      </c>
      <c r="K144" s="4">
        <f t="shared" si="63"/>
        <v>8.7414699764786707</v>
      </c>
      <c r="L144" s="12">
        <f t="shared" si="64"/>
        <v>9.0843178063688867</v>
      </c>
      <c r="M144" s="20">
        <f>input!F143</f>
        <v>22792.21</v>
      </c>
      <c r="N144" s="19">
        <f t="shared" si="65"/>
        <v>0.84952216035932315</v>
      </c>
      <c r="O144" s="19">
        <f t="shared" si="66"/>
        <v>0.10410006808821204</v>
      </c>
      <c r="P144" s="21">
        <v>872</v>
      </c>
      <c r="Q144" s="3">
        <f>P144/365+input!$K$3</f>
        <v>2.3890410958904109</v>
      </c>
      <c r="R144" s="4">
        <f t="shared" si="67"/>
        <v>11.716792102898031</v>
      </c>
      <c r="S144" s="12">
        <f t="shared" si="68"/>
        <v>21.875857243248543</v>
      </c>
      <c r="T144" s="20">
        <f>input!G143</f>
        <v>276.89</v>
      </c>
      <c r="U144" s="19">
        <f t="shared" si="69"/>
        <v>0.97083646023464831</v>
      </c>
      <c r="V144" s="19">
        <f t="shared" si="56"/>
        <v>0.95699141781038621</v>
      </c>
      <c r="W144" s="21">
        <v>1237</v>
      </c>
      <c r="X144" s="3">
        <f>W144/365+input!$K$3</f>
        <v>3.3890410958904109</v>
      </c>
      <c r="Y144" s="4">
        <f t="shared" si="70"/>
        <v>12.589299260865312</v>
      </c>
      <c r="Z144" s="12">
        <f t="shared" si="71"/>
        <v>27.135859395209948</v>
      </c>
      <c r="AA144" s="20">
        <f>input!H143</f>
        <v>0</v>
      </c>
      <c r="AB144" s="19">
        <f t="shared" si="72"/>
        <v>0.98197554006092014</v>
      </c>
      <c r="AC144" s="19">
        <f t="shared" si="73"/>
        <v>0.99519142618801715</v>
      </c>
      <c r="AD144" s="8">
        <f t="shared" si="74"/>
        <v>0</v>
      </c>
      <c r="AE144" s="8">
        <f t="shared" si="75"/>
        <v>207051.67914949899</v>
      </c>
      <c r="AF144" s="8">
        <f t="shared" si="76"/>
        <v>6057.2061120830886</v>
      </c>
      <c r="AG144" s="8">
        <f t="shared" si="77"/>
        <v>0</v>
      </c>
      <c r="AH144" s="8">
        <f t="shared" si="57"/>
        <v>0</v>
      </c>
      <c r="AI144" s="8">
        <f t="shared" si="58"/>
        <v>175894.98977710781</v>
      </c>
      <c r="AJ144" s="8">
        <f t="shared" si="78"/>
        <v>5880.5565407664217</v>
      </c>
      <c r="AK144" s="8">
        <f t="shared" si="79"/>
        <v>0</v>
      </c>
      <c r="AL144" s="8">
        <f t="shared" si="80"/>
        <v>0</v>
      </c>
      <c r="AM144" s="8">
        <f t="shared" si="81"/>
        <v>18310.680412172285</v>
      </c>
      <c r="AN144" s="8">
        <f t="shared" si="82"/>
        <v>5627.6421414621982</v>
      </c>
      <c r="AO144" s="8">
        <f t="shared" si="83"/>
        <v>0</v>
      </c>
    </row>
    <row r="145" spans="1:41">
      <c r="A145" s="1">
        <v>41872</v>
      </c>
      <c r="B145" s="5">
        <v>143</v>
      </c>
      <c r="C145" s="3">
        <f>B145/365+input!$K$3</f>
        <v>0.39178082191780822</v>
      </c>
      <c r="D145" s="4">
        <f t="shared" si="59"/>
        <v>1.5261150513697421</v>
      </c>
      <c r="E145" s="12">
        <f t="shared" si="60"/>
        <v>4.8339342086185781E-2</v>
      </c>
      <c r="F145" s="20">
        <f>input!E144</f>
        <v>0</v>
      </c>
      <c r="G145" s="19">
        <f t="shared" si="61"/>
        <v>0</v>
      </c>
      <c r="H145" s="19">
        <f t="shared" si="62"/>
        <v>1.1867092373834262E-17</v>
      </c>
      <c r="I145" s="5">
        <v>508</v>
      </c>
      <c r="J145" s="3">
        <f>I145/365+input!$K$3</f>
        <v>1.3917808219178083</v>
      </c>
      <c r="K145" s="4">
        <f t="shared" si="63"/>
        <v>8.7537650947520813</v>
      </c>
      <c r="L145" s="12">
        <f t="shared" si="64"/>
        <v>9.1227037762677377</v>
      </c>
      <c r="M145" s="20">
        <f>input!F144</f>
        <v>22722.51</v>
      </c>
      <c r="N145" s="19">
        <f t="shared" si="65"/>
        <v>0.85053906649674027</v>
      </c>
      <c r="O145" s="19">
        <f t="shared" si="66"/>
        <v>0.1063390839547859</v>
      </c>
      <c r="P145" s="21">
        <v>873</v>
      </c>
      <c r="Q145" s="3">
        <f>P145/365+input!$K$3</f>
        <v>2.3917808219178083</v>
      </c>
      <c r="R145" s="4">
        <f t="shared" si="67"/>
        <v>11.721841163947778</v>
      </c>
      <c r="S145" s="12">
        <f t="shared" si="68"/>
        <v>21.904150006673756</v>
      </c>
      <c r="T145" s="20">
        <f>input!G144</f>
        <v>276.06</v>
      </c>
      <c r="U145" s="19">
        <f t="shared" si="69"/>
        <v>0.97091755513482558</v>
      </c>
      <c r="V145" s="19">
        <f t="shared" si="56"/>
        <v>0.95745085226002857</v>
      </c>
      <c r="W145" s="21">
        <v>1238</v>
      </c>
      <c r="X145" s="3">
        <f>W145/365+input!$K$3</f>
        <v>3.3917808219178083</v>
      </c>
      <c r="Y145" s="4">
        <f t="shared" si="70"/>
        <v>12.589299260865312</v>
      </c>
      <c r="Z145" s="12">
        <f t="shared" si="71"/>
        <v>27.135859395209948</v>
      </c>
      <c r="AA145" s="20">
        <f>input!H144</f>
        <v>0</v>
      </c>
      <c r="AB145" s="19">
        <f t="shared" si="72"/>
        <v>0.98197554006092014</v>
      </c>
      <c r="AC145" s="19">
        <f t="shared" si="73"/>
        <v>0.99519142618801715</v>
      </c>
      <c r="AD145" s="8">
        <f t="shared" si="74"/>
        <v>0</v>
      </c>
      <c r="AE145" s="8">
        <f t="shared" si="75"/>
        <v>207290.72778328141</v>
      </c>
      <c r="AF145" s="8">
        <f t="shared" si="76"/>
        <v>6046.859650842357</v>
      </c>
      <c r="AG145" s="8">
        <f t="shared" si="77"/>
        <v>0</v>
      </c>
      <c r="AH145" s="8">
        <f t="shared" si="57"/>
        <v>0</v>
      </c>
      <c r="AI145" s="8">
        <f t="shared" si="58"/>
        <v>176308.86210222208</v>
      </c>
      <c r="AJ145" s="8">
        <f t="shared" si="78"/>
        <v>5871.0021884392863</v>
      </c>
      <c r="AK145" s="8">
        <f t="shared" si="79"/>
        <v>0</v>
      </c>
      <c r="AL145" s="8">
        <f t="shared" si="80"/>
        <v>0</v>
      </c>
      <c r="AM145" s="8">
        <f t="shared" si="81"/>
        <v>18748.522889060965</v>
      </c>
      <c r="AN145" s="8">
        <f t="shared" si="82"/>
        <v>5621.1960489416879</v>
      </c>
      <c r="AO145" s="8">
        <f t="shared" si="83"/>
        <v>0</v>
      </c>
    </row>
    <row r="146" spans="1:41">
      <c r="A146" s="1">
        <v>41873</v>
      </c>
      <c r="B146" s="5">
        <v>144</v>
      </c>
      <c r="C146" s="3">
        <f>B146/365+input!$K$3</f>
        <v>0.39452054794520547</v>
      </c>
      <c r="D146" s="4">
        <f t="shared" si="59"/>
        <v>1.5559823424886206</v>
      </c>
      <c r="E146" s="12">
        <f t="shared" si="60"/>
        <v>5.1233367346945675E-2</v>
      </c>
      <c r="F146" s="20">
        <f>input!E145</f>
        <v>0</v>
      </c>
      <c r="G146" s="19">
        <f t="shared" si="61"/>
        <v>0</v>
      </c>
      <c r="H146" s="19">
        <f t="shared" si="62"/>
        <v>1.5330642631004839E-17</v>
      </c>
      <c r="I146" s="5">
        <v>509</v>
      </c>
      <c r="J146" s="3">
        <f>I146/365+input!$K$3</f>
        <v>1.3945205479452054</v>
      </c>
      <c r="K146" s="4">
        <f t="shared" si="63"/>
        <v>8.7660302696691783</v>
      </c>
      <c r="L146" s="12">
        <f t="shared" si="64"/>
        <v>9.1611038490292582</v>
      </c>
      <c r="M146" s="20">
        <f>input!F145</f>
        <v>22361.63</v>
      </c>
      <c r="N146" s="19">
        <f t="shared" si="65"/>
        <v>0.85154664902615074</v>
      </c>
      <c r="O146" s="19">
        <f t="shared" si="66"/>
        <v>0.10860709192001923</v>
      </c>
      <c r="P146" s="21">
        <v>874</v>
      </c>
      <c r="Q146" s="3">
        <f>P146/365+input!$K$3</f>
        <v>2.3945205479452056</v>
      </c>
      <c r="R146" s="4">
        <f t="shared" si="67"/>
        <v>11.726877928585997</v>
      </c>
      <c r="S146" s="12">
        <f t="shared" si="68"/>
        <v>21.932398161419993</v>
      </c>
      <c r="T146" s="20">
        <f>input!G145</f>
        <v>271.68</v>
      </c>
      <c r="U146" s="19">
        <f t="shared" si="69"/>
        <v>0.97099822786007073</v>
      </c>
      <c r="V146" s="19">
        <f t="shared" si="56"/>
        <v>0.95790520545062452</v>
      </c>
      <c r="W146" s="21">
        <v>1239</v>
      </c>
      <c r="X146" s="3">
        <f>W146/365+input!$K$3</f>
        <v>3.3945205479452056</v>
      </c>
      <c r="Y146" s="4">
        <f t="shared" si="70"/>
        <v>12.589299260865312</v>
      </c>
      <c r="Z146" s="12">
        <f t="shared" si="71"/>
        <v>27.135859395209948</v>
      </c>
      <c r="AA146" s="20">
        <f>input!H145</f>
        <v>0</v>
      </c>
      <c r="AB146" s="19">
        <f t="shared" si="72"/>
        <v>0.98197554006092014</v>
      </c>
      <c r="AC146" s="19">
        <f t="shared" si="73"/>
        <v>0.99519142618801715</v>
      </c>
      <c r="AD146" s="8">
        <f t="shared" si="74"/>
        <v>0</v>
      </c>
      <c r="AE146" s="8">
        <f t="shared" si="75"/>
        <v>204857.21466356813</v>
      </c>
      <c r="AF146" s="8">
        <f t="shared" si="76"/>
        <v>5958.5939324945839</v>
      </c>
      <c r="AG146" s="8">
        <f t="shared" si="77"/>
        <v>0</v>
      </c>
      <c r="AH146" s="8">
        <f t="shared" si="57"/>
        <v>0</v>
      </c>
      <c r="AI146" s="8">
        <f t="shared" si="58"/>
        <v>174445.47467559227</v>
      </c>
      <c r="AJ146" s="8">
        <f t="shared" si="78"/>
        <v>5785.7841489900111</v>
      </c>
      <c r="AK146" s="8">
        <f t="shared" si="79"/>
        <v>0</v>
      </c>
      <c r="AL146" s="8">
        <f t="shared" si="80"/>
        <v>0</v>
      </c>
      <c r="AM146" s="8">
        <f t="shared" si="81"/>
        <v>18946.015703123438</v>
      </c>
      <c r="AN146" s="8">
        <f t="shared" si="82"/>
        <v>5542.2327539312437</v>
      </c>
      <c r="AO146" s="8">
        <f t="shared" si="83"/>
        <v>0</v>
      </c>
    </row>
    <row r="147" spans="1:41">
      <c r="A147" s="1">
        <v>41874</v>
      </c>
      <c r="B147" s="5">
        <v>145</v>
      </c>
      <c r="C147" s="3">
        <f>B147/365+input!$K$3</f>
        <v>0.39726027397260272</v>
      </c>
      <c r="D147" s="4">
        <f t="shared" si="59"/>
        <v>1.5857768952311597</v>
      </c>
      <c r="E147" s="12">
        <f t="shared" si="60"/>
        <v>5.4233191951177866E-2</v>
      </c>
      <c r="F147" s="20">
        <f>input!E146</f>
        <v>0</v>
      </c>
      <c r="G147" s="19">
        <f t="shared" si="61"/>
        <v>0</v>
      </c>
      <c r="H147" s="19">
        <f t="shared" si="62"/>
        <v>1.9775366785691606E-17</v>
      </c>
      <c r="I147" s="5">
        <v>510</v>
      </c>
      <c r="J147" s="3">
        <f>I147/365+input!$K$3</f>
        <v>1.3972602739726028</v>
      </c>
      <c r="K147" s="4">
        <f t="shared" si="63"/>
        <v>8.7782655741535862</v>
      </c>
      <c r="L147" s="12">
        <f t="shared" si="64"/>
        <v>9.1995176169228223</v>
      </c>
      <c r="M147" s="20">
        <f>input!F146</f>
        <v>22301.75</v>
      </c>
      <c r="N147" s="19">
        <f t="shared" si="65"/>
        <v>0.85254500989859938</v>
      </c>
      <c r="O147" s="19">
        <f t="shared" si="66"/>
        <v>0.11090403663068873</v>
      </c>
      <c r="P147" s="21">
        <v>875</v>
      </c>
      <c r="Q147" s="3">
        <f>P147/365+input!$K$3</f>
        <v>2.3972602739726026</v>
      </c>
      <c r="R147" s="4">
        <f t="shared" si="67"/>
        <v>11.731902426759195</v>
      </c>
      <c r="S147" s="12">
        <f t="shared" si="68"/>
        <v>21.960601708323324</v>
      </c>
      <c r="T147" s="20">
        <f>input!G146</f>
        <v>270.92</v>
      </c>
      <c r="U147" s="19">
        <f t="shared" si="69"/>
        <v>0.97107848115177309</v>
      </c>
      <c r="V147" s="19">
        <f t="shared" si="56"/>
        <v>0.95835453169654095</v>
      </c>
      <c r="W147" s="21">
        <v>1240</v>
      </c>
      <c r="X147" s="3">
        <f>W147/365+input!$K$3</f>
        <v>3.3972602739726026</v>
      </c>
      <c r="Y147" s="4">
        <f t="shared" si="70"/>
        <v>12.589299260865312</v>
      </c>
      <c r="Z147" s="12">
        <f t="shared" si="71"/>
        <v>27.135859395209948</v>
      </c>
      <c r="AA147" s="20">
        <f>input!H146</f>
        <v>0</v>
      </c>
      <c r="AB147" s="19">
        <f t="shared" si="72"/>
        <v>0.98197554006092014</v>
      </c>
      <c r="AC147" s="19">
        <f t="shared" si="73"/>
        <v>0.99519142618801715</v>
      </c>
      <c r="AD147" s="8">
        <f t="shared" si="74"/>
        <v>0</v>
      </c>
      <c r="AE147" s="8">
        <f t="shared" si="75"/>
        <v>205165.34201320854</v>
      </c>
      <c r="AF147" s="8">
        <f t="shared" si="76"/>
        <v>5949.5662148189549</v>
      </c>
      <c r="AG147" s="8">
        <f t="shared" si="77"/>
        <v>0</v>
      </c>
      <c r="AH147" s="8">
        <f t="shared" si="57"/>
        <v>0</v>
      </c>
      <c r="AI147" s="8">
        <f t="shared" si="58"/>
        <v>174912.68853750042</v>
      </c>
      <c r="AJ147" s="8">
        <f t="shared" si="78"/>
        <v>5777.4957233982941</v>
      </c>
      <c r="AK147" s="8">
        <f t="shared" si="79"/>
        <v>0</v>
      </c>
      <c r="AL147" s="8">
        <f t="shared" si="80"/>
        <v>0</v>
      </c>
      <c r="AM147" s="8">
        <f t="shared" si="81"/>
        <v>19398.523216735197</v>
      </c>
      <c r="AN147" s="8">
        <f t="shared" si="82"/>
        <v>5536.8892083761402</v>
      </c>
      <c r="AO147" s="8">
        <f t="shared" si="83"/>
        <v>0</v>
      </c>
    </row>
    <row r="148" spans="1:41">
      <c r="A148" s="1">
        <v>41875</v>
      </c>
      <c r="B148" s="5">
        <v>146</v>
      </c>
      <c r="C148" s="3">
        <f>B148/365+input!$K$3</f>
        <v>0.4</v>
      </c>
      <c r="D148" s="4">
        <f t="shared" si="59"/>
        <v>1.6154988867433679</v>
      </c>
      <c r="E148" s="12">
        <f t="shared" si="60"/>
        <v>5.734015962356543E-2</v>
      </c>
      <c r="F148" s="20">
        <f>input!E147</f>
        <v>0</v>
      </c>
      <c r="G148" s="19">
        <f t="shared" si="61"/>
        <v>0</v>
      </c>
      <c r="H148" s="19">
        <f t="shared" si="62"/>
        <v>2.5470669387060165E-17</v>
      </c>
      <c r="I148" s="5">
        <v>511</v>
      </c>
      <c r="J148" s="3">
        <f>I148/365+input!$K$3</f>
        <v>1.4</v>
      </c>
      <c r="K148" s="4">
        <f t="shared" si="63"/>
        <v>8.7904710809513276</v>
      </c>
      <c r="L148" s="12">
        <f t="shared" si="64"/>
        <v>9.2379446739338977</v>
      </c>
      <c r="M148" s="20">
        <f>input!F147</f>
        <v>21958.07</v>
      </c>
      <c r="N148" s="19">
        <f t="shared" si="65"/>
        <v>0.85353424978950199</v>
      </c>
      <c r="O148" s="19">
        <f t="shared" si="66"/>
        <v>0.11322985386886594</v>
      </c>
      <c r="P148" s="21">
        <v>876</v>
      </c>
      <c r="Q148" s="3">
        <f>P148/365+input!$K$3</f>
        <v>2.4</v>
      </c>
      <c r="R148" s="4">
        <f t="shared" si="67"/>
        <v>11.736914688340946</v>
      </c>
      <c r="S148" s="12">
        <f t="shared" si="68"/>
        <v>21.988760648666574</v>
      </c>
      <c r="T148" s="20">
        <f>input!G147</f>
        <v>266.49</v>
      </c>
      <c r="U148" s="19">
        <f t="shared" si="69"/>
        <v>0.97115831773008543</v>
      </c>
      <c r="V148" s="19">
        <f t="shared" si="56"/>
        <v>0.95879888481243192</v>
      </c>
      <c r="W148" s="21">
        <v>1241</v>
      </c>
      <c r="X148" s="3">
        <f>W148/365+input!$K$3</f>
        <v>3.4</v>
      </c>
      <c r="Y148" s="4">
        <f t="shared" si="70"/>
        <v>12.589299260865312</v>
      </c>
      <c r="Z148" s="12">
        <f t="shared" si="71"/>
        <v>27.135859395209948</v>
      </c>
      <c r="AA148" s="20">
        <f>input!H147</f>
        <v>0</v>
      </c>
      <c r="AB148" s="19">
        <f t="shared" si="72"/>
        <v>0.98197554006092014</v>
      </c>
      <c r="AC148" s="19">
        <f t="shared" si="73"/>
        <v>0.99519142618801715</v>
      </c>
      <c r="AD148" s="8">
        <f t="shared" si="74"/>
        <v>0</v>
      </c>
      <c r="AE148" s="8">
        <f t="shared" si="75"/>
        <v>202847.43580636769</v>
      </c>
      <c r="AF148" s="8">
        <f t="shared" si="76"/>
        <v>5859.7848252631557</v>
      </c>
      <c r="AG148" s="8">
        <f t="shared" si="77"/>
        <v>0</v>
      </c>
      <c r="AH148" s="8">
        <f t="shared" si="57"/>
        <v>0</v>
      </c>
      <c r="AI148" s="8">
        <f t="shared" si="58"/>
        <v>173137.23394271222</v>
      </c>
      <c r="AJ148" s="8">
        <f t="shared" si="78"/>
        <v>5690.7787731628487</v>
      </c>
      <c r="AK148" s="8">
        <f t="shared" si="79"/>
        <v>0</v>
      </c>
      <c r="AL148" s="8">
        <f t="shared" si="80"/>
        <v>0</v>
      </c>
      <c r="AM148" s="8">
        <f t="shared" si="81"/>
        <v>19604.303698592961</v>
      </c>
      <c r="AN148" s="8">
        <f t="shared" si="82"/>
        <v>5456.3123414227985</v>
      </c>
      <c r="AO148" s="8">
        <f t="shared" si="83"/>
        <v>0</v>
      </c>
    </row>
    <row r="149" spans="1:41">
      <c r="A149" s="1">
        <v>41876</v>
      </c>
      <c r="B149" s="5">
        <v>147</v>
      </c>
      <c r="C149" s="3">
        <f>B149/365+input!$K$3</f>
        <v>0.40273972602739727</v>
      </c>
      <c r="D149" s="4">
        <f t="shared" si="59"/>
        <v>1.6451484937398324</v>
      </c>
      <c r="E149" s="12">
        <f t="shared" si="60"/>
        <v>6.0555587353089621E-2</v>
      </c>
      <c r="F149" s="20">
        <f>input!E148</f>
        <v>0</v>
      </c>
      <c r="G149" s="19">
        <f t="shared" si="61"/>
        <v>0</v>
      </c>
      <c r="H149" s="19">
        <f t="shared" si="62"/>
        <v>3.2757537744294804E-17</v>
      </c>
      <c r="I149" s="5">
        <v>512</v>
      </c>
      <c r="J149" s="3">
        <f>I149/365+input!$K$3</f>
        <v>1.4027397260273973</v>
      </c>
      <c r="K149" s="4">
        <f t="shared" si="63"/>
        <v>8.8026468626312742</v>
      </c>
      <c r="L149" s="12">
        <f t="shared" si="64"/>
        <v>9.276384615764357</v>
      </c>
      <c r="M149" s="20">
        <f>input!F148</f>
        <v>21895.22</v>
      </c>
      <c r="N149" s="19">
        <f t="shared" si="65"/>
        <v>0.85451446811645326</v>
      </c>
      <c r="O149" s="19">
        <f t="shared" si="66"/>
        <v>0.11558447056420813</v>
      </c>
      <c r="P149" s="21">
        <v>877</v>
      </c>
      <c r="Q149" s="3">
        <f>P149/365+input!$K$3</f>
        <v>2.4027397260273973</v>
      </c>
      <c r="R149" s="4">
        <f t="shared" si="67"/>
        <v>11.741914743132071</v>
      </c>
      <c r="S149" s="12">
        <f t="shared" si="68"/>
        <v>22.016874984176507</v>
      </c>
      <c r="T149" s="20">
        <f>input!G148</f>
        <v>265.58999999999997</v>
      </c>
      <c r="U149" s="19">
        <f t="shared" si="69"/>
        <v>0.97123774029411236</v>
      </c>
      <c r="V149" s="19">
        <f t="shared" si="56"/>
        <v>0.95923831811571869</v>
      </c>
      <c r="W149" s="21">
        <v>1242</v>
      </c>
      <c r="X149" s="3">
        <f>W149/365+input!$K$3</f>
        <v>3.4027397260273973</v>
      </c>
      <c r="Y149" s="4">
        <f t="shared" si="70"/>
        <v>12.589299260865312</v>
      </c>
      <c r="Z149" s="12">
        <f t="shared" si="71"/>
        <v>27.135859395209948</v>
      </c>
      <c r="AA149" s="20">
        <f>input!H148</f>
        <v>0</v>
      </c>
      <c r="AB149" s="19">
        <f t="shared" si="72"/>
        <v>0.98197554006092014</v>
      </c>
      <c r="AC149" s="19">
        <f t="shared" si="73"/>
        <v>0.99519142618801715</v>
      </c>
      <c r="AD149" s="8">
        <f t="shared" si="74"/>
        <v>0</v>
      </c>
      <c r="AE149" s="8">
        <f t="shared" si="75"/>
        <v>203108.48196677607</v>
      </c>
      <c r="AF149" s="8">
        <f t="shared" si="76"/>
        <v>5847.4618270474375</v>
      </c>
      <c r="AG149" s="8">
        <f t="shared" si="77"/>
        <v>0</v>
      </c>
      <c r="AH149" s="8">
        <f t="shared" si="57"/>
        <v>0</v>
      </c>
      <c r="AI149" s="8">
        <f t="shared" si="58"/>
        <v>173559.1364377799</v>
      </c>
      <c r="AJ149" s="8">
        <f t="shared" si="78"/>
        <v>5679.2756113576352</v>
      </c>
      <c r="AK149" s="8">
        <f t="shared" si="79"/>
        <v>0</v>
      </c>
      <c r="AL149" s="8">
        <f t="shared" si="80"/>
        <v>0</v>
      </c>
      <c r="AM149" s="8">
        <f t="shared" si="81"/>
        <v>20060.740896741954</v>
      </c>
      <c r="AN149" s="8">
        <f t="shared" si="82"/>
        <v>5447.7787855543183</v>
      </c>
      <c r="AO149" s="8">
        <f t="shared" si="83"/>
        <v>0</v>
      </c>
    </row>
    <row r="150" spans="1:41">
      <c r="A150" s="1">
        <v>41877</v>
      </c>
      <c r="B150" s="5">
        <v>148</v>
      </c>
      <c r="C150" s="3">
        <f>B150/365+input!$K$3</f>
        <v>0.40547945205479452</v>
      </c>
      <c r="D150" s="4">
        <f t="shared" si="59"/>
        <v>1.6747258925047763</v>
      </c>
      <c r="E150" s="12">
        <f t="shared" si="60"/>
        <v>6.3880765686515767E-2</v>
      </c>
      <c r="F150" s="20">
        <f>input!E149</f>
        <v>0</v>
      </c>
      <c r="G150" s="19">
        <f t="shared" si="61"/>
        <v>0</v>
      </c>
      <c r="H150" s="19">
        <f t="shared" si="62"/>
        <v>4.206691464626343E-17</v>
      </c>
      <c r="I150" s="5">
        <v>513</v>
      </c>
      <c r="J150" s="3">
        <f>I150/365+input!$K$3</f>
        <v>1.4054794520547946</v>
      </c>
      <c r="K150" s="4">
        <f t="shared" si="63"/>
        <v>8.8147929915855485</v>
      </c>
      <c r="L150" s="12">
        <f t="shared" si="64"/>
        <v>9.314837039832593</v>
      </c>
      <c r="M150" s="20">
        <f>input!F149</f>
        <v>21558.45</v>
      </c>
      <c r="N150" s="19">
        <f t="shared" si="65"/>
        <v>0.85548576305675972</v>
      </c>
      <c r="O150" s="19">
        <f t="shared" si="66"/>
        <v>0.11796780481185265</v>
      </c>
      <c r="P150" s="21">
        <v>878</v>
      </c>
      <c r="Q150" s="3">
        <f>P150/365+input!$K$3</f>
        <v>2.4054794520547946</v>
      </c>
      <c r="R150" s="4">
        <f t="shared" si="67"/>
        <v>11.746902620860817</v>
      </c>
      <c r="S150" s="12">
        <f t="shared" si="68"/>
        <v>22.044944717021171</v>
      </c>
      <c r="T150" s="20">
        <f>input!G149</f>
        <v>261.52</v>
      </c>
      <c r="U150" s="19">
        <f t="shared" si="69"/>
        <v>0.97131675152209773</v>
      </c>
      <c r="V150" s="19">
        <f t="shared" si="56"/>
        <v>0.95967288442911514</v>
      </c>
      <c r="W150" s="21">
        <v>1243</v>
      </c>
      <c r="X150" s="3">
        <f>W150/365+input!$K$3</f>
        <v>3.4054794520547946</v>
      </c>
      <c r="Y150" s="4">
        <f t="shared" si="70"/>
        <v>12.589299260865312</v>
      </c>
      <c r="Z150" s="12">
        <f t="shared" si="71"/>
        <v>27.135859395209948</v>
      </c>
      <c r="AA150" s="20">
        <f>input!H149</f>
        <v>0</v>
      </c>
      <c r="AB150" s="19">
        <f t="shared" si="72"/>
        <v>0.98197554006092014</v>
      </c>
      <c r="AC150" s="19">
        <f t="shared" si="73"/>
        <v>0.99519142618801715</v>
      </c>
      <c r="AD150" s="8">
        <f t="shared" si="74"/>
        <v>0</v>
      </c>
      <c r="AE150" s="8">
        <f t="shared" si="75"/>
        <v>200813.44858137897</v>
      </c>
      <c r="AF150" s="8">
        <f t="shared" si="76"/>
        <v>5765.1939423953763</v>
      </c>
      <c r="AG150" s="8">
        <f t="shared" si="77"/>
        <v>0</v>
      </c>
      <c r="AH150" s="8">
        <f t="shared" si="57"/>
        <v>0</v>
      </c>
      <c r="AI150" s="8">
        <f t="shared" si="58"/>
        <v>171793.04629170036</v>
      </c>
      <c r="AJ150" s="8">
        <f t="shared" si="78"/>
        <v>5599.8294520223526</v>
      </c>
      <c r="AK150" s="8">
        <f t="shared" si="79"/>
        <v>0</v>
      </c>
      <c r="AL150" s="8">
        <f t="shared" si="80"/>
        <v>0</v>
      </c>
      <c r="AM150" s="8">
        <f t="shared" si="81"/>
        <v>20266.048552972876</v>
      </c>
      <c r="AN150" s="8">
        <f t="shared" si="82"/>
        <v>5374.0044825334026</v>
      </c>
      <c r="AO150" s="8">
        <f t="shared" si="83"/>
        <v>0</v>
      </c>
    </row>
    <row r="151" spans="1:41">
      <c r="A151" s="1">
        <v>41878</v>
      </c>
      <c r="B151" s="5">
        <v>149</v>
      </c>
      <c r="C151" s="3">
        <f>B151/365+input!$K$3</f>
        <v>0.40821917808219177</v>
      </c>
      <c r="D151" s="4">
        <f t="shared" si="59"/>
        <v>1.7042312588930983</v>
      </c>
      <c r="E151" s="12">
        <f t="shared" si="60"/>
        <v>6.731695901921933E-2</v>
      </c>
      <c r="F151" s="20">
        <f>input!E150</f>
        <v>0</v>
      </c>
      <c r="G151" s="19">
        <f t="shared" si="61"/>
        <v>0</v>
      </c>
      <c r="H151" s="19">
        <f t="shared" si="62"/>
        <v>5.3942616798629992E-17</v>
      </c>
      <c r="I151" s="5">
        <v>514</v>
      </c>
      <c r="J151" s="3">
        <f>I151/365+input!$K$3</f>
        <v>1.4082191780821918</v>
      </c>
      <c r="K151" s="4">
        <f t="shared" si="63"/>
        <v>8.8269095400299769</v>
      </c>
      <c r="L151" s="12">
        <f t="shared" si="64"/>
        <v>9.3533015452736841</v>
      </c>
      <c r="M151" s="20">
        <f>input!F150</f>
        <v>21503.06</v>
      </c>
      <c r="N151" s="19">
        <f t="shared" si="65"/>
        <v>0.85644823156470773</v>
      </c>
      <c r="O151" s="19">
        <f t="shared" si="66"/>
        <v>0.12037976589588985</v>
      </c>
      <c r="P151" s="21">
        <v>879</v>
      </c>
      <c r="Q151" s="3">
        <f>P151/365+input!$K$3</f>
        <v>2.408219178082192</v>
      </c>
      <c r="R151" s="4">
        <f t="shared" si="67"/>
        <v>11.751878351183025</v>
      </c>
      <c r="S151" s="12">
        <f t="shared" si="68"/>
        <v>22.072969849807148</v>
      </c>
      <c r="T151" s="20">
        <f>input!G150</f>
        <v>260.86</v>
      </c>
      <c r="U151" s="19">
        <f t="shared" si="69"/>
        <v>0.97139535407161037</v>
      </c>
      <c r="V151" s="19">
        <f t="shared" si="56"/>
        <v>0.96010263608319169</v>
      </c>
      <c r="W151" s="21">
        <v>1244</v>
      </c>
      <c r="X151" s="3">
        <f>W151/365+input!$K$3</f>
        <v>3.408219178082192</v>
      </c>
      <c r="Y151" s="4">
        <f t="shared" si="70"/>
        <v>12.589299260865312</v>
      </c>
      <c r="Z151" s="12">
        <f t="shared" si="71"/>
        <v>27.135859395209948</v>
      </c>
      <c r="AA151" s="20">
        <f>input!H150</f>
        <v>0</v>
      </c>
      <c r="AB151" s="19">
        <f t="shared" si="72"/>
        <v>0.98197554006092014</v>
      </c>
      <c r="AC151" s="19">
        <f t="shared" si="73"/>
        <v>0.99519142618801715</v>
      </c>
      <c r="AD151" s="8">
        <f t="shared" si="74"/>
        <v>0</v>
      </c>
      <c r="AE151" s="8">
        <f t="shared" si="75"/>
        <v>201124.60432611275</v>
      </c>
      <c r="AF151" s="8">
        <f t="shared" si="76"/>
        <v>5757.9549150206931</v>
      </c>
      <c r="AG151" s="8">
        <f t="shared" si="77"/>
        <v>0</v>
      </c>
      <c r="AH151" s="8">
        <f t="shared" si="57"/>
        <v>0</v>
      </c>
      <c r="AI151" s="8">
        <f t="shared" si="58"/>
        <v>172252.81169925083</v>
      </c>
      <c r="AJ151" s="8">
        <f t="shared" si="78"/>
        <v>5593.2506534048953</v>
      </c>
      <c r="AK151" s="8">
        <f t="shared" si="79"/>
        <v>0</v>
      </c>
      <c r="AL151" s="8">
        <f t="shared" si="80"/>
        <v>0</v>
      </c>
      <c r="AM151" s="8">
        <f t="shared" si="81"/>
        <v>20735.753147264611</v>
      </c>
      <c r="AN151" s="8">
        <f t="shared" si="82"/>
        <v>5370.0946966080746</v>
      </c>
      <c r="AO151" s="8">
        <f t="shared" si="83"/>
        <v>0</v>
      </c>
    </row>
    <row r="152" spans="1:41">
      <c r="A152" s="1">
        <v>41879</v>
      </c>
      <c r="B152" s="5">
        <v>150</v>
      </c>
      <c r="C152" s="3">
        <f>B152/365+input!$K$3</f>
        <v>0.41095890410958902</v>
      </c>
      <c r="D152" s="4">
        <f t="shared" si="59"/>
        <v>1.7336647683314275</v>
      </c>
      <c r="E152" s="12">
        <f t="shared" si="60"/>
        <v>7.0865405883377669E-2</v>
      </c>
      <c r="F152" s="20">
        <f>input!E151</f>
        <v>0</v>
      </c>
      <c r="G152" s="19">
        <f t="shared" si="61"/>
        <v>0</v>
      </c>
      <c r="H152" s="19">
        <f t="shared" si="62"/>
        <v>6.9069880549618057E-17</v>
      </c>
      <c r="I152" s="5">
        <v>515</v>
      </c>
      <c r="J152" s="3">
        <f>I152/365+input!$K$3</f>
        <v>1.4109589041095891</v>
      </c>
      <c r="K152" s="4">
        <f t="shared" si="63"/>
        <v>8.8389965800045189</v>
      </c>
      <c r="L152" s="12">
        <f t="shared" si="64"/>
        <v>9.3917777329394383</v>
      </c>
      <c r="M152" s="20">
        <f>input!F151</f>
        <v>21163.21</v>
      </c>
      <c r="N152" s="19">
        <f t="shared" si="65"/>
        <v>0.85740196938856583</v>
      </c>
      <c r="O152" s="19">
        <f t="shared" si="66"/>
        <v>0.12282025431835521</v>
      </c>
      <c r="P152" s="21">
        <v>880</v>
      </c>
      <c r="Q152" s="3">
        <f>P152/365+input!$K$3</f>
        <v>2.4109589041095889</v>
      </c>
      <c r="R152" s="4">
        <f t="shared" si="67"/>
        <v>11.756841963682319</v>
      </c>
      <c r="S152" s="12">
        <f t="shared" si="68"/>
        <v>22.100950385576947</v>
      </c>
      <c r="T152" s="20">
        <f>input!G151</f>
        <v>257.29000000000002</v>
      </c>
      <c r="U152" s="19">
        <f t="shared" si="69"/>
        <v>0.97147355057972729</v>
      </c>
      <c r="V152" s="19">
        <f t="shared" si="56"/>
        <v>0.96052762491898258</v>
      </c>
      <c r="W152" s="21">
        <v>1245</v>
      </c>
      <c r="X152" s="3">
        <f>W152/365+input!$K$3</f>
        <v>3.4109589041095889</v>
      </c>
      <c r="Y152" s="4">
        <f t="shared" si="70"/>
        <v>12.589299260865312</v>
      </c>
      <c r="Z152" s="12">
        <f t="shared" si="71"/>
        <v>27.135859395209948</v>
      </c>
      <c r="AA152" s="20">
        <f>input!H151</f>
        <v>0</v>
      </c>
      <c r="AB152" s="19">
        <f t="shared" si="72"/>
        <v>0.98197554006092014</v>
      </c>
      <c r="AC152" s="19">
        <f t="shared" si="73"/>
        <v>0.99519142618801715</v>
      </c>
      <c r="AD152" s="8">
        <f t="shared" si="74"/>
        <v>0</v>
      </c>
      <c r="AE152" s="8">
        <f t="shared" si="75"/>
        <v>198760.16443552123</v>
      </c>
      <c r="AF152" s="8">
        <f t="shared" si="76"/>
        <v>5686.3535247050932</v>
      </c>
      <c r="AG152" s="8">
        <f t="shared" si="77"/>
        <v>0</v>
      </c>
      <c r="AH152" s="8">
        <f t="shared" si="57"/>
        <v>0</v>
      </c>
      <c r="AI152" s="8">
        <f t="shared" si="58"/>
        <v>170417.35642301108</v>
      </c>
      <c r="AJ152" s="8">
        <f t="shared" si="78"/>
        <v>5524.1420484968039</v>
      </c>
      <c r="AK152" s="8">
        <f t="shared" si="79"/>
        <v>0</v>
      </c>
      <c r="AL152" s="8">
        <f t="shared" si="80"/>
        <v>0</v>
      </c>
      <c r="AM152" s="8">
        <f t="shared" si="81"/>
        <v>20930.703056136004</v>
      </c>
      <c r="AN152" s="8">
        <f t="shared" si="82"/>
        <v>5306.0910415577182</v>
      </c>
      <c r="AO152" s="8">
        <f t="shared" si="83"/>
        <v>0</v>
      </c>
    </row>
    <row r="153" spans="1:41">
      <c r="A153" s="1">
        <v>41880</v>
      </c>
      <c r="B153" s="5">
        <v>151</v>
      </c>
      <c r="C153" s="3">
        <f>B153/365+input!$K$3</f>
        <v>0.41369863013698632</v>
      </c>
      <c r="D153" s="4">
        <f t="shared" si="59"/>
        <v>1.7630265958191573</v>
      </c>
      <c r="E153" s="12">
        <f t="shared" si="60"/>
        <v>7.4527319233545219E-2</v>
      </c>
      <c r="F153" s="20">
        <f>input!E152</f>
        <v>0</v>
      </c>
      <c r="G153" s="19">
        <f t="shared" si="61"/>
        <v>0</v>
      </c>
      <c r="H153" s="19">
        <f t="shared" si="62"/>
        <v>8.8310863255395519E-17</v>
      </c>
      <c r="I153" s="5">
        <v>516</v>
      </c>
      <c r="J153" s="3">
        <f>I153/365+input!$K$3</f>
        <v>1.4136986301369863</v>
      </c>
      <c r="K153" s="4">
        <f t="shared" si="63"/>
        <v>8.8510541833736767</v>
      </c>
      <c r="L153" s="12">
        <f t="shared" si="64"/>
        <v>9.4302652053982889</v>
      </c>
      <c r="M153" s="20">
        <f>input!F152</f>
        <v>21107.64</v>
      </c>
      <c r="N153" s="19">
        <f t="shared" si="65"/>
        <v>0.858347071087327</v>
      </c>
      <c r="O153" s="19">
        <f t="shared" si="66"/>
        <v>0.12528916183368599</v>
      </c>
      <c r="P153" s="21">
        <v>881</v>
      </c>
      <c r="Q153" s="3">
        <f>P153/365+input!$K$3</f>
        <v>2.4136986301369863</v>
      </c>
      <c r="R153" s="4">
        <f t="shared" si="67"/>
        <v>11.761793487870269</v>
      </c>
      <c r="S153" s="12">
        <f t="shared" si="68"/>
        <v>22.128886327806228</v>
      </c>
      <c r="T153" s="20">
        <f>input!G152</f>
        <v>256.63</v>
      </c>
      <c r="U153" s="19">
        <f t="shared" si="69"/>
        <v>0.97155134366321561</v>
      </c>
      <c r="V153" s="19">
        <f t="shared" si="56"/>
        <v>0.96094790229062843</v>
      </c>
      <c r="W153" s="21">
        <v>1246</v>
      </c>
      <c r="X153" s="3">
        <f>W153/365+input!$K$3</f>
        <v>3.4136986301369863</v>
      </c>
      <c r="Y153" s="4">
        <f t="shared" si="70"/>
        <v>12.589299260865312</v>
      </c>
      <c r="Z153" s="12">
        <f t="shared" si="71"/>
        <v>27.135859395209948</v>
      </c>
      <c r="AA153" s="20">
        <f>input!H152</f>
        <v>0</v>
      </c>
      <c r="AB153" s="19">
        <f t="shared" si="72"/>
        <v>0.98197554006092014</v>
      </c>
      <c r="AC153" s="19">
        <f t="shared" si="73"/>
        <v>0.99519142618801715</v>
      </c>
      <c r="AD153" s="8">
        <f t="shared" si="74"/>
        <v>0</v>
      </c>
      <c r="AE153" s="8">
        <f t="shared" si="75"/>
        <v>199050.64306007314</v>
      </c>
      <c r="AF153" s="8">
        <f t="shared" si="76"/>
        <v>5678.9360983049119</v>
      </c>
      <c r="AG153" s="8">
        <f t="shared" si="77"/>
        <v>0</v>
      </c>
      <c r="AH153" s="8">
        <f t="shared" si="57"/>
        <v>0</v>
      </c>
      <c r="AI153" s="8">
        <f t="shared" si="58"/>
        <v>170854.53646866276</v>
      </c>
      <c r="AJ153" s="8">
        <f t="shared" si="78"/>
        <v>5517.3779968856761</v>
      </c>
      <c r="AK153" s="8">
        <f t="shared" si="79"/>
        <v>0</v>
      </c>
      <c r="AL153" s="8">
        <f t="shared" si="80"/>
        <v>0</v>
      </c>
      <c r="AM153" s="8">
        <f t="shared" si="81"/>
        <v>21406.221669641694</v>
      </c>
      <c r="AN153" s="8">
        <f t="shared" si="82"/>
        <v>5301.9128122517595</v>
      </c>
      <c r="AO153" s="8">
        <f t="shared" si="83"/>
        <v>0</v>
      </c>
    </row>
    <row r="154" spans="1:41">
      <c r="A154" s="1">
        <v>41881</v>
      </c>
      <c r="B154" s="5">
        <v>152</v>
      </c>
      <c r="C154" s="3">
        <f>B154/365+input!$K$3</f>
        <v>0.41643835616438357</v>
      </c>
      <c r="D154" s="4">
        <f t="shared" si="59"/>
        <v>1.7923169159294916</v>
      </c>
      <c r="E154" s="12">
        <f t="shared" si="60"/>
        <v>7.8303886729637368E-2</v>
      </c>
      <c r="F154" s="20">
        <f>input!E153</f>
        <v>0</v>
      </c>
      <c r="G154" s="19">
        <f t="shared" si="61"/>
        <v>0</v>
      </c>
      <c r="H154" s="19">
        <f t="shared" si="62"/>
        <v>1.1274872923147451E-16</v>
      </c>
      <c r="I154" s="5">
        <v>517</v>
      </c>
      <c r="J154" s="3">
        <f>I154/365+input!$K$3</f>
        <v>1.4164383561643836</v>
      </c>
      <c r="K154" s="4">
        <f t="shared" si="63"/>
        <v>8.8630824218269417</v>
      </c>
      <c r="L154" s="12">
        <f t="shared" si="64"/>
        <v>9.4687635669352357</v>
      </c>
      <c r="M154" s="20">
        <f>input!F153</f>
        <v>20784.28</v>
      </c>
      <c r="N154" s="19">
        <f t="shared" si="65"/>
        <v>0.85928363004719821</v>
      </c>
      <c r="O154" s="19">
        <f t="shared" si="66"/>
        <v>0.12778637148859756</v>
      </c>
      <c r="P154" s="21">
        <v>882</v>
      </c>
      <c r="Q154" s="3">
        <f>P154/365+input!$K$3</f>
        <v>2.4164383561643836</v>
      </c>
      <c r="R154" s="4">
        <f t="shared" si="67"/>
        <v>11.76673295318658</v>
      </c>
      <c r="S154" s="12">
        <f t="shared" si="68"/>
        <v>22.156777680401238</v>
      </c>
      <c r="T154" s="20">
        <f>input!G153</f>
        <v>252.5</v>
      </c>
      <c r="U154" s="19">
        <f t="shared" si="69"/>
        <v>0.97162873591871257</v>
      </c>
      <c r="V154" s="19">
        <f t="shared" si="56"/>
        <v>0.96136351906805662</v>
      </c>
      <c r="W154" s="21">
        <v>1247</v>
      </c>
      <c r="X154" s="3">
        <f>W154/365+input!$K$3</f>
        <v>3.4164383561643836</v>
      </c>
      <c r="Y154" s="4">
        <f t="shared" si="70"/>
        <v>12.589299260865312</v>
      </c>
      <c r="Z154" s="12">
        <f t="shared" si="71"/>
        <v>27.135859395209948</v>
      </c>
      <c r="AA154" s="20">
        <f>input!H153</f>
        <v>0</v>
      </c>
      <c r="AB154" s="19">
        <f t="shared" si="72"/>
        <v>0.98197554006092014</v>
      </c>
      <c r="AC154" s="19">
        <f t="shared" si="73"/>
        <v>0.99519142618801715</v>
      </c>
      <c r="AD154" s="8">
        <f t="shared" si="74"/>
        <v>0</v>
      </c>
      <c r="AE154" s="8">
        <f t="shared" si="75"/>
        <v>196801.43322898066</v>
      </c>
      <c r="AF154" s="8">
        <f t="shared" si="76"/>
        <v>5594.5863643013126</v>
      </c>
      <c r="AG154" s="8">
        <f t="shared" si="77"/>
        <v>0</v>
      </c>
      <c r="AH154" s="8">
        <f t="shared" si="57"/>
        <v>0</v>
      </c>
      <c r="AI154" s="8">
        <f t="shared" si="58"/>
        <v>169108.24994348979</v>
      </c>
      <c r="AJ154" s="8">
        <f t="shared" si="78"/>
        <v>5435.8608771341505</v>
      </c>
      <c r="AK154" s="8">
        <f t="shared" si="79"/>
        <v>0</v>
      </c>
      <c r="AL154" s="8">
        <f t="shared" si="80"/>
        <v>0</v>
      </c>
      <c r="AM154" s="8">
        <f t="shared" si="81"/>
        <v>21609.729649065393</v>
      </c>
      <c r="AN154" s="8">
        <f t="shared" si="82"/>
        <v>5225.83834200606</v>
      </c>
      <c r="AO154" s="8">
        <f t="shared" si="83"/>
        <v>0</v>
      </c>
    </row>
    <row r="155" spans="1:41">
      <c r="A155" s="1">
        <v>41882</v>
      </c>
      <c r="B155" s="5">
        <v>153</v>
      </c>
      <c r="C155" s="3">
        <f>B155/365+input!$K$3</f>
        <v>0.41917808219178082</v>
      </c>
      <c r="D155" s="4">
        <f t="shared" si="59"/>
        <v>1.8215359028104789</v>
      </c>
      <c r="E155" s="12">
        <f t="shared" si="60"/>
        <v>8.2196271017342296E-2</v>
      </c>
      <c r="F155" s="20">
        <f>input!E154</f>
        <v>0</v>
      </c>
      <c r="G155" s="19">
        <f t="shared" si="61"/>
        <v>0</v>
      </c>
      <c r="H155" s="19">
        <f t="shared" si="62"/>
        <v>1.4374231481805022E-16</v>
      </c>
      <c r="I155" s="5">
        <v>518</v>
      </c>
      <c r="J155" s="3">
        <f>I155/365+input!$K$3</f>
        <v>1.4191780821917808</v>
      </c>
      <c r="K155" s="4">
        <f t="shared" si="63"/>
        <v>8.8750813668792166</v>
      </c>
      <c r="L155" s="12">
        <f t="shared" si="64"/>
        <v>9.5072724235516226</v>
      </c>
      <c r="M155" s="20">
        <f>input!F154</f>
        <v>20724.89</v>
      </c>
      <c r="N155" s="19">
        <f t="shared" si="65"/>
        <v>0.86021173849783716</v>
      </c>
      <c r="O155" s="19">
        <f t="shared" si="66"/>
        <v>0.13031175766730299</v>
      </c>
      <c r="P155" s="21">
        <v>883</v>
      </c>
      <c r="Q155" s="3">
        <f>P155/365+input!$K$3</f>
        <v>2.419178082191781</v>
      </c>
      <c r="R155" s="4">
        <f t="shared" si="67"/>
        <v>11.771660388999257</v>
      </c>
      <c r="S155" s="12">
        <f t="shared" si="68"/>
        <v>22.184624447696084</v>
      </c>
      <c r="T155" s="20">
        <f>input!G154</f>
        <v>251.75</v>
      </c>
      <c r="U155" s="19">
        <f t="shared" si="69"/>
        <v>0.97170572992290327</v>
      </c>
      <c r="V155" s="19">
        <f t="shared" si="56"/>
        <v>0.96177452563969545</v>
      </c>
      <c r="W155" s="21">
        <v>1248</v>
      </c>
      <c r="X155" s="3">
        <f>W155/365+input!$K$3</f>
        <v>3.419178082191781</v>
      </c>
      <c r="Y155" s="4">
        <f t="shared" si="70"/>
        <v>12.589299260865312</v>
      </c>
      <c r="Z155" s="12">
        <f t="shared" si="71"/>
        <v>27.135859395209948</v>
      </c>
      <c r="AA155" s="20">
        <f>input!H154</f>
        <v>0</v>
      </c>
      <c r="AB155" s="19">
        <f t="shared" si="72"/>
        <v>0.98197554006092014</v>
      </c>
      <c r="AC155" s="19">
        <f t="shared" si="73"/>
        <v>0.99519142618801715</v>
      </c>
      <c r="AD155" s="8">
        <f t="shared" si="74"/>
        <v>0</v>
      </c>
      <c r="AE155" s="8">
        <f t="shared" si="75"/>
        <v>197037.17517814078</v>
      </c>
      <c r="AF155" s="8">
        <f t="shared" si="76"/>
        <v>5584.9792047074889</v>
      </c>
      <c r="AG155" s="8">
        <f t="shared" si="77"/>
        <v>0</v>
      </c>
      <c r="AH155" s="8">
        <f t="shared" si="57"/>
        <v>0</v>
      </c>
      <c r="AI155" s="8">
        <f t="shared" si="58"/>
        <v>169493.69100869136</v>
      </c>
      <c r="AJ155" s="8">
        <f t="shared" si="78"/>
        <v>5426.9562947145259</v>
      </c>
      <c r="AK155" s="8">
        <f t="shared" si="79"/>
        <v>0</v>
      </c>
      <c r="AL155" s="8">
        <f t="shared" si="80"/>
        <v>0</v>
      </c>
      <c r="AM155" s="8">
        <f t="shared" si="81"/>
        <v>22087.020788861319</v>
      </c>
      <c r="AN155" s="8">
        <f t="shared" si="82"/>
        <v>5219.5083160164222</v>
      </c>
      <c r="AO155" s="8">
        <f t="shared" si="83"/>
        <v>0</v>
      </c>
    </row>
    <row r="156" spans="1:41">
      <c r="A156" s="1">
        <v>41883</v>
      </c>
      <c r="B156" s="5">
        <v>154</v>
      </c>
      <c r="C156" s="3">
        <f>B156/365+input!$K$3</f>
        <v>0.42191780821917807</v>
      </c>
      <c r="D156" s="4">
        <f t="shared" si="59"/>
        <v>1.8506837301860559</v>
      </c>
      <c r="E156" s="12">
        <f t="shared" si="60"/>
        <v>8.6205610005983785E-2</v>
      </c>
      <c r="F156" s="20">
        <f>input!E155</f>
        <v>0</v>
      </c>
      <c r="G156" s="19">
        <f t="shared" si="61"/>
        <v>0</v>
      </c>
      <c r="H156" s="19">
        <f t="shared" si="62"/>
        <v>1.8299381102151297E-16</v>
      </c>
      <c r="I156" s="5">
        <v>519</v>
      </c>
      <c r="J156" s="3">
        <f>I156/365+input!$K$3</f>
        <v>1.4219178082191781</v>
      </c>
      <c r="K156" s="4">
        <f t="shared" si="63"/>
        <v>8.8870510898712283</v>
      </c>
      <c r="L156" s="12">
        <f t="shared" si="64"/>
        <v>9.545791382964854</v>
      </c>
      <c r="M156" s="20">
        <f>input!F155</f>
        <v>20453.57</v>
      </c>
      <c r="N156" s="19">
        <f t="shared" si="65"/>
        <v>0.86113148752834212</v>
      </c>
      <c r="O156" s="19">
        <f t="shared" si="66"/>
        <v>0.13286518614201331</v>
      </c>
      <c r="P156" s="21">
        <v>884</v>
      </c>
      <c r="Q156" s="3">
        <f>P156/365+input!$K$3</f>
        <v>2.4219178082191779</v>
      </c>
      <c r="R156" s="4">
        <f t="shared" si="67"/>
        <v>11.776575824604777</v>
      </c>
      <c r="S156" s="12">
        <f t="shared" si="68"/>
        <v>22.212426634450082</v>
      </c>
      <c r="T156" s="20">
        <f>input!G155</f>
        <v>248.34</v>
      </c>
      <c r="U156" s="19">
        <f t="shared" si="69"/>
        <v>0.97178232823269739</v>
      </c>
      <c r="V156" s="19">
        <f t="shared" si="56"/>
        <v>0.96218097191522189</v>
      </c>
      <c r="W156" s="21">
        <v>1249</v>
      </c>
      <c r="X156" s="3">
        <f>W156/365+input!$K$3</f>
        <v>3.4219178082191779</v>
      </c>
      <c r="Y156" s="4">
        <f t="shared" si="70"/>
        <v>12.589299260865312</v>
      </c>
      <c r="Z156" s="12">
        <f t="shared" si="71"/>
        <v>27.135859395209948</v>
      </c>
      <c r="AA156" s="20">
        <f>input!H155</f>
        <v>0</v>
      </c>
      <c r="AB156" s="19">
        <f t="shared" si="72"/>
        <v>0.98197554006092014</v>
      </c>
      <c r="AC156" s="19">
        <f t="shared" si="73"/>
        <v>0.99519142618801715</v>
      </c>
      <c r="AD156" s="8">
        <f t="shared" si="74"/>
        <v>0</v>
      </c>
      <c r="AE156" s="8">
        <f t="shared" si="75"/>
        <v>195245.51225686845</v>
      </c>
      <c r="AF156" s="8">
        <f t="shared" si="76"/>
        <v>5516.2340303993333</v>
      </c>
      <c r="AG156" s="8">
        <f t="shared" si="77"/>
        <v>0</v>
      </c>
      <c r="AH156" s="8">
        <f t="shared" si="57"/>
        <v>0</v>
      </c>
      <c r="AI156" s="8">
        <f t="shared" si="58"/>
        <v>168132.05840299028</v>
      </c>
      <c r="AJ156" s="8">
        <f t="shared" si="78"/>
        <v>5360.5787491379006</v>
      </c>
      <c r="AK156" s="8">
        <f t="shared" si="79"/>
        <v>0</v>
      </c>
      <c r="AL156" s="8">
        <f t="shared" si="80"/>
        <v>0</v>
      </c>
      <c r="AM156" s="8">
        <f t="shared" si="81"/>
        <v>22338.897236153156</v>
      </c>
      <c r="AN156" s="8">
        <f t="shared" si="82"/>
        <v>5157.84687087359</v>
      </c>
      <c r="AO156" s="8">
        <f t="shared" si="83"/>
        <v>0</v>
      </c>
    </row>
    <row r="157" spans="1:41">
      <c r="A157" s="1">
        <v>41884</v>
      </c>
      <c r="B157" s="5">
        <v>155</v>
      </c>
      <c r="C157" s="3">
        <f>B157/365+input!$K$3</f>
        <v>0.42465753424657532</v>
      </c>
      <c r="D157" s="4">
        <f t="shared" si="59"/>
        <v>1.8797605713570693</v>
      </c>
      <c r="E157" s="12">
        <f t="shared" si="60"/>
        <v>9.0333017143853153E-2</v>
      </c>
      <c r="F157" s="20">
        <f>input!E156</f>
        <v>0</v>
      </c>
      <c r="G157" s="19">
        <f t="shared" si="61"/>
        <v>0</v>
      </c>
      <c r="H157" s="19">
        <f t="shared" si="62"/>
        <v>2.3263244044979902E-16</v>
      </c>
      <c r="I157" s="5">
        <v>520</v>
      </c>
      <c r="J157" s="3">
        <f>I157/365+input!$K$3</f>
        <v>1.4246575342465753</v>
      </c>
      <c r="K157" s="4">
        <f t="shared" si="63"/>
        <v>8.8989916619699709</v>
      </c>
      <c r="L157" s="12">
        <f t="shared" si="64"/>
        <v>9.5843200546080816</v>
      </c>
      <c r="M157" s="20">
        <f>input!F156</f>
        <v>20393.54</v>
      </c>
      <c r="N157" s="19">
        <f t="shared" si="65"/>
        <v>0.86204296710300143</v>
      </c>
      <c r="O157" s="19">
        <f t="shared" si="66"/>
        <v>0.13544651412865175</v>
      </c>
      <c r="P157" s="21">
        <v>885</v>
      </c>
      <c r="Q157" s="3">
        <f>P157/365+input!$K$3</f>
        <v>2.4246575342465753</v>
      </c>
      <c r="R157" s="4">
        <f t="shared" si="67"/>
        <v>11.78147928922828</v>
      </c>
      <c r="S157" s="12">
        <f t="shared" si="68"/>
        <v>22.240184245845199</v>
      </c>
      <c r="T157" s="20">
        <f>input!G156</f>
        <v>247.65</v>
      </c>
      <c r="U157" s="19">
        <f t="shared" si="69"/>
        <v>0.97185853338540373</v>
      </c>
      <c r="V157" s="19">
        <f t="shared" si="56"/>
        <v>0.96258290732834095</v>
      </c>
      <c r="W157" s="21">
        <v>1250</v>
      </c>
      <c r="X157" s="3">
        <f>W157/365+input!$K$3</f>
        <v>3.4246575342465753</v>
      </c>
      <c r="Y157" s="4">
        <f t="shared" si="70"/>
        <v>12.589299260865312</v>
      </c>
      <c r="Z157" s="12">
        <f t="shared" si="71"/>
        <v>27.135859395209948</v>
      </c>
      <c r="AA157" s="20">
        <f>input!H156</f>
        <v>0</v>
      </c>
      <c r="AB157" s="19">
        <f t="shared" si="72"/>
        <v>0.98197554006092014</v>
      </c>
      <c r="AC157" s="19">
        <f t="shared" si="73"/>
        <v>0.99519142618801715</v>
      </c>
      <c r="AD157" s="8">
        <f t="shared" si="74"/>
        <v>0</v>
      </c>
      <c r="AE157" s="8">
        <f t="shared" si="75"/>
        <v>195458.21440645211</v>
      </c>
      <c r="AF157" s="8">
        <f t="shared" si="76"/>
        <v>5507.7816284835635</v>
      </c>
      <c r="AG157" s="8">
        <f t="shared" si="77"/>
        <v>0</v>
      </c>
      <c r="AH157" s="8">
        <f t="shared" si="57"/>
        <v>0</v>
      </c>
      <c r="AI157" s="8">
        <f t="shared" si="58"/>
        <v>168493.37909159259</v>
      </c>
      <c r="AJ157" s="8">
        <f t="shared" si="78"/>
        <v>5352.7845756651068</v>
      </c>
      <c r="AK157" s="8">
        <f t="shared" si="79"/>
        <v>0</v>
      </c>
      <c r="AL157" s="8">
        <f t="shared" si="80"/>
        <v>0</v>
      </c>
      <c r="AM157" s="8">
        <f t="shared" si="81"/>
        <v>22821.84085171367</v>
      </c>
      <c r="AN157" s="8">
        <f t="shared" si="82"/>
        <v>5152.4989391460185</v>
      </c>
      <c r="AO157" s="8">
        <f t="shared" si="83"/>
        <v>0</v>
      </c>
    </row>
    <row r="158" spans="1:41">
      <c r="A158" s="1">
        <v>41885</v>
      </c>
      <c r="B158" s="5">
        <v>156</v>
      </c>
      <c r="C158" s="3">
        <f>B158/365+input!$K$3</f>
        <v>0.42739726027397262</v>
      </c>
      <c r="D158" s="4">
        <f t="shared" si="59"/>
        <v>1.9087665992023126</v>
      </c>
      <c r="E158" s="12">
        <f t="shared" si="60"/>
        <v>9.4579581691035114E-2</v>
      </c>
      <c r="F158" s="20">
        <f>input!E157</f>
        <v>0</v>
      </c>
      <c r="G158" s="19">
        <f t="shared" si="61"/>
        <v>0</v>
      </c>
      <c r="H158" s="19">
        <f t="shared" si="62"/>
        <v>2.9531775688267813E-16</v>
      </c>
      <c r="I158" s="5">
        <v>521</v>
      </c>
      <c r="J158" s="3">
        <f>I158/365+input!$K$3</f>
        <v>1.4273972602739726</v>
      </c>
      <c r="K158" s="4">
        <f t="shared" si="63"/>
        <v>8.9109031541691142</v>
      </c>
      <c r="L158" s="12">
        <f t="shared" si="64"/>
        <v>9.6228580496297624</v>
      </c>
      <c r="M158" s="20">
        <f>input!F157</f>
        <v>20092.25</v>
      </c>
      <c r="N158" s="19">
        <f t="shared" si="65"/>
        <v>0.86294626607680103</v>
      </c>
      <c r="O158" s="19">
        <f t="shared" si="66"/>
        <v>0.13805559034769443</v>
      </c>
      <c r="P158" s="21">
        <v>886</v>
      </c>
      <c r="Q158" s="3">
        <f>P158/365+input!$K$3</f>
        <v>2.4273972602739726</v>
      </c>
      <c r="R158" s="4">
        <f t="shared" si="67"/>
        <v>11.786370812023723</v>
      </c>
      <c r="S158" s="12">
        <f t="shared" si="68"/>
        <v>22.267897287483343</v>
      </c>
      <c r="T158" s="20">
        <f>input!G157</f>
        <v>245.06</v>
      </c>
      <c r="U158" s="19">
        <f t="shared" si="69"/>
        <v>0.97193434789890309</v>
      </c>
      <c r="V158" s="19">
        <f t="shared" si="56"/>
        <v>0.96298038083959425</v>
      </c>
      <c r="W158" s="21">
        <v>1251</v>
      </c>
      <c r="X158" s="3">
        <f>W158/365+input!$K$3</f>
        <v>3.4273972602739726</v>
      </c>
      <c r="Y158" s="4">
        <f t="shared" si="70"/>
        <v>12.589299260865312</v>
      </c>
      <c r="Z158" s="12">
        <f t="shared" si="71"/>
        <v>27.135859395209948</v>
      </c>
      <c r="AA158" s="20">
        <f>input!H157</f>
        <v>0</v>
      </c>
      <c r="AB158" s="19">
        <f t="shared" si="72"/>
        <v>0.98197554006092014</v>
      </c>
      <c r="AC158" s="19">
        <f t="shared" si="73"/>
        <v>0.99519142618801715</v>
      </c>
      <c r="AD158" s="8">
        <f t="shared" si="74"/>
        <v>0</v>
      </c>
      <c r="AE158" s="8">
        <f t="shared" si="75"/>
        <v>193344.86964767359</v>
      </c>
      <c r="AF158" s="8">
        <f t="shared" si="76"/>
        <v>5456.970909270668</v>
      </c>
      <c r="AG158" s="8">
        <f t="shared" si="77"/>
        <v>0</v>
      </c>
      <c r="AH158" s="8">
        <f t="shared" si="57"/>
        <v>0</v>
      </c>
      <c r="AI158" s="8">
        <f t="shared" si="58"/>
        <v>166846.23332756574</v>
      </c>
      <c r="AJ158" s="8">
        <f t="shared" si="78"/>
        <v>5303.8174622052711</v>
      </c>
      <c r="AK158" s="8">
        <f t="shared" si="79"/>
        <v>0</v>
      </c>
      <c r="AL158" s="8">
        <f t="shared" si="80"/>
        <v>0</v>
      </c>
      <c r="AM158" s="8">
        <f t="shared" si="81"/>
        <v>23034.055239326259</v>
      </c>
      <c r="AN158" s="8">
        <f t="shared" si="82"/>
        <v>5107.4721596581221</v>
      </c>
      <c r="AO158" s="8">
        <f t="shared" si="83"/>
        <v>0</v>
      </c>
    </row>
    <row r="159" spans="1:41">
      <c r="A159" s="1">
        <v>41886</v>
      </c>
      <c r="B159" s="5">
        <v>157</v>
      </c>
      <c r="C159" s="3">
        <f>B159/365+input!$K$3</f>
        <v>0.43013698630136987</v>
      </c>
      <c r="D159" s="4">
        <f t="shared" si="59"/>
        <v>1.9377019861795535</v>
      </c>
      <c r="E159" s="12">
        <f t="shared" si="60"/>
        <v>9.8946368989745959E-2</v>
      </c>
      <c r="F159" s="20">
        <f>input!E158</f>
        <v>0</v>
      </c>
      <c r="G159" s="19">
        <f t="shared" si="61"/>
        <v>0</v>
      </c>
      <c r="H159" s="19">
        <f t="shared" si="62"/>
        <v>3.7436698349177354E-16</v>
      </c>
      <c r="I159" s="5">
        <v>522</v>
      </c>
      <c r="J159" s="3">
        <f>I159/365+input!$K$3</f>
        <v>1.4301369863013698</v>
      </c>
      <c r="K159" s="4">
        <f t="shared" si="63"/>
        <v>8.9227856372894347</v>
      </c>
      <c r="L159" s="12">
        <f t="shared" si="64"/>
        <v>9.6614049808931934</v>
      </c>
      <c r="M159" s="20">
        <f>input!F158</f>
        <v>20040.400000000001</v>
      </c>
      <c r="N159" s="19">
        <f t="shared" si="65"/>
        <v>0.86384147221070062</v>
      </c>
      <c r="O159" s="19">
        <f t="shared" si="66"/>
        <v>0.14069225509006644</v>
      </c>
      <c r="P159" s="21">
        <v>887</v>
      </c>
      <c r="Q159" s="3">
        <f>P159/365+input!$K$3</f>
        <v>2.43013698630137</v>
      </c>
      <c r="R159" s="4">
        <f t="shared" si="67"/>
        <v>11.791250422074066</v>
      </c>
      <c r="S159" s="12">
        <f t="shared" si="68"/>
        <v>22.295565765383795</v>
      </c>
      <c r="T159" s="20">
        <f>input!G158</f>
        <v>244.43</v>
      </c>
      <c r="U159" s="19">
        <f t="shared" si="69"/>
        <v>0.97200977427181934</v>
      </c>
      <c r="V159" s="19">
        <f t="shared" si="56"/>
        <v>0.96337344093919819</v>
      </c>
      <c r="W159" s="21">
        <v>1252</v>
      </c>
      <c r="X159" s="3">
        <f>W159/365+input!$K$3</f>
        <v>3.43013698630137</v>
      </c>
      <c r="Y159" s="4">
        <f t="shared" si="70"/>
        <v>12.589299260865312</v>
      </c>
      <c r="Z159" s="12">
        <f t="shared" si="71"/>
        <v>27.135859395209948</v>
      </c>
      <c r="AA159" s="20">
        <f>input!H158</f>
        <v>0</v>
      </c>
      <c r="AB159" s="19">
        <f t="shared" si="72"/>
        <v>0.98197554006092014</v>
      </c>
      <c r="AC159" s="19">
        <f t="shared" si="73"/>
        <v>0.99519142618801715</v>
      </c>
      <c r="AD159" s="8">
        <f t="shared" si="74"/>
        <v>0</v>
      </c>
      <c r="AE159" s="8">
        <f t="shared" si="75"/>
        <v>193618.42037909196</v>
      </c>
      <c r="AF159" s="8">
        <f t="shared" si="76"/>
        <v>5449.7051400327609</v>
      </c>
      <c r="AG159" s="8">
        <f t="shared" si="77"/>
        <v>0</v>
      </c>
      <c r="AH159" s="8">
        <f t="shared" si="57"/>
        <v>0</v>
      </c>
      <c r="AI159" s="8">
        <f t="shared" si="58"/>
        <v>167255.62130738512</v>
      </c>
      <c r="AJ159" s="8">
        <f t="shared" si="78"/>
        <v>5297.1666630112177</v>
      </c>
      <c r="AK159" s="8">
        <f t="shared" si="79"/>
        <v>0</v>
      </c>
      <c r="AL159" s="8">
        <f t="shared" si="80"/>
        <v>0</v>
      </c>
      <c r="AM159" s="8">
        <f t="shared" si="81"/>
        <v>23531.57053822618</v>
      </c>
      <c r="AN159" s="8">
        <f t="shared" si="82"/>
        <v>5103.1496753735273</v>
      </c>
      <c r="AO159" s="8">
        <f t="shared" si="83"/>
        <v>0</v>
      </c>
    </row>
    <row r="160" spans="1:41">
      <c r="A160" s="1">
        <v>41887</v>
      </c>
      <c r="B160" s="5">
        <v>158</v>
      </c>
      <c r="C160" s="3">
        <f>B160/365+input!$K$3</f>
        <v>0.43287671232876712</v>
      </c>
      <c r="D160" s="4">
        <f t="shared" si="59"/>
        <v>1.9665669043265568</v>
      </c>
      <c r="E160" s="12">
        <f t="shared" si="60"/>
        <v>0.10343442073220487</v>
      </c>
      <c r="F160" s="20">
        <f>input!E159</f>
        <v>0</v>
      </c>
      <c r="G160" s="19">
        <f t="shared" si="61"/>
        <v>0</v>
      </c>
      <c r="H160" s="19">
        <f t="shared" si="62"/>
        <v>4.7391175641821574E-16</v>
      </c>
      <c r="I160" s="5">
        <v>523</v>
      </c>
      <c r="J160" s="3">
        <f>I160/365+input!$K$3</f>
        <v>1.4328767123287671</v>
      </c>
      <c r="K160" s="4">
        <f t="shared" si="63"/>
        <v>8.934639181979227</v>
      </c>
      <c r="L160" s="12">
        <f t="shared" si="64"/>
        <v>9.6999604629759144</v>
      </c>
      <c r="M160" s="20">
        <f>input!F159</f>
        <v>19751.189999999999</v>
      </c>
      <c r="N160" s="19">
        <f t="shared" si="65"/>
        <v>0.86472867218667526</v>
      </c>
      <c r="O160" s="19">
        <f t="shared" si="66"/>
        <v>0.14335634028800037</v>
      </c>
      <c r="P160" s="21">
        <v>888</v>
      </c>
      <c r="Q160" s="3">
        <f>P160/365+input!$K$3</f>
        <v>2.4328767123287673</v>
      </c>
      <c r="R160" s="4">
        <f t="shared" si="67"/>
        <v>11.796118148391436</v>
      </c>
      <c r="S160" s="12">
        <f t="shared" si="68"/>
        <v>22.32318968598058</v>
      </c>
      <c r="T160" s="20">
        <f>input!G159</f>
        <v>241.77</v>
      </c>
      <c r="U160" s="19">
        <f t="shared" si="69"/>
        <v>0.97208481498368893</v>
      </c>
      <c r="V160" s="19">
        <f t="shared" si="56"/>
        <v>0.96376213564990698</v>
      </c>
      <c r="W160" s="21">
        <v>1253</v>
      </c>
      <c r="X160" s="3">
        <f>W160/365+input!$K$3</f>
        <v>3.4328767123287673</v>
      </c>
      <c r="Y160" s="4">
        <f t="shared" si="70"/>
        <v>12.589299260865312</v>
      </c>
      <c r="Z160" s="12">
        <f t="shared" si="71"/>
        <v>27.135859395209948</v>
      </c>
      <c r="AA160" s="20">
        <f>input!H159</f>
        <v>0</v>
      </c>
      <c r="AB160" s="19">
        <f t="shared" si="72"/>
        <v>0.98197554006092014</v>
      </c>
      <c r="AC160" s="19">
        <f t="shared" si="73"/>
        <v>0.99519142618801715</v>
      </c>
      <c r="AD160" s="8">
        <f t="shared" si="74"/>
        <v>0</v>
      </c>
      <c r="AE160" s="8">
        <f t="shared" si="75"/>
        <v>191585.76209672523</v>
      </c>
      <c r="AF160" s="8">
        <f t="shared" si="76"/>
        <v>5397.0775703795252</v>
      </c>
      <c r="AG160" s="8">
        <f t="shared" si="77"/>
        <v>0</v>
      </c>
      <c r="AH160" s="8">
        <f t="shared" si="57"/>
        <v>0</v>
      </c>
      <c r="AI160" s="8">
        <f t="shared" si="58"/>
        <v>165669.70166777348</v>
      </c>
      <c r="AJ160" s="8">
        <f t="shared" si="78"/>
        <v>5246.417151454998</v>
      </c>
      <c r="AK160" s="8">
        <f t="shared" si="79"/>
        <v>0</v>
      </c>
      <c r="AL160" s="8">
        <f t="shared" si="80"/>
        <v>0</v>
      </c>
      <c r="AM160" s="8">
        <f t="shared" si="81"/>
        <v>23749.802127696839</v>
      </c>
      <c r="AN160" s="8">
        <f t="shared" si="82"/>
        <v>5056.2981983965701</v>
      </c>
      <c r="AO160" s="8">
        <f t="shared" si="83"/>
        <v>0</v>
      </c>
    </row>
    <row r="161" spans="1:41">
      <c r="A161" s="1">
        <v>41888</v>
      </c>
      <c r="B161" s="5">
        <v>159</v>
      </c>
      <c r="C161" s="3">
        <f>B161/365+input!$K$3</f>
        <v>0.43561643835616437</v>
      </c>
      <c r="D161" s="4">
        <f t="shared" si="59"/>
        <v>1.9953615252621126</v>
      </c>
      <c r="E161" s="12">
        <f t="shared" si="60"/>
        <v>0.10804475522606041</v>
      </c>
      <c r="F161" s="20">
        <f>input!E160</f>
        <v>0</v>
      </c>
      <c r="G161" s="19">
        <f t="shared" si="61"/>
        <v>0</v>
      </c>
      <c r="H161" s="19">
        <f t="shared" si="62"/>
        <v>5.9909078614479819E-16</v>
      </c>
      <c r="I161" s="5">
        <v>524</v>
      </c>
      <c r="J161" s="3">
        <f>I161/365+input!$K$3</f>
        <v>1.4356164383561645</v>
      </c>
      <c r="K161" s="4">
        <f t="shared" si="63"/>
        <v>8.9464638587147363</v>
      </c>
      <c r="L161" s="12">
        <f t="shared" si="64"/>
        <v>9.7385241121691237</v>
      </c>
      <c r="M161" s="20">
        <f>input!F160</f>
        <v>19700.37</v>
      </c>
      <c r="N161" s="19">
        <f t="shared" si="65"/>
        <v>0.86560795162253346</v>
      </c>
      <c r="O161" s="19">
        <f t="shared" si="66"/>
        <v>0.14604766959077609</v>
      </c>
      <c r="P161" s="21">
        <v>889</v>
      </c>
      <c r="Q161" s="3">
        <f>P161/365+input!$K$3</f>
        <v>2.4356164383561643</v>
      </c>
      <c r="R161" s="4">
        <f t="shared" si="67"/>
        <v>11.800974019917309</v>
      </c>
      <c r="S161" s="12">
        <f t="shared" si="68"/>
        <v>22.350769056119894</v>
      </c>
      <c r="T161" s="20">
        <f>input!G160</f>
        <v>241.16</v>
      </c>
      <c r="U161" s="19">
        <f t="shared" si="69"/>
        <v>0.97215947249512868</v>
      </c>
      <c r="V161" s="19">
        <f t="shared" si="56"/>
        <v>0.96414651252990402</v>
      </c>
      <c r="W161" s="21">
        <v>1254</v>
      </c>
      <c r="X161" s="3">
        <f>W161/365+input!$K$3</f>
        <v>3.4356164383561643</v>
      </c>
      <c r="Y161" s="4">
        <f t="shared" si="70"/>
        <v>12.589299260865312</v>
      </c>
      <c r="Z161" s="12">
        <f t="shared" si="71"/>
        <v>27.135859395209948</v>
      </c>
      <c r="AA161" s="20">
        <f>input!H160</f>
        <v>0</v>
      </c>
      <c r="AB161" s="19">
        <f t="shared" si="72"/>
        <v>0.98197554006092014</v>
      </c>
      <c r="AC161" s="19">
        <f t="shared" si="73"/>
        <v>0.99519142618801715</v>
      </c>
      <c r="AD161" s="8">
        <f t="shared" si="74"/>
        <v>0</v>
      </c>
      <c r="AE161" s="8">
        <f t="shared" si="75"/>
        <v>191852.52826365322</v>
      </c>
      <c r="AF161" s="8">
        <f t="shared" si="76"/>
        <v>5390.1114655738738</v>
      </c>
      <c r="AG161" s="8">
        <f t="shared" si="77"/>
        <v>0</v>
      </c>
      <c r="AH161" s="8">
        <f t="shared" si="57"/>
        <v>0</v>
      </c>
      <c r="AI161" s="8">
        <f t="shared" si="58"/>
        <v>166069.07400390506</v>
      </c>
      <c r="AJ161" s="8">
        <f t="shared" si="78"/>
        <v>5240.0479190622418</v>
      </c>
      <c r="AK161" s="8">
        <f t="shared" si="79"/>
        <v>0</v>
      </c>
      <c r="AL161" s="8">
        <f t="shared" si="80"/>
        <v>0</v>
      </c>
      <c r="AM161" s="8">
        <f t="shared" si="81"/>
        <v>24254.00124936847</v>
      </c>
      <c r="AN161" s="8">
        <f t="shared" si="82"/>
        <v>5052.1739266534414</v>
      </c>
      <c r="AO161" s="8">
        <f t="shared" si="83"/>
        <v>0</v>
      </c>
    </row>
    <row r="162" spans="1:41">
      <c r="A162" s="1">
        <v>41889</v>
      </c>
      <c r="B162" s="5">
        <v>160</v>
      </c>
      <c r="C162" s="3">
        <f>B162/365+input!$K$3</f>
        <v>0.43835616438356162</v>
      </c>
      <c r="D162" s="4">
        <f t="shared" si="59"/>
        <v>2.0240860201870472</v>
      </c>
      <c r="E162" s="12">
        <f t="shared" si="60"/>
        <v>0.11277836765738913</v>
      </c>
      <c r="F162" s="20">
        <f>input!E161</f>
        <v>0</v>
      </c>
      <c r="G162" s="19">
        <f t="shared" si="61"/>
        <v>0</v>
      </c>
      <c r="H162" s="19">
        <f t="shared" si="62"/>
        <v>7.5628632781129741E-16</v>
      </c>
      <c r="I162" s="5">
        <v>525</v>
      </c>
      <c r="J162" s="3">
        <f>I162/365+input!$K$3</f>
        <v>1.4383561643835616</v>
      </c>
      <c r="K162" s="4">
        <f t="shared" si="63"/>
        <v>8.9582597378005673</v>
      </c>
      <c r="L162" s="12">
        <f t="shared" si="64"/>
        <v>9.7770955464769571</v>
      </c>
      <c r="M162" s="20">
        <f>input!F161</f>
        <v>19380.5</v>
      </c>
      <c r="N162" s="19">
        <f t="shared" si="65"/>
        <v>0.86647939508650973</v>
      </c>
      <c r="O162" s="19">
        <f t="shared" si="66"/>
        <v>0.1487660584452393</v>
      </c>
      <c r="P162" s="21">
        <v>890</v>
      </c>
      <c r="Q162" s="3">
        <f>P162/365+input!$K$3</f>
        <v>2.4383561643835616</v>
      </c>
      <c r="R162" s="4">
        <f t="shared" si="67"/>
        <v>11.805818065522676</v>
      </c>
      <c r="S162" s="12">
        <f t="shared" si="68"/>
        <v>22.378303883057512</v>
      </c>
      <c r="T162" s="20">
        <f>input!G161</f>
        <v>237.93</v>
      </c>
      <c r="U162" s="19">
        <f t="shared" si="69"/>
        <v>0.97223374924800232</v>
      </c>
      <c r="V162" s="19">
        <f t="shared" si="56"/>
        <v>0.96452661867571521</v>
      </c>
      <c r="W162" s="21">
        <v>1255</v>
      </c>
      <c r="X162" s="3">
        <f>W162/365+input!$K$3</f>
        <v>3.4383561643835616</v>
      </c>
      <c r="Y162" s="4">
        <f t="shared" si="70"/>
        <v>12.589299260865312</v>
      </c>
      <c r="Z162" s="12">
        <f t="shared" si="71"/>
        <v>27.135859395209948</v>
      </c>
      <c r="AA162" s="20">
        <f>input!H161</f>
        <v>0</v>
      </c>
      <c r="AB162" s="19">
        <f t="shared" si="72"/>
        <v>0.98197554006092014</v>
      </c>
      <c r="AC162" s="19">
        <f t="shared" si="73"/>
        <v>0.99519142618801715</v>
      </c>
      <c r="AD162" s="8">
        <f t="shared" si="74"/>
        <v>0</v>
      </c>
      <c r="AE162" s="8">
        <f t="shared" si="75"/>
        <v>189485.00023849666</v>
      </c>
      <c r="AF162" s="8">
        <f t="shared" si="76"/>
        <v>5324.4698428958736</v>
      </c>
      <c r="AG162" s="8">
        <f t="shared" si="77"/>
        <v>0</v>
      </c>
      <c r="AH162" s="8">
        <f t="shared" si="57"/>
        <v>0</v>
      </c>
      <c r="AI162" s="8">
        <f t="shared" si="58"/>
        <v>164184.84838461975</v>
      </c>
      <c r="AJ162" s="8">
        <f t="shared" si="78"/>
        <v>5176.6292781165776</v>
      </c>
      <c r="AK162" s="8">
        <f t="shared" si="79"/>
        <v>0</v>
      </c>
      <c r="AL162" s="8">
        <f t="shared" si="80"/>
        <v>0</v>
      </c>
      <c r="AM162" s="8">
        <f t="shared" si="81"/>
        <v>24425.132750609093</v>
      </c>
      <c r="AN162" s="8">
        <f t="shared" si="82"/>
        <v>4992.9967337594908</v>
      </c>
      <c r="AO162" s="8">
        <f t="shared" si="83"/>
        <v>0</v>
      </c>
    </row>
    <row r="163" spans="1:41">
      <c r="A163" s="1">
        <v>41890</v>
      </c>
      <c r="B163" s="5">
        <v>161</v>
      </c>
      <c r="C163" s="3">
        <f>B163/365+input!$K$3</f>
        <v>0.44109589041095892</v>
      </c>
      <c r="D163" s="4">
        <f t="shared" si="59"/>
        <v>2.0527405598852537</v>
      </c>
      <c r="E163" s="12">
        <f t="shared" si="60"/>
        <v>0.11763623035129216</v>
      </c>
      <c r="F163" s="20">
        <f>input!E162</f>
        <v>0</v>
      </c>
      <c r="G163" s="19">
        <f t="shared" si="61"/>
        <v>0</v>
      </c>
      <c r="H163" s="19">
        <f t="shared" si="62"/>
        <v>9.5341400822491556E-16</v>
      </c>
      <c r="I163" s="5">
        <v>526</v>
      </c>
      <c r="J163" s="3">
        <f>I163/365+input!$K$3</f>
        <v>1.441095890410959</v>
      </c>
      <c r="K163" s="4">
        <f t="shared" si="63"/>
        <v>8.9700268893701054</v>
      </c>
      <c r="L163" s="12">
        <f t="shared" si="64"/>
        <v>9.8156743856157131</v>
      </c>
      <c r="M163" s="20">
        <f>input!F162</f>
        <v>19131.419999999998</v>
      </c>
      <c r="N163" s="19">
        <f t="shared" si="65"/>
        <v>0.86734308611163746</v>
      </c>
      <c r="O163" s="19">
        <f t="shared" si="66"/>
        <v>0.1515113141810091</v>
      </c>
      <c r="P163" s="21">
        <v>891</v>
      </c>
      <c r="Q163" s="3">
        <f>P163/365+input!$K$3</f>
        <v>2.441095890410959</v>
      </c>
      <c r="R163" s="4">
        <f t="shared" si="67"/>
        <v>11.810650314008216</v>
      </c>
      <c r="S163" s="12">
        <f t="shared" si="68"/>
        <v>22.405794174456229</v>
      </c>
      <c r="T163" s="20">
        <f>input!G162</f>
        <v>236.41</v>
      </c>
      <c r="U163" s="19">
        <f t="shared" si="69"/>
        <v>0.9723076476655842</v>
      </c>
      <c r="V163" s="19">
        <f t="shared" si="56"/>
        <v>0.96490250072514516</v>
      </c>
      <c r="W163" s="21">
        <v>1256</v>
      </c>
      <c r="X163" s="3">
        <f>W163/365+input!$K$3</f>
        <v>3.441095890410959</v>
      </c>
      <c r="Y163" s="4">
        <f t="shared" si="70"/>
        <v>12.589299260865312</v>
      </c>
      <c r="Z163" s="12">
        <f t="shared" si="71"/>
        <v>27.135859395209948</v>
      </c>
      <c r="AA163" s="20">
        <f>input!H162</f>
        <v>0</v>
      </c>
      <c r="AB163" s="19">
        <f t="shared" si="72"/>
        <v>0.98197554006092014</v>
      </c>
      <c r="AC163" s="19">
        <f t="shared" si="73"/>
        <v>0.99519142618801715</v>
      </c>
      <c r="AD163" s="8">
        <f t="shared" si="74"/>
        <v>0</v>
      </c>
      <c r="AE163" s="8">
        <f t="shared" si="75"/>
        <v>187787.78925445615</v>
      </c>
      <c r="AF163" s="8">
        <f t="shared" si="76"/>
        <v>5296.953800783197</v>
      </c>
      <c r="AG163" s="8">
        <f t="shared" si="77"/>
        <v>0</v>
      </c>
      <c r="AH163" s="8">
        <f t="shared" si="57"/>
        <v>0</v>
      </c>
      <c r="AI163" s="8">
        <f t="shared" si="58"/>
        <v>162876.44066604177</v>
      </c>
      <c r="AJ163" s="8">
        <f t="shared" si="78"/>
        <v>5150.2686898327856</v>
      </c>
      <c r="AK163" s="8">
        <f t="shared" si="79"/>
        <v>0</v>
      </c>
      <c r="AL163" s="8">
        <f t="shared" si="80"/>
        <v>0</v>
      </c>
      <c r="AM163" s="8">
        <f t="shared" si="81"/>
        <v>24677.623574437144</v>
      </c>
      <c r="AN163" s="8">
        <f t="shared" si="82"/>
        <v>4969.5071382260721</v>
      </c>
      <c r="AO163" s="8">
        <f t="shared" si="83"/>
        <v>0</v>
      </c>
    </row>
    <row r="164" spans="1:41">
      <c r="A164" s="1">
        <v>41891</v>
      </c>
      <c r="B164" s="5">
        <v>162</v>
      </c>
      <c r="C164" s="3">
        <f>B164/365+input!$K$3</f>
        <v>0.44383561643835617</v>
      </c>
      <c r="D164" s="4">
        <f t="shared" si="59"/>
        <v>2.0813253147246962</v>
      </c>
      <c r="E164" s="12">
        <f t="shared" si="60"/>
        <v>0.12261929303010258</v>
      </c>
      <c r="F164" s="20">
        <f>input!E163</f>
        <v>0</v>
      </c>
      <c r="G164" s="19">
        <f t="shared" si="61"/>
        <v>0</v>
      </c>
      <c r="H164" s="19">
        <f t="shared" si="62"/>
        <v>1.200277544874192E-15</v>
      </c>
      <c r="I164" s="5">
        <v>527</v>
      </c>
      <c r="J164" s="3">
        <f>I164/365+input!$K$3</f>
        <v>1.4438356164383561</v>
      </c>
      <c r="K164" s="4">
        <f t="shared" si="63"/>
        <v>8.9817653833859374</v>
      </c>
      <c r="L164" s="12">
        <f t="shared" si="64"/>
        <v>9.8542602510130521</v>
      </c>
      <c r="M164" s="20">
        <f>input!F163</f>
        <v>18636.93</v>
      </c>
      <c r="N164" s="19">
        <f t="shared" si="65"/>
        <v>0.86819910720990634</v>
      </c>
      <c r="O164" s="19">
        <f t="shared" si="66"/>
        <v>0.15428323610027278</v>
      </c>
      <c r="P164" s="21">
        <v>892</v>
      </c>
      <c r="Q164" s="3">
        <f>P164/365+input!$K$3</f>
        <v>2.4438356164383563</v>
      </c>
      <c r="R164" s="4">
        <f t="shared" si="67"/>
        <v>11.815470794104467</v>
      </c>
      <c r="S164" s="12">
        <f t="shared" si="68"/>
        <v>22.433239938383267</v>
      </c>
      <c r="T164" s="20">
        <f>input!G163</f>
        <v>228.17</v>
      </c>
      <c r="U164" s="19">
        <f t="shared" si="69"/>
        <v>0.97238117015272307</v>
      </c>
      <c r="V164" s="19">
        <f t="shared" si="56"/>
        <v>0.96527420486023541</v>
      </c>
      <c r="W164" s="21">
        <v>1257</v>
      </c>
      <c r="X164" s="3">
        <f>W164/365+input!$K$3</f>
        <v>3.4438356164383563</v>
      </c>
      <c r="Y164" s="4">
        <f t="shared" si="70"/>
        <v>12.589299260865312</v>
      </c>
      <c r="Z164" s="12">
        <f t="shared" si="71"/>
        <v>27.135859395209948</v>
      </c>
      <c r="AA164" s="20">
        <f>input!H163</f>
        <v>0</v>
      </c>
      <c r="AB164" s="19">
        <f t="shared" si="72"/>
        <v>0.98197554006092014</v>
      </c>
      <c r="AC164" s="19">
        <f t="shared" si="73"/>
        <v>0.99519142618801715</v>
      </c>
      <c r="AD164" s="8">
        <f t="shared" si="74"/>
        <v>0</v>
      </c>
      <c r="AE164" s="8">
        <f t="shared" si="75"/>
        <v>183653.15849991268</v>
      </c>
      <c r="AF164" s="8">
        <f t="shared" si="76"/>
        <v>5118.59235674091</v>
      </c>
      <c r="AG164" s="8">
        <f t="shared" si="77"/>
        <v>0</v>
      </c>
      <c r="AH164" s="8">
        <f t="shared" si="57"/>
        <v>0</v>
      </c>
      <c r="AI164" s="8">
        <f t="shared" si="58"/>
        <v>159447.50824590362</v>
      </c>
      <c r="AJ164" s="8">
        <f t="shared" si="78"/>
        <v>4977.2228253825106</v>
      </c>
      <c r="AK164" s="8">
        <f t="shared" si="79"/>
        <v>0</v>
      </c>
      <c r="AL164" s="8">
        <f t="shared" si="80"/>
        <v>0</v>
      </c>
      <c r="AM164" s="8">
        <f t="shared" si="81"/>
        <v>24600.07756030294</v>
      </c>
      <c r="AN164" s="8">
        <f t="shared" si="82"/>
        <v>4804.3848051833174</v>
      </c>
      <c r="AO164" s="8">
        <f t="shared" si="83"/>
        <v>0</v>
      </c>
    </row>
    <row r="165" spans="1:41">
      <c r="A165" s="1">
        <v>41892</v>
      </c>
      <c r="B165" s="5">
        <v>163</v>
      </c>
      <c r="C165" s="3">
        <f>B165/365+input!$K$3</f>
        <v>0.44657534246575342</v>
      </c>
      <c r="D165" s="4">
        <f t="shared" si="59"/>
        <v>2.1098404546584266</v>
      </c>
      <c r="E165" s="12">
        <f t="shared" si="60"/>
        <v>0.12772848306922943</v>
      </c>
      <c r="F165" s="20">
        <f>input!E164</f>
        <v>0</v>
      </c>
      <c r="G165" s="19">
        <f t="shared" si="61"/>
        <v>0</v>
      </c>
      <c r="H165" s="19">
        <f t="shared" si="62"/>
        <v>1.5090022733650827E-15</v>
      </c>
      <c r="I165" s="5">
        <v>528</v>
      </c>
      <c r="J165" s="3">
        <f>I165/365+input!$K$3</f>
        <v>1.4465753424657535</v>
      </c>
      <c r="K165" s="4">
        <f t="shared" si="63"/>
        <v>8.9934752896402621</v>
      </c>
      <c r="L165" s="12">
        <f t="shared" si="64"/>
        <v>9.8928527658070653</v>
      </c>
      <c r="M165" s="20">
        <f>input!F164</f>
        <v>18474.62</v>
      </c>
      <c r="N165" s="19">
        <f t="shared" si="65"/>
        <v>0.86904753988620742</v>
      </c>
      <c r="O165" s="19">
        <f t="shared" si="66"/>
        <v>0.15708161557205974</v>
      </c>
      <c r="P165" s="21">
        <v>893</v>
      </c>
      <c r="Q165" s="3">
        <f>P165/365+input!$K$3</f>
        <v>2.4465753424657533</v>
      </c>
      <c r="R165" s="4">
        <f t="shared" si="67"/>
        <v>11.820279534471995</v>
      </c>
      <c r="S165" s="12">
        <f t="shared" si="68"/>
        <v>22.460641183307725</v>
      </c>
      <c r="T165" s="20">
        <f>input!G164</f>
        <v>226.1</v>
      </c>
      <c r="U165" s="19">
        <f t="shared" si="69"/>
        <v>0.97245431909600255</v>
      </c>
      <c r="V165" s="19">
        <f t="shared" si="56"/>
        <v>0.96564177681024255</v>
      </c>
      <c r="W165" s="21">
        <v>1258</v>
      </c>
      <c r="X165" s="3">
        <f>W165/365+input!$K$3</f>
        <v>3.4465753424657533</v>
      </c>
      <c r="Y165" s="4">
        <f t="shared" si="70"/>
        <v>12.589299260865312</v>
      </c>
      <c r="Z165" s="12">
        <f t="shared" si="71"/>
        <v>27.135859395209948</v>
      </c>
      <c r="AA165" s="20">
        <f>input!H164</f>
        <v>0</v>
      </c>
      <c r="AB165" s="19">
        <f t="shared" si="72"/>
        <v>0.98197554006092014</v>
      </c>
      <c r="AC165" s="19">
        <f t="shared" si="73"/>
        <v>0.99519142618801715</v>
      </c>
      <c r="AD165" s="8">
        <f t="shared" si="74"/>
        <v>0</v>
      </c>
      <c r="AE165" s="8">
        <f t="shared" si="75"/>
        <v>182766.69556423451</v>
      </c>
      <c r="AF165" s="8">
        <f t="shared" si="76"/>
        <v>5078.3509715458767</v>
      </c>
      <c r="AG165" s="8">
        <f t="shared" si="77"/>
        <v>0</v>
      </c>
      <c r="AH165" s="8">
        <f t="shared" si="57"/>
        <v>0</v>
      </c>
      <c r="AI165" s="8">
        <f t="shared" si="58"/>
        <v>158832.94715322941</v>
      </c>
      <c r="AJ165" s="8">
        <f t="shared" si="78"/>
        <v>4938.4643361651688</v>
      </c>
      <c r="AK165" s="8">
        <f t="shared" si="79"/>
        <v>0</v>
      </c>
      <c r="AL165" s="8">
        <f t="shared" si="80"/>
        <v>0</v>
      </c>
      <c r="AM165" s="8">
        <f t="shared" si="81"/>
        <v>24949.735944900862</v>
      </c>
      <c r="AN165" s="8">
        <f t="shared" si="82"/>
        <v>4768.7874762885485</v>
      </c>
      <c r="AO165" s="8">
        <f t="shared" si="83"/>
        <v>0</v>
      </c>
    </row>
    <row r="166" spans="1:41">
      <c r="A166" s="1">
        <v>41893</v>
      </c>
      <c r="B166" s="5">
        <v>164</v>
      </c>
      <c r="C166" s="3">
        <f>B166/365+input!$K$3</f>
        <v>0.44931506849315067</v>
      </c>
      <c r="D166" s="4">
        <f t="shared" si="59"/>
        <v>2.1382861492255989</v>
      </c>
      <c r="E166" s="12">
        <f t="shared" si="60"/>
        <v>0.13296470575065586</v>
      </c>
      <c r="F166" s="20">
        <f>input!E165</f>
        <v>0</v>
      </c>
      <c r="G166" s="19">
        <f t="shared" si="61"/>
        <v>0</v>
      </c>
      <c r="H166" s="19">
        <f t="shared" si="62"/>
        <v>1.894564248099426E-15</v>
      </c>
      <c r="I166" s="5">
        <v>529</v>
      </c>
      <c r="J166" s="3">
        <f>I166/365+input!$K$3</f>
        <v>1.4493150684931506</v>
      </c>
      <c r="K166" s="4">
        <f t="shared" si="63"/>
        <v>9.0051566777553056</v>
      </c>
      <c r="L166" s="12">
        <f t="shared" si="64"/>
        <v>9.9314515548453191</v>
      </c>
      <c r="M166" s="20">
        <f>input!F165</f>
        <v>18196.64</v>
      </c>
      <c r="N166" s="19">
        <f t="shared" si="65"/>
        <v>0.86988846465206737</v>
      </c>
      <c r="O166" s="19">
        <f t="shared" si="66"/>
        <v>0.15990623613089253</v>
      </c>
      <c r="P166" s="21">
        <v>894</v>
      </c>
      <c r="Q166" s="3">
        <f>P166/365+input!$K$3</f>
        <v>2.4493150684931506</v>
      </c>
      <c r="R166" s="4">
        <f t="shared" si="67"/>
        <v>11.82507656370157</v>
      </c>
      <c r="S166" s="12">
        <f t="shared" si="68"/>
        <v>22.487997918098092</v>
      </c>
      <c r="T166" s="20">
        <f>input!G165</f>
        <v>224.02</v>
      </c>
      <c r="U166" s="19">
        <f t="shared" si="69"/>
        <v>0.97252709686390137</v>
      </c>
      <c r="V166" s="19">
        <f t="shared" si="56"/>
        <v>0.96600526185463476</v>
      </c>
      <c r="W166" s="21">
        <v>1259</v>
      </c>
      <c r="X166" s="3">
        <f>W166/365+input!$K$3</f>
        <v>3.4493150684931506</v>
      </c>
      <c r="Y166" s="4">
        <f t="shared" si="70"/>
        <v>12.589299260865312</v>
      </c>
      <c r="Z166" s="12">
        <f t="shared" si="71"/>
        <v>27.135859395209948</v>
      </c>
      <c r="AA166" s="20">
        <f>input!H165</f>
        <v>0</v>
      </c>
      <c r="AB166" s="19">
        <f t="shared" si="72"/>
        <v>0.98197554006092014</v>
      </c>
      <c r="AC166" s="19">
        <f t="shared" si="73"/>
        <v>0.99519142618801715</v>
      </c>
      <c r="AD166" s="8">
        <f t="shared" si="74"/>
        <v>0</v>
      </c>
      <c r="AE166" s="8">
        <f t="shared" si="75"/>
        <v>180719.04862096053</v>
      </c>
      <c r="AF166" s="8">
        <f t="shared" si="76"/>
        <v>5037.7612936123351</v>
      </c>
      <c r="AG166" s="8">
        <f t="shared" si="77"/>
        <v>0</v>
      </c>
      <c r="AH166" s="8">
        <f t="shared" si="57"/>
        <v>0</v>
      </c>
      <c r="AI166" s="8">
        <f t="shared" si="58"/>
        <v>157205.41573826966</v>
      </c>
      <c r="AJ166" s="8">
        <f t="shared" si="78"/>
        <v>4899.3593655701361</v>
      </c>
      <c r="AK166" s="8">
        <f t="shared" si="79"/>
        <v>0</v>
      </c>
      <c r="AL166" s="8">
        <f t="shared" si="80"/>
        <v>0</v>
      </c>
      <c r="AM166" s="8">
        <f t="shared" si="81"/>
        <v>25138.126330098876</v>
      </c>
      <c r="AN166" s="8">
        <f t="shared" si="82"/>
        <v>4732.8069268575364</v>
      </c>
      <c r="AO166" s="8">
        <f t="shared" si="83"/>
        <v>0</v>
      </c>
    </row>
    <row r="167" spans="1:41">
      <c r="A167" s="1">
        <v>41894</v>
      </c>
      <c r="B167" s="5">
        <v>165</v>
      </c>
      <c r="C167" s="3">
        <f>B167/365+input!$K$3</f>
        <v>0.45205479452054792</v>
      </c>
      <c r="D167" s="4">
        <f t="shared" si="59"/>
        <v>2.1666625675524687</v>
      </c>
      <c r="E167" s="12">
        <f t="shared" si="60"/>
        <v>0.13832884451410893</v>
      </c>
      <c r="F167" s="20">
        <f>input!E166</f>
        <v>0</v>
      </c>
      <c r="G167" s="19">
        <f t="shared" si="61"/>
        <v>0</v>
      </c>
      <c r="H167" s="19">
        <f t="shared" si="62"/>
        <v>2.3754350834338049E-15</v>
      </c>
      <c r="I167" s="5">
        <v>530</v>
      </c>
      <c r="J167" s="3">
        <f>I167/365+input!$K$3</f>
        <v>1.452054794520548</v>
      </c>
      <c r="K167" s="4">
        <f t="shared" si="63"/>
        <v>9.0168096171837426</v>
      </c>
      <c r="L167" s="12">
        <f t="shared" si="64"/>
        <v>9.9700562446838426</v>
      </c>
      <c r="M167" s="20">
        <f>input!F166</f>
        <v>18145.63</v>
      </c>
      <c r="N167" s="19">
        <f t="shared" si="65"/>
        <v>0.87072196103917898</v>
      </c>
      <c r="O167" s="19">
        <f t="shared" si="66"/>
        <v>0.1627568735797045</v>
      </c>
      <c r="P167" s="21">
        <v>895</v>
      </c>
      <c r="Q167" s="3">
        <f>P167/365+input!$K$3</f>
        <v>2.452054794520548</v>
      </c>
      <c r="R167" s="4">
        <f t="shared" si="67"/>
        <v>11.829861910314333</v>
      </c>
      <c r="S167" s="12">
        <f t="shared" si="68"/>
        <v>22.515310152019662</v>
      </c>
      <c r="T167" s="20">
        <f>input!G166</f>
        <v>223.43</v>
      </c>
      <c r="U167" s="19">
        <f t="shared" si="69"/>
        <v>0.97259950580695154</v>
      </c>
      <c r="V167" s="19">
        <f t="shared" si="56"/>
        <v>0.96636470482610604</v>
      </c>
      <c r="W167" s="21">
        <v>1260</v>
      </c>
      <c r="X167" s="3">
        <f>W167/365+input!$K$3</f>
        <v>3.452054794520548</v>
      </c>
      <c r="Y167" s="4">
        <f t="shared" si="70"/>
        <v>12.589299260865312</v>
      </c>
      <c r="Z167" s="12">
        <f t="shared" si="71"/>
        <v>27.135859395209948</v>
      </c>
      <c r="AA167" s="20">
        <f>input!H166</f>
        <v>0</v>
      </c>
      <c r="AB167" s="19">
        <f t="shared" si="72"/>
        <v>0.98197554006092014</v>
      </c>
      <c r="AC167" s="19">
        <f t="shared" si="73"/>
        <v>0.99519142618801715</v>
      </c>
      <c r="AD167" s="8">
        <f t="shared" si="74"/>
        <v>0</v>
      </c>
      <c r="AE167" s="8">
        <f t="shared" si="75"/>
        <v>180912.95169522249</v>
      </c>
      <c r="AF167" s="8">
        <f t="shared" si="76"/>
        <v>5030.5957472657528</v>
      </c>
      <c r="AG167" s="8">
        <f t="shared" si="77"/>
        <v>0</v>
      </c>
      <c r="AH167" s="8">
        <f t="shared" si="57"/>
        <v>0</v>
      </c>
      <c r="AI167" s="8">
        <f t="shared" si="58"/>
        <v>157524.88007745039</v>
      </c>
      <c r="AJ167" s="8">
        <f t="shared" si="78"/>
        <v>4892.7549377052237</v>
      </c>
      <c r="AK167" s="8">
        <f t="shared" si="79"/>
        <v>0</v>
      </c>
      <c r="AL167" s="8">
        <f t="shared" si="80"/>
        <v>0</v>
      </c>
      <c r="AM167" s="8">
        <f t="shared" si="81"/>
        <v>25638.256992423707</v>
      </c>
      <c r="AN167" s="8">
        <f t="shared" si="82"/>
        <v>4728.1856811619809</v>
      </c>
      <c r="AO167" s="8">
        <f t="shared" si="83"/>
        <v>0</v>
      </c>
    </row>
    <row r="168" spans="1:41">
      <c r="A168" s="1">
        <v>41895</v>
      </c>
      <c r="B168" s="5">
        <v>166</v>
      </c>
      <c r="C168" s="3">
        <f>B168/365+input!$K$3</f>
        <v>0.45479452054794522</v>
      </c>
      <c r="D168" s="4">
        <f t="shared" si="59"/>
        <v>2.1949698783534113</v>
      </c>
      <c r="E168" s="12">
        <f t="shared" si="60"/>
        <v>0.14382176120592574</v>
      </c>
      <c r="F168" s="20">
        <f>input!E167</f>
        <v>0</v>
      </c>
      <c r="G168" s="19">
        <f t="shared" si="61"/>
        <v>0</v>
      </c>
      <c r="H168" s="19">
        <f t="shared" si="62"/>
        <v>2.9743667608318574E-15</v>
      </c>
      <c r="I168" s="5">
        <v>531</v>
      </c>
      <c r="J168" s="3">
        <f>I168/365+input!$K$3</f>
        <v>1.4547945205479451</v>
      </c>
      <c r="K168" s="4">
        <f t="shared" si="63"/>
        <v>9.0284341772090997</v>
      </c>
      <c r="L168" s="12">
        <f t="shared" si="64"/>
        <v>10.008666463586016</v>
      </c>
      <c r="M168" s="20">
        <f>input!F167</f>
        <v>17883.2</v>
      </c>
      <c r="N168" s="19">
        <f t="shared" si="65"/>
        <v>0.87154810761272827</v>
      </c>
      <c r="O168" s="19">
        <f t="shared" si="66"/>
        <v>0.16563329609690516</v>
      </c>
      <c r="P168" s="21">
        <v>896</v>
      </c>
      <c r="Q168" s="3">
        <f>P168/365+input!$K$3</f>
        <v>2.4547945205479453</v>
      </c>
      <c r="R168" s="4">
        <f t="shared" si="67"/>
        <v>11.834635602761962</v>
      </c>
      <c r="S168" s="12">
        <f t="shared" si="68"/>
        <v>22.542577894732005</v>
      </c>
      <c r="T168" s="20">
        <f>input!G167</f>
        <v>220.9</v>
      </c>
      <c r="U168" s="19">
        <f t="shared" si="69"/>
        <v>0.97267154825789448</v>
      </c>
      <c r="V168" s="19">
        <f t="shared" si="56"/>
        <v>0.96672015011360612</v>
      </c>
      <c r="W168" s="21">
        <v>1261</v>
      </c>
      <c r="X168" s="3">
        <f>W168/365+input!$K$3</f>
        <v>3.4547945205479453</v>
      </c>
      <c r="Y168" s="4">
        <f t="shared" si="70"/>
        <v>12.589299260865312</v>
      </c>
      <c r="Z168" s="12">
        <f t="shared" si="71"/>
        <v>27.135859395209948</v>
      </c>
      <c r="AA168" s="20">
        <f>input!H167</f>
        <v>0</v>
      </c>
      <c r="AB168" s="19">
        <f t="shared" si="72"/>
        <v>0.98197554006092014</v>
      </c>
      <c r="AC168" s="19">
        <f t="shared" si="73"/>
        <v>0.99519142618801715</v>
      </c>
      <c r="AD168" s="8">
        <f t="shared" si="74"/>
        <v>0</v>
      </c>
      <c r="AE168" s="8">
        <f t="shared" si="75"/>
        <v>178986.98410160144</v>
      </c>
      <c r="AF168" s="8">
        <f t="shared" si="76"/>
        <v>4979.6554569463005</v>
      </c>
      <c r="AG168" s="8">
        <f t="shared" si="77"/>
        <v>0</v>
      </c>
      <c r="AH168" s="8">
        <f t="shared" si="57"/>
        <v>0</v>
      </c>
      <c r="AI168" s="8">
        <f t="shared" si="58"/>
        <v>155995.76728106022</v>
      </c>
      <c r="AJ168" s="8">
        <f t="shared" si="78"/>
        <v>4843.5691830988308</v>
      </c>
      <c r="AK168" s="8">
        <f t="shared" si="79"/>
        <v>0</v>
      </c>
      <c r="AL168" s="8">
        <f t="shared" si="80"/>
        <v>0</v>
      </c>
      <c r="AM168" s="8">
        <f t="shared" si="81"/>
        <v>25838.093111927759</v>
      </c>
      <c r="AN168" s="8">
        <f t="shared" si="82"/>
        <v>4682.3759277709387</v>
      </c>
      <c r="AO168" s="8">
        <f t="shared" si="83"/>
        <v>0</v>
      </c>
    </row>
    <row r="169" spans="1:41">
      <c r="A169" s="1">
        <v>41896</v>
      </c>
      <c r="B169" s="5">
        <v>167</v>
      </c>
      <c r="C169" s="3">
        <f>B169/365+input!$K$3</f>
        <v>0.45753424657534247</v>
      </c>
      <c r="D169" s="4">
        <f t="shared" si="59"/>
        <v>2.2232082499319117</v>
      </c>
      <c r="E169" s="12">
        <f t="shared" si="60"/>
        <v>0.14944429632562739</v>
      </c>
      <c r="F169" s="20">
        <f>input!E168</f>
        <v>0</v>
      </c>
      <c r="G169" s="19">
        <f t="shared" si="61"/>
        <v>0</v>
      </c>
      <c r="H169" s="19">
        <f t="shared" si="62"/>
        <v>3.7193454610629956E-15</v>
      </c>
      <c r="I169" s="5">
        <v>532</v>
      </c>
      <c r="J169" s="3">
        <f>I169/365+input!$K$3</f>
        <v>1.4575342465753425</v>
      </c>
      <c r="K169" s="4">
        <f t="shared" si="63"/>
        <v>9.0400304269461689</v>
      </c>
      <c r="L169" s="12">
        <f t="shared" si="64"/>
        <v>10.047281841521405</v>
      </c>
      <c r="M169" s="20">
        <f>input!F168</f>
        <v>17816.82</v>
      </c>
      <c r="N169" s="19">
        <f t="shared" si="65"/>
        <v>0.87236698198452145</v>
      </c>
      <c r="O169" s="19">
        <f t="shared" si="66"/>
        <v>0.16853526434748464</v>
      </c>
      <c r="P169" s="21">
        <v>897</v>
      </c>
      <c r="Q169" s="3">
        <f>P169/365+input!$K$3</f>
        <v>2.4575342465753423</v>
      </c>
      <c r="R169" s="4">
        <f t="shared" si="67"/>
        <v>11.839397669426843</v>
      </c>
      <c r="S169" s="12">
        <f t="shared" si="68"/>
        <v>22.569801156286477</v>
      </c>
      <c r="T169" s="20">
        <f>input!G168</f>
        <v>219.88</v>
      </c>
      <c r="U169" s="19">
        <f t="shared" si="69"/>
        <v>0.97274322653183642</v>
      </c>
      <c r="V169" s="19">
        <f t="shared" si="56"/>
        <v>0.96707164166538639</v>
      </c>
      <c r="W169" s="21">
        <v>1262</v>
      </c>
      <c r="X169" s="3">
        <f>W169/365+input!$K$3</f>
        <v>3.4575342465753423</v>
      </c>
      <c r="Y169" s="4">
        <f t="shared" si="70"/>
        <v>12.589299260865312</v>
      </c>
      <c r="Z169" s="12">
        <f t="shared" si="71"/>
        <v>27.135859395209948</v>
      </c>
      <c r="AA169" s="20">
        <f>input!H168</f>
        <v>0</v>
      </c>
      <c r="AB169" s="19">
        <f t="shared" si="72"/>
        <v>0.98197554006092014</v>
      </c>
      <c r="AC169" s="19">
        <f t="shared" si="73"/>
        <v>0.99519142618801715</v>
      </c>
      <c r="AD169" s="8">
        <f t="shared" si="74"/>
        <v>0</v>
      </c>
      <c r="AE169" s="8">
        <f t="shared" si="75"/>
        <v>179010.6120596554</v>
      </c>
      <c r="AF169" s="8">
        <f t="shared" si="76"/>
        <v>4962.64787824427</v>
      </c>
      <c r="AG169" s="8">
        <f t="shared" si="77"/>
        <v>0</v>
      </c>
      <c r="AH169" s="8">
        <f t="shared" si="57"/>
        <v>0</v>
      </c>
      <c r="AI169" s="8">
        <f t="shared" si="58"/>
        <v>156162.94738568357</v>
      </c>
      <c r="AJ169" s="8">
        <f t="shared" si="78"/>
        <v>4827.3821092247035</v>
      </c>
      <c r="AK169" s="8">
        <f t="shared" si="79"/>
        <v>0</v>
      </c>
      <c r="AL169" s="8">
        <f t="shared" si="80"/>
        <v>0</v>
      </c>
      <c r="AM169" s="8">
        <f t="shared" si="81"/>
        <v>26318.963618928516</v>
      </c>
      <c r="AN169" s="8">
        <f t="shared" si="82"/>
        <v>4668.4243413140493</v>
      </c>
      <c r="AO169" s="8">
        <f t="shared" si="83"/>
        <v>0</v>
      </c>
    </row>
    <row r="170" spans="1:41">
      <c r="A170" s="1">
        <v>41897</v>
      </c>
      <c r="B170" s="5">
        <v>168</v>
      </c>
      <c r="C170" s="3">
        <f>B170/365+input!$K$3</f>
        <v>0.46027397260273972</v>
      </c>
      <c r="D170" s="4">
        <f t="shared" si="59"/>
        <v>2.2513778501815702</v>
      </c>
      <c r="E170" s="12">
        <f t="shared" si="60"/>
        <v>0.15519726927022739</v>
      </c>
      <c r="F170" s="20">
        <f>input!E169</f>
        <v>0</v>
      </c>
      <c r="G170" s="19">
        <f t="shared" si="61"/>
        <v>0</v>
      </c>
      <c r="H170" s="19">
        <f t="shared" si="62"/>
        <v>4.6447492291055648E-15</v>
      </c>
      <c r="I170" s="5">
        <v>533</v>
      </c>
      <c r="J170" s="3">
        <f>I170/365+input!$K$3</f>
        <v>1.4602739726027398</v>
      </c>
      <c r="K170" s="4">
        <f t="shared" si="63"/>
        <v>9.0515984353414254</v>
      </c>
      <c r="L170" s="12">
        <f t="shared" si="64"/>
        <v>10.085902010164579</v>
      </c>
      <c r="M170" s="20">
        <f>input!F169</f>
        <v>17550.18</v>
      </c>
      <c r="N170" s="19">
        <f t="shared" si="65"/>
        <v>0.87317866082591855</v>
      </c>
      <c r="O170" s="19">
        <f t="shared" si="66"/>
        <v>0.17146253159803726</v>
      </c>
      <c r="P170" s="21">
        <v>898</v>
      </c>
      <c r="Q170" s="3">
        <f>P170/365+input!$K$3</f>
        <v>2.4602739726027396</v>
      </c>
      <c r="R170" s="4">
        <f t="shared" si="67"/>
        <v>11.844148138622241</v>
      </c>
      <c r="S170" s="12">
        <f t="shared" si="68"/>
        <v>22.596979947123732</v>
      </c>
      <c r="T170" s="20">
        <f>input!G169</f>
        <v>217.37</v>
      </c>
      <c r="U170" s="19">
        <f t="shared" si="69"/>
        <v>0.9728145429264019</v>
      </c>
      <c r="V170" s="19">
        <f t="shared" si="56"/>
        <v>0.96741922299205929</v>
      </c>
      <c r="W170" s="21">
        <v>1263</v>
      </c>
      <c r="X170" s="3">
        <f>W170/365+input!$K$3</f>
        <v>3.4602739726027396</v>
      </c>
      <c r="Y170" s="4">
        <f t="shared" si="70"/>
        <v>12.589299260865312</v>
      </c>
      <c r="Z170" s="12">
        <f t="shared" si="71"/>
        <v>27.135859395209948</v>
      </c>
      <c r="AA170" s="20">
        <f>input!H169</f>
        <v>0</v>
      </c>
      <c r="AB170" s="19">
        <f t="shared" si="72"/>
        <v>0.98197554006092014</v>
      </c>
      <c r="AC170" s="19">
        <f t="shared" si="73"/>
        <v>0.99519142618801715</v>
      </c>
      <c r="AD170" s="8">
        <f t="shared" si="74"/>
        <v>0</v>
      </c>
      <c r="AE170" s="8">
        <f t="shared" si="75"/>
        <v>177009.39574075019</v>
      </c>
      <c r="AF170" s="8">
        <f t="shared" si="76"/>
        <v>4911.9055311062857</v>
      </c>
      <c r="AG170" s="8">
        <f t="shared" si="77"/>
        <v>0</v>
      </c>
      <c r="AH170" s="8">
        <f t="shared" si="57"/>
        <v>0</v>
      </c>
      <c r="AI170" s="8">
        <f t="shared" si="58"/>
        <v>154560.82712651329</v>
      </c>
      <c r="AJ170" s="8">
        <f t="shared" si="78"/>
        <v>4778.3731341408266</v>
      </c>
      <c r="AK170" s="8">
        <f t="shared" si="79"/>
        <v>0</v>
      </c>
      <c r="AL170" s="8">
        <f t="shared" si="80"/>
        <v>0</v>
      </c>
      <c r="AM170" s="8">
        <f t="shared" si="81"/>
        <v>26501.390704998561</v>
      </c>
      <c r="AN170" s="8">
        <f t="shared" si="82"/>
        <v>4622.6900245966499</v>
      </c>
      <c r="AO170" s="8">
        <f t="shared" si="83"/>
        <v>0</v>
      </c>
    </row>
    <row r="171" spans="1:41">
      <c r="A171" s="1">
        <v>41898</v>
      </c>
      <c r="B171" s="5">
        <v>169</v>
      </c>
      <c r="C171" s="3">
        <f>B171/365+input!$K$3</f>
        <v>0.46301369863013697</v>
      </c>
      <c r="D171" s="4">
        <f t="shared" si="59"/>
        <v>2.2794788465871063</v>
      </c>
      <c r="E171" s="12">
        <f t="shared" si="60"/>
        <v>0.16108147857629046</v>
      </c>
      <c r="F171" s="20">
        <f>input!E170</f>
        <v>0</v>
      </c>
      <c r="G171" s="19">
        <f t="shared" si="61"/>
        <v>0</v>
      </c>
      <c r="H171" s="19">
        <f t="shared" si="62"/>
        <v>5.7927511064890995E-15</v>
      </c>
      <c r="I171" s="5">
        <v>534</v>
      </c>
      <c r="J171" s="3">
        <f>I171/365+input!$K$3</f>
        <v>1.463013698630137</v>
      </c>
      <c r="K171" s="4">
        <f t="shared" si="63"/>
        <v>9.0631382711734325</v>
      </c>
      <c r="L171" s="12">
        <f t="shared" si="64"/>
        <v>10.124526602893811</v>
      </c>
      <c r="M171" s="20">
        <f>input!F170</f>
        <v>17495.55</v>
      </c>
      <c r="N171" s="19">
        <f t="shared" si="65"/>
        <v>0.87398321988057215</v>
      </c>
      <c r="O171" s="19">
        <f t="shared" si="66"/>
        <v>0.17441484383557945</v>
      </c>
      <c r="P171" s="21">
        <v>899</v>
      </c>
      <c r="Q171" s="3">
        <f>P171/365+input!$K$3</f>
        <v>2.463013698630137</v>
      </c>
      <c r="R171" s="4">
        <f t="shared" si="67"/>
        <v>11.848887038592473</v>
      </c>
      <c r="S171" s="12">
        <f t="shared" si="68"/>
        <v>22.624114278071215</v>
      </c>
      <c r="T171" s="20">
        <f>input!G170</f>
        <v>216.67</v>
      </c>
      <c r="U171" s="19">
        <f t="shared" si="69"/>
        <v>0.97288549972188565</v>
      </c>
      <c r="V171" s="19">
        <f t="shared" si="56"/>
        <v>0.9677629371696701</v>
      </c>
      <c r="W171" s="21">
        <v>1264</v>
      </c>
      <c r="X171" s="3">
        <f>W171/365+input!$K$3</f>
        <v>3.463013698630137</v>
      </c>
      <c r="Y171" s="4">
        <f t="shared" si="70"/>
        <v>12.589299260865312</v>
      </c>
      <c r="Z171" s="12">
        <f t="shared" si="71"/>
        <v>27.135859395209948</v>
      </c>
      <c r="AA171" s="20">
        <f>input!H170</f>
        <v>0</v>
      </c>
      <c r="AB171" s="19">
        <f t="shared" si="72"/>
        <v>0.98197554006092014</v>
      </c>
      <c r="AC171" s="19">
        <f t="shared" si="73"/>
        <v>0.99519142618801715</v>
      </c>
      <c r="AD171" s="8">
        <f t="shared" si="74"/>
        <v>0</v>
      </c>
      <c r="AE171" s="8">
        <f t="shared" si="75"/>
        <v>177134.1614072588</v>
      </c>
      <c r="AF171" s="8">
        <f t="shared" si="76"/>
        <v>4901.9668406296896</v>
      </c>
      <c r="AG171" s="8">
        <f t="shared" si="77"/>
        <v>0</v>
      </c>
      <c r="AH171" s="8">
        <f t="shared" si="57"/>
        <v>0</v>
      </c>
      <c r="AI171" s="8">
        <f t="shared" si="58"/>
        <v>154812.28473756101</v>
      </c>
      <c r="AJ171" s="8">
        <f t="shared" si="78"/>
        <v>4769.0524593661285</v>
      </c>
      <c r="AK171" s="8">
        <f t="shared" si="79"/>
        <v>0</v>
      </c>
      <c r="AL171" s="8">
        <f t="shared" si="80"/>
        <v>0</v>
      </c>
      <c r="AM171" s="8">
        <f t="shared" si="81"/>
        <v>27001.560466330964</v>
      </c>
      <c r="AN171" s="8">
        <f t="shared" si="82"/>
        <v>4615.3122155924029</v>
      </c>
      <c r="AO171" s="8">
        <f t="shared" si="83"/>
        <v>0</v>
      </c>
    </row>
    <row r="172" spans="1:41">
      <c r="A172" s="1">
        <v>41899</v>
      </c>
      <c r="B172" s="5">
        <v>170</v>
      </c>
      <c r="C172" s="3">
        <f>B172/365+input!$K$3</f>
        <v>0.46575342465753422</v>
      </c>
      <c r="D172" s="4">
        <f t="shared" si="59"/>
        <v>2.307511406225347</v>
      </c>
      <c r="E172" s="12">
        <f t="shared" si="60"/>
        <v>0.16709770215975778</v>
      </c>
      <c r="F172" s="20">
        <f>input!E171</f>
        <v>0</v>
      </c>
      <c r="G172" s="19">
        <f t="shared" si="61"/>
        <v>0</v>
      </c>
      <c r="H172" s="19">
        <f t="shared" si="62"/>
        <v>7.2150174620977917E-15</v>
      </c>
      <c r="I172" s="5">
        <v>535</v>
      </c>
      <c r="J172" s="3">
        <f>I172/365+input!$K$3</f>
        <v>1.4657534246575343</v>
      </c>
      <c r="K172" s="4">
        <f t="shared" si="63"/>
        <v>9.0746500030532484</v>
      </c>
      <c r="L172" s="12">
        <f t="shared" si="64"/>
        <v>10.163155254789725</v>
      </c>
      <c r="M172" s="20">
        <f>input!F171</f>
        <v>17242.72</v>
      </c>
      <c r="N172" s="19">
        <f t="shared" si="65"/>
        <v>0.87478073397697687</v>
      </c>
      <c r="O172" s="19">
        <f t="shared" si="66"/>
        <v>0.17739193989004251</v>
      </c>
      <c r="P172" s="21">
        <v>900</v>
      </c>
      <c r="Q172" s="3">
        <f>P172/365+input!$K$3</f>
        <v>2.4657534246575343</v>
      </c>
      <c r="R172" s="4">
        <f t="shared" si="67"/>
        <v>11.853614397513063</v>
      </c>
      <c r="S172" s="12">
        <f t="shared" si="68"/>
        <v>22.651204160340679</v>
      </c>
      <c r="T172" s="20">
        <f>input!G171</f>
        <v>214.43</v>
      </c>
      <c r="U172" s="19">
        <f t="shared" si="69"/>
        <v>0.97295609918140336</v>
      </c>
      <c r="V172" s="19">
        <f t="shared" si="56"/>
        <v>0.96810282684278071</v>
      </c>
      <c r="W172" s="21">
        <v>1265</v>
      </c>
      <c r="X172" s="3">
        <f>W172/365+input!$K$3</f>
        <v>3.4657534246575343</v>
      </c>
      <c r="Y172" s="4">
        <f t="shared" si="70"/>
        <v>12.589299260865312</v>
      </c>
      <c r="Z172" s="12">
        <f t="shared" si="71"/>
        <v>27.135859395209948</v>
      </c>
      <c r="AA172" s="20">
        <f>input!H171</f>
        <v>0</v>
      </c>
      <c r="AB172" s="19">
        <f t="shared" si="72"/>
        <v>0.98197554006092014</v>
      </c>
      <c r="AC172" s="19">
        <f t="shared" si="73"/>
        <v>0.99519142618801715</v>
      </c>
      <c r="AD172" s="8">
        <f t="shared" si="74"/>
        <v>0</v>
      </c>
      <c r="AE172" s="8">
        <f t="shared" si="75"/>
        <v>175240.4403748679</v>
      </c>
      <c r="AF172" s="8">
        <f t="shared" si="76"/>
        <v>4857.0977081018518</v>
      </c>
      <c r="AG172" s="8">
        <f t="shared" si="77"/>
        <v>0</v>
      </c>
      <c r="AH172" s="8">
        <f t="shared" si="57"/>
        <v>0</v>
      </c>
      <c r="AI172" s="8">
        <f t="shared" si="58"/>
        <v>153296.96105357559</v>
      </c>
      <c r="AJ172" s="8">
        <f t="shared" si="78"/>
        <v>4725.7428394177123</v>
      </c>
      <c r="AK172" s="8">
        <f t="shared" si="79"/>
        <v>0</v>
      </c>
      <c r="AL172" s="8">
        <f t="shared" si="80"/>
        <v>0</v>
      </c>
      <c r="AM172" s="8">
        <f t="shared" si="81"/>
        <v>27193.64530054207</v>
      </c>
      <c r="AN172" s="8">
        <f t="shared" si="82"/>
        <v>4575.0050017723161</v>
      </c>
      <c r="AO172" s="8">
        <f t="shared" si="83"/>
        <v>0</v>
      </c>
    </row>
    <row r="173" spans="1:41">
      <c r="A173" s="1">
        <v>41900</v>
      </c>
      <c r="B173" s="5">
        <v>171</v>
      </c>
      <c r="C173" s="3">
        <f>B173/365+input!$K$3</f>
        <v>0.46849315068493153</v>
      </c>
      <c r="D173" s="4">
        <f t="shared" si="59"/>
        <v>2.3354756957662235</v>
      </c>
      <c r="E173" s="12">
        <f t="shared" si="60"/>
        <v>0.1732466975535617</v>
      </c>
      <c r="F173" s="20">
        <f>input!E172</f>
        <v>0</v>
      </c>
      <c r="G173" s="19">
        <f t="shared" si="61"/>
        <v>0</v>
      </c>
      <c r="H173" s="19">
        <f t="shared" si="62"/>
        <v>8.9747608402321663E-15</v>
      </c>
      <c r="I173" s="5">
        <v>536</v>
      </c>
      <c r="J173" s="3">
        <f>I173/365+input!$K$3</f>
        <v>1.4684931506849315</v>
      </c>
      <c r="K173" s="4">
        <f t="shared" si="63"/>
        <v>9.0861336994248418</v>
      </c>
      <c r="L173" s="12">
        <f t="shared" si="64"/>
        <v>10.201787602633932</v>
      </c>
      <c r="M173" s="20">
        <f>input!F172</f>
        <v>17193.03</v>
      </c>
      <c r="N173" s="19">
        <f t="shared" si="65"/>
        <v>0.87557127704083315</v>
      </c>
      <c r="O173" s="19">
        <f t="shared" si="66"/>
        <v>0.18039355156031739</v>
      </c>
      <c r="P173" s="21">
        <v>901</v>
      </c>
      <c r="Q173" s="3">
        <f>P173/365+input!$K$3</f>
        <v>2.4684931506849317</v>
      </c>
      <c r="R173" s="4">
        <f t="shared" si="67"/>
        <v>11.858330243490917</v>
      </c>
      <c r="S173" s="12">
        <f t="shared" si="68"/>
        <v>22.678249605525696</v>
      </c>
      <c r="T173" s="20">
        <f>input!G172</f>
        <v>213.88</v>
      </c>
      <c r="U173" s="19">
        <f t="shared" si="69"/>
        <v>0.97302634355104045</v>
      </c>
      <c r="V173" s="19">
        <f t="shared" si="56"/>
        <v>0.96843893422756366</v>
      </c>
      <c r="W173" s="21">
        <v>1266</v>
      </c>
      <c r="X173" s="3">
        <f>W173/365+input!$K$3</f>
        <v>3.4684931506849317</v>
      </c>
      <c r="Y173" s="4">
        <f t="shared" si="70"/>
        <v>12.589299260865312</v>
      </c>
      <c r="Z173" s="12">
        <f t="shared" si="71"/>
        <v>27.135859395209948</v>
      </c>
      <c r="AA173" s="20">
        <f>input!H172</f>
        <v>0</v>
      </c>
      <c r="AB173" s="19">
        <f t="shared" si="72"/>
        <v>0.98197554006092014</v>
      </c>
      <c r="AC173" s="19">
        <f t="shared" si="73"/>
        <v>0.99519142618801715</v>
      </c>
      <c r="AD173" s="8">
        <f t="shared" si="74"/>
        <v>0</v>
      </c>
      <c r="AE173" s="8">
        <f t="shared" si="75"/>
        <v>175399.64030571326</v>
      </c>
      <c r="AF173" s="8">
        <f t="shared" si="76"/>
        <v>4850.4240256298363</v>
      </c>
      <c r="AG173" s="8">
        <f t="shared" si="77"/>
        <v>0</v>
      </c>
      <c r="AH173" s="8">
        <f t="shared" si="57"/>
        <v>0</v>
      </c>
      <c r="AI173" s="8">
        <f t="shared" si="58"/>
        <v>153574.88705497613</v>
      </c>
      <c r="AJ173" s="8">
        <f t="shared" si="78"/>
        <v>4719.5903543307177</v>
      </c>
      <c r="AK173" s="8">
        <f t="shared" si="79"/>
        <v>0</v>
      </c>
      <c r="AL173" s="8">
        <f t="shared" si="80"/>
        <v>0</v>
      </c>
      <c r="AM173" s="8">
        <f t="shared" si="81"/>
        <v>27703.919306321757</v>
      </c>
      <c r="AN173" s="8">
        <f t="shared" si="82"/>
        <v>4570.6350527387294</v>
      </c>
      <c r="AO173" s="8">
        <f t="shared" si="83"/>
        <v>0</v>
      </c>
    </row>
    <row r="174" spans="1:41">
      <c r="A174" s="1">
        <v>41901</v>
      </c>
      <c r="B174" s="5">
        <v>172</v>
      </c>
      <c r="C174" s="3">
        <f>B174/365+input!$K$3</f>
        <v>0.47123287671232877</v>
      </c>
      <c r="D174" s="4">
        <f t="shared" si="59"/>
        <v>2.3633718814737561</v>
      </c>
      <c r="E174" s="12">
        <f t="shared" si="60"/>
        <v>0.17952920214304496</v>
      </c>
      <c r="F174" s="20">
        <f>input!E173</f>
        <v>0</v>
      </c>
      <c r="G174" s="19">
        <f t="shared" si="61"/>
        <v>0</v>
      </c>
      <c r="H174" s="19">
        <f t="shared" si="62"/>
        <v>1.1149217982647656E-14</v>
      </c>
      <c r="I174" s="5">
        <v>537</v>
      </c>
      <c r="J174" s="3">
        <f>I174/365+input!$K$3</f>
        <v>1.4712328767123288</v>
      </c>
      <c r="K174" s="4">
        <f t="shared" si="63"/>
        <v>9.0975894285654881</v>
      </c>
      <c r="L174" s="12">
        <f t="shared" si="64"/>
        <v>10.240423284907537</v>
      </c>
      <c r="M174" s="20">
        <f>input!F173</f>
        <v>16931.45</v>
      </c>
      <c r="N174" s="19">
        <f t="shared" si="65"/>
        <v>0.87635492210722665</v>
      </c>
      <c r="O174" s="19">
        <f t="shared" si="66"/>
        <v>0.18341940374371762</v>
      </c>
      <c r="P174" s="21">
        <v>902</v>
      </c>
      <c r="Q174" s="3">
        <f>P174/365+input!$K$3</f>
        <v>2.4712328767123286</v>
      </c>
      <c r="R174" s="4">
        <f t="shared" si="67"/>
        <v>11.863034604564495</v>
      </c>
      <c r="S174" s="12">
        <f t="shared" si="68"/>
        <v>22.705250625599263</v>
      </c>
      <c r="T174" s="20">
        <f>input!G173</f>
        <v>211.53</v>
      </c>
      <c r="U174" s="19">
        <f t="shared" si="69"/>
        <v>0.97309623506000009</v>
      </c>
      <c r="V174" s="19">
        <f t="shared" si="56"/>
        <v>0.96877130111490684</v>
      </c>
      <c r="W174" s="21">
        <v>1267</v>
      </c>
      <c r="X174" s="3">
        <f>W174/365+input!$K$3</f>
        <v>3.4712328767123286</v>
      </c>
      <c r="Y174" s="4">
        <f t="shared" si="70"/>
        <v>12.589299260865312</v>
      </c>
      <c r="Z174" s="12">
        <f t="shared" si="71"/>
        <v>27.135859395209948</v>
      </c>
      <c r="AA174" s="20">
        <f>input!H173</f>
        <v>0</v>
      </c>
      <c r="AB174" s="19">
        <f t="shared" si="72"/>
        <v>0.98197554006092014</v>
      </c>
      <c r="AC174" s="19">
        <f t="shared" si="73"/>
        <v>0.99519142618801715</v>
      </c>
      <c r="AD174" s="8">
        <f t="shared" si="74"/>
        <v>0</v>
      </c>
      <c r="AE174" s="8">
        <f t="shared" si="75"/>
        <v>173385.21482724772</v>
      </c>
      <c r="AF174" s="8">
        <f t="shared" si="76"/>
        <v>4802.8416648330121</v>
      </c>
      <c r="AG174" s="8">
        <f t="shared" si="77"/>
        <v>0</v>
      </c>
      <c r="AH174" s="8">
        <f t="shared" si="57"/>
        <v>0</v>
      </c>
      <c r="AI174" s="8">
        <f t="shared" si="58"/>
        <v>151946.98643447744</v>
      </c>
      <c r="AJ174" s="8">
        <f t="shared" si="78"/>
        <v>4673.627141638307</v>
      </c>
      <c r="AK174" s="8">
        <f t="shared" si="79"/>
        <v>0</v>
      </c>
      <c r="AL174" s="8">
        <f t="shared" si="80"/>
        <v>0</v>
      </c>
      <c r="AM174" s="8">
        <f t="shared" si="81"/>
        <v>27870.025652466604</v>
      </c>
      <c r="AN174" s="8">
        <f t="shared" si="82"/>
        <v>4527.6758469308852</v>
      </c>
      <c r="AO174" s="8">
        <f t="shared" si="83"/>
        <v>0</v>
      </c>
    </row>
    <row r="175" spans="1:41">
      <c r="A175" s="1">
        <v>41902</v>
      </c>
      <c r="B175" s="5">
        <v>173</v>
      </c>
      <c r="C175" s="3">
        <f>B175/365+input!$K$3</f>
        <v>0.47397260273972602</v>
      </c>
      <c r="D175" s="4">
        <f t="shared" si="59"/>
        <v>2.3912001292070584</v>
      </c>
      <c r="E175" s="12">
        <f t="shared" si="60"/>
        <v>0.18594593339920862</v>
      </c>
      <c r="F175" s="20">
        <f>input!E174</f>
        <v>0</v>
      </c>
      <c r="G175" s="19">
        <f t="shared" si="61"/>
        <v>0</v>
      </c>
      <c r="H175" s="19">
        <f t="shared" si="62"/>
        <v>1.3832637069906693E-14</v>
      </c>
      <c r="I175" s="5">
        <v>538</v>
      </c>
      <c r="J175" s="3">
        <f>I175/365+input!$K$3</f>
        <v>1.473972602739726</v>
      </c>
      <c r="K175" s="4">
        <f t="shared" si="63"/>
        <v>9.1090172585861851</v>
      </c>
      <c r="L175" s="12">
        <f t="shared" si="64"/>
        <v>10.279061941789655</v>
      </c>
      <c r="M175" s="20">
        <f>input!F174</f>
        <v>16879.37</v>
      </c>
      <c r="N175" s="19">
        <f t="shared" si="65"/>
        <v>0.8771317413326275</v>
      </c>
      <c r="O175" s="19">
        <f t="shared" si="66"/>
        <v>0.18646921456874088</v>
      </c>
      <c r="P175" s="21">
        <v>903</v>
      </c>
      <c r="Q175" s="3">
        <f>P175/365+input!$K$3</f>
        <v>2.473972602739726</v>
      </c>
      <c r="R175" s="4">
        <f t="shared" si="67"/>
        <v>11.867727508703972</v>
      </c>
      <c r="S175" s="12">
        <f t="shared" si="68"/>
        <v>22.732207232911275</v>
      </c>
      <c r="T175" s="20">
        <f>input!G174</f>
        <v>210.92</v>
      </c>
      <c r="U175" s="19">
        <f t="shared" si="69"/>
        <v>0.97316577592074904</v>
      </c>
      <c r="V175" s="19">
        <f t="shared" si="56"/>
        <v>0.96909996887352468</v>
      </c>
      <c r="W175" s="21">
        <v>1268</v>
      </c>
      <c r="X175" s="3">
        <f>W175/365+input!$K$3</f>
        <v>3.473972602739726</v>
      </c>
      <c r="Y175" s="4">
        <f t="shared" si="70"/>
        <v>12.589299260865312</v>
      </c>
      <c r="Z175" s="12">
        <f t="shared" si="71"/>
        <v>27.135859395209948</v>
      </c>
      <c r="AA175" s="20">
        <f>input!H174</f>
        <v>0</v>
      </c>
      <c r="AB175" s="19">
        <f t="shared" si="72"/>
        <v>0.98197554006092014</v>
      </c>
      <c r="AC175" s="19">
        <f t="shared" si="73"/>
        <v>0.99519142618801715</v>
      </c>
      <c r="AD175" s="8">
        <f t="shared" si="74"/>
        <v>0</v>
      </c>
      <c r="AE175" s="8">
        <f t="shared" si="75"/>
        <v>173504.08976838604</v>
      </c>
      <c r="AF175" s="8">
        <f t="shared" si="76"/>
        <v>4794.6771495656458</v>
      </c>
      <c r="AG175" s="8">
        <f t="shared" si="77"/>
        <v>0</v>
      </c>
      <c r="AH175" s="8">
        <f t="shared" si="57"/>
        <v>0</v>
      </c>
      <c r="AI175" s="8">
        <f t="shared" si="58"/>
        <v>152185.94438687697</v>
      </c>
      <c r="AJ175" s="8">
        <f t="shared" si="78"/>
        <v>4666.0157085465371</v>
      </c>
      <c r="AK175" s="8">
        <f t="shared" si="79"/>
        <v>0</v>
      </c>
      <c r="AL175" s="8">
        <f t="shared" si="80"/>
        <v>0</v>
      </c>
      <c r="AM175" s="8">
        <f t="shared" si="81"/>
        <v>28377.993518223029</v>
      </c>
      <c r="AN175" s="8">
        <f t="shared" si="82"/>
        <v>4521.8356779158266</v>
      </c>
      <c r="AO175" s="8">
        <f t="shared" si="83"/>
        <v>0</v>
      </c>
    </row>
    <row r="176" spans="1:41">
      <c r="A176" s="1">
        <v>41903</v>
      </c>
      <c r="B176" s="5">
        <v>174</v>
      </c>
      <c r="C176" s="3">
        <f>B176/365+input!$K$3</f>
        <v>0.47671232876712327</v>
      </c>
      <c r="D176" s="4">
        <f t="shared" si="59"/>
        <v>2.418960604421303</v>
      </c>
      <c r="E176" s="12">
        <f t="shared" si="60"/>
        <v>0.19249758910979473</v>
      </c>
      <c r="F176" s="20">
        <f>input!E175</f>
        <v>0</v>
      </c>
      <c r="G176" s="19">
        <f t="shared" si="61"/>
        <v>0</v>
      </c>
      <c r="H176" s="19">
        <f t="shared" si="62"/>
        <v>1.7139874015347447E-14</v>
      </c>
      <c r="I176" s="5">
        <v>539</v>
      </c>
      <c r="J176" s="3">
        <f>I176/365+input!$K$3</f>
        <v>1.4767123287671233</v>
      </c>
      <c r="K176" s="4">
        <f t="shared" si="63"/>
        <v>9.1204172574320559</v>
      </c>
      <c r="L176" s="12">
        <f t="shared" si="64"/>
        <v>10.317703215155818</v>
      </c>
      <c r="M176" s="20">
        <f>input!F175</f>
        <v>16633.259999999998</v>
      </c>
      <c r="N176" s="19">
        <f t="shared" si="65"/>
        <v>0.87790180600671197</v>
      </c>
      <c r="O176" s="19">
        <f t="shared" si="66"/>
        <v>0.18954269553099298</v>
      </c>
      <c r="P176" s="21">
        <v>904</v>
      </c>
      <c r="Q176" s="3">
        <f>P176/365+input!$K$3</f>
        <v>2.4767123287671233</v>
      </c>
      <c r="R176" s="4">
        <f t="shared" si="67"/>
        <v>11.872408983811399</v>
      </c>
      <c r="S176" s="12">
        <f t="shared" si="68"/>
        <v>22.759119440186119</v>
      </c>
      <c r="T176" s="20">
        <f>input!G175</f>
        <v>207.23</v>
      </c>
      <c r="U176" s="19">
        <f t="shared" si="69"/>
        <v>0.97323496832916256</v>
      </c>
      <c r="V176" s="19">
        <f t="shared" si="56"/>
        <v>0.96942497845307818</v>
      </c>
      <c r="W176" s="21">
        <v>1269</v>
      </c>
      <c r="X176" s="3">
        <f>W176/365+input!$K$3</f>
        <v>3.4767123287671233</v>
      </c>
      <c r="Y176" s="4">
        <f t="shared" si="70"/>
        <v>12.589299260865312</v>
      </c>
      <c r="Z176" s="12">
        <f t="shared" si="71"/>
        <v>27.135859395209948</v>
      </c>
      <c r="AA176" s="20">
        <f>input!H175</f>
        <v>0</v>
      </c>
      <c r="AB176" s="19">
        <f t="shared" si="72"/>
        <v>0.98197554006092014</v>
      </c>
      <c r="AC176" s="19">
        <f t="shared" si="73"/>
        <v>0.99519142618801715</v>
      </c>
      <c r="AD176" s="8">
        <f t="shared" si="74"/>
        <v>0</v>
      </c>
      <c r="AE176" s="8">
        <f t="shared" si="75"/>
        <v>171617.04018052266</v>
      </c>
      <c r="AF176" s="8">
        <f t="shared" si="76"/>
        <v>4716.3723215897689</v>
      </c>
      <c r="AG176" s="8">
        <f t="shared" si="77"/>
        <v>0</v>
      </c>
      <c r="AH176" s="8">
        <f t="shared" si="57"/>
        <v>0</v>
      </c>
      <c r="AI176" s="8">
        <f t="shared" si="58"/>
        <v>150662.90951600729</v>
      </c>
      <c r="AJ176" s="8">
        <f t="shared" si="78"/>
        <v>4590.1384670309581</v>
      </c>
      <c r="AK176" s="8">
        <f t="shared" si="79"/>
        <v>0</v>
      </c>
      <c r="AL176" s="8">
        <f t="shared" si="80"/>
        <v>0</v>
      </c>
      <c r="AM176" s="8">
        <f t="shared" si="81"/>
        <v>28557.053986206116</v>
      </c>
      <c r="AN176" s="8">
        <f t="shared" si="82"/>
        <v>4449.794884498132</v>
      </c>
      <c r="AO176" s="8">
        <f t="shared" si="83"/>
        <v>0</v>
      </c>
    </row>
    <row r="177" spans="1:41">
      <c r="A177" s="1">
        <v>41904</v>
      </c>
      <c r="B177" s="5">
        <v>175</v>
      </c>
      <c r="C177" s="3">
        <f>B177/365+input!$K$3</f>
        <v>0.47945205479452052</v>
      </c>
      <c r="D177" s="4">
        <f t="shared" si="59"/>
        <v>2.4466534721687236</v>
      </c>
      <c r="E177" s="12">
        <f t="shared" si="60"/>
        <v>0.19918484760823846</v>
      </c>
      <c r="F177" s="20">
        <f>input!E176</f>
        <v>0</v>
      </c>
      <c r="G177" s="19">
        <f t="shared" si="61"/>
        <v>0</v>
      </c>
      <c r="H177" s="19">
        <f t="shared" si="62"/>
        <v>2.1210716236259738E-14</v>
      </c>
      <c r="I177" s="5">
        <v>540</v>
      </c>
      <c r="J177" s="3">
        <f>I177/365+input!$K$3</f>
        <v>1.4794520547945205</v>
      </c>
      <c r="K177" s="4">
        <f t="shared" si="63"/>
        <v>9.1317894928827421</v>
      </c>
      <c r="L177" s="12">
        <f t="shared" si="64"/>
        <v>10.356346748576341</v>
      </c>
      <c r="M177" s="20">
        <f>input!F176</f>
        <v>16591.560000000001</v>
      </c>
      <c r="N177" s="19">
        <f t="shared" si="65"/>
        <v>0.87866518656400805</v>
      </c>
      <c r="O177" s="19">
        <f t="shared" si="66"/>
        <v>0.19263955163214078</v>
      </c>
      <c r="P177" s="21">
        <v>905</v>
      </c>
      <c r="Q177" s="3">
        <f>P177/365+input!$K$3</f>
        <v>2.4794520547945207</v>
      </c>
      <c r="R177" s="4">
        <f t="shared" si="67"/>
        <v>11.877079057720877</v>
      </c>
      <c r="S177" s="12">
        <f t="shared" si="68"/>
        <v>22.785987260520226</v>
      </c>
      <c r="T177" s="20">
        <f>input!G176</f>
        <v>206.72</v>
      </c>
      <c r="U177" s="19">
        <f t="shared" si="69"/>
        <v>0.97330381446466774</v>
      </c>
      <c r="V177" s="19">
        <f t="shared" si="56"/>
        <v>0.96974637038730127</v>
      </c>
      <c r="W177" s="21">
        <v>1270</v>
      </c>
      <c r="X177" s="3">
        <f>W177/365+input!$K$3</f>
        <v>3.4794520547945207</v>
      </c>
      <c r="Y177" s="4">
        <f t="shared" si="70"/>
        <v>12.589299260865312</v>
      </c>
      <c r="Z177" s="12">
        <f t="shared" si="71"/>
        <v>27.135859395209948</v>
      </c>
      <c r="AA177" s="20">
        <f>input!H176</f>
        <v>0</v>
      </c>
      <c r="AB177" s="19">
        <f t="shared" si="72"/>
        <v>0.98197554006092014</v>
      </c>
      <c r="AC177" s="19">
        <f t="shared" si="73"/>
        <v>0.99519142618801715</v>
      </c>
      <c r="AD177" s="8">
        <f t="shared" si="74"/>
        <v>0</v>
      </c>
      <c r="AE177" s="8">
        <f t="shared" si="75"/>
        <v>171827.9484598093</v>
      </c>
      <c r="AF177" s="8">
        <f t="shared" si="76"/>
        <v>4710.3192864947414</v>
      </c>
      <c r="AG177" s="8">
        <f t="shared" si="77"/>
        <v>0</v>
      </c>
      <c r="AH177" s="8">
        <f t="shared" si="57"/>
        <v>0</v>
      </c>
      <c r="AI177" s="8">
        <f t="shared" si="58"/>
        <v>150979.23639034911</v>
      </c>
      <c r="AJ177" s="8">
        <f t="shared" si="78"/>
        <v>4584.571728891824</v>
      </c>
      <c r="AK177" s="8">
        <f t="shared" si="79"/>
        <v>0</v>
      </c>
      <c r="AL177" s="8">
        <f t="shared" si="80"/>
        <v>0</v>
      </c>
      <c r="AM177" s="8">
        <f t="shared" si="81"/>
        <v>29084.572403999846</v>
      </c>
      <c r="AN177" s="8">
        <f t="shared" si="82"/>
        <v>4445.8717938730806</v>
      </c>
      <c r="AO177" s="8">
        <f t="shared" si="83"/>
        <v>0</v>
      </c>
    </row>
    <row r="178" spans="1:41">
      <c r="A178" s="1">
        <v>41905</v>
      </c>
      <c r="B178" s="5">
        <v>176</v>
      </c>
      <c r="C178" s="3">
        <f>B178/365+input!$K$3</f>
        <v>0.48219178082191783</v>
      </c>
      <c r="D178" s="4">
        <f t="shared" si="59"/>
        <v>2.4742788970995822</v>
      </c>
      <c r="E178" s="12">
        <f t="shared" si="60"/>
        <v>0.20600836800049099</v>
      </c>
      <c r="F178" s="20">
        <f>input!E177</f>
        <v>0</v>
      </c>
      <c r="G178" s="19">
        <f t="shared" si="61"/>
        <v>0</v>
      </c>
      <c r="H178" s="19">
        <f t="shared" si="62"/>
        <v>2.6215074188622304E-14</v>
      </c>
      <c r="I178" s="5">
        <v>541</v>
      </c>
      <c r="J178" s="3">
        <f>I178/365+input!$K$3</f>
        <v>1.4821917808219178</v>
      </c>
      <c r="K178" s="4">
        <f t="shared" si="63"/>
        <v>9.1431340325528279</v>
      </c>
      <c r="L178" s="12">
        <f t="shared" si="64"/>
        <v>10.394992187314681</v>
      </c>
      <c r="M178" s="20">
        <f>input!F177</f>
        <v>16351.08</v>
      </c>
      <c r="N178" s="19">
        <f t="shared" si="65"/>
        <v>0.8794219525953717</v>
      </c>
      <c r="O178" s="19">
        <f t="shared" si="66"/>
        <v>0.19575948152177522</v>
      </c>
      <c r="P178" s="21">
        <v>906</v>
      </c>
      <c r="Q178" s="3">
        <f>P178/365+input!$K$3</f>
        <v>2.4821917808219176</v>
      </c>
      <c r="R178" s="4">
        <f t="shared" si="67"/>
        <v>11.881737758198724</v>
      </c>
      <c r="S178" s="12">
        <f t="shared" si="68"/>
        <v>22.81281070737969</v>
      </c>
      <c r="T178" s="20">
        <f>input!G177</f>
        <v>203.47</v>
      </c>
      <c r="U178" s="19">
        <f t="shared" si="69"/>
        <v>0.97337231649038547</v>
      </c>
      <c r="V178" s="19">
        <f t="shared" si="56"/>
        <v>0.97006418479713286</v>
      </c>
      <c r="W178" s="21">
        <v>1271</v>
      </c>
      <c r="X178" s="3">
        <f>W178/365+input!$K$3</f>
        <v>3.4821917808219176</v>
      </c>
      <c r="Y178" s="4">
        <f t="shared" si="70"/>
        <v>12.589299260865312</v>
      </c>
      <c r="Z178" s="12">
        <f t="shared" si="71"/>
        <v>27.135859395209948</v>
      </c>
      <c r="AA178" s="20">
        <f>input!H177</f>
        <v>0</v>
      </c>
      <c r="AB178" s="19">
        <f t="shared" si="72"/>
        <v>0.98197554006092014</v>
      </c>
      <c r="AC178" s="19">
        <f t="shared" si="73"/>
        <v>0.99519142618801715</v>
      </c>
      <c r="AD178" s="8">
        <f t="shared" si="74"/>
        <v>0</v>
      </c>
      <c r="AE178" s="8">
        <f t="shared" si="75"/>
        <v>169969.34885415735</v>
      </c>
      <c r="AF178" s="8">
        <f t="shared" si="76"/>
        <v>4641.7225946305452</v>
      </c>
      <c r="AG178" s="8">
        <f t="shared" si="77"/>
        <v>0</v>
      </c>
      <c r="AH178" s="8">
        <f t="shared" si="57"/>
        <v>0</v>
      </c>
      <c r="AI178" s="8">
        <f t="shared" si="58"/>
        <v>149474.77665068695</v>
      </c>
      <c r="AJ178" s="8">
        <f t="shared" si="78"/>
        <v>4518.1242744412966</v>
      </c>
      <c r="AK178" s="8">
        <f t="shared" si="79"/>
        <v>0</v>
      </c>
      <c r="AL178" s="8">
        <f t="shared" si="80"/>
        <v>0</v>
      </c>
      <c r="AM178" s="8">
        <f t="shared" si="81"/>
        <v>29261.10477772163</v>
      </c>
      <c r="AN178" s="8">
        <f t="shared" si="82"/>
        <v>4382.8705410980338</v>
      </c>
      <c r="AO178" s="8">
        <f t="shared" si="83"/>
        <v>0</v>
      </c>
    </row>
    <row r="179" spans="1:41">
      <c r="A179" s="1">
        <v>41906</v>
      </c>
      <c r="B179" s="5">
        <v>177</v>
      </c>
      <c r="C179" s="3">
        <f>B179/365+input!$K$3</f>
        <v>0.48493150684931507</v>
      </c>
      <c r="D179" s="4">
        <f t="shared" si="59"/>
        <v>2.5018370434631541</v>
      </c>
      <c r="E179" s="12">
        <f t="shared" si="60"/>
        <v>0.21296879038974373</v>
      </c>
      <c r="F179" s="20">
        <f>input!E178</f>
        <v>0</v>
      </c>
      <c r="G179" s="19">
        <f t="shared" si="61"/>
        <v>0</v>
      </c>
      <c r="H179" s="19">
        <f t="shared" si="62"/>
        <v>3.2359206623728713E-14</v>
      </c>
      <c r="I179" s="5">
        <v>542</v>
      </c>
      <c r="J179" s="3">
        <f>I179/365+input!$K$3</f>
        <v>1.484931506849315</v>
      </c>
      <c r="K179" s="4">
        <f t="shared" si="63"/>
        <v>9.1544509438922184</v>
      </c>
      <c r="L179" s="12">
        <f t="shared" si="64"/>
        <v>10.433639178325633</v>
      </c>
      <c r="M179" s="20">
        <f>input!F178</f>
        <v>16309.72</v>
      </c>
      <c r="N179" s="19">
        <f t="shared" si="65"/>
        <v>0.88017217285929072</v>
      </c>
      <c r="O179" s="19">
        <f t="shared" si="66"/>
        <v>0.19890217764202853</v>
      </c>
      <c r="P179" s="21">
        <v>907</v>
      </c>
      <c r="Q179" s="3">
        <f>P179/365+input!$K$3</f>
        <v>2.484931506849315</v>
      </c>
      <c r="R179" s="4">
        <f t="shared" si="67"/>
        <v>11.886385112943634</v>
      </c>
      <c r="S179" s="12">
        <f t="shared" si="68"/>
        <v>22.839589794597821</v>
      </c>
      <c r="T179" s="20">
        <f>input!G178</f>
        <v>202.95</v>
      </c>
      <c r="U179" s="19">
        <f t="shared" si="69"/>
        <v>0.97344047655327093</v>
      </c>
      <c r="V179" s="19">
        <f t="shared" si="56"/>
        <v>0.97037846139385298</v>
      </c>
      <c r="W179" s="21">
        <v>1272</v>
      </c>
      <c r="X179" s="3">
        <f>W179/365+input!$K$3</f>
        <v>3.484931506849315</v>
      </c>
      <c r="Y179" s="4">
        <f t="shared" si="70"/>
        <v>12.589299260865312</v>
      </c>
      <c r="Z179" s="12">
        <f t="shared" si="71"/>
        <v>27.135859395209948</v>
      </c>
      <c r="AA179" s="20">
        <f>input!H178</f>
        <v>0</v>
      </c>
      <c r="AB179" s="19">
        <f t="shared" si="72"/>
        <v>0.98197554006092014</v>
      </c>
      <c r="AC179" s="19">
        <f t="shared" si="73"/>
        <v>0.99519142618801715</v>
      </c>
      <c r="AD179" s="8">
        <f t="shared" si="74"/>
        <v>0</v>
      </c>
      <c r="AE179" s="8">
        <f t="shared" si="75"/>
        <v>170169.73357952113</v>
      </c>
      <c r="AF179" s="8">
        <f t="shared" si="76"/>
        <v>4635.2947488136278</v>
      </c>
      <c r="AG179" s="8">
        <f t="shared" si="77"/>
        <v>0</v>
      </c>
      <c r="AH179" s="8">
        <f t="shared" si="57"/>
        <v>0</v>
      </c>
      <c r="AI179" s="8">
        <f t="shared" si="58"/>
        <v>149778.66415957373</v>
      </c>
      <c r="AJ179" s="8">
        <f t="shared" si="78"/>
        <v>4512.1835292500118</v>
      </c>
      <c r="AK179" s="8">
        <f t="shared" si="79"/>
        <v>0</v>
      </c>
      <c r="AL179" s="8">
        <f t="shared" si="80"/>
        <v>0</v>
      </c>
      <c r="AM179" s="8">
        <f t="shared" si="81"/>
        <v>29791.302465653265</v>
      </c>
      <c r="AN179" s="8">
        <f t="shared" si="82"/>
        <v>4378.5257106403114</v>
      </c>
      <c r="AO179" s="8">
        <f t="shared" si="83"/>
        <v>0</v>
      </c>
    </row>
    <row r="180" spans="1:41">
      <c r="A180" s="1">
        <v>41907</v>
      </c>
      <c r="B180" s="5">
        <v>178</v>
      </c>
      <c r="C180" s="3">
        <f>B180/365+input!$K$3</f>
        <v>0.48767123287671232</v>
      </c>
      <c r="D180" s="4">
        <f t="shared" si="59"/>
        <v>2.5293280751087091</v>
      </c>
      <c r="E180" s="12">
        <f t="shared" si="60"/>
        <v>0.22006673609906569</v>
      </c>
      <c r="F180" s="20">
        <f>input!E179</f>
        <v>0</v>
      </c>
      <c r="G180" s="19">
        <f t="shared" si="61"/>
        <v>0</v>
      </c>
      <c r="H180" s="19">
        <f t="shared" si="62"/>
        <v>3.9893175629508191E-14</v>
      </c>
      <c r="I180" s="5">
        <v>543</v>
      </c>
      <c r="J180" s="3">
        <f>I180/365+input!$K$3</f>
        <v>1.4876712328767123</v>
      </c>
      <c r="K180" s="4">
        <f t="shared" si="63"/>
        <v>9.1657402941865627</v>
      </c>
      <c r="L180" s="12">
        <f t="shared" si="64"/>
        <v>10.472287370253602</v>
      </c>
      <c r="M180" s="20">
        <f>input!F179</f>
        <v>16063.25</v>
      </c>
      <c r="N180" s="19">
        <f t="shared" si="65"/>
        <v>0.88091591529302471</v>
      </c>
      <c r="O180" s="19">
        <f t="shared" si="66"/>
        <v>0.20206732637483607</v>
      </c>
      <c r="P180" s="21">
        <v>908</v>
      </c>
      <c r="Q180" s="3">
        <f>P180/365+input!$K$3</f>
        <v>2.4876712328767123</v>
      </c>
      <c r="R180" s="4">
        <f t="shared" si="67"/>
        <v>11.891021149586845</v>
      </c>
      <c r="S180" s="12">
        <f t="shared" si="68"/>
        <v>22.866324536372765</v>
      </c>
      <c r="T180" s="20">
        <f>input!G179</f>
        <v>199.46</v>
      </c>
      <c r="U180" s="19">
        <f t="shared" si="69"/>
        <v>0.97350829678425321</v>
      </c>
      <c r="V180" s="19">
        <f t="shared" si="56"/>
        <v>0.97068923948222297</v>
      </c>
      <c r="W180" s="21">
        <v>1273</v>
      </c>
      <c r="X180" s="3">
        <f>W180/365+input!$K$3</f>
        <v>3.4876712328767123</v>
      </c>
      <c r="Y180" s="4">
        <f t="shared" si="70"/>
        <v>12.589299260865312</v>
      </c>
      <c r="Z180" s="12">
        <f t="shared" si="71"/>
        <v>27.135859395209948</v>
      </c>
      <c r="AA180" s="20">
        <f>input!H179</f>
        <v>0</v>
      </c>
      <c r="AB180" s="19">
        <f t="shared" si="72"/>
        <v>0.98197554006092014</v>
      </c>
      <c r="AC180" s="19">
        <f t="shared" si="73"/>
        <v>0.99519142618801715</v>
      </c>
      <c r="AD180" s="8">
        <f t="shared" si="74"/>
        <v>0</v>
      </c>
      <c r="AE180" s="8">
        <f t="shared" si="75"/>
        <v>168218.97010022617</v>
      </c>
      <c r="AF180" s="8">
        <f t="shared" si="76"/>
        <v>4560.9170920249117</v>
      </c>
      <c r="AG180" s="8">
        <f t="shared" si="77"/>
        <v>0</v>
      </c>
      <c r="AH180" s="8">
        <f t="shared" si="57"/>
        <v>0</v>
      </c>
      <c r="AI180" s="8">
        <f t="shared" si="58"/>
        <v>148186.7680154907</v>
      </c>
      <c r="AJ180" s="8">
        <f t="shared" si="78"/>
        <v>4440.0906300313609</v>
      </c>
      <c r="AK180" s="8">
        <f t="shared" si="79"/>
        <v>0</v>
      </c>
      <c r="AL180" s="8">
        <f t="shared" si="80"/>
        <v>0</v>
      </c>
      <c r="AM180" s="8">
        <f t="shared" si="81"/>
        <v>29943.704017018277</v>
      </c>
      <c r="AN180" s="8">
        <f t="shared" si="82"/>
        <v>4309.9481968972859</v>
      </c>
      <c r="AO180" s="8">
        <f t="shared" si="83"/>
        <v>0</v>
      </c>
    </row>
    <row r="181" spans="1:41">
      <c r="A181" s="1">
        <v>41908</v>
      </c>
      <c r="B181" s="5">
        <v>179</v>
      </c>
      <c r="C181" s="3">
        <f>B181/365+input!$K$3</f>
        <v>0.49041095890410957</v>
      </c>
      <c r="D181" s="4">
        <f t="shared" si="59"/>
        <v>2.5567521554864752</v>
      </c>
      <c r="E181" s="12">
        <f t="shared" si="60"/>
        <v>0.22730280789196891</v>
      </c>
      <c r="F181" s="20">
        <f>input!E180</f>
        <v>0</v>
      </c>
      <c r="G181" s="19">
        <f t="shared" si="61"/>
        <v>0</v>
      </c>
      <c r="H181" s="19">
        <f t="shared" si="62"/>
        <v>4.9119762773093496E-14</v>
      </c>
      <c r="I181" s="5">
        <v>544</v>
      </c>
      <c r="J181" s="3">
        <f>I181/365+input!$K$3</f>
        <v>1.4904109589041097</v>
      </c>
      <c r="K181" s="4">
        <f t="shared" si="63"/>
        <v>9.1770021505576356</v>
      </c>
      <c r="L181" s="12">
        <f t="shared" si="64"/>
        <v>10.510936413430704</v>
      </c>
      <c r="M181" s="20">
        <f>input!F180</f>
        <v>16020.54</v>
      </c>
      <c r="N181" s="19">
        <f t="shared" si="65"/>
        <v>0.88165324702357906</v>
      </c>
      <c r="O181" s="19">
        <f t="shared" si="66"/>
        <v>0.20525460819168528</v>
      </c>
      <c r="P181" s="21">
        <v>909</v>
      </c>
      <c r="Q181" s="3">
        <f>P181/365+input!$K$3</f>
        <v>2.4904109589041097</v>
      </c>
      <c r="R181" s="4">
        <f t="shared" si="67"/>
        <v>11.895645895692295</v>
      </c>
      <c r="S181" s="12">
        <f t="shared" si="68"/>
        <v>22.893014947265073</v>
      </c>
      <c r="T181" s="20">
        <f>input!G180</f>
        <v>198.93</v>
      </c>
      <c r="U181" s="19">
        <f t="shared" si="69"/>
        <v>0.97357577929837258</v>
      </c>
      <c r="V181" s="19">
        <f t="shared" si="56"/>
        <v>0.97099655796362838</v>
      </c>
      <c r="W181" s="21">
        <v>1274</v>
      </c>
      <c r="X181" s="3">
        <f>W181/365+input!$K$3</f>
        <v>3.4904109589041097</v>
      </c>
      <c r="Y181" s="4">
        <f t="shared" si="70"/>
        <v>12.589299260865312</v>
      </c>
      <c r="Z181" s="12">
        <f t="shared" si="71"/>
        <v>27.135859395209948</v>
      </c>
      <c r="AA181" s="20">
        <f>input!H180</f>
        <v>0</v>
      </c>
      <c r="AB181" s="19">
        <f t="shared" si="72"/>
        <v>0.98197554006092014</v>
      </c>
      <c r="AC181" s="19">
        <f t="shared" si="73"/>
        <v>0.99519142618801715</v>
      </c>
      <c r="AD181" s="8">
        <f t="shared" si="74"/>
        <v>0</v>
      </c>
      <c r="AE181" s="8">
        <f t="shared" si="75"/>
        <v>168390.87724882315</v>
      </c>
      <c r="AF181" s="8">
        <f t="shared" si="76"/>
        <v>4554.1074634594406</v>
      </c>
      <c r="AG181" s="8">
        <f t="shared" si="77"/>
        <v>0</v>
      </c>
      <c r="AH181" s="8">
        <f t="shared" si="57"/>
        <v>0</v>
      </c>
      <c r="AI181" s="8">
        <f t="shared" si="58"/>
        <v>148462.36369557385</v>
      </c>
      <c r="AJ181" s="8">
        <f t="shared" si="78"/>
        <v>4433.7687227460601</v>
      </c>
      <c r="AK181" s="8">
        <f t="shared" si="79"/>
        <v>0</v>
      </c>
      <c r="AL181" s="8">
        <f t="shared" si="80"/>
        <v>0</v>
      </c>
      <c r="AM181" s="8">
        <f t="shared" si="81"/>
        <v>30472.584291546493</v>
      </c>
      <c r="AN181" s="8">
        <f t="shared" si="82"/>
        <v>4305.1741685932175</v>
      </c>
      <c r="AO181" s="8">
        <f t="shared" si="83"/>
        <v>0</v>
      </c>
    </row>
    <row r="182" spans="1:41">
      <c r="A182" s="1">
        <v>41909</v>
      </c>
      <c r="B182" s="5">
        <v>180</v>
      </c>
      <c r="C182" s="3">
        <f>B182/365+input!$K$3</f>
        <v>0.49315068493150682</v>
      </c>
      <c r="D182" s="4">
        <f t="shared" si="59"/>
        <v>2.5841094476486193</v>
      </c>
      <c r="E182" s="12">
        <f t="shared" si="60"/>
        <v>0.23467759019092693</v>
      </c>
      <c r="F182" s="20">
        <f>input!E181</f>
        <v>0</v>
      </c>
      <c r="G182" s="19">
        <f t="shared" si="61"/>
        <v>0</v>
      </c>
      <c r="H182" s="19">
        <f t="shared" si="62"/>
        <v>6.0405118888362254E-14</v>
      </c>
      <c r="I182" s="5">
        <v>545</v>
      </c>
      <c r="J182" s="3">
        <f>I182/365+input!$K$3</f>
        <v>1.4931506849315068</v>
      </c>
      <c r="K182" s="4">
        <f t="shared" si="63"/>
        <v>9.1882365799637462</v>
      </c>
      <c r="L182" s="12">
        <f t="shared" si="64"/>
        <v>10.5495859598749</v>
      </c>
      <c r="M182" s="20">
        <f>input!F181</f>
        <v>15758.15</v>
      </c>
      <c r="N182" s="19">
        <f t="shared" si="65"/>
        <v>0.88238423437851887</v>
      </c>
      <c r="O182" s="19">
        <f t="shared" si="66"/>
        <v>0.20846369780573296</v>
      </c>
      <c r="P182" s="21">
        <v>910</v>
      </c>
      <c r="Q182" s="3">
        <f>P182/365+input!$K$3</f>
        <v>2.493150684931507</v>
      </c>
      <c r="R182" s="4">
        <f t="shared" si="67"/>
        <v>11.900259378756804</v>
      </c>
      <c r="S182" s="12">
        <f t="shared" si="68"/>
        <v>22.919661042195369</v>
      </c>
      <c r="T182" s="20">
        <f>input!G181</f>
        <v>194.61</v>
      </c>
      <c r="U182" s="19">
        <f t="shared" si="69"/>
        <v>0.97364292619491755</v>
      </c>
      <c r="V182" s="19">
        <f t="shared" si="56"/>
        <v>0.9713004553392246</v>
      </c>
      <c r="W182" s="21">
        <v>1275</v>
      </c>
      <c r="X182" s="3">
        <f>W182/365+input!$K$3</f>
        <v>3.493150684931507</v>
      </c>
      <c r="Y182" s="4">
        <f t="shared" si="70"/>
        <v>12.589299260865312</v>
      </c>
      <c r="Z182" s="12">
        <f t="shared" si="71"/>
        <v>27.135859395209948</v>
      </c>
      <c r="AA182" s="20">
        <f>input!H181</f>
        <v>0</v>
      </c>
      <c r="AB182" s="19">
        <f t="shared" si="72"/>
        <v>0.98197554006092014</v>
      </c>
      <c r="AC182" s="19">
        <f t="shared" si="73"/>
        <v>0.99519142618801715</v>
      </c>
      <c r="AD182" s="8">
        <f t="shared" si="74"/>
        <v>0</v>
      </c>
      <c r="AE182" s="8">
        <f t="shared" si="75"/>
        <v>166241.95799360264</v>
      </c>
      <c r="AF182" s="8">
        <f t="shared" si="76"/>
        <v>4460.3952354216408</v>
      </c>
      <c r="AG182" s="8">
        <f t="shared" si="77"/>
        <v>0</v>
      </c>
      <c r="AH182" s="8">
        <f t="shared" si="57"/>
        <v>0</v>
      </c>
      <c r="AI182" s="8">
        <f t="shared" si="58"/>
        <v>146689.28282577096</v>
      </c>
      <c r="AJ182" s="8">
        <f t="shared" si="78"/>
        <v>4342.8322690017949</v>
      </c>
      <c r="AK182" s="8">
        <f t="shared" si="79"/>
        <v>0</v>
      </c>
      <c r="AL182" s="8">
        <f t="shared" si="80"/>
        <v>0</v>
      </c>
      <c r="AM182" s="8">
        <f t="shared" si="81"/>
        <v>30579.39032633121</v>
      </c>
      <c r="AN182" s="8">
        <f t="shared" si="82"/>
        <v>4218.1949603433213</v>
      </c>
      <c r="AO182" s="8">
        <f t="shared" si="83"/>
        <v>0</v>
      </c>
    </row>
    <row r="183" spans="1:41">
      <c r="A183" s="1">
        <v>41910</v>
      </c>
      <c r="B183" s="5">
        <v>181</v>
      </c>
      <c r="C183" s="3">
        <f>B183/365+input!$K$3</f>
        <v>0.49589041095890413</v>
      </c>
      <c r="D183" s="4">
        <f t="shared" si="59"/>
        <v>2.6114001142502139</v>
      </c>
      <c r="E183" s="12">
        <f t="shared" si="60"/>
        <v>0.24219164929385689</v>
      </c>
      <c r="F183" s="20">
        <f>input!E182</f>
        <v>0</v>
      </c>
      <c r="G183" s="19">
        <f t="shared" si="61"/>
        <v>0</v>
      </c>
      <c r="H183" s="19">
        <f t="shared" si="62"/>
        <v>7.4191468199051099E-14</v>
      </c>
      <c r="I183" s="5">
        <v>546</v>
      </c>
      <c r="J183" s="3">
        <f>I183/365+input!$K$3</f>
        <v>1.4958904109589042</v>
      </c>
      <c r="K183" s="4">
        <f t="shared" si="63"/>
        <v>9.1994436492001377</v>
      </c>
      <c r="L183" s="12">
        <f t="shared" si="64"/>
        <v>10.588235663288044</v>
      </c>
      <c r="M183" s="20">
        <f>input!F182</f>
        <v>15672.65</v>
      </c>
      <c r="N183" s="19">
        <f t="shared" si="65"/>
        <v>0.88310894289662456</v>
      </c>
      <c r="O183" s="19">
        <f t="shared" si="66"/>
        <v>0.2116942643261471</v>
      </c>
      <c r="P183" s="21">
        <v>911</v>
      </c>
      <c r="Q183" s="3">
        <f>P183/365+input!$K$3</f>
        <v>2.495890410958904</v>
      </c>
      <c r="R183" s="4">
        <f t="shared" si="67"/>
        <v>11.904861626210222</v>
      </c>
      <c r="S183" s="12">
        <f t="shared" si="68"/>
        <v>22.946262836441985</v>
      </c>
      <c r="T183" s="20">
        <f>input!G182</f>
        <v>193.25</v>
      </c>
      <c r="U183" s="19">
        <f t="shared" si="69"/>
        <v>0.97370973955755979</v>
      </c>
      <c r="V183" s="19">
        <f t="shared" si="56"/>
        <v>0.97160096971308296</v>
      </c>
      <c r="W183" s="21">
        <v>1276</v>
      </c>
      <c r="X183" s="3">
        <f>W183/365+input!$K$3</f>
        <v>3.495890410958904</v>
      </c>
      <c r="Y183" s="4">
        <f t="shared" si="70"/>
        <v>12.589299260865312</v>
      </c>
      <c r="Z183" s="12">
        <f t="shared" si="71"/>
        <v>27.135859395209948</v>
      </c>
      <c r="AA183" s="20">
        <f>input!H182</f>
        <v>0</v>
      </c>
      <c r="AB183" s="19">
        <f t="shared" si="72"/>
        <v>0.98197554006092014</v>
      </c>
      <c r="AC183" s="19">
        <f t="shared" si="73"/>
        <v>0.99519142618801715</v>
      </c>
      <c r="AD183" s="8">
        <f t="shared" si="74"/>
        <v>0</v>
      </c>
      <c r="AE183" s="8">
        <f t="shared" si="75"/>
        <v>165945.71166823135</v>
      </c>
      <c r="AF183" s="8">
        <f t="shared" si="76"/>
        <v>4434.365293142414</v>
      </c>
      <c r="AG183" s="8">
        <f t="shared" si="77"/>
        <v>0</v>
      </c>
      <c r="AH183" s="8">
        <f t="shared" si="57"/>
        <v>0</v>
      </c>
      <c r="AI183" s="8">
        <f t="shared" si="58"/>
        <v>146548.14200955984</v>
      </c>
      <c r="AJ183" s="8">
        <f t="shared" si="78"/>
        <v>4317.7846746887826</v>
      </c>
      <c r="AK183" s="8">
        <f t="shared" si="79"/>
        <v>0</v>
      </c>
      <c r="AL183" s="8">
        <f t="shared" si="80"/>
        <v>0</v>
      </c>
      <c r="AM183" s="8">
        <f t="shared" si="81"/>
        <v>31023.401111077503</v>
      </c>
      <c r="AN183" s="8">
        <f t="shared" si="82"/>
        <v>4195.1637769399094</v>
      </c>
      <c r="AO183" s="8">
        <f t="shared" si="83"/>
        <v>0</v>
      </c>
    </row>
    <row r="184" spans="1:41">
      <c r="A184" s="1">
        <v>41911</v>
      </c>
      <c r="B184" s="5">
        <v>182</v>
      </c>
      <c r="C184" s="3">
        <f>B184/365+input!$K$3</f>
        <v>0.49863013698630138</v>
      </c>
      <c r="D184" s="4">
        <f t="shared" si="59"/>
        <v>2.6386243175501991</v>
      </c>
      <c r="E184" s="12">
        <f t="shared" si="60"/>
        <v>0.24984553358858289</v>
      </c>
      <c r="F184" s="20">
        <f>input!E183</f>
        <v>0</v>
      </c>
      <c r="G184" s="19">
        <f t="shared" si="61"/>
        <v>0</v>
      </c>
      <c r="H184" s="19">
        <f t="shared" si="62"/>
        <v>9.1012243619591539E-14</v>
      </c>
      <c r="I184" s="5">
        <v>547</v>
      </c>
      <c r="J184" s="3">
        <f>I184/365+input!$K$3</f>
        <v>1.4986301369863013</v>
      </c>
      <c r="K184" s="4">
        <f t="shared" si="63"/>
        <v>9.2106234248993779</v>
      </c>
      <c r="L184" s="12">
        <f t="shared" si="64"/>
        <v>10.626885179053859</v>
      </c>
      <c r="M184" s="20">
        <f>input!F183</f>
        <v>15409.97</v>
      </c>
      <c r="N184" s="19">
        <f t="shared" si="65"/>
        <v>0.88382743733838964</v>
      </c>
      <c r="O184" s="19">
        <f t="shared" si="66"/>
        <v>0.21494597141453567</v>
      </c>
      <c r="P184" s="21">
        <v>912</v>
      </c>
      <c r="Q184" s="3">
        <f>P184/365+input!$K$3</f>
        <v>2.4986301369863013</v>
      </c>
      <c r="R184" s="4">
        <f t="shared" si="67"/>
        <v>11.909452665415595</v>
      </c>
      <c r="S184" s="12">
        <f t="shared" si="68"/>
        <v>22.972820345638542</v>
      </c>
      <c r="T184" s="20">
        <f>input!G183</f>
        <v>189.47</v>
      </c>
      <c r="U184" s="19">
        <f t="shared" si="69"/>
        <v>0.97377622145448817</v>
      </c>
      <c r="V184" s="19">
        <f t="shared" si="56"/>
        <v>0.97189813879533671</v>
      </c>
      <c r="W184" s="21">
        <v>1277</v>
      </c>
      <c r="X184" s="3">
        <f>W184/365+input!$K$3</f>
        <v>3.4986301369863013</v>
      </c>
      <c r="Y184" s="4">
        <f t="shared" si="70"/>
        <v>12.589299260865312</v>
      </c>
      <c r="Z184" s="12">
        <f t="shared" si="71"/>
        <v>27.135859395209948</v>
      </c>
      <c r="AA184" s="20">
        <f>input!H183</f>
        <v>0</v>
      </c>
      <c r="AB184" s="19">
        <f t="shared" si="72"/>
        <v>0.98197554006092014</v>
      </c>
      <c r="AC184" s="19">
        <f t="shared" si="73"/>
        <v>0.99519142618801715</v>
      </c>
      <c r="AD184" s="8">
        <f t="shared" si="74"/>
        <v>0</v>
      </c>
      <c r="AE184" s="8">
        <f t="shared" si="75"/>
        <v>163759.98180266458</v>
      </c>
      <c r="AF184" s="8">
        <f t="shared" si="76"/>
        <v>4352.6602708881346</v>
      </c>
      <c r="AG184" s="8">
        <f t="shared" si="77"/>
        <v>0</v>
      </c>
      <c r="AH184" s="8">
        <f t="shared" si="57"/>
        <v>0</v>
      </c>
      <c r="AI184" s="8">
        <f t="shared" si="58"/>
        <v>144735.56505523037</v>
      </c>
      <c r="AJ184" s="8">
        <f t="shared" si="78"/>
        <v>4238.5170718605168</v>
      </c>
      <c r="AK184" s="8">
        <f t="shared" si="79"/>
        <v>0</v>
      </c>
      <c r="AL184" s="8">
        <f t="shared" si="80"/>
        <v>0</v>
      </c>
      <c r="AM184" s="8">
        <f t="shared" si="81"/>
        <v>31110.326629028215</v>
      </c>
      <c r="AN184" s="8">
        <f t="shared" si="82"/>
        <v>4119.4068533934969</v>
      </c>
      <c r="AO184" s="8">
        <f t="shared" si="83"/>
        <v>0</v>
      </c>
    </row>
    <row r="185" spans="1:41">
      <c r="A185" s="1">
        <v>41912</v>
      </c>
      <c r="B185" s="5">
        <v>183</v>
      </c>
      <c r="C185" s="3">
        <f>B185/365+input!$K$3</f>
        <v>0.50136986301369868</v>
      </c>
      <c r="D185" s="4">
        <f t="shared" si="59"/>
        <v>2.6657822194123599</v>
      </c>
      <c r="E185" s="12">
        <f t="shared" si="60"/>
        <v>0.25763977376530522</v>
      </c>
      <c r="F185" s="20">
        <f>input!E184</f>
        <v>0</v>
      </c>
      <c r="G185" s="19">
        <f t="shared" si="61"/>
        <v>0</v>
      </c>
      <c r="H185" s="19">
        <f t="shared" si="62"/>
        <v>1.1151009547419321E-13</v>
      </c>
      <c r="I185" s="5">
        <v>548</v>
      </c>
      <c r="J185" s="3">
        <f>I185/365+input!$K$3</f>
        <v>1.5013698630136987</v>
      </c>
      <c r="K185" s="4">
        <f t="shared" si="63"/>
        <v>9.2217759735317557</v>
      </c>
      <c r="L185" s="12">
        <f t="shared" si="64"/>
        <v>10.665534164235904</v>
      </c>
      <c r="M185" s="20">
        <f>input!F184</f>
        <v>15369.78</v>
      </c>
      <c r="N185" s="19">
        <f t="shared" si="65"/>
        <v>0.88453978169636649</v>
      </c>
      <c r="O185" s="19">
        <f t="shared" si="66"/>
        <v>0.21821847744333073</v>
      </c>
      <c r="P185" s="21">
        <v>913</v>
      </c>
      <c r="Q185" s="3">
        <f>P185/365+input!$K$3</f>
        <v>2.5013698630136987</v>
      </c>
      <c r="R185" s="4">
        <f t="shared" si="67"/>
        <v>11.914032523669333</v>
      </c>
      <c r="S185" s="12">
        <f t="shared" si="68"/>
        <v>22.999333585771659</v>
      </c>
      <c r="T185" s="20">
        <f>input!G184</f>
        <v>188.98</v>
      </c>
      <c r="U185" s="19">
        <f t="shared" si="69"/>
        <v>0.97384237393854167</v>
      </c>
      <c r="V185" s="19">
        <f t="shared" si="56"/>
        <v>0.97219199990532856</v>
      </c>
      <c r="W185" s="21">
        <v>1278</v>
      </c>
      <c r="X185" s="3">
        <f>W185/365+input!$K$3</f>
        <v>3.5013698630136987</v>
      </c>
      <c r="Y185" s="4">
        <f t="shared" si="70"/>
        <v>12.589299260865312</v>
      </c>
      <c r="Z185" s="12">
        <f t="shared" si="71"/>
        <v>27.135859395209948</v>
      </c>
      <c r="AA185" s="20">
        <f>input!H184</f>
        <v>0</v>
      </c>
      <c r="AB185" s="19">
        <f t="shared" si="72"/>
        <v>0.98197554006092014</v>
      </c>
      <c r="AC185" s="19">
        <f t="shared" si="73"/>
        <v>0.99519142618801715</v>
      </c>
      <c r="AD185" s="8">
        <f t="shared" si="74"/>
        <v>0</v>
      </c>
      <c r="AE185" s="8">
        <f t="shared" si="75"/>
        <v>163926.91368678972</v>
      </c>
      <c r="AF185" s="8">
        <f t="shared" si="76"/>
        <v>4346.4140610391278</v>
      </c>
      <c r="AG185" s="8">
        <f t="shared" si="77"/>
        <v>0</v>
      </c>
      <c r="AH185" s="8">
        <f t="shared" si="57"/>
        <v>0</v>
      </c>
      <c r="AI185" s="8">
        <f t="shared" si="58"/>
        <v>144999.87644667207</v>
      </c>
      <c r="AJ185" s="8">
        <f t="shared" si="78"/>
        <v>4232.7221873222015</v>
      </c>
      <c r="AK185" s="8">
        <f t="shared" si="79"/>
        <v>0</v>
      </c>
      <c r="AL185" s="8">
        <f t="shared" si="80"/>
        <v>0</v>
      </c>
      <c r="AM185" s="8">
        <f t="shared" si="81"/>
        <v>31641.652267663852</v>
      </c>
      <c r="AN185" s="8">
        <f t="shared" si="82"/>
        <v>4115.0186483364278</v>
      </c>
      <c r="AO185" s="8">
        <f t="shared" si="83"/>
        <v>0</v>
      </c>
    </row>
    <row r="186" spans="1:41">
      <c r="A186" s="1">
        <v>41913</v>
      </c>
      <c r="B186" s="5">
        <v>184</v>
      </c>
      <c r="C186" s="3">
        <f>B186/365+input!$K$3</f>
        <v>0.50410958904109593</v>
      </c>
      <c r="D186" s="4">
        <f t="shared" si="59"/>
        <v>2.6928739813062714</v>
      </c>
      <c r="E186" s="12">
        <f t="shared" si="60"/>
        <v>0.26557488302707694</v>
      </c>
      <c r="F186" s="20">
        <f>input!E185</f>
        <v>79801.02</v>
      </c>
      <c r="G186" s="19">
        <f t="shared" si="61"/>
        <v>0</v>
      </c>
      <c r="H186" s="19">
        <f t="shared" si="62"/>
        <v>1.3645829193976577E-13</v>
      </c>
      <c r="I186" s="5">
        <v>549</v>
      </c>
      <c r="J186" s="3">
        <f>I186/365+input!$K$3</f>
        <v>1.5041095890410958</v>
      </c>
      <c r="K186" s="4">
        <f t="shared" si="63"/>
        <v>9.2329013614056876</v>
      </c>
      <c r="L186" s="12">
        <f t="shared" si="64"/>
        <v>10.704182277575484</v>
      </c>
      <c r="M186" s="20">
        <f>input!F185</f>
        <v>15117.02</v>
      </c>
      <c r="N186" s="19">
        <f t="shared" si="65"/>
        <v>0.88524603920536049</v>
      </c>
      <c r="O186" s="19">
        <f t="shared" si="66"/>
        <v>0.22151143565599296</v>
      </c>
      <c r="P186" s="21">
        <v>914</v>
      </c>
      <c r="Q186" s="3">
        <f>P186/365+input!$K$3</f>
        <v>2.504109589041096</v>
      </c>
      <c r="R186" s="4">
        <f t="shared" si="67"/>
        <v>11.918601228201364</v>
      </c>
      <c r="S186" s="12">
        <f t="shared" si="68"/>
        <v>23.025802573178559</v>
      </c>
      <c r="T186" s="20">
        <f>input!G185</f>
        <v>185.23</v>
      </c>
      <c r="U186" s="19">
        <f t="shared" si="69"/>
        <v>0.97390819904733983</v>
      </c>
      <c r="V186" s="19">
        <f t="shared" si="56"/>
        <v>0.97248258997475467</v>
      </c>
      <c r="W186" s="21">
        <v>1279</v>
      </c>
      <c r="X186" s="3">
        <f>W186/365+input!$K$3</f>
        <v>3.504109589041096</v>
      </c>
      <c r="Y186" s="4">
        <f t="shared" si="70"/>
        <v>12.589299260865312</v>
      </c>
      <c r="Z186" s="12">
        <f t="shared" si="71"/>
        <v>27.135859395209948</v>
      </c>
      <c r="AA186" s="20">
        <f>input!H185</f>
        <v>0</v>
      </c>
      <c r="AB186" s="19">
        <f t="shared" si="72"/>
        <v>0.98197554006092014</v>
      </c>
      <c r="AC186" s="19">
        <f t="shared" si="73"/>
        <v>0.99519142618801715</v>
      </c>
      <c r="AD186" s="8">
        <f t="shared" si="74"/>
        <v>21193.146551941427</v>
      </c>
      <c r="AE186" s="8">
        <f t="shared" si="75"/>
        <v>161815.33757375414</v>
      </c>
      <c r="AF186" s="8">
        <f t="shared" si="76"/>
        <v>4265.0694106298643</v>
      </c>
      <c r="AG186" s="8">
        <f t="shared" si="77"/>
        <v>0</v>
      </c>
      <c r="AH186" s="8">
        <f t="shared" si="57"/>
        <v>0</v>
      </c>
      <c r="AI186" s="8">
        <f t="shared" si="58"/>
        <v>143246.38666984419</v>
      </c>
      <c r="AJ186" s="8">
        <f t="shared" si="78"/>
        <v>4153.7860685184305</v>
      </c>
      <c r="AK186" s="8">
        <f t="shared" si="79"/>
        <v>0</v>
      </c>
      <c r="AL186" s="8">
        <f t="shared" si="80"/>
        <v>0</v>
      </c>
      <c r="AM186" s="8">
        <f t="shared" si="81"/>
        <v>31730.712763770676</v>
      </c>
      <c r="AN186" s="8">
        <f t="shared" si="82"/>
        <v>4039.4846341138573</v>
      </c>
      <c r="AO186" s="8">
        <f t="shared" si="83"/>
        <v>0</v>
      </c>
    </row>
    <row r="187" spans="1:41">
      <c r="A187" s="1">
        <v>41914</v>
      </c>
      <c r="B187" s="5">
        <v>185</v>
      </c>
      <c r="C187" s="3">
        <f>B187/365+input!$K$3</f>
        <v>0.50684931506849318</v>
      </c>
      <c r="D187" s="4">
        <f t="shared" si="59"/>
        <v>2.7198997643082747</v>
      </c>
      <c r="E187" s="12">
        <f t="shared" si="60"/>
        <v>0.27365135729832396</v>
      </c>
      <c r="F187" s="20">
        <f>input!E186</f>
        <v>79595.64</v>
      </c>
      <c r="G187" s="19">
        <f t="shared" si="61"/>
        <v>0</v>
      </c>
      <c r="H187" s="19">
        <f t="shared" si="62"/>
        <v>1.667861178711596E-13</v>
      </c>
      <c r="I187" s="5">
        <v>550</v>
      </c>
      <c r="J187" s="3">
        <f>I187/365+input!$K$3</f>
        <v>1.5068493150684932</v>
      </c>
      <c r="K187" s="4">
        <f t="shared" si="63"/>
        <v>9.2439996546680963</v>
      </c>
      <c r="L187" s="12">
        <f t="shared" si="64"/>
        <v>10.742829179489467</v>
      </c>
      <c r="M187" s="20">
        <f>input!F186</f>
        <v>15077.73</v>
      </c>
      <c r="N187" s="19">
        <f t="shared" si="65"/>
        <v>0.88594627235247414</v>
      </c>
      <c r="O187" s="19">
        <f t="shared" si="66"/>
        <v>0.22482449432888979</v>
      </c>
      <c r="P187" s="21">
        <v>915</v>
      </c>
      <c r="Q187" s="3">
        <f>P187/365+input!$K$3</f>
        <v>2.506849315068493</v>
      </c>
      <c r="R187" s="4">
        <f t="shared" si="67"/>
        <v>11.923158806175305</v>
      </c>
      <c r="S187" s="12">
        <f t="shared" si="68"/>
        <v>23.052227324544791</v>
      </c>
      <c r="T187" s="20">
        <f>input!G186</f>
        <v>184.73</v>
      </c>
      <c r="U187" s="19">
        <f t="shared" si="69"/>
        <v>0.97397369880341411</v>
      </c>
      <c r="V187" s="19">
        <f t="shared" si="56"/>
        <v>0.97276994555080853</v>
      </c>
      <c r="W187" s="21">
        <v>1280</v>
      </c>
      <c r="X187" s="3">
        <f>W187/365+input!$K$3</f>
        <v>3.506849315068493</v>
      </c>
      <c r="Y187" s="4">
        <f t="shared" si="70"/>
        <v>12.589299260865312</v>
      </c>
      <c r="Z187" s="12">
        <f t="shared" si="71"/>
        <v>27.135859395209948</v>
      </c>
      <c r="AA187" s="20">
        <f>input!H186</f>
        <v>0</v>
      </c>
      <c r="AB187" s="19">
        <f t="shared" si="72"/>
        <v>0.98197554006092014</v>
      </c>
      <c r="AC187" s="19">
        <f t="shared" si="73"/>
        <v>0.99519142618801715</v>
      </c>
      <c r="AD187" s="8">
        <f t="shared" si="74"/>
        <v>21781.454921028766</v>
      </c>
      <c r="AE187" s="8">
        <f t="shared" si="75"/>
        <v>161977.47780446371</v>
      </c>
      <c r="AF187" s="8">
        <f t="shared" si="76"/>
        <v>4258.4379536631586</v>
      </c>
      <c r="AG187" s="8">
        <f t="shared" si="77"/>
        <v>0</v>
      </c>
      <c r="AH187" s="8">
        <f t="shared" si="57"/>
        <v>0</v>
      </c>
      <c r="AI187" s="8">
        <f t="shared" si="58"/>
        <v>143503.34266592024</v>
      </c>
      <c r="AJ187" s="8">
        <f t="shared" si="78"/>
        <v>4147.606564854148</v>
      </c>
      <c r="AK187" s="8">
        <f t="shared" si="79"/>
        <v>0</v>
      </c>
      <c r="AL187" s="8">
        <f t="shared" si="80"/>
        <v>0</v>
      </c>
      <c r="AM187" s="8">
        <f t="shared" si="81"/>
        <v>32263.066449370912</v>
      </c>
      <c r="AN187" s="8">
        <f t="shared" si="82"/>
        <v>4034.6670122593455</v>
      </c>
      <c r="AO187" s="8">
        <f t="shared" si="83"/>
        <v>0</v>
      </c>
    </row>
    <row r="188" spans="1:41">
      <c r="A188" s="1">
        <v>41915</v>
      </c>
      <c r="B188" s="5">
        <v>186</v>
      </c>
      <c r="C188" s="3">
        <f>B188/365+input!$K$3</f>
        <v>0.50958904109589043</v>
      </c>
      <c r="D188" s="4">
        <f t="shared" si="59"/>
        <v>2.7468597291024235</v>
      </c>
      <c r="E188" s="12">
        <f t="shared" si="60"/>
        <v>0.2818696754314064</v>
      </c>
      <c r="F188" s="20">
        <f>input!E187</f>
        <v>79390.11</v>
      </c>
      <c r="G188" s="19">
        <f t="shared" si="61"/>
        <v>0</v>
      </c>
      <c r="H188" s="19">
        <f t="shared" si="62"/>
        <v>2.0360898115520158E-13</v>
      </c>
      <c r="I188" s="5">
        <v>551</v>
      </c>
      <c r="J188" s="3">
        <f>I188/365+input!$K$3</f>
        <v>1.5095890410958903</v>
      </c>
      <c r="K188" s="4">
        <f t="shared" si="63"/>
        <v>9.2550709193048153</v>
      </c>
      <c r="L188" s="12">
        <f t="shared" si="64"/>
        <v>10.78147453206812</v>
      </c>
      <c r="M188" s="20">
        <f>input!F187</f>
        <v>14827.61</v>
      </c>
      <c r="N188" s="19">
        <f t="shared" si="65"/>
        <v>0.88664054288700667</v>
      </c>
      <c r="O188" s="19">
        <f t="shared" si="66"/>
        <v>0.228157296934728</v>
      </c>
      <c r="P188" s="21">
        <v>916</v>
      </c>
      <c r="Q188" s="3">
        <f>P188/365+input!$K$3</f>
        <v>2.5095890410958903</v>
      </c>
      <c r="R188" s="4">
        <f t="shared" si="67"/>
        <v>11.927705284688617</v>
      </c>
      <c r="S188" s="12">
        <f t="shared" si="68"/>
        <v>23.078607856901865</v>
      </c>
      <c r="T188" s="20">
        <f>input!G187</f>
        <v>181.6</v>
      </c>
      <c r="U188" s="19">
        <f t="shared" si="69"/>
        <v>0.97403887521433574</v>
      </c>
      <c r="V188" s="19">
        <f t="shared" si="56"/>
        <v>0.97305410279932181</v>
      </c>
      <c r="W188" s="21">
        <v>1281</v>
      </c>
      <c r="X188" s="3">
        <f>W188/365+input!$K$3</f>
        <v>3.5095890410958903</v>
      </c>
      <c r="Y188" s="4">
        <f t="shared" si="70"/>
        <v>12.589299260865312</v>
      </c>
      <c r="Z188" s="12">
        <f t="shared" si="71"/>
        <v>27.135859395209948</v>
      </c>
      <c r="AA188" s="20">
        <f>input!H187</f>
        <v>0</v>
      </c>
      <c r="AB188" s="19">
        <f t="shared" si="72"/>
        <v>0.98197554006092014</v>
      </c>
      <c r="AC188" s="19">
        <f t="shared" si="73"/>
        <v>0.99519142618801715</v>
      </c>
      <c r="AD188" s="8">
        <f t="shared" si="74"/>
        <v>22377.664538163652</v>
      </c>
      <c r="AE188" s="8">
        <f t="shared" si="75"/>
        <v>159863.49958643859</v>
      </c>
      <c r="AF188" s="8">
        <f t="shared" si="76"/>
        <v>4191.0751868133784</v>
      </c>
      <c r="AG188" s="8">
        <f t="shared" si="77"/>
        <v>0</v>
      </c>
      <c r="AH188" s="8">
        <f t="shared" si="57"/>
        <v>0</v>
      </c>
      <c r="AI188" s="8">
        <f t="shared" si="58"/>
        <v>141741.46006113666</v>
      </c>
      <c r="AJ188" s="8">
        <f t="shared" si="78"/>
        <v>4082.2701609024152</v>
      </c>
      <c r="AK188" s="8">
        <f t="shared" si="79"/>
        <v>0</v>
      </c>
      <c r="AL188" s="8">
        <f t="shared" si="80"/>
        <v>0</v>
      </c>
      <c r="AM188" s="8">
        <f t="shared" si="81"/>
        <v>32339.348391130647</v>
      </c>
      <c r="AN188" s="8">
        <f t="shared" si="82"/>
        <v>3972.2697288013428</v>
      </c>
      <c r="AO188" s="8">
        <f t="shared" si="83"/>
        <v>0</v>
      </c>
    </row>
    <row r="189" spans="1:41">
      <c r="A189" s="1">
        <v>41916</v>
      </c>
      <c r="B189" s="5">
        <v>187</v>
      </c>
      <c r="C189" s="3">
        <f>B189/365+input!$K$3</f>
        <v>0.51232876712328768</v>
      </c>
      <c r="D189" s="4">
        <f t="shared" si="59"/>
        <v>2.7737540359814479</v>
      </c>
      <c r="E189" s="12">
        <f t="shared" si="60"/>
        <v>0.29023029941125283</v>
      </c>
      <c r="F189" s="20">
        <f>input!E188</f>
        <v>79185.36</v>
      </c>
      <c r="G189" s="19">
        <f t="shared" si="61"/>
        <v>0</v>
      </c>
      <c r="H189" s="19">
        <f t="shared" si="62"/>
        <v>2.4826405446655923E-13</v>
      </c>
      <c r="I189" s="5">
        <v>552</v>
      </c>
      <c r="J189" s="3">
        <f>I189/365+input!$K$3</f>
        <v>1.5123287671232877</v>
      </c>
      <c r="K189" s="4">
        <f t="shared" si="63"/>
        <v>9.2661152211409714</v>
      </c>
      <c r="L189" s="12">
        <f t="shared" si="64"/>
        <v>10.820117999072826</v>
      </c>
      <c r="M189" s="20">
        <f>input!F188</f>
        <v>14789</v>
      </c>
      <c r="N189" s="19">
        <f t="shared" si="65"/>
        <v>0.88732891183020735</v>
      </c>
      <c r="O189" s="19">
        <f t="shared" si="66"/>
        <v>0.23150948230738855</v>
      </c>
      <c r="P189" s="21">
        <v>917</v>
      </c>
      <c r="Q189" s="3">
        <f>P189/365+input!$K$3</f>
        <v>2.5123287671232877</v>
      </c>
      <c r="R189" s="4">
        <f t="shared" si="67"/>
        <v>11.932240690772769</v>
      </c>
      <c r="S189" s="12">
        <f t="shared" si="68"/>
        <v>23.104944187624973</v>
      </c>
      <c r="T189" s="20">
        <f>input!G188</f>
        <v>181.12</v>
      </c>
      <c r="U189" s="19">
        <f t="shared" si="69"/>
        <v>0.97410373027284358</v>
      </c>
      <c r="V189" s="19">
        <f t="shared" si="56"/>
        <v>0.97333509750790148</v>
      </c>
      <c r="W189" s="21">
        <v>1282</v>
      </c>
      <c r="X189" s="3">
        <f>W189/365+input!$K$3</f>
        <v>3.5123287671232877</v>
      </c>
      <c r="Y189" s="4">
        <f t="shared" si="70"/>
        <v>12.589299260865312</v>
      </c>
      <c r="Z189" s="12">
        <f t="shared" si="71"/>
        <v>27.135859395209948</v>
      </c>
      <c r="AA189" s="20">
        <f>input!H188</f>
        <v>0</v>
      </c>
      <c r="AB189" s="19">
        <f t="shared" si="72"/>
        <v>0.98197554006092014</v>
      </c>
      <c r="AC189" s="19">
        <f t="shared" si="73"/>
        <v>0.99519142618801715</v>
      </c>
      <c r="AD189" s="8">
        <f t="shared" si="74"/>
        <v>22981.990741787842</v>
      </c>
      <c r="AE189" s="8">
        <f t="shared" si="75"/>
        <v>160018.72508828802</v>
      </c>
      <c r="AF189" s="8">
        <f t="shared" si="76"/>
        <v>4184.7674912626353</v>
      </c>
      <c r="AG189" s="8">
        <f t="shared" si="77"/>
        <v>0</v>
      </c>
      <c r="AH189" s="8">
        <f t="shared" si="57"/>
        <v>0</v>
      </c>
      <c r="AI189" s="8">
        <f t="shared" si="58"/>
        <v>141989.2412050477</v>
      </c>
      <c r="AJ189" s="8">
        <f t="shared" si="78"/>
        <v>4076.3976235634623</v>
      </c>
      <c r="AK189" s="8">
        <f t="shared" si="79"/>
        <v>0</v>
      </c>
      <c r="AL189" s="8">
        <f t="shared" si="80"/>
        <v>0</v>
      </c>
      <c r="AM189" s="8">
        <f t="shared" si="81"/>
        <v>32871.855724599518</v>
      </c>
      <c r="AN189" s="8">
        <f t="shared" si="82"/>
        <v>3967.7008784121203</v>
      </c>
      <c r="AO189" s="8">
        <f t="shared" si="83"/>
        <v>0</v>
      </c>
    </row>
    <row r="190" spans="1:41">
      <c r="A190" s="1">
        <v>41917</v>
      </c>
      <c r="B190" s="5">
        <v>188</v>
      </c>
      <c r="C190" s="3">
        <f>B190/365+input!$K$3</f>
        <v>0.51506849315068493</v>
      </c>
      <c r="D190" s="4">
        <f t="shared" si="59"/>
        <v>2.8005828448477006</v>
      </c>
      <c r="E190" s="12">
        <f t="shared" si="60"/>
        <v>0.29873367455807165</v>
      </c>
      <c r="F190" s="20">
        <f>input!E189</f>
        <v>78987.27</v>
      </c>
      <c r="G190" s="19">
        <f t="shared" si="61"/>
        <v>0</v>
      </c>
      <c r="H190" s="19">
        <f t="shared" si="62"/>
        <v>3.0235241765320496E-13</v>
      </c>
      <c r="I190" s="5">
        <v>553</v>
      </c>
      <c r="J190" s="3">
        <f>I190/365+input!$K$3</f>
        <v>1.515068493150685</v>
      </c>
      <c r="K190" s="4">
        <f t="shared" si="63"/>
        <v>9.2771326258413929</v>
      </c>
      <c r="L190" s="12">
        <f t="shared" si="64"/>
        <v>10.858759245933854</v>
      </c>
      <c r="M190" s="20">
        <f>input!F189</f>
        <v>14555.66</v>
      </c>
      <c r="N190" s="19">
        <f t="shared" si="65"/>
        <v>0.88801143948488981</v>
      </c>
      <c r="O190" s="19">
        <f t="shared" si="66"/>
        <v>0.23488068480804894</v>
      </c>
      <c r="P190" s="21">
        <v>918</v>
      </c>
      <c r="Q190" s="3">
        <f>P190/365+input!$K$3</f>
        <v>2.515068493150685</v>
      </c>
      <c r="R190" s="4">
        <f t="shared" si="67"/>
        <v>11.936765051393397</v>
      </c>
      <c r="S190" s="12">
        <f t="shared" si="68"/>
        <v>23.131236334430668</v>
      </c>
      <c r="T190" s="20">
        <f>input!G189</f>
        <v>178.36</v>
      </c>
      <c r="U190" s="19">
        <f t="shared" si="69"/>
        <v>0.97416826595697092</v>
      </c>
      <c r="V190" s="19">
        <f t="shared" si="56"/>
        <v>0.97361296508906325</v>
      </c>
      <c r="W190" s="21">
        <v>1283</v>
      </c>
      <c r="X190" s="3">
        <f>W190/365+input!$K$3</f>
        <v>3.515068493150685</v>
      </c>
      <c r="Y190" s="4">
        <f t="shared" si="70"/>
        <v>12.589299260865312</v>
      </c>
      <c r="Z190" s="12">
        <f t="shared" si="71"/>
        <v>27.135859395209948</v>
      </c>
      <c r="AA190" s="20">
        <f>input!H189</f>
        <v>0</v>
      </c>
      <c r="AB190" s="19">
        <f t="shared" si="72"/>
        <v>0.98197554006092014</v>
      </c>
      <c r="AC190" s="19">
        <f t="shared" si="73"/>
        <v>0.99519142618801715</v>
      </c>
      <c r="AD190" s="8">
        <f t="shared" si="74"/>
        <v>23596.157410410538</v>
      </c>
      <c r="AE190" s="8">
        <f t="shared" si="75"/>
        <v>158056.40760566955</v>
      </c>
      <c r="AF190" s="8">
        <f t="shared" si="76"/>
        <v>4125.6873126090541</v>
      </c>
      <c r="AG190" s="8">
        <f t="shared" si="77"/>
        <v>0</v>
      </c>
      <c r="AH190" s="8">
        <f t="shared" si="57"/>
        <v>0</v>
      </c>
      <c r="AI190" s="8">
        <f t="shared" si="58"/>
        <v>140355.89803772111</v>
      </c>
      <c r="AJ190" s="8">
        <f t="shared" si="78"/>
        <v>4019.1136552050375</v>
      </c>
      <c r="AK190" s="8">
        <f t="shared" si="79"/>
        <v>0</v>
      </c>
      <c r="AL190" s="8">
        <f t="shared" si="80"/>
        <v>0</v>
      </c>
      <c r="AM190" s="8">
        <f t="shared" si="81"/>
        <v>32966.889447948626</v>
      </c>
      <c r="AN190" s="8">
        <f t="shared" si="82"/>
        <v>3913.0611628741194</v>
      </c>
      <c r="AO190" s="8">
        <f t="shared" si="83"/>
        <v>0</v>
      </c>
    </row>
    <row r="191" spans="1:41">
      <c r="A191" s="1">
        <v>41918</v>
      </c>
      <c r="B191" s="5">
        <v>189</v>
      </c>
      <c r="C191" s="3">
        <f>B191/365+input!$K$3</f>
        <v>0.51780821917808217</v>
      </c>
      <c r="D191" s="4">
        <f t="shared" si="59"/>
        <v>2.8273463152141112</v>
      </c>
      <c r="E191" s="12">
        <f t="shared" si="60"/>
        <v>0.30738022972816464</v>
      </c>
      <c r="F191" s="20">
        <f>input!E190</f>
        <v>78789.179999999993</v>
      </c>
      <c r="G191" s="19">
        <f t="shared" si="61"/>
        <v>0</v>
      </c>
      <c r="H191" s="19">
        <f t="shared" si="62"/>
        <v>3.6778882467541337E-13</v>
      </c>
      <c r="I191" s="5">
        <v>554</v>
      </c>
      <c r="J191" s="3">
        <f>I191/365+input!$K$3</f>
        <v>1.5178082191780822</v>
      </c>
      <c r="K191" s="4">
        <f t="shared" si="63"/>
        <v>9.2881231989109772</v>
      </c>
      <c r="L191" s="12">
        <f t="shared" si="64"/>
        <v>10.897397939747933</v>
      </c>
      <c r="M191" s="20">
        <f>input!F190</f>
        <v>14519.1</v>
      </c>
      <c r="N191" s="19">
        <f t="shared" si="65"/>
        <v>0.8886881854449028</v>
      </c>
      <c r="O191" s="19">
        <f t="shared" si="66"/>
        <v>0.23827053449243452</v>
      </c>
      <c r="P191" s="21">
        <v>919</v>
      </c>
      <c r="Q191" s="3">
        <f>P191/365+input!$K$3</f>
        <v>2.5178082191780824</v>
      </c>
      <c r="R191" s="4">
        <f t="shared" si="67"/>
        <v>11.941278393450466</v>
      </c>
      <c r="S191" s="12">
        <f t="shared" si="68"/>
        <v>23.157484315374571</v>
      </c>
      <c r="T191" s="20">
        <f>input!G190</f>
        <v>177.91</v>
      </c>
      <c r="U191" s="19">
        <f t="shared" si="69"/>
        <v>0.97423248423017017</v>
      </c>
      <c r="V191" s="19">
        <f t="shared" si="56"/>
        <v>0.97388774058336069</v>
      </c>
      <c r="W191" s="21">
        <v>1284</v>
      </c>
      <c r="X191" s="3">
        <f>W191/365+input!$K$3</f>
        <v>3.5178082191780824</v>
      </c>
      <c r="Y191" s="4">
        <f t="shared" si="70"/>
        <v>12.589299260865312</v>
      </c>
      <c r="Z191" s="12">
        <f t="shared" si="71"/>
        <v>27.135859395209948</v>
      </c>
      <c r="AA191" s="20">
        <f>input!H190</f>
        <v>0</v>
      </c>
      <c r="AB191" s="19">
        <f t="shared" si="72"/>
        <v>0.98197554006092014</v>
      </c>
      <c r="AC191" s="19">
        <f t="shared" si="73"/>
        <v>0.99519142618801715</v>
      </c>
      <c r="AD191" s="8">
        <f t="shared" si="74"/>
        <v>24218.236248493715</v>
      </c>
      <c r="AE191" s="8">
        <f t="shared" si="75"/>
        <v>158220.4104269942</v>
      </c>
      <c r="AF191" s="8">
        <f t="shared" si="76"/>
        <v>4119.9480345482898</v>
      </c>
      <c r="AG191" s="8">
        <f t="shared" si="77"/>
        <v>0</v>
      </c>
      <c r="AH191" s="8">
        <f t="shared" si="57"/>
        <v>0</v>
      </c>
      <c r="AI191" s="8">
        <f t="shared" si="58"/>
        <v>140608.60944271326</v>
      </c>
      <c r="AJ191" s="8">
        <f t="shared" si="78"/>
        <v>4013.7872085971871</v>
      </c>
      <c r="AK191" s="8">
        <f t="shared" si="79"/>
        <v>0</v>
      </c>
      <c r="AL191" s="8">
        <f t="shared" si="80"/>
        <v>0</v>
      </c>
      <c r="AM191" s="8">
        <f t="shared" si="81"/>
        <v>33502.888526153263</v>
      </c>
      <c r="AN191" s="8">
        <f t="shared" si="82"/>
        <v>3908.978155763109</v>
      </c>
      <c r="AO191" s="8">
        <f t="shared" si="83"/>
        <v>0</v>
      </c>
    </row>
    <row r="192" spans="1:41">
      <c r="A192" s="1">
        <v>41919</v>
      </c>
      <c r="B192" s="5">
        <v>190</v>
      </c>
      <c r="C192" s="3">
        <f>B192/365+input!$K$3</f>
        <v>0.52054794520547942</v>
      </c>
      <c r="D192" s="4">
        <f t="shared" si="59"/>
        <v>2.8540446062051332</v>
      </c>
      <c r="E192" s="12">
        <f t="shared" si="60"/>
        <v>0.31617037751285371</v>
      </c>
      <c r="F192" s="20">
        <f>input!E191</f>
        <v>78581.440000000002</v>
      </c>
      <c r="G192" s="19">
        <f t="shared" si="61"/>
        <v>0</v>
      </c>
      <c r="H192" s="19">
        <f t="shared" si="62"/>
        <v>4.4686040213351686E-13</v>
      </c>
      <c r="I192" s="5">
        <v>555</v>
      </c>
      <c r="J192" s="3">
        <f>I192/365+input!$K$3</f>
        <v>1.5205479452054795</v>
      </c>
      <c r="K192" s="4">
        <f t="shared" si="63"/>
        <v>9.2990870056950961</v>
      </c>
      <c r="L192" s="12">
        <f t="shared" si="64"/>
        <v>10.936033749275936</v>
      </c>
      <c r="M192" s="20">
        <f>input!F191</f>
        <v>14286.12</v>
      </c>
      <c r="N192" s="19">
        <f t="shared" si="65"/>
        <v>0.88935920860446704</v>
      </c>
      <c r="O192" s="19">
        <f t="shared" si="66"/>
        <v>0.2416786572790916</v>
      </c>
      <c r="P192" s="21">
        <v>920</v>
      </c>
      <c r="Q192" s="3">
        <f>P192/365+input!$K$3</f>
        <v>2.5205479452054793</v>
      </c>
      <c r="R192" s="4">
        <f t="shared" si="67"/>
        <v>11.945780743778428</v>
      </c>
      <c r="S192" s="12">
        <f t="shared" si="68"/>
        <v>23.183688148849097</v>
      </c>
      <c r="T192" s="20">
        <f>input!G191</f>
        <v>175.12</v>
      </c>
      <c r="U192" s="19">
        <f t="shared" si="69"/>
        <v>0.97429638704143673</v>
      </c>
      <c r="V192" s="19">
        <f t="shared" si="56"/>
        <v>0.97415945866250897</v>
      </c>
      <c r="W192" s="21">
        <v>1285</v>
      </c>
      <c r="X192" s="3">
        <f>W192/365+input!$K$3</f>
        <v>3.5205479452054793</v>
      </c>
      <c r="Y192" s="4">
        <f t="shared" si="70"/>
        <v>12.589299260865312</v>
      </c>
      <c r="Z192" s="12">
        <f t="shared" si="71"/>
        <v>27.135859395209948</v>
      </c>
      <c r="AA192" s="20">
        <f>input!H191</f>
        <v>0</v>
      </c>
      <c r="AB192" s="19">
        <f t="shared" si="72"/>
        <v>0.98197554006092014</v>
      </c>
      <c r="AC192" s="19">
        <f t="shared" si="73"/>
        <v>0.99519142618801715</v>
      </c>
      <c r="AD192" s="8">
        <f t="shared" si="74"/>
        <v>24845.123550303662</v>
      </c>
      <c r="AE192" s="8">
        <f t="shared" si="75"/>
        <v>156233.49046620593</v>
      </c>
      <c r="AF192" s="8">
        <f t="shared" si="76"/>
        <v>4059.9274686264539</v>
      </c>
      <c r="AG192" s="8">
        <f t="shared" si="77"/>
        <v>0</v>
      </c>
      <c r="AH192" s="8">
        <f t="shared" si="57"/>
        <v>0</v>
      </c>
      <c r="AI192" s="8">
        <f t="shared" si="58"/>
        <v>138947.69343853844</v>
      </c>
      <c r="AJ192" s="8">
        <f t="shared" si="78"/>
        <v>3955.5726643330399</v>
      </c>
      <c r="AK192" s="8">
        <f t="shared" si="79"/>
        <v>0</v>
      </c>
      <c r="AL192" s="8">
        <f t="shared" si="80"/>
        <v>0</v>
      </c>
      <c r="AM192" s="8">
        <f t="shared" si="81"/>
        <v>33580.691982252814</v>
      </c>
      <c r="AN192" s="8">
        <f t="shared" si="82"/>
        <v>3853.3585253868923</v>
      </c>
      <c r="AO192" s="8">
        <f t="shared" si="83"/>
        <v>0</v>
      </c>
    </row>
    <row r="193" spans="1:41">
      <c r="A193" s="1">
        <v>41920</v>
      </c>
      <c r="B193" s="5">
        <v>191</v>
      </c>
      <c r="C193" s="3">
        <f>B193/365+input!$K$3</f>
        <v>0.52328767123287667</v>
      </c>
      <c r="D193" s="4">
        <f t="shared" si="59"/>
        <v>2.8806778765576935</v>
      </c>
      <c r="E193" s="12">
        <f t="shared" si="60"/>
        <v>0.32510451443553956</v>
      </c>
      <c r="F193" s="20">
        <f>input!E192</f>
        <v>78262.490000000005</v>
      </c>
      <c r="G193" s="19">
        <f t="shared" si="61"/>
        <v>0</v>
      </c>
      <c r="H193" s="19">
        <f t="shared" si="62"/>
        <v>5.4229579742547539E-13</v>
      </c>
      <c r="I193" s="5">
        <v>556</v>
      </c>
      <c r="J193" s="3">
        <f>I193/365+input!$K$3</f>
        <v>1.5232876712328767</v>
      </c>
      <c r="K193" s="4">
        <f t="shared" si="63"/>
        <v>9.3100241113799829</v>
      </c>
      <c r="L193" s="12">
        <f t="shared" si="64"/>
        <v>10.974666344940434</v>
      </c>
      <c r="M193" s="20">
        <f>input!F192</f>
        <v>14213.43</v>
      </c>
      <c r="N193" s="19">
        <f t="shared" si="65"/>
        <v>0.89002456716737566</v>
      </c>
      <c r="O193" s="19">
        <f t="shared" si="66"/>
        <v>0.24510467511853545</v>
      </c>
      <c r="P193" s="21">
        <v>921</v>
      </c>
      <c r="Q193" s="3">
        <f>P193/365+input!$K$3</f>
        <v>2.5232876712328767</v>
      </c>
      <c r="R193" s="4">
        <f t="shared" si="67"/>
        <v>11.950272129146388</v>
      </c>
      <c r="S193" s="12">
        <f t="shared" si="68"/>
        <v>23.209847853581199</v>
      </c>
      <c r="T193" s="20">
        <f>input!G192</f>
        <v>173.85</v>
      </c>
      <c r="U193" s="19">
        <f t="shared" si="69"/>
        <v>0.97435997632543236</v>
      </c>
      <c r="V193" s="19">
        <f t="shared" si="56"/>
        <v>0.97442815363250257</v>
      </c>
      <c r="W193" s="21">
        <v>1286</v>
      </c>
      <c r="X193" s="3">
        <f>W193/365+input!$K$3</f>
        <v>3.5232876712328767</v>
      </c>
      <c r="Y193" s="4">
        <f t="shared" si="70"/>
        <v>12.589299260865312</v>
      </c>
      <c r="Z193" s="12">
        <f t="shared" si="71"/>
        <v>27.135859395209948</v>
      </c>
      <c r="AA193" s="20">
        <f>input!H192</f>
        <v>0</v>
      </c>
      <c r="AB193" s="19">
        <f t="shared" si="72"/>
        <v>0.98197554006092014</v>
      </c>
      <c r="AC193" s="19">
        <f t="shared" si="73"/>
        <v>0.99519142618801715</v>
      </c>
      <c r="AD193" s="8">
        <f t="shared" si="74"/>
        <v>25443.488809966271</v>
      </c>
      <c r="AE193" s="8">
        <f t="shared" si="75"/>
        <v>155987.65186716671</v>
      </c>
      <c r="AF193" s="8">
        <f t="shared" si="76"/>
        <v>4035.0320493450913</v>
      </c>
      <c r="AG193" s="8">
        <f t="shared" si="77"/>
        <v>0</v>
      </c>
      <c r="AH193" s="8">
        <f t="shared" si="57"/>
        <v>0</v>
      </c>
      <c r="AI193" s="8">
        <f t="shared" si="58"/>
        <v>138832.84233653033</v>
      </c>
      <c r="AJ193" s="8">
        <f t="shared" si="78"/>
        <v>3931.5737320722442</v>
      </c>
      <c r="AK193" s="8">
        <f t="shared" si="79"/>
        <v>0</v>
      </c>
      <c r="AL193" s="8">
        <f t="shared" si="80"/>
        <v>0</v>
      </c>
      <c r="AM193" s="8">
        <f t="shared" si="81"/>
        <v>34028.578716678123</v>
      </c>
      <c r="AN193" s="8">
        <f t="shared" si="82"/>
        <v>3831.0361326132042</v>
      </c>
      <c r="AO193" s="8">
        <f t="shared" si="83"/>
        <v>0</v>
      </c>
    </row>
    <row r="194" spans="1:41">
      <c r="A194" s="1">
        <v>41921</v>
      </c>
      <c r="B194" s="5">
        <v>192</v>
      </c>
      <c r="C194" s="3">
        <f>B194/365+input!$K$3</f>
        <v>0.52602739726027392</v>
      </c>
      <c r="D194" s="4">
        <f t="shared" si="59"/>
        <v>2.907246284622127</v>
      </c>
      <c r="E194" s="12">
        <f t="shared" si="60"/>
        <v>0.33418302114690229</v>
      </c>
      <c r="F194" s="20">
        <f>input!E193</f>
        <v>78053.600000000006</v>
      </c>
      <c r="G194" s="19">
        <f t="shared" si="61"/>
        <v>0</v>
      </c>
      <c r="H194" s="19">
        <f t="shared" si="62"/>
        <v>6.5734653740654782E-13</v>
      </c>
      <c r="I194" s="5">
        <v>557</v>
      </c>
      <c r="J194" s="3">
        <f>I194/365+input!$K$3</f>
        <v>1.526027397260274</v>
      </c>
      <c r="K194" s="4">
        <f t="shared" si="63"/>
        <v>9.3209345809931161</v>
      </c>
      <c r="L194" s="12">
        <f t="shared" si="64"/>
        <v>11.013295398823225</v>
      </c>
      <c r="M194" s="20">
        <f>input!F193</f>
        <v>13984.2</v>
      </c>
      <c r="N194" s="19">
        <f t="shared" si="65"/>
        <v>0.89068431865606024</v>
      </c>
      <c r="O194" s="19">
        <f t="shared" si="66"/>
        <v>0.24854820616314421</v>
      </c>
      <c r="P194" s="21">
        <v>922</v>
      </c>
      <c r="Q194" s="3">
        <f>P194/365+input!$K$3</f>
        <v>2.526027397260274</v>
      </c>
      <c r="R194" s="4">
        <f t="shared" si="67"/>
        <v>11.954752576258249</v>
      </c>
      <c r="S194" s="12">
        <f t="shared" si="68"/>
        <v>23.235963448630052</v>
      </c>
      <c r="T194" s="20">
        <f>input!G193</f>
        <v>171.3</v>
      </c>
      <c r="U194" s="19">
        <f t="shared" si="69"/>
        <v>0.97442325400260643</v>
      </c>
      <c r="V194" s="19">
        <f t="shared" si="56"/>
        <v>0.97469385943672604</v>
      </c>
      <c r="W194" s="21">
        <v>1287</v>
      </c>
      <c r="X194" s="3">
        <f>W194/365+input!$K$3</f>
        <v>3.526027397260274</v>
      </c>
      <c r="Y194" s="4">
        <f t="shared" si="70"/>
        <v>12.589299260865312</v>
      </c>
      <c r="Z194" s="12">
        <f t="shared" si="71"/>
        <v>27.135859395209948</v>
      </c>
      <c r="AA194" s="20">
        <f>input!H193</f>
        <v>0</v>
      </c>
      <c r="AB194" s="19">
        <f t="shared" si="72"/>
        <v>0.98197554006092014</v>
      </c>
      <c r="AC194" s="19">
        <f t="shared" si="73"/>
        <v>0.99519142618801715</v>
      </c>
      <c r="AD194" s="8">
        <f t="shared" si="74"/>
        <v>26084.187859391855</v>
      </c>
      <c r="AE194" s="8">
        <f t="shared" si="75"/>
        <v>154012.12551622375</v>
      </c>
      <c r="AF194" s="8">
        <f t="shared" si="76"/>
        <v>3980.3205387503281</v>
      </c>
      <c r="AG194" s="8">
        <f t="shared" si="77"/>
        <v>0</v>
      </c>
      <c r="AH194" s="8">
        <f t="shared" si="57"/>
        <v>0</v>
      </c>
      <c r="AI194" s="8">
        <f t="shared" si="58"/>
        <v>137176.18508018937</v>
      </c>
      <c r="AJ194" s="8">
        <f t="shared" si="78"/>
        <v>3878.5168913425023</v>
      </c>
      <c r="AK194" s="8">
        <f t="shared" si="79"/>
        <v>0</v>
      </c>
      <c r="AL194" s="8">
        <f t="shared" si="80"/>
        <v>0</v>
      </c>
      <c r="AM194" s="8">
        <f t="shared" si="81"/>
        <v>34094.894729984539</v>
      </c>
      <c r="AN194" s="8">
        <f t="shared" si="82"/>
        <v>3780.3665977131564</v>
      </c>
      <c r="AO194" s="8">
        <f t="shared" si="83"/>
        <v>0</v>
      </c>
    </row>
    <row r="195" spans="1:41">
      <c r="A195" s="1">
        <v>41922</v>
      </c>
      <c r="B195" s="5">
        <v>193</v>
      </c>
      <c r="C195" s="3">
        <f>B195/365+input!$K$3</f>
        <v>0.52876712328767128</v>
      </c>
      <c r="D195" s="4">
        <f t="shared" si="59"/>
        <v>2.9337499883631315</v>
      </c>
      <c r="E195" s="12">
        <f t="shared" si="60"/>
        <v>0.34340626261827223</v>
      </c>
      <c r="F195" s="20">
        <f>input!E194</f>
        <v>77845.679999999993</v>
      </c>
      <c r="G195" s="19">
        <f t="shared" si="61"/>
        <v>0</v>
      </c>
      <c r="H195" s="19">
        <f t="shared" si="62"/>
        <v>7.9588263751684375E-13</v>
      </c>
      <c r="I195" s="5">
        <v>558</v>
      </c>
      <c r="J195" s="3">
        <f>I195/365+input!$K$3</f>
        <v>1.5287671232876712</v>
      </c>
      <c r="K195" s="4">
        <f t="shared" si="63"/>
        <v>9.3318184794035997</v>
      </c>
      <c r="L195" s="12">
        <f t="shared" si="64"/>
        <v>11.051920584662778</v>
      </c>
      <c r="M195" s="20">
        <f>input!F194</f>
        <v>13947.13</v>
      </c>
      <c r="N195" s="19">
        <f t="shared" si="65"/>
        <v>0.89133851992052759</v>
      </c>
      <c r="O195" s="19">
        <f t="shared" si="66"/>
        <v>0.25200886493767155</v>
      </c>
      <c r="P195" s="21">
        <v>923</v>
      </c>
      <c r="Q195" s="3">
        <f>P195/365+input!$K$3</f>
        <v>2.5287671232876714</v>
      </c>
      <c r="R195" s="4">
        <f t="shared" si="67"/>
        <v>11.959222111752888</v>
      </c>
      <c r="S195" s="12">
        <f t="shared" si="68"/>
        <v>23.262034953384862</v>
      </c>
      <c r="T195" s="20">
        <f>input!G194</f>
        <v>170.85</v>
      </c>
      <c r="U195" s="19">
        <f t="shared" si="69"/>
        <v>0.97448622197931623</v>
      </c>
      <c r="V195" s="19">
        <f t="shared" ref="V195:V258" si="84">_xlfn.NORM.DIST(R195,10,1,TRUE)</f>
        <v>0.97495660965905995</v>
      </c>
      <c r="W195" s="21">
        <v>1288</v>
      </c>
      <c r="X195" s="3">
        <f>W195/365+input!$K$3</f>
        <v>3.5287671232876714</v>
      </c>
      <c r="Y195" s="4">
        <f t="shared" si="70"/>
        <v>12.589299260865312</v>
      </c>
      <c r="Z195" s="12">
        <f t="shared" si="71"/>
        <v>27.135859395209948</v>
      </c>
      <c r="AA195" s="20">
        <f>input!H194</f>
        <v>0</v>
      </c>
      <c r="AB195" s="19">
        <f t="shared" si="72"/>
        <v>0.98197554006092014</v>
      </c>
      <c r="AC195" s="19">
        <f t="shared" si="73"/>
        <v>0.99519142618801715</v>
      </c>
      <c r="AD195" s="8">
        <f t="shared" si="74"/>
        <v>26732.69402977798</v>
      </c>
      <c r="AE195" s="8">
        <f t="shared" si="75"/>
        <v>154142.57314396775</v>
      </c>
      <c r="AF195" s="8">
        <f t="shared" si="76"/>
        <v>3974.3186717858034</v>
      </c>
      <c r="AG195" s="8">
        <f t="shared" si="77"/>
        <v>0</v>
      </c>
      <c r="AH195" s="8">
        <f t="shared" ref="AH195:AH258" si="85">E195*F195*G195</f>
        <v>0</v>
      </c>
      <c r="AI195" s="8">
        <f t="shared" ref="AI195:AI258" si="86">L195*M195*N195</f>
        <v>137393.21300288587</v>
      </c>
      <c r="AJ195" s="8">
        <f t="shared" si="78"/>
        <v>3872.9187874104018</v>
      </c>
      <c r="AK195" s="8">
        <f t="shared" si="79"/>
        <v>0</v>
      </c>
      <c r="AL195" s="8">
        <f t="shared" si="80"/>
        <v>0</v>
      </c>
      <c r="AM195" s="8">
        <f t="shared" si="81"/>
        <v>34624.307658997001</v>
      </c>
      <c r="AN195" s="8">
        <f t="shared" si="82"/>
        <v>3775.9277704585229</v>
      </c>
      <c r="AO195" s="8">
        <f t="shared" si="83"/>
        <v>0</v>
      </c>
    </row>
    <row r="196" spans="1:41">
      <c r="A196" s="1">
        <v>41923</v>
      </c>
      <c r="B196" s="5">
        <v>194</v>
      </c>
      <c r="C196" s="3">
        <f>B196/365+input!$K$3</f>
        <v>0.53150684931506853</v>
      </c>
      <c r="D196" s="4">
        <f t="shared" ref="D196:D259" si="87">MAX(0,13.79*(1-EXP(-0.89*(C196-0.26))))</f>
        <v>2.9601891453606939</v>
      </c>
      <c r="E196" s="12">
        <f t="shared" ref="E196:E259" si="88">0.0136*D196^3</f>
        <v>0.3527745883331681</v>
      </c>
      <c r="F196" s="20">
        <f>input!E195</f>
        <v>77604.23</v>
      </c>
      <c r="G196" s="19">
        <f t="shared" ref="G196:G259" si="89">MAX(1-EXP(2.927-1.285*(D196/2.33)),0)</f>
        <v>0</v>
      </c>
      <c r="H196" s="19">
        <f t="shared" ref="H196:H259" si="90">_xlfn.NORM.DIST(D196,10,1,TRUE)</f>
        <v>9.6250482169578135E-13</v>
      </c>
      <c r="I196" s="5">
        <v>559</v>
      </c>
      <c r="J196" s="3">
        <f>I196/365+input!$K$3</f>
        <v>1.5315068493150685</v>
      </c>
      <c r="K196" s="4">
        <f t="shared" ref="K196:K259" si="91">MAX(0,13.79*(1-EXP(-0.89*(J196-0.26))))</f>
        <v>9.342675871322573</v>
      </c>
      <c r="L196" s="12">
        <f t="shared" ref="L196:L259" si="92">0.0136*K196^3</f>
        <v>11.090541577851768</v>
      </c>
      <c r="M196" s="20">
        <f>input!F195</f>
        <v>13715.36</v>
      </c>
      <c r="N196" s="19">
        <f t="shared" ref="N196:N259" si="93">MAX(1-EXP(2.927-1.285*(K196/2.33)),0)</f>
        <v>0.89198722714716716</v>
      </c>
      <c r="O196" s="19">
        <f t="shared" ref="O196:O259" si="94">_xlfn.NORM.DIST(K196,10,1,TRUE)</f>
        <v>0.25548626251026063</v>
      </c>
      <c r="P196" s="21">
        <v>924</v>
      </c>
      <c r="Q196" s="3">
        <f>P196/365+input!$K$3</f>
        <v>2.5315068493150683</v>
      </c>
      <c r="R196" s="4">
        <f t="shared" ref="R196:R259" si="95">MAX(0,13.79*(1-EXP(-0.89*(Q196-0.26))))</f>
        <v>11.963680762204303</v>
      </c>
      <c r="S196" s="12">
        <f t="shared" ref="S196:S259" si="96">0.0136*R196^3</f>
        <v>23.28806238756259</v>
      </c>
      <c r="T196" s="20">
        <f>input!G195</f>
        <v>167.68</v>
      </c>
      <c r="U196" s="19">
        <f t="shared" ref="U196:U259" si="97">MAX(1-EXP(2.927-1.285*(R196/2.33)),0)</f>
        <v>0.97454888214794666</v>
      </c>
      <c r="V196" s="19">
        <f t="shared" si="84"/>
        <v>0.97521643752697607</v>
      </c>
      <c r="W196" s="21">
        <v>1289</v>
      </c>
      <c r="X196" s="3">
        <f>W196/365+input!$K$3</f>
        <v>3.5315068493150683</v>
      </c>
      <c r="Y196" s="4">
        <f t="shared" ref="Y196:Y259" si="98">MAX(0,13.79*(1-EXP(-0.89*(X$3-0.26))))</f>
        <v>12.589299260865312</v>
      </c>
      <c r="Z196" s="12">
        <f t="shared" ref="Z196:Z259" si="99">0.0136*Y196^3</f>
        <v>27.135859395209948</v>
      </c>
      <c r="AA196" s="20">
        <f>input!H195</f>
        <v>0</v>
      </c>
      <c r="AB196" s="19">
        <f t="shared" ref="AB196:AB259" si="100">MAX(1-EXP(2.927-1.285*(Y196/2.33)),0)</f>
        <v>0.98197554006092014</v>
      </c>
      <c r="AC196" s="19">
        <f t="shared" ref="AC196:AC259" si="101">_xlfn.NORM.DIST(Y196,10,1,TRUE)</f>
        <v>0.99519142618801715</v>
      </c>
      <c r="AD196" s="8">
        <f t="shared" ref="AD196:AD259" si="102">E196*F196</f>
        <v>27376.800291162494</v>
      </c>
      <c r="AE196" s="8">
        <f t="shared" ref="AE196:AE259" si="103">L196*M196</f>
        <v>152110.77033520504</v>
      </c>
      <c r="AF196" s="8">
        <f t="shared" ref="AF196:AF259" si="104">S196*T196</f>
        <v>3904.9423011464951</v>
      </c>
      <c r="AG196" s="8">
        <f t="shared" ref="AG196:AG259" si="105">Z196*AA196</f>
        <v>0</v>
      </c>
      <c r="AH196" s="8">
        <f t="shared" si="85"/>
        <v>0</v>
      </c>
      <c r="AI196" s="8">
        <f t="shared" si="86"/>
        <v>135680.86425051911</v>
      </c>
      <c r="AJ196" s="8">
        <f t="shared" ref="AJ196:AJ259" si="106">AF196*U196</f>
        <v>3805.5571544345471</v>
      </c>
      <c r="AK196" s="8">
        <f t="shared" ref="AK196:AK259" si="107">AG196*AB196</f>
        <v>0</v>
      </c>
      <c r="AL196" s="8">
        <f t="shared" ref="AL196:AL259" si="108">AH196*H196</f>
        <v>0</v>
      </c>
      <c r="AM196" s="8">
        <f t="shared" ref="AM196:AM259" si="109">AI196*O196</f>
        <v>34664.596901527162</v>
      </c>
      <c r="AN196" s="8">
        <f t="shared" ref="AN196:AN259" si="110">AJ196*V196</f>
        <v>3711.2418909529551</v>
      </c>
      <c r="AO196" s="8">
        <f t="shared" ref="AO196:AO259" si="111">AK196*AC196</f>
        <v>0</v>
      </c>
    </row>
    <row r="197" spans="1:41">
      <c r="A197" s="1">
        <v>41924</v>
      </c>
      <c r="B197" s="5">
        <v>195</v>
      </c>
      <c r="C197" s="3">
        <f>B197/365+input!$K$3</f>
        <v>0.53424657534246578</v>
      </c>
      <c r="D197" s="4">
        <f t="shared" si="87"/>
        <v>2.9865639128110391</v>
      </c>
      <c r="E197" s="12">
        <f t="shared" si="88"/>
        <v>0.3622883324770374</v>
      </c>
      <c r="F197" s="20">
        <f>input!E196</f>
        <v>77310.69</v>
      </c>
      <c r="G197" s="19">
        <f t="shared" si="89"/>
        <v>0</v>
      </c>
      <c r="H197" s="19">
        <f t="shared" si="90"/>
        <v>1.1626760806412542E-12</v>
      </c>
      <c r="I197" s="5">
        <v>560</v>
      </c>
      <c r="J197" s="3">
        <f>I197/365+input!$K$3</f>
        <v>1.5342465753424657</v>
      </c>
      <c r="K197" s="4">
        <f t="shared" si="91"/>
        <v>9.3535068213035633</v>
      </c>
      <c r="L197" s="12">
        <f t="shared" si="92"/>
        <v>11.129158055434361</v>
      </c>
      <c r="M197" s="20">
        <f>input!F196</f>
        <v>13648.53</v>
      </c>
      <c r="N197" s="19">
        <f t="shared" si="93"/>
        <v>0.89263049586743015</v>
      </c>
      <c r="O197" s="19">
        <f t="shared" si="94"/>
        <v>0.25898000666380383</v>
      </c>
      <c r="P197" s="21">
        <v>925</v>
      </c>
      <c r="Q197" s="3">
        <f>P197/365+input!$K$3</f>
        <v>2.5342465753424657</v>
      </c>
      <c r="R197" s="4">
        <f t="shared" si="95"/>
        <v>11.968128554121769</v>
      </c>
      <c r="S197" s="12">
        <f t="shared" si="96"/>
        <v>23.314045771205691</v>
      </c>
      <c r="T197" s="20">
        <f>input!G196</f>
        <v>166.63</v>
      </c>
      <c r="U197" s="19">
        <f t="shared" si="97"/>
        <v>0.97461123638702785</v>
      </c>
      <c r="V197" s="19">
        <f t="shared" si="84"/>
        <v>0.97547337591462679</v>
      </c>
      <c r="W197" s="21">
        <v>1290</v>
      </c>
      <c r="X197" s="3">
        <f>W197/365+input!$K$3</f>
        <v>3.5342465753424657</v>
      </c>
      <c r="Y197" s="4">
        <f t="shared" si="98"/>
        <v>12.589299260865312</v>
      </c>
      <c r="Z197" s="12">
        <f t="shared" si="99"/>
        <v>27.135859395209948</v>
      </c>
      <c r="AA197" s="20">
        <f>input!H196</f>
        <v>0</v>
      </c>
      <c r="AB197" s="19">
        <f t="shared" si="100"/>
        <v>0.98197554006092014</v>
      </c>
      <c r="AC197" s="19">
        <f t="shared" si="101"/>
        <v>0.99519142618801715</v>
      </c>
      <c r="AD197" s="8">
        <f t="shared" si="102"/>
        <v>28008.760962749173</v>
      </c>
      <c r="AE197" s="8">
        <f t="shared" si="103"/>
        <v>151896.64759433756</v>
      </c>
      <c r="AF197" s="8">
        <f t="shared" si="104"/>
        <v>3884.8194468560041</v>
      </c>
      <c r="AG197" s="8">
        <f t="shared" si="105"/>
        <v>0</v>
      </c>
      <c r="AH197" s="8">
        <f t="shared" si="85"/>
        <v>0</v>
      </c>
      <c r="AI197" s="8">
        <f t="shared" si="86"/>
        <v>135587.57986273384</v>
      </c>
      <c r="AJ197" s="8">
        <f t="shared" si="106"/>
        <v>3786.1886842406998</v>
      </c>
      <c r="AK197" s="8">
        <f t="shared" si="107"/>
        <v>0</v>
      </c>
      <c r="AL197" s="8">
        <f t="shared" si="108"/>
        <v>0</v>
      </c>
      <c r="AM197" s="8">
        <f t="shared" si="109"/>
        <v>35114.47233637984</v>
      </c>
      <c r="AN197" s="8">
        <f t="shared" si="110"/>
        <v>3693.3262576660345</v>
      </c>
      <c r="AO197" s="8">
        <f t="shared" si="111"/>
        <v>0</v>
      </c>
    </row>
    <row r="198" spans="1:41">
      <c r="A198" s="1">
        <v>41925</v>
      </c>
      <c r="B198" s="5">
        <v>196</v>
      </c>
      <c r="C198" s="3">
        <f>B198/365+input!$K$3</f>
        <v>0.53698630136986303</v>
      </c>
      <c r="D198" s="4">
        <f t="shared" si="87"/>
        <v>3.0128744475275533</v>
      </c>
      <c r="E198" s="12">
        <f t="shared" si="88"/>
        <v>0.37194781412519684</v>
      </c>
      <c r="F198" s="20">
        <f>input!E197</f>
        <v>77110.929999999993</v>
      </c>
      <c r="G198" s="19">
        <f t="shared" si="89"/>
        <v>0</v>
      </c>
      <c r="H198" s="19">
        <f t="shared" si="90"/>
        <v>1.4028757164131573E-12</v>
      </c>
      <c r="I198" s="5">
        <v>561</v>
      </c>
      <c r="J198" s="3">
        <f>I198/365+input!$K$3</f>
        <v>1.536986301369863</v>
      </c>
      <c r="K198" s="4">
        <f t="shared" si="91"/>
        <v>9.3643113937428897</v>
      </c>
      <c r="L198" s="12">
        <f t="shared" si="92"/>
        <v>11.167769696103647</v>
      </c>
      <c r="M198" s="20">
        <f>input!F197</f>
        <v>13421.46</v>
      </c>
      <c r="N198" s="19">
        <f t="shared" si="93"/>
        <v>0.89326838096638517</v>
      </c>
      <c r="O198" s="19">
        <f t="shared" si="94"/>
        <v>0.26248970206756117</v>
      </c>
      <c r="P198" s="21">
        <v>926</v>
      </c>
      <c r="Q198" s="3">
        <f>P198/365+input!$K$3</f>
        <v>2.536986301369863</v>
      </c>
      <c r="R198" s="4">
        <f t="shared" si="95"/>
        <v>11.972565513950007</v>
      </c>
      <c r="S198" s="12">
        <f t="shared" si="96"/>
        <v>23.339985124679959</v>
      </c>
      <c r="T198" s="20">
        <f>input!G197</f>
        <v>163.88</v>
      </c>
      <c r="U198" s="19">
        <f t="shared" si="97"/>
        <v>0.97467328656135299</v>
      </c>
      <c r="V198" s="19">
        <f t="shared" si="84"/>
        <v>0.97572745734592592</v>
      </c>
      <c r="W198" s="21">
        <v>1291</v>
      </c>
      <c r="X198" s="3">
        <f>W198/365+input!$K$3</f>
        <v>3.536986301369863</v>
      </c>
      <c r="Y198" s="4">
        <f t="shared" si="98"/>
        <v>12.589299260865312</v>
      </c>
      <c r="Z198" s="12">
        <f t="shared" si="99"/>
        <v>27.135859395209948</v>
      </c>
      <c r="AA198" s="20">
        <f>input!H197</f>
        <v>0</v>
      </c>
      <c r="AB198" s="19">
        <f t="shared" si="100"/>
        <v>0.98197554006092014</v>
      </c>
      <c r="AC198" s="19">
        <f t="shared" si="101"/>
        <v>0.99519142618801715</v>
      </c>
      <c r="AD198" s="8">
        <f t="shared" si="102"/>
        <v>28681.241858661062</v>
      </c>
      <c r="AE198" s="8">
        <f t="shared" si="103"/>
        <v>149887.77426546725</v>
      </c>
      <c r="AF198" s="8">
        <f t="shared" si="104"/>
        <v>3824.9567622325517</v>
      </c>
      <c r="AG198" s="8">
        <f t="shared" si="105"/>
        <v>0</v>
      </c>
      <c r="AH198" s="8">
        <f t="shared" si="85"/>
        <v>0</v>
      </c>
      <c r="AI198" s="8">
        <f t="shared" si="86"/>
        <v>133890.00944476895</v>
      </c>
      <c r="AJ198" s="8">
        <f t="shared" si="106"/>
        <v>3728.0831784002726</v>
      </c>
      <c r="AK198" s="8">
        <f t="shared" si="107"/>
        <v>0</v>
      </c>
      <c r="AL198" s="8">
        <f t="shared" si="108"/>
        <v>0</v>
      </c>
      <c r="AM198" s="8">
        <f t="shared" si="109"/>
        <v>35144.748688980355</v>
      </c>
      <c r="AN198" s="8">
        <f t="shared" si="110"/>
        <v>3637.5931204346157</v>
      </c>
      <c r="AO198" s="8">
        <f t="shared" si="111"/>
        <v>0</v>
      </c>
    </row>
    <row r="199" spans="1:41">
      <c r="A199" s="1">
        <v>41926</v>
      </c>
      <c r="B199" s="5">
        <v>197</v>
      </c>
      <c r="C199" s="3">
        <f>B199/365+input!$K$3</f>
        <v>0.53972602739726028</v>
      </c>
      <c r="D199" s="4">
        <f t="shared" si="87"/>
        <v>3.0391209059417248</v>
      </c>
      <c r="E199" s="12">
        <f t="shared" si="88"/>
        <v>0.38175333742900203</v>
      </c>
      <c r="F199" s="20">
        <f>input!E198</f>
        <v>76910.78</v>
      </c>
      <c r="G199" s="19">
        <f t="shared" si="89"/>
        <v>0</v>
      </c>
      <c r="H199" s="19">
        <f t="shared" si="90"/>
        <v>1.6907795021180738E-12</v>
      </c>
      <c r="I199" s="5">
        <v>562</v>
      </c>
      <c r="J199" s="3">
        <f>I199/365+input!$K$3</f>
        <v>1.5397260273972602</v>
      </c>
      <c r="K199" s="4">
        <f t="shared" si="91"/>
        <v>9.3750896528800425</v>
      </c>
      <c r="L199" s="12">
        <f t="shared" si="92"/>
        <v>11.206376180198934</v>
      </c>
      <c r="M199" s="20">
        <f>input!F198</f>
        <v>13385.48</v>
      </c>
      <c r="N199" s="19">
        <f t="shared" si="93"/>
        <v>0.89390093669115112</v>
      </c>
      <c r="O199" s="19">
        <f t="shared" si="94"/>
        <v>0.2660149504488869</v>
      </c>
      <c r="P199" s="21">
        <v>927</v>
      </c>
      <c r="Q199" s="3">
        <f>P199/365+input!$K$3</f>
        <v>2.5397260273972604</v>
      </c>
      <c r="R199" s="4">
        <f t="shared" si="95"/>
        <v>11.976991668069335</v>
      </c>
      <c r="S199" s="12">
        <f t="shared" si="96"/>
        <v>23.365880468672259</v>
      </c>
      <c r="T199" s="20">
        <f>input!G198</f>
        <v>163.41999999999999</v>
      </c>
      <c r="U199" s="19">
        <f t="shared" si="97"/>
        <v>0.97473503452209342</v>
      </c>
      <c r="V199" s="19">
        <f t="shared" si="84"/>
        <v>0.97597871399761849</v>
      </c>
      <c r="W199" s="21">
        <v>1292</v>
      </c>
      <c r="X199" s="3">
        <f>W199/365+input!$K$3</f>
        <v>3.5397260273972604</v>
      </c>
      <c r="Y199" s="4">
        <f t="shared" si="98"/>
        <v>12.589299260865312</v>
      </c>
      <c r="Z199" s="12">
        <f t="shared" si="99"/>
        <v>27.135859395209948</v>
      </c>
      <c r="AA199" s="20">
        <f>input!H198</f>
        <v>0</v>
      </c>
      <c r="AB199" s="19">
        <f t="shared" si="100"/>
        <v>0.98197554006092014</v>
      </c>
      <c r="AC199" s="19">
        <f t="shared" si="101"/>
        <v>0.99519142618801715</v>
      </c>
      <c r="AD199" s="8">
        <f t="shared" si="102"/>
        <v>29360.946949267742</v>
      </c>
      <c r="AE199" s="8">
        <f t="shared" si="103"/>
        <v>150002.72423252923</v>
      </c>
      <c r="AF199" s="8">
        <f t="shared" si="104"/>
        <v>3818.4521861904204</v>
      </c>
      <c r="AG199" s="8">
        <f t="shared" si="105"/>
        <v>0</v>
      </c>
      <c r="AH199" s="8">
        <f t="shared" si="85"/>
        <v>0</v>
      </c>
      <c r="AI199" s="8">
        <f t="shared" si="86"/>
        <v>134087.5756976823</v>
      </c>
      <c r="AJ199" s="8">
        <f t="shared" si="106"/>
        <v>3721.9791235272824</v>
      </c>
      <c r="AK199" s="8">
        <f t="shared" si="107"/>
        <v>0</v>
      </c>
      <c r="AL199" s="8">
        <f t="shared" si="108"/>
        <v>0</v>
      </c>
      <c r="AM199" s="8">
        <f t="shared" si="109"/>
        <v>35669.299805030329</v>
      </c>
      <c r="AN199" s="8">
        <f t="shared" si="110"/>
        <v>3632.5723985061404</v>
      </c>
      <c r="AO199" s="8">
        <f t="shared" si="111"/>
        <v>0</v>
      </c>
    </row>
    <row r="200" spans="1:41">
      <c r="A200" s="1">
        <v>41927</v>
      </c>
      <c r="B200" s="5">
        <v>198</v>
      </c>
      <c r="C200" s="3">
        <f>B200/365+input!$K$3</f>
        <v>0.54246575342465753</v>
      </c>
      <c r="D200" s="4">
        <f t="shared" si="87"/>
        <v>3.0653034441040683</v>
      </c>
      <c r="E200" s="12">
        <f t="shared" si="88"/>
        <v>0.39170519180025104</v>
      </c>
      <c r="F200" s="20">
        <f>input!E199</f>
        <v>76716.740000000005</v>
      </c>
      <c r="G200" s="19">
        <f t="shared" si="89"/>
        <v>0</v>
      </c>
      <c r="H200" s="19">
        <f t="shared" si="90"/>
        <v>2.0354701343845116E-12</v>
      </c>
      <c r="I200" s="5">
        <v>563</v>
      </c>
      <c r="J200" s="3">
        <f>I200/365+input!$K$3</f>
        <v>1.5424657534246575</v>
      </c>
      <c r="K200" s="4">
        <f t="shared" si="91"/>
        <v>9.3858416627980681</v>
      </c>
      <c r="L200" s="12">
        <f t="shared" si="92"/>
        <v>11.244977189703043</v>
      </c>
      <c r="M200" s="20">
        <f>input!F199</f>
        <v>13167.05</v>
      </c>
      <c r="N200" s="19">
        <f t="shared" si="93"/>
        <v>0.89452821665920723</v>
      </c>
      <c r="O200" s="19">
        <f t="shared" si="94"/>
        <v>0.26955535076495485</v>
      </c>
      <c r="P200" s="21">
        <v>928</v>
      </c>
      <c r="Q200" s="3">
        <f>P200/365+input!$K$3</f>
        <v>2.5424657534246577</v>
      </c>
      <c r="R200" s="4">
        <f t="shared" si="95"/>
        <v>11.981407042795823</v>
      </c>
      <c r="S200" s="12">
        <f t="shared" si="96"/>
        <v>23.391731824188348</v>
      </c>
      <c r="T200" s="20">
        <f>input!G199</f>
        <v>160.88</v>
      </c>
      <c r="U200" s="19">
        <f t="shared" si="97"/>
        <v>0.97479648210691416</v>
      </c>
      <c r="V200" s="19">
        <f t="shared" si="84"/>
        <v>0.97622717770234335</v>
      </c>
      <c r="W200" s="21">
        <v>1293</v>
      </c>
      <c r="X200" s="3">
        <f>W200/365+input!$K$3</f>
        <v>3.5424657534246577</v>
      </c>
      <c r="Y200" s="4">
        <f t="shared" si="98"/>
        <v>12.589299260865312</v>
      </c>
      <c r="Z200" s="12">
        <f t="shared" si="99"/>
        <v>27.135859395209948</v>
      </c>
      <c r="AA200" s="20">
        <f>input!H199</f>
        <v>0</v>
      </c>
      <c r="AB200" s="19">
        <f t="shared" si="100"/>
        <v>0.98197554006092014</v>
      </c>
      <c r="AC200" s="19">
        <f t="shared" si="101"/>
        <v>0.99519142618801715</v>
      </c>
      <c r="AD200" s="8">
        <f t="shared" si="102"/>
        <v>30050.345355989994</v>
      </c>
      <c r="AE200" s="8">
        <f t="shared" si="103"/>
        <v>148063.17690567946</v>
      </c>
      <c r="AF200" s="8">
        <f t="shared" si="104"/>
        <v>3763.2618158754212</v>
      </c>
      <c r="AG200" s="8">
        <f t="shared" si="105"/>
        <v>0</v>
      </c>
      <c r="AH200" s="8">
        <f t="shared" si="85"/>
        <v>0</v>
      </c>
      <c r="AI200" s="8">
        <f t="shared" si="86"/>
        <v>132446.68959033416</v>
      </c>
      <c r="AJ200" s="8">
        <f t="shared" si="106"/>
        <v>3668.4143793626386</v>
      </c>
      <c r="AK200" s="8">
        <f t="shared" si="107"/>
        <v>0</v>
      </c>
      <c r="AL200" s="8">
        <f t="shared" si="108"/>
        <v>0</v>
      </c>
      <c r="AM200" s="8">
        <f t="shared" si="109"/>
        <v>35701.713870179621</v>
      </c>
      <c r="AN200" s="8">
        <f t="shared" si="110"/>
        <v>3581.205816207882</v>
      </c>
      <c r="AO200" s="8">
        <f t="shared" si="111"/>
        <v>0</v>
      </c>
    </row>
    <row r="201" spans="1:41">
      <c r="A201" s="1">
        <v>41928</v>
      </c>
      <c r="B201" s="5">
        <v>199</v>
      </c>
      <c r="C201" s="3">
        <f>B201/365+input!$K$3</f>
        <v>0.54520547945205478</v>
      </c>
      <c r="D201" s="4">
        <f t="shared" si="87"/>
        <v>3.0914222176850576</v>
      </c>
      <c r="E201" s="12">
        <f t="shared" si="88"/>
        <v>0.40180365209384511</v>
      </c>
      <c r="F201" s="20">
        <f>input!E200</f>
        <v>76518.61</v>
      </c>
      <c r="G201" s="19">
        <f t="shared" si="89"/>
        <v>0</v>
      </c>
      <c r="H201" s="19">
        <f t="shared" si="90"/>
        <v>2.4476827824372907E-12</v>
      </c>
      <c r="I201" s="5">
        <v>564</v>
      </c>
      <c r="J201" s="3">
        <f>I201/365+input!$K$3</f>
        <v>1.5452054794520549</v>
      </c>
      <c r="K201" s="4">
        <f t="shared" si="91"/>
        <v>9.3965674874239387</v>
      </c>
      <c r="L201" s="12">
        <f t="shared" si="92"/>
        <v>11.2835724082395</v>
      </c>
      <c r="M201" s="20">
        <f>input!F200</f>
        <v>13131.69</v>
      </c>
      <c r="N201" s="19">
        <f t="shared" si="93"/>
        <v>0.89515027386658486</v>
      </c>
      <c r="O201" s="19">
        <f t="shared" si="94"/>
        <v>0.27311049937435661</v>
      </c>
      <c r="P201" s="21">
        <v>929</v>
      </c>
      <c r="Q201" s="3">
        <f>P201/365+input!$K$3</f>
        <v>2.5452054794520547</v>
      </c>
      <c r="R201" s="4">
        <f t="shared" si="95"/>
        <v>11.985811664381448</v>
      </c>
      <c r="S201" s="12">
        <f t="shared" si="96"/>
        <v>23.417539212550636</v>
      </c>
      <c r="T201" s="20">
        <f>input!G200</f>
        <v>160.44999999999999</v>
      </c>
      <c r="U201" s="19">
        <f t="shared" si="97"/>
        <v>0.97485763114008728</v>
      </c>
      <c r="V201" s="19">
        <f t="shared" si="84"/>
        <v>0.97647287995168319</v>
      </c>
      <c r="W201" s="21">
        <v>1294</v>
      </c>
      <c r="X201" s="3">
        <f>W201/365+input!$K$3</f>
        <v>3.5452054794520547</v>
      </c>
      <c r="Y201" s="4">
        <f t="shared" si="98"/>
        <v>12.589299260865312</v>
      </c>
      <c r="Z201" s="12">
        <f t="shared" si="99"/>
        <v>27.135859395209948</v>
      </c>
      <c r="AA201" s="20">
        <f>input!H200</f>
        <v>0</v>
      </c>
      <c r="AB201" s="19">
        <f t="shared" si="100"/>
        <v>0.98197554006092014</v>
      </c>
      <c r="AC201" s="19">
        <f t="shared" si="101"/>
        <v>0.99519142618801715</v>
      </c>
      <c r="AD201" s="8">
        <f t="shared" si="102"/>
        <v>30745.456951144617</v>
      </c>
      <c r="AE201" s="8">
        <f t="shared" si="103"/>
        <v>148172.37495755457</v>
      </c>
      <c r="AF201" s="8">
        <f t="shared" si="104"/>
        <v>3757.3441666537492</v>
      </c>
      <c r="AG201" s="8">
        <f t="shared" si="105"/>
        <v>0</v>
      </c>
      <c r="AH201" s="8">
        <f t="shared" si="85"/>
        <v>0</v>
      </c>
      <c r="AI201" s="8">
        <f t="shared" si="86"/>
        <v>132636.54202271727</v>
      </c>
      <c r="AJ201" s="8">
        <f t="shared" si="106"/>
        <v>3662.8756336820993</v>
      </c>
      <c r="AK201" s="8">
        <f t="shared" si="107"/>
        <v>0</v>
      </c>
      <c r="AL201" s="8">
        <f t="shared" si="108"/>
        <v>0</v>
      </c>
      <c r="AM201" s="8">
        <f t="shared" si="109"/>
        <v>36224.432227112149</v>
      </c>
      <c r="AN201" s="8">
        <f t="shared" si="110"/>
        <v>3576.6987189264059</v>
      </c>
      <c r="AO201" s="8">
        <f t="shared" si="111"/>
        <v>0</v>
      </c>
    </row>
    <row r="202" spans="1:41">
      <c r="A202" s="1">
        <v>41929</v>
      </c>
      <c r="B202" s="5">
        <v>200</v>
      </c>
      <c r="C202" s="3">
        <f>B202/365+input!$K$3</f>
        <v>0.54794520547945202</v>
      </c>
      <c r="D202" s="4">
        <f t="shared" si="87"/>
        <v>3.1174773819760482</v>
      </c>
      <c r="E202" s="12">
        <f t="shared" si="88"/>
        <v>0.41204897878871327</v>
      </c>
      <c r="F202" s="20">
        <f>input!E201</f>
        <v>76328.289999999994</v>
      </c>
      <c r="G202" s="19">
        <f t="shared" si="89"/>
        <v>0</v>
      </c>
      <c r="H202" s="19">
        <f t="shared" si="90"/>
        <v>2.9400912507277575E-12</v>
      </c>
      <c r="I202" s="5">
        <v>565</v>
      </c>
      <c r="J202" s="3">
        <f>I202/365+input!$K$3</f>
        <v>1.547945205479452</v>
      </c>
      <c r="K202" s="4">
        <f t="shared" si="91"/>
        <v>9.4072671905289411</v>
      </c>
      <c r="L202" s="12">
        <f t="shared" si="92"/>
        <v>11.322161521069768</v>
      </c>
      <c r="M202" s="20">
        <f>input!F201</f>
        <v>12922.85</v>
      </c>
      <c r="N202" s="19">
        <f t="shared" si="93"/>
        <v>0.89576716069594287</v>
      </c>
      <c r="O202" s="19">
        <f t="shared" si="94"/>
        <v>0.27667999020846495</v>
      </c>
      <c r="P202" s="21">
        <v>930</v>
      </c>
      <c r="Q202" s="3">
        <f>P202/365+input!$K$3</f>
        <v>2.547945205479452</v>
      </c>
      <c r="R202" s="4">
        <f t="shared" si="95"/>
        <v>11.990205559014258</v>
      </c>
      <c r="S202" s="12">
        <f t="shared" si="96"/>
        <v>23.443302655396067</v>
      </c>
      <c r="T202" s="20">
        <f>input!G201</f>
        <v>158.12</v>
      </c>
      <c r="U202" s="19">
        <f t="shared" si="97"/>
        <v>0.97491848343260457</v>
      </c>
      <c r="V202" s="19">
        <f t="shared" si="84"/>
        <v>0.97671585189920695</v>
      </c>
      <c r="W202" s="21">
        <v>1295</v>
      </c>
      <c r="X202" s="3">
        <f>W202/365+input!$K$3</f>
        <v>3.547945205479452</v>
      </c>
      <c r="Y202" s="4">
        <f t="shared" si="98"/>
        <v>12.589299260865312</v>
      </c>
      <c r="Z202" s="12">
        <f t="shared" si="99"/>
        <v>27.135859395209948</v>
      </c>
      <c r="AA202" s="20">
        <f>input!H201</f>
        <v>0</v>
      </c>
      <c r="AB202" s="19">
        <f t="shared" si="100"/>
        <v>0.98197554006092014</v>
      </c>
      <c r="AC202" s="19">
        <f t="shared" si="101"/>
        <v>0.99519142618801715</v>
      </c>
      <c r="AD202" s="8">
        <f t="shared" si="102"/>
        <v>31450.993947188752</v>
      </c>
      <c r="AE202" s="8">
        <f t="shared" si="103"/>
        <v>146314.59501255647</v>
      </c>
      <c r="AF202" s="8">
        <f t="shared" si="104"/>
        <v>3706.8550158712264</v>
      </c>
      <c r="AG202" s="8">
        <f t="shared" si="105"/>
        <v>0</v>
      </c>
      <c r="AH202" s="8">
        <f t="shared" si="85"/>
        <v>0</v>
      </c>
      <c r="AI202" s="8">
        <f t="shared" si="86"/>
        <v>131063.80934277448</v>
      </c>
      <c r="AJ202" s="8">
        <f t="shared" si="106"/>
        <v>3613.8814703777193</v>
      </c>
      <c r="AK202" s="8">
        <f t="shared" si="107"/>
        <v>0</v>
      </c>
      <c r="AL202" s="8">
        <f t="shared" si="108"/>
        <v>0</v>
      </c>
      <c r="AM202" s="8">
        <f t="shared" si="109"/>
        <v>36262.733485642959</v>
      </c>
      <c r="AN202" s="8">
        <f t="shared" si="110"/>
        <v>3529.7353190027329</v>
      </c>
      <c r="AO202" s="8">
        <f t="shared" si="111"/>
        <v>0</v>
      </c>
    </row>
    <row r="203" spans="1:41">
      <c r="A203" s="1">
        <v>41930</v>
      </c>
      <c r="B203" s="5">
        <v>201</v>
      </c>
      <c r="C203" s="3">
        <f>B203/365+input!$K$3</f>
        <v>0.55068493150684927</v>
      </c>
      <c r="D203" s="4">
        <f t="shared" si="87"/>
        <v>3.1434690918902009</v>
      </c>
      <c r="E203" s="12">
        <f t="shared" si="88"/>
        <v>0.42244141816702213</v>
      </c>
      <c r="F203" s="20">
        <f>input!E202</f>
        <v>76138.429999999993</v>
      </c>
      <c r="G203" s="19">
        <f t="shared" si="89"/>
        <v>0</v>
      </c>
      <c r="H203" s="19">
        <f t="shared" si="90"/>
        <v>3.5276410833541711E-12</v>
      </c>
      <c r="I203" s="5">
        <v>566</v>
      </c>
      <c r="J203" s="3">
        <f>I203/365+input!$K$3</f>
        <v>1.5506849315068494</v>
      </c>
      <c r="K203" s="4">
        <f t="shared" si="91"/>
        <v>9.417940835729059</v>
      </c>
      <c r="L203" s="12">
        <f t="shared" si="92"/>
        <v>11.360744215090419</v>
      </c>
      <c r="M203" s="20">
        <f>input!F202</f>
        <v>12890.71</v>
      </c>
      <c r="N203" s="19">
        <f t="shared" si="93"/>
        <v>0.89637892892452598</v>
      </c>
      <c r="O203" s="19">
        <f t="shared" si="94"/>
        <v>0.28026341494244023</v>
      </c>
      <c r="P203" s="21">
        <v>931</v>
      </c>
      <c r="Q203" s="3">
        <f>P203/365+input!$K$3</f>
        <v>2.5506849315068494</v>
      </c>
      <c r="R203" s="4">
        <f t="shared" si="95"/>
        <v>11.994588752818526</v>
      </c>
      <c r="S203" s="12">
        <f t="shared" si="96"/>
        <v>23.469022174673913</v>
      </c>
      <c r="T203" s="20">
        <f>input!G202</f>
        <v>157.72999999999999</v>
      </c>
      <c r="U203" s="19">
        <f t="shared" si="97"/>
        <v>0.97497904078228936</v>
      </c>
      <c r="V203" s="19">
        <f t="shared" si="84"/>
        <v>0.97695612436349866</v>
      </c>
      <c r="W203" s="21">
        <v>1296</v>
      </c>
      <c r="X203" s="3">
        <f>W203/365+input!$K$3</f>
        <v>3.5506849315068494</v>
      </c>
      <c r="Y203" s="4">
        <f t="shared" si="98"/>
        <v>12.589299260865312</v>
      </c>
      <c r="Z203" s="12">
        <f t="shared" si="99"/>
        <v>27.135859395209948</v>
      </c>
      <c r="AA203" s="20">
        <f>input!H202</f>
        <v>0</v>
      </c>
      <c r="AB203" s="19">
        <f t="shared" si="100"/>
        <v>0.98197554006092014</v>
      </c>
      <c r="AC203" s="19">
        <f t="shared" si="101"/>
        <v>0.99519142618801715</v>
      </c>
      <c r="AD203" s="8">
        <f t="shared" si="102"/>
        <v>32164.026346210539</v>
      </c>
      <c r="AE203" s="8">
        <f t="shared" si="103"/>
        <v>146448.05906090821</v>
      </c>
      <c r="AF203" s="8">
        <f t="shared" si="104"/>
        <v>3701.7688676113162</v>
      </c>
      <c r="AG203" s="8">
        <f t="shared" si="105"/>
        <v>0</v>
      </c>
      <c r="AH203" s="8">
        <f t="shared" si="85"/>
        <v>0</v>
      </c>
      <c r="AI203" s="8">
        <f t="shared" si="86"/>
        <v>131272.95432409263</v>
      </c>
      <c r="AJ203" s="8">
        <f t="shared" si="106"/>
        <v>3609.1470597414227</v>
      </c>
      <c r="AK203" s="8">
        <f t="shared" si="107"/>
        <v>0</v>
      </c>
      <c r="AL203" s="8">
        <f t="shared" si="108"/>
        <v>0</v>
      </c>
      <c r="AM203" s="8">
        <f t="shared" si="109"/>
        <v>36791.006468453175</v>
      </c>
      <c r="AN203" s="8">
        <f t="shared" si="110"/>
        <v>3525.9783237428969</v>
      </c>
      <c r="AO203" s="8">
        <f t="shared" si="111"/>
        <v>0</v>
      </c>
    </row>
    <row r="204" spans="1:41">
      <c r="A204" s="1">
        <v>41931</v>
      </c>
      <c r="B204" s="5">
        <v>202</v>
      </c>
      <c r="C204" s="3">
        <f>B204/365+input!$K$3</f>
        <v>0.55342465753424652</v>
      </c>
      <c r="D204" s="4">
        <f t="shared" si="87"/>
        <v>3.1693975019634029</v>
      </c>
      <c r="E204" s="12">
        <f t="shared" si="88"/>
        <v>0.43298120249168148</v>
      </c>
      <c r="F204" s="20">
        <f>input!E203</f>
        <v>75949.05</v>
      </c>
      <c r="G204" s="19">
        <f t="shared" si="89"/>
        <v>0</v>
      </c>
      <c r="H204" s="19">
        <f t="shared" si="90"/>
        <v>4.2279368602477234E-12</v>
      </c>
      <c r="I204" s="5">
        <v>567</v>
      </c>
      <c r="J204" s="3">
        <f>I204/365+input!$K$3</f>
        <v>1.5534246575342465</v>
      </c>
      <c r="K204" s="4">
        <f t="shared" si="91"/>
        <v>9.4285884864853386</v>
      </c>
      <c r="L204" s="12">
        <f t="shared" si="92"/>
        <v>11.399320178830202</v>
      </c>
      <c r="M204" s="20">
        <f>input!F203</f>
        <v>12674.75</v>
      </c>
      <c r="N204" s="19">
        <f t="shared" si="93"/>
        <v>0.89698562973201024</v>
      </c>
      <c r="O204" s="19">
        <f t="shared" si="94"/>
        <v>0.28386036316576291</v>
      </c>
      <c r="P204" s="21">
        <v>932</v>
      </c>
      <c r="Q204" s="3">
        <f>P204/365+input!$K$3</f>
        <v>2.5534246575342467</v>
      </c>
      <c r="R204" s="4">
        <f t="shared" si="95"/>
        <v>11.99896127185489</v>
      </c>
      <c r="S204" s="12">
        <f t="shared" si="96"/>
        <v>23.494697792643539</v>
      </c>
      <c r="T204" s="20">
        <f>input!G203</f>
        <v>155.15</v>
      </c>
      <c r="U204" s="19">
        <f t="shared" si="97"/>
        <v>0.97503930497390667</v>
      </c>
      <c r="V204" s="19">
        <f t="shared" si="84"/>
        <v>0.97719372783117575</v>
      </c>
      <c r="W204" s="21">
        <v>1297</v>
      </c>
      <c r="X204" s="3">
        <f>W204/365+input!$K$3</f>
        <v>3.5534246575342467</v>
      </c>
      <c r="Y204" s="4">
        <f t="shared" si="98"/>
        <v>12.589299260865312</v>
      </c>
      <c r="Z204" s="12">
        <f t="shared" si="99"/>
        <v>27.135859395209948</v>
      </c>
      <c r="AA204" s="20">
        <f>input!H203</f>
        <v>0</v>
      </c>
      <c r="AB204" s="19">
        <f t="shared" si="100"/>
        <v>0.98197554006092014</v>
      </c>
      <c r="AC204" s="19">
        <f t="shared" si="101"/>
        <v>0.99519142618801715</v>
      </c>
      <c r="AD204" s="8">
        <f t="shared" si="102"/>
        <v>32884.510997100842</v>
      </c>
      <c r="AE204" s="8">
        <f t="shared" si="103"/>
        <v>144483.53343662809</v>
      </c>
      <c r="AF204" s="8">
        <f t="shared" si="104"/>
        <v>3645.2023625286452</v>
      </c>
      <c r="AG204" s="8">
        <f t="shared" si="105"/>
        <v>0</v>
      </c>
      <c r="AH204" s="8">
        <f t="shared" si="85"/>
        <v>0</v>
      </c>
      <c r="AI204" s="8">
        <f t="shared" si="86"/>
        <v>129599.6532255598</v>
      </c>
      <c r="AJ204" s="8">
        <f t="shared" si="106"/>
        <v>3554.2155780491726</v>
      </c>
      <c r="AK204" s="8">
        <f t="shared" si="107"/>
        <v>0</v>
      </c>
      <c r="AL204" s="8">
        <f t="shared" si="108"/>
        <v>0</v>
      </c>
      <c r="AM204" s="8">
        <f t="shared" si="109"/>
        <v>36788.20463076434</v>
      </c>
      <c r="AN204" s="8">
        <f t="shared" si="110"/>
        <v>3473.1571702295082</v>
      </c>
      <c r="AO204" s="8">
        <f t="shared" si="111"/>
        <v>0</v>
      </c>
    </row>
    <row r="205" spans="1:41">
      <c r="A205" s="1">
        <v>41932</v>
      </c>
      <c r="B205" s="5">
        <v>203</v>
      </c>
      <c r="C205" s="3">
        <f>B205/365+input!$K$3</f>
        <v>0.55616438356164388</v>
      </c>
      <c r="D205" s="4">
        <f t="shared" si="87"/>
        <v>3.19526276635519</v>
      </c>
      <c r="E205" s="12">
        <f t="shared" si="88"/>
        <v>0.44366855018216356</v>
      </c>
      <c r="F205" s="20">
        <f>input!E204</f>
        <v>75760.149999999994</v>
      </c>
      <c r="G205" s="19">
        <f t="shared" si="89"/>
        <v>0</v>
      </c>
      <c r="H205" s="19">
        <f t="shared" si="90"/>
        <v>5.0616919810288582E-12</v>
      </c>
      <c r="I205" s="5">
        <v>568</v>
      </c>
      <c r="J205" s="3">
        <f>I205/365+input!$K$3</f>
        <v>1.5561643835616439</v>
      </c>
      <c r="K205" s="4">
        <f t="shared" si="91"/>
        <v>9.4392102061042866</v>
      </c>
      <c r="L205" s="12">
        <f t="shared" si="92"/>
        <v>11.43788910244721</v>
      </c>
      <c r="M205" s="20">
        <f>input!F204</f>
        <v>12643.23</v>
      </c>
      <c r="N205" s="19">
        <f t="shared" si="93"/>
        <v>0.89758731370823652</v>
      </c>
      <c r="O205" s="19">
        <f t="shared" si="94"/>
        <v>0.28747042255219768</v>
      </c>
      <c r="P205" s="21">
        <v>933</v>
      </c>
      <c r="Q205" s="3">
        <f>P205/365+input!$K$3</f>
        <v>2.5561643835616437</v>
      </c>
      <c r="R205" s="4">
        <f t="shared" si="95"/>
        <v>12.003323142120534</v>
      </c>
      <c r="S205" s="12">
        <f t="shared" si="96"/>
        <v>23.520329531872388</v>
      </c>
      <c r="T205" s="20">
        <f>input!G204</f>
        <v>154.76</v>
      </c>
      <c r="U205" s="19">
        <f t="shared" si="97"/>
        <v>0.97509927777927319</v>
      </c>
      <c r="V205" s="19">
        <f t="shared" si="84"/>
        <v>0.97742869245989705</v>
      </c>
      <c r="W205" s="21">
        <v>1298</v>
      </c>
      <c r="X205" s="3">
        <f>W205/365+input!$K$3</f>
        <v>3.5561643835616437</v>
      </c>
      <c r="Y205" s="4">
        <f t="shared" si="98"/>
        <v>12.589299260865312</v>
      </c>
      <c r="Z205" s="12">
        <f t="shared" si="99"/>
        <v>27.135859395209948</v>
      </c>
      <c r="AA205" s="20">
        <f>input!H204</f>
        <v>0</v>
      </c>
      <c r="AB205" s="19">
        <f t="shared" si="100"/>
        <v>0.98197554006092014</v>
      </c>
      <c r="AC205" s="19">
        <f t="shared" si="101"/>
        <v>0.99519142618801715</v>
      </c>
      <c r="AD205" s="8">
        <f t="shared" si="102"/>
        <v>33612.395912083237</v>
      </c>
      <c r="AE205" s="8">
        <f t="shared" si="103"/>
        <v>144611.86263673363</v>
      </c>
      <c r="AF205" s="8">
        <f t="shared" si="104"/>
        <v>3640.0061983525707</v>
      </c>
      <c r="AG205" s="8">
        <f t="shared" si="105"/>
        <v>0</v>
      </c>
      <c r="AH205" s="8">
        <f t="shared" si="85"/>
        <v>0</v>
      </c>
      <c r="AI205" s="8">
        <f t="shared" si="86"/>
        <v>129801.77331445023</v>
      </c>
      <c r="AJ205" s="8">
        <f t="shared" si="106"/>
        <v>3549.3674151256696</v>
      </c>
      <c r="AK205" s="8">
        <f t="shared" si="107"/>
        <v>0</v>
      </c>
      <c r="AL205" s="8">
        <f t="shared" si="108"/>
        <v>0</v>
      </c>
      <c r="AM205" s="8">
        <f t="shared" si="109"/>
        <v>37314.17062272958</v>
      </c>
      <c r="AN205" s="8">
        <f t="shared" si="110"/>
        <v>3469.2535516260477</v>
      </c>
      <c r="AO205" s="8">
        <f t="shared" si="111"/>
        <v>0</v>
      </c>
    </row>
    <row r="206" spans="1:41">
      <c r="A206" s="1">
        <v>41933</v>
      </c>
      <c r="B206" s="5">
        <v>204</v>
      </c>
      <c r="C206" s="3">
        <f>B206/365+input!$K$3</f>
        <v>0.55890410958904113</v>
      </c>
      <c r="D206" s="4">
        <f t="shared" si="87"/>
        <v>3.2210650388496518</v>
      </c>
      <c r="E206" s="12">
        <f t="shared" si="88"/>
        <v>0.45450366598864123</v>
      </c>
      <c r="F206" s="20">
        <f>input!E205</f>
        <v>75568.89</v>
      </c>
      <c r="G206" s="19">
        <f t="shared" si="89"/>
        <v>0</v>
      </c>
      <c r="H206" s="19">
        <f t="shared" si="90"/>
        <v>6.0532504178015432E-12</v>
      </c>
      <c r="I206" s="5">
        <v>569</v>
      </c>
      <c r="J206" s="3">
        <f>I206/365+input!$K$3</f>
        <v>1.558904109589041</v>
      </c>
      <c r="K206" s="4">
        <f t="shared" si="91"/>
        <v>9.4498060577382219</v>
      </c>
      <c r="L206" s="12">
        <f t="shared" si="92"/>
        <v>11.476450677725838</v>
      </c>
      <c r="M206" s="20">
        <f>input!F205</f>
        <v>12417.92</v>
      </c>
      <c r="N206" s="19">
        <f t="shared" si="93"/>
        <v>0.8981840308608332</v>
      </c>
      <c r="O206" s="19">
        <f t="shared" si="94"/>
        <v>0.29109317902905396</v>
      </c>
      <c r="P206" s="21">
        <v>934</v>
      </c>
      <c r="Q206" s="3">
        <f>P206/365+input!$K$3</f>
        <v>2.558904109589041</v>
      </c>
      <c r="R206" s="4">
        <f t="shared" si="95"/>
        <v>12.007674389549319</v>
      </c>
      <c r="S206" s="12">
        <f t="shared" si="96"/>
        <v>23.545917415233685</v>
      </c>
      <c r="T206" s="20">
        <f>input!G205</f>
        <v>151.94</v>
      </c>
      <c r="U206" s="19">
        <f t="shared" si="97"/>
        <v>0.97515896095736554</v>
      </c>
      <c r="V206" s="19">
        <f t="shared" si="84"/>
        <v>0.9776610480813559</v>
      </c>
      <c r="W206" s="21">
        <v>1299</v>
      </c>
      <c r="X206" s="3">
        <f>W206/365+input!$K$3</f>
        <v>3.558904109589041</v>
      </c>
      <c r="Y206" s="4">
        <f t="shared" si="98"/>
        <v>12.589299260865312</v>
      </c>
      <c r="Z206" s="12">
        <f t="shared" si="99"/>
        <v>27.135859395209948</v>
      </c>
      <c r="AA206" s="20">
        <f>input!H205</f>
        <v>0</v>
      </c>
      <c r="AB206" s="19">
        <f t="shared" si="100"/>
        <v>0.98197554006092014</v>
      </c>
      <c r="AC206" s="19">
        <f t="shared" si="101"/>
        <v>0.99519142618801715</v>
      </c>
      <c r="AD206" s="8">
        <f t="shared" si="102"/>
        <v>34346.337539692373</v>
      </c>
      <c r="AE206" s="8">
        <f t="shared" si="103"/>
        <v>142513.64639994522</v>
      </c>
      <c r="AF206" s="8">
        <f t="shared" si="104"/>
        <v>3577.5666920706062</v>
      </c>
      <c r="AG206" s="8">
        <f t="shared" si="105"/>
        <v>0</v>
      </c>
      <c r="AH206" s="8">
        <f t="shared" si="85"/>
        <v>0</v>
      </c>
      <c r="AI206" s="8">
        <f t="shared" si="86"/>
        <v>128003.48137617827</v>
      </c>
      <c r="AJ206" s="8">
        <f t="shared" si="106"/>
        <v>3488.6962181952517</v>
      </c>
      <c r="AK206" s="8">
        <f t="shared" si="107"/>
        <v>0</v>
      </c>
      <c r="AL206" s="8">
        <f t="shared" si="108"/>
        <v>0</v>
      </c>
      <c r="AM206" s="8">
        <f t="shared" si="109"/>
        <v>37260.940320578033</v>
      </c>
      <c r="AN206" s="8">
        <f t="shared" si="110"/>
        <v>3410.7624011182324</v>
      </c>
      <c r="AO206" s="8">
        <f t="shared" si="111"/>
        <v>0</v>
      </c>
    </row>
    <row r="207" spans="1:41">
      <c r="A207" s="1">
        <v>41934</v>
      </c>
      <c r="B207" s="5">
        <v>205</v>
      </c>
      <c r="C207" s="3">
        <f>B207/365+input!$K$3</f>
        <v>0.56164383561643838</v>
      </c>
      <c r="D207" s="4">
        <f t="shared" si="87"/>
        <v>3.2468044728563639</v>
      </c>
      <c r="E207" s="12">
        <f t="shared" si="88"/>
        <v>0.4654867411644793</v>
      </c>
      <c r="F207" s="20">
        <f>input!E206</f>
        <v>75362.67</v>
      </c>
      <c r="G207" s="19">
        <f t="shared" si="89"/>
        <v>0</v>
      </c>
      <c r="H207" s="19">
        <f t="shared" si="90"/>
        <v>7.2311912598616593E-12</v>
      </c>
      <c r="I207" s="5">
        <v>570</v>
      </c>
      <c r="J207" s="3">
        <f>I207/365+input!$K$3</f>
        <v>1.5616438356164384</v>
      </c>
      <c r="K207" s="4">
        <f t="shared" si="91"/>
        <v>9.4603761043856682</v>
      </c>
      <c r="L207" s="12">
        <f t="shared" si="92"/>
        <v>11.515004598073848</v>
      </c>
      <c r="M207" s="20">
        <f>input!F206</f>
        <v>12383.96</v>
      </c>
      <c r="N207" s="19">
        <f t="shared" si="93"/>
        <v>0.8987758306227307</v>
      </c>
      <c r="O207" s="19">
        <f t="shared" si="94"/>
        <v>0.29472821694566687</v>
      </c>
      <c r="P207" s="21">
        <v>935</v>
      </c>
      <c r="Q207" s="3">
        <f>P207/365+input!$K$3</f>
        <v>2.5616438356164384</v>
      </c>
      <c r="R207" s="4">
        <f t="shared" si="95"/>
        <v>12.012015040011955</v>
      </c>
      <c r="S207" s="12">
        <f t="shared" si="96"/>
        <v>23.571461465904413</v>
      </c>
      <c r="T207" s="20">
        <f>input!G206</f>
        <v>151.54</v>
      </c>
      <c r="U207" s="19">
        <f t="shared" si="97"/>
        <v>0.97521835625442754</v>
      </c>
      <c r="V207" s="19">
        <f t="shared" si="84"/>
        <v>0.97789082420426343</v>
      </c>
      <c r="W207" s="21">
        <v>1300</v>
      </c>
      <c r="X207" s="3">
        <f>W207/365+input!$K$3</f>
        <v>3.5616438356164384</v>
      </c>
      <c r="Y207" s="4">
        <f t="shared" si="98"/>
        <v>12.589299260865312</v>
      </c>
      <c r="Z207" s="12">
        <f t="shared" si="99"/>
        <v>27.135859395209948</v>
      </c>
      <c r="AA207" s="20">
        <f>input!H206</f>
        <v>0</v>
      </c>
      <c r="AB207" s="19">
        <f t="shared" si="100"/>
        <v>0.98197554006092014</v>
      </c>
      <c r="AC207" s="19">
        <f t="shared" si="101"/>
        <v>0.99519142618801715</v>
      </c>
      <c r="AD207" s="8">
        <f t="shared" si="102"/>
        <v>35080.323663754069</v>
      </c>
      <c r="AE207" s="8">
        <f t="shared" si="103"/>
        <v>142601.35634236259</v>
      </c>
      <c r="AF207" s="8">
        <f t="shared" si="104"/>
        <v>3572.0192705431546</v>
      </c>
      <c r="AG207" s="8">
        <f t="shared" si="105"/>
        <v>0</v>
      </c>
      <c r="AH207" s="8">
        <f t="shared" si="85"/>
        <v>0</v>
      </c>
      <c r="AI207" s="8">
        <f t="shared" si="86"/>
        <v>128166.65249453494</v>
      </c>
      <c r="AJ207" s="8">
        <f t="shared" si="106"/>
        <v>3483.4987615282344</v>
      </c>
      <c r="AK207" s="8">
        <f t="shared" si="107"/>
        <v>0</v>
      </c>
      <c r="AL207" s="8">
        <f t="shared" si="108"/>
        <v>0</v>
      </c>
      <c r="AM207" s="8">
        <f t="shared" si="109"/>
        <v>37774.328961609186</v>
      </c>
      <c r="AN207" s="8">
        <f t="shared" si="110"/>
        <v>3406.4814750253759</v>
      </c>
      <c r="AO207" s="8">
        <f t="shared" si="111"/>
        <v>0</v>
      </c>
    </row>
    <row r="208" spans="1:41">
      <c r="A208" s="1">
        <v>41935</v>
      </c>
      <c r="B208" s="5">
        <v>206</v>
      </c>
      <c r="C208" s="3">
        <f>B208/365+input!$K$3</f>
        <v>0.56438356164383563</v>
      </c>
      <c r="D208" s="4">
        <f t="shared" si="87"/>
        <v>3.2724812214112853</v>
      </c>
      <c r="E208" s="12">
        <f t="shared" si="88"/>
        <v>0.47661795363706588</v>
      </c>
      <c r="F208" s="20">
        <f>input!E207</f>
        <v>75113.37</v>
      </c>
      <c r="G208" s="19">
        <f t="shared" si="89"/>
        <v>0</v>
      </c>
      <c r="H208" s="19">
        <f t="shared" si="90"/>
        <v>8.6290283900675528E-12</v>
      </c>
      <c r="I208" s="5">
        <v>571</v>
      </c>
      <c r="J208" s="3">
        <f>I208/365+input!$K$3</f>
        <v>1.5643835616438355</v>
      </c>
      <c r="K208" s="4">
        <f t="shared" si="91"/>
        <v>9.47092040889172</v>
      </c>
      <c r="L208" s="12">
        <f t="shared" si="92"/>
        <v>11.55355055851933</v>
      </c>
      <c r="M208" s="20">
        <f>input!F207</f>
        <v>12113.03</v>
      </c>
      <c r="N208" s="19">
        <f t="shared" si="93"/>
        <v>0.89936276185956987</v>
      </c>
      <c r="O208" s="19">
        <f t="shared" si="94"/>
        <v>0.29837511924097071</v>
      </c>
      <c r="P208" s="21">
        <v>936</v>
      </c>
      <c r="Q208" s="3">
        <f>P208/365+input!$K$3</f>
        <v>2.5643835616438357</v>
      </c>
      <c r="R208" s="4">
        <f t="shared" si="95"/>
        <v>12.016345119316137</v>
      </c>
      <c r="S208" s="12">
        <f t="shared" si="96"/>
        <v>23.596961707363082</v>
      </c>
      <c r="T208" s="20">
        <f>input!G207</f>
        <v>147.22</v>
      </c>
      <c r="U208" s="19">
        <f t="shared" si="97"/>
        <v>0.97527746540407678</v>
      </c>
      <c r="V208" s="19">
        <f t="shared" si="84"/>
        <v>0.97811805001731655</v>
      </c>
      <c r="W208" s="21">
        <v>1301</v>
      </c>
      <c r="X208" s="3">
        <f>W208/365+input!$K$3</f>
        <v>3.5643835616438357</v>
      </c>
      <c r="Y208" s="4">
        <f t="shared" si="98"/>
        <v>12.589299260865312</v>
      </c>
      <c r="Z208" s="12">
        <f t="shared" si="99"/>
        <v>27.135859395209948</v>
      </c>
      <c r="AA208" s="20">
        <f>input!H207</f>
        <v>0</v>
      </c>
      <c r="AB208" s="19">
        <f t="shared" si="100"/>
        <v>0.98197554006092014</v>
      </c>
      <c r="AC208" s="19">
        <f t="shared" si="101"/>
        <v>0.99519142618801715</v>
      </c>
      <c r="AD208" s="8">
        <f t="shared" si="102"/>
        <v>35800.38070018377</v>
      </c>
      <c r="AE208" s="8">
        <f t="shared" si="103"/>
        <v>139948.50452186141</v>
      </c>
      <c r="AF208" s="8">
        <f t="shared" si="104"/>
        <v>3473.944702557993</v>
      </c>
      <c r="AG208" s="8">
        <f t="shared" si="105"/>
        <v>0</v>
      </c>
      <c r="AH208" s="8">
        <f t="shared" si="85"/>
        <v>0</v>
      </c>
      <c r="AI208" s="8">
        <f t="shared" si="86"/>
        <v>125864.47354489779</v>
      </c>
      <c r="AJ208" s="8">
        <f t="shared" si="106"/>
        <v>3388.059984464679</v>
      </c>
      <c r="AK208" s="8">
        <f t="shared" si="107"/>
        <v>0</v>
      </c>
      <c r="AL208" s="8">
        <f t="shared" si="108"/>
        <v>0</v>
      </c>
      <c r="AM208" s="8">
        <f t="shared" si="109"/>
        <v>37554.827302160884</v>
      </c>
      <c r="AN208" s="8">
        <f t="shared" si="110"/>
        <v>3313.9226253462916</v>
      </c>
      <c r="AO208" s="8">
        <f t="shared" si="111"/>
        <v>0</v>
      </c>
    </row>
    <row r="209" spans="1:41">
      <c r="A209" s="1">
        <v>41936</v>
      </c>
      <c r="B209" s="5">
        <v>207</v>
      </c>
      <c r="C209" s="3">
        <f>B209/365+input!$K$3</f>
        <v>0.56712328767123288</v>
      </c>
      <c r="D209" s="4">
        <f t="shared" si="87"/>
        <v>3.2980954371776732</v>
      </c>
      <c r="E209" s="12">
        <f t="shared" si="88"/>
        <v>0.48789746817701923</v>
      </c>
      <c r="F209" s="20">
        <f>input!E208</f>
        <v>74924.97</v>
      </c>
      <c r="G209" s="19">
        <f t="shared" si="89"/>
        <v>0</v>
      </c>
      <c r="H209" s="19">
        <f t="shared" si="90"/>
        <v>1.0286019345194612E-11</v>
      </c>
      <c r="I209" s="5">
        <v>572</v>
      </c>
      <c r="J209" s="3">
        <f>I209/365+input!$K$3</f>
        <v>1.5671232876712329</v>
      </c>
      <c r="K209" s="4">
        <f t="shared" si="91"/>
        <v>9.481439033948428</v>
      </c>
      <c r="L209" s="12">
        <f t="shared" si="92"/>
        <v>11.592088255707669</v>
      </c>
      <c r="M209" s="20">
        <f>input!F208</f>
        <v>12082.42</v>
      </c>
      <c r="N209" s="19">
        <f t="shared" si="93"/>
        <v>0.89994487287700431</v>
      </c>
      <c r="O209" s="19">
        <f t="shared" si="94"/>
        <v>0.30203346761008093</v>
      </c>
      <c r="P209" s="21">
        <v>937</v>
      </c>
      <c r="Q209" s="3">
        <f>P209/365+input!$K$3</f>
        <v>2.5671232876712327</v>
      </c>
      <c r="R209" s="4">
        <f t="shared" si="95"/>
        <v>12.020664653206717</v>
      </c>
      <c r="S209" s="12">
        <f t="shared" si="96"/>
        <v>23.622418163387714</v>
      </c>
      <c r="T209" s="20">
        <f>input!G208</f>
        <v>146.84</v>
      </c>
      <c r="U209" s="19">
        <f t="shared" si="97"/>
        <v>0.97533629012741041</v>
      </c>
      <c r="V209" s="19">
        <f t="shared" si="84"/>
        <v>0.97834275439215479</v>
      </c>
      <c r="W209" s="21">
        <v>1302</v>
      </c>
      <c r="X209" s="3">
        <f>W209/365+input!$K$3</f>
        <v>3.5671232876712327</v>
      </c>
      <c r="Y209" s="4">
        <f t="shared" si="98"/>
        <v>12.589299260865312</v>
      </c>
      <c r="Z209" s="12">
        <f t="shared" si="99"/>
        <v>27.135859395209948</v>
      </c>
      <c r="AA209" s="20">
        <f>input!H208</f>
        <v>0</v>
      </c>
      <c r="AB209" s="19">
        <f t="shared" si="100"/>
        <v>0.98197554006092014</v>
      </c>
      <c r="AC209" s="19">
        <f t="shared" si="101"/>
        <v>0.99519142618801715</v>
      </c>
      <c r="AD209" s="8">
        <f t="shared" si="102"/>
        <v>36555.703166239124</v>
      </c>
      <c r="AE209" s="8">
        <f t="shared" si="103"/>
        <v>140060.47898252745</v>
      </c>
      <c r="AF209" s="8">
        <f t="shared" si="104"/>
        <v>3468.7158831118518</v>
      </c>
      <c r="AG209" s="8">
        <f t="shared" si="105"/>
        <v>0</v>
      </c>
      <c r="AH209" s="8">
        <f t="shared" si="85"/>
        <v>0</v>
      </c>
      <c r="AI209" s="8">
        <f t="shared" si="86"/>
        <v>126046.709953023</v>
      </c>
      <c r="AJ209" s="8">
        <f t="shared" si="106"/>
        <v>3383.1644809403379</v>
      </c>
      <c r="AK209" s="8">
        <f t="shared" si="107"/>
        <v>0</v>
      </c>
      <c r="AL209" s="8">
        <f t="shared" si="108"/>
        <v>0</v>
      </c>
      <c r="AM209" s="8">
        <f t="shared" si="109"/>
        <v>38070.32488795364</v>
      </c>
      <c r="AN209" s="8">
        <f t="shared" si="110"/>
        <v>3309.8944568448746</v>
      </c>
      <c r="AO209" s="8">
        <f t="shared" si="111"/>
        <v>0</v>
      </c>
    </row>
    <row r="210" spans="1:41">
      <c r="A210" s="1">
        <v>41937</v>
      </c>
      <c r="B210" s="5">
        <v>208</v>
      </c>
      <c r="C210" s="3">
        <f>B210/365+input!$K$3</f>
        <v>0.56986301369863013</v>
      </c>
      <c r="D210" s="4">
        <f t="shared" si="87"/>
        <v>3.3236472724469937</v>
      </c>
      <c r="E210" s="12">
        <f t="shared" si="88"/>
        <v>0.49932543656577771</v>
      </c>
      <c r="F210" s="20">
        <f>input!E209</f>
        <v>74738.55</v>
      </c>
      <c r="G210" s="19">
        <f t="shared" si="89"/>
        <v>0</v>
      </c>
      <c r="H210" s="19">
        <f t="shared" si="90"/>
        <v>1.2248099343822587E-11</v>
      </c>
      <c r="I210" s="5">
        <v>573</v>
      </c>
      <c r="J210" s="3">
        <f>I210/365+input!$K$3</f>
        <v>1.5698630136986302</v>
      </c>
      <c r="K210" s="4">
        <f t="shared" si="91"/>
        <v>9.4919320420951561</v>
      </c>
      <c r="L210" s="12">
        <f t="shared" si="92"/>
        <v>11.630617387898408</v>
      </c>
      <c r="M210" s="20">
        <f>input!F209</f>
        <v>11818.46</v>
      </c>
      <c r="N210" s="19">
        <f t="shared" si="93"/>
        <v>0.90052221142789901</v>
      </c>
      <c r="O210" s="19">
        <f t="shared" si="94"/>
        <v>0.30570284266976766</v>
      </c>
      <c r="P210" s="21">
        <v>938</v>
      </c>
      <c r="Q210" s="3">
        <f>P210/365+input!$K$3</f>
        <v>2.56986301369863</v>
      </c>
      <c r="R210" s="4">
        <f t="shared" si="95"/>
        <v>12.024973667365849</v>
      </c>
      <c r="S210" s="12">
        <f t="shared" si="96"/>
        <v>23.64783085805367</v>
      </c>
      <c r="T210" s="20">
        <f>input!G209</f>
        <v>142.87</v>
      </c>
      <c r="U210" s="19">
        <f t="shared" si="97"/>
        <v>0.97539483213310896</v>
      </c>
      <c r="V210" s="19">
        <f t="shared" si="84"/>
        <v>0.97856496588630237</v>
      </c>
      <c r="W210" s="21">
        <v>1303</v>
      </c>
      <c r="X210" s="3">
        <f>W210/365+input!$K$3</f>
        <v>3.56986301369863</v>
      </c>
      <c r="Y210" s="4">
        <f t="shared" si="98"/>
        <v>12.589299260865312</v>
      </c>
      <c r="Z210" s="12">
        <f t="shared" si="99"/>
        <v>27.135859395209948</v>
      </c>
      <c r="AA210" s="20">
        <f>input!H209</f>
        <v>0</v>
      </c>
      <c r="AB210" s="19">
        <f t="shared" si="100"/>
        <v>0.98197554006092014</v>
      </c>
      <c r="AC210" s="19">
        <f t="shared" si="101"/>
        <v>0.99519142618801715</v>
      </c>
      <c r="AD210" s="8">
        <f t="shared" si="102"/>
        <v>37318.859107043208</v>
      </c>
      <c r="AE210" s="8">
        <f t="shared" si="103"/>
        <v>137455.98637418181</v>
      </c>
      <c r="AF210" s="8">
        <f t="shared" si="104"/>
        <v>3378.5655946901279</v>
      </c>
      <c r="AG210" s="8">
        <f t="shared" si="105"/>
        <v>0</v>
      </c>
      <c r="AH210" s="8">
        <f t="shared" si="85"/>
        <v>0</v>
      </c>
      <c r="AI210" s="8">
        <f t="shared" si="86"/>
        <v>123782.16882368136</v>
      </c>
      <c r="AJ210" s="8">
        <f t="shared" si="106"/>
        <v>3295.4354210834749</v>
      </c>
      <c r="AK210" s="8">
        <f t="shared" si="107"/>
        <v>0</v>
      </c>
      <c r="AL210" s="8">
        <f t="shared" si="108"/>
        <v>0</v>
      </c>
      <c r="AM210" s="8">
        <f t="shared" si="109"/>
        <v>37840.560881228485</v>
      </c>
      <c r="AN210" s="8">
        <f t="shared" si="110"/>
        <v>3224.7976504130629</v>
      </c>
      <c r="AO210" s="8">
        <f t="shared" si="111"/>
        <v>0</v>
      </c>
    </row>
    <row r="211" spans="1:41">
      <c r="A211" s="1">
        <v>41938</v>
      </c>
      <c r="B211" s="5">
        <v>209</v>
      </c>
      <c r="C211" s="3">
        <f>B211/365+input!$K$3</f>
        <v>0.57260273972602738</v>
      </c>
      <c r="D211" s="4">
        <f t="shared" si="87"/>
        <v>3.3491368791398242</v>
      </c>
      <c r="E211" s="12">
        <f t="shared" si="88"/>
        <v>0.51090199776158052</v>
      </c>
      <c r="F211" s="20">
        <f>input!E210</f>
        <v>74552.649999999994</v>
      </c>
      <c r="G211" s="19">
        <f t="shared" si="89"/>
        <v>0</v>
      </c>
      <c r="H211" s="19">
        <f t="shared" si="90"/>
        <v>1.4568958640440619E-11</v>
      </c>
      <c r="I211" s="5">
        <v>574</v>
      </c>
      <c r="J211" s="3">
        <f>I211/365+input!$K$3</f>
        <v>1.5726027397260274</v>
      </c>
      <c r="K211" s="4">
        <f t="shared" si="91"/>
        <v>9.5023994957189597</v>
      </c>
      <c r="L211" s="12">
        <f t="shared" si="92"/>
        <v>11.669137654962134</v>
      </c>
      <c r="M211" s="20">
        <f>input!F210</f>
        <v>11789.06</v>
      </c>
      <c r="N211" s="19">
        <f t="shared" si="93"/>
        <v>0.90109482471942803</v>
      </c>
      <c r="O211" s="19">
        <f t="shared" si="94"/>
        <v>0.30938282412274326</v>
      </c>
      <c r="P211" s="21">
        <v>939</v>
      </c>
      <c r="Q211" s="3">
        <f>P211/365+input!$K$3</f>
        <v>2.5726027397260274</v>
      </c>
      <c r="R211" s="4">
        <f t="shared" si="95"/>
        <v>12.029272187413133</v>
      </c>
      <c r="S211" s="12">
        <f t="shared" si="96"/>
        <v>23.673199815731511</v>
      </c>
      <c r="T211" s="20">
        <f>input!G210</f>
        <v>142.52000000000001</v>
      </c>
      <c r="U211" s="19">
        <f t="shared" si="97"/>
        <v>0.97545309311753992</v>
      </c>
      <c r="V211" s="19">
        <f t="shared" si="84"/>
        <v>0.97878471274609602</v>
      </c>
      <c r="W211" s="21">
        <v>1304</v>
      </c>
      <c r="X211" s="3">
        <f>W211/365+input!$K$3</f>
        <v>3.5726027397260274</v>
      </c>
      <c r="Y211" s="4">
        <f t="shared" si="98"/>
        <v>12.589299260865312</v>
      </c>
      <c r="Z211" s="12">
        <f t="shared" si="99"/>
        <v>27.135859395209948</v>
      </c>
      <c r="AA211" s="20">
        <f>input!H210</f>
        <v>0</v>
      </c>
      <c r="AB211" s="19">
        <f t="shared" si="100"/>
        <v>0.98197554006092014</v>
      </c>
      <c r="AC211" s="19">
        <f t="shared" si="101"/>
        <v>0.99519142618801715</v>
      </c>
      <c r="AD211" s="8">
        <f t="shared" si="102"/>
        <v>38089.097823419892</v>
      </c>
      <c r="AE211" s="8">
        <f t="shared" si="103"/>
        <v>137568.16396260788</v>
      </c>
      <c r="AF211" s="8">
        <f t="shared" si="104"/>
        <v>3373.9044377380551</v>
      </c>
      <c r="AG211" s="8">
        <f t="shared" si="105"/>
        <v>0</v>
      </c>
      <c r="AH211" s="8">
        <f t="shared" si="85"/>
        <v>0</v>
      </c>
      <c r="AI211" s="8">
        <f t="shared" si="86"/>
        <v>123961.96059285969</v>
      </c>
      <c r="AJ211" s="8">
        <f t="shared" si="106"/>
        <v>3291.0855196745802</v>
      </c>
      <c r="AK211" s="8">
        <f t="shared" si="107"/>
        <v>0</v>
      </c>
      <c r="AL211" s="8">
        <f t="shared" si="108"/>
        <v>0</v>
      </c>
      <c r="AM211" s="8">
        <f t="shared" si="109"/>
        <v>38351.701452011141</v>
      </c>
      <c r="AN211" s="8">
        <f t="shared" si="110"/>
        <v>3221.26419499752</v>
      </c>
      <c r="AO211" s="8">
        <f t="shared" si="111"/>
        <v>0</v>
      </c>
    </row>
    <row r="212" spans="1:41">
      <c r="A212" s="1">
        <v>41939</v>
      </c>
      <c r="B212" s="5">
        <v>210</v>
      </c>
      <c r="C212" s="3">
        <f>B212/365+input!$K$3</f>
        <v>0.57534246575342463</v>
      </c>
      <c r="D212" s="4">
        <f t="shared" si="87"/>
        <v>3.3745644088067519</v>
      </c>
      <c r="E212" s="12">
        <f t="shared" si="88"/>
        <v>0.52262727806385889</v>
      </c>
      <c r="F212" s="20">
        <f>input!E211</f>
        <v>74367.22</v>
      </c>
      <c r="G212" s="19">
        <f t="shared" si="89"/>
        <v>0</v>
      </c>
      <c r="H212" s="19">
        <f t="shared" si="90"/>
        <v>1.7311283811276356E-11</v>
      </c>
      <c r="I212" s="5">
        <v>575</v>
      </c>
      <c r="J212" s="3">
        <f>I212/365+input!$K$3</f>
        <v>1.5753424657534247</v>
      </c>
      <c r="K212" s="4">
        <f t="shared" si="91"/>
        <v>9.5128414570549662</v>
      </c>
      <c r="L212" s="12">
        <f t="shared" si="92"/>
        <v>11.707648758377367</v>
      </c>
      <c r="M212" s="20">
        <f>input!F211</f>
        <v>11531.56</v>
      </c>
      <c r="N212" s="19">
        <f t="shared" si="93"/>
        <v>0.90166275942007046</v>
      </c>
      <c r="O212" s="19">
        <f t="shared" si="94"/>
        <v>0.3130729909206631</v>
      </c>
      <c r="P212" s="21">
        <v>940</v>
      </c>
      <c r="Q212" s="3">
        <f>P212/365+input!$K$3</f>
        <v>2.5753424657534247</v>
      </c>
      <c r="R212" s="4">
        <f t="shared" si="95"/>
        <v>12.033560238905782</v>
      </c>
      <c r="S212" s="12">
        <f t="shared" si="96"/>
        <v>23.698525061085014</v>
      </c>
      <c r="T212" s="20">
        <f>input!G211</f>
        <v>138.69999999999999</v>
      </c>
      <c r="U212" s="19">
        <f t="shared" si="97"/>
        <v>0.97551107476486087</v>
      </c>
      <c r="V212" s="19">
        <f t="shared" si="84"/>
        <v>0.9790020229095997</v>
      </c>
      <c r="W212" s="21">
        <v>1305</v>
      </c>
      <c r="X212" s="3">
        <f>W212/365+input!$K$3</f>
        <v>3.5753424657534247</v>
      </c>
      <c r="Y212" s="4">
        <f t="shared" si="98"/>
        <v>12.589299260865312</v>
      </c>
      <c r="Z212" s="12">
        <f t="shared" si="99"/>
        <v>27.135859395209948</v>
      </c>
      <c r="AA212" s="20">
        <f>input!H211</f>
        <v>0</v>
      </c>
      <c r="AB212" s="19">
        <f t="shared" si="100"/>
        <v>0.98197554006092014</v>
      </c>
      <c r="AC212" s="19">
        <f t="shared" si="101"/>
        <v>0.99519142618801715</v>
      </c>
      <c r="AD212" s="8">
        <f t="shared" si="102"/>
        <v>38866.337765776167</v>
      </c>
      <c r="AE212" s="8">
        <f t="shared" si="103"/>
        <v>135007.45411615411</v>
      </c>
      <c r="AF212" s="8">
        <f t="shared" si="104"/>
        <v>3286.9854259724912</v>
      </c>
      <c r="AG212" s="8">
        <f t="shared" si="105"/>
        <v>0</v>
      </c>
      <c r="AH212" s="8">
        <f t="shared" si="85"/>
        <v>0</v>
      </c>
      <c r="AI212" s="8">
        <f t="shared" si="86"/>
        <v>121731.19362065007</v>
      </c>
      <c r="AJ212" s="8">
        <f t="shared" si="106"/>
        <v>3206.490685626859</v>
      </c>
      <c r="AK212" s="8">
        <f t="shared" si="107"/>
        <v>0</v>
      </c>
      <c r="AL212" s="8">
        <f t="shared" si="108"/>
        <v>0</v>
      </c>
      <c r="AM212" s="8">
        <f t="shared" si="109"/>
        <v>38110.748875159261</v>
      </c>
      <c r="AN212" s="8">
        <f t="shared" si="110"/>
        <v>3139.1608676694841</v>
      </c>
      <c r="AO212" s="8">
        <f t="shared" si="111"/>
        <v>0</v>
      </c>
    </row>
    <row r="213" spans="1:41">
      <c r="A213" s="1">
        <v>41940</v>
      </c>
      <c r="B213" s="5">
        <v>211</v>
      </c>
      <c r="C213" s="3">
        <f>B213/365+input!$K$3</f>
        <v>0.57808219178082187</v>
      </c>
      <c r="D213" s="4">
        <f t="shared" si="87"/>
        <v>3.3999300126292873</v>
      </c>
      <c r="E213" s="12">
        <f t="shared" si="88"/>
        <v>0.53450139127605611</v>
      </c>
      <c r="F213" s="20">
        <f>input!E212</f>
        <v>74181.98</v>
      </c>
      <c r="G213" s="19">
        <f t="shared" si="89"/>
        <v>0</v>
      </c>
      <c r="H213" s="19">
        <f t="shared" si="90"/>
        <v>2.0548186326429373E-11</v>
      </c>
      <c r="I213" s="5">
        <v>576</v>
      </c>
      <c r="J213" s="3">
        <f>I213/365+input!$K$3</f>
        <v>1.5780821917808219</v>
      </c>
      <c r="K213" s="4">
        <f t="shared" si="91"/>
        <v>9.5232579881867263</v>
      </c>
      <c r="L213" s="12">
        <f t="shared" si="92"/>
        <v>11.746150401227284</v>
      </c>
      <c r="M213" s="20">
        <f>input!F212</f>
        <v>11502.82</v>
      </c>
      <c r="N213" s="19">
        <f t="shared" si="93"/>
        <v>0.9022260616665092</v>
      </c>
      <c r="O213" s="19">
        <f t="shared" si="94"/>
        <v>0.31677292142573737</v>
      </c>
      <c r="P213" s="21">
        <v>941</v>
      </c>
      <c r="Q213" s="3">
        <f>P213/365+input!$K$3</f>
        <v>2.5780821917808221</v>
      </c>
      <c r="R213" s="4">
        <f t="shared" si="95"/>
        <v>12.037837847338762</v>
      </c>
      <c r="S213" s="12">
        <f t="shared" si="96"/>
        <v>23.72380661906897</v>
      </c>
      <c r="T213" s="20">
        <f>input!G212</f>
        <v>138.36000000000001</v>
      </c>
      <c r="U213" s="19">
        <f t="shared" si="97"/>
        <v>0.97556877874712034</v>
      </c>
      <c r="V213" s="19">
        <f t="shared" si="84"/>
        <v>0.97921692400950422</v>
      </c>
      <c r="W213" s="21">
        <v>1306</v>
      </c>
      <c r="X213" s="3">
        <f>W213/365+input!$K$3</f>
        <v>3.5780821917808221</v>
      </c>
      <c r="Y213" s="4">
        <f t="shared" si="98"/>
        <v>12.589299260865312</v>
      </c>
      <c r="Z213" s="12">
        <f t="shared" si="99"/>
        <v>27.135859395209948</v>
      </c>
      <c r="AA213" s="20">
        <f>input!H212</f>
        <v>0</v>
      </c>
      <c r="AB213" s="19">
        <f t="shared" si="100"/>
        <v>0.98197554006092014</v>
      </c>
      <c r="AC213" s="19">
        <f t="shared" si="101"/>
        <v>0.99519142618801715</v>
      </c>
      <c r="AD213" s="8">
        <f t="shared" si="102"/>
        <v>39650.37151761257</v>
      </c>
      <c r="AE213" s="8">
        <f t="shared" si="103"/>
        <v>135113.85375824524</v>
      </c>
      <c r="AF213" s="8">
        <f t="shared" si="104"/>
        <v>3282.4258838143828</v>
      </c>
      <c r="AG213" s="8">
        <f t="shared" si="105"/>
        <v>0</v>
      </c>
      <c r="AH213" s="8">
        <f t="shared" si="85"/>
        <v>0</v>
      </c>
      <c r="AI213" s="8">
        <f t="shared" si="86"/>
        <v>121903.24015288628</v>
      </c>
      <c r="AJ213" s="8">
        <f t="shared" si="106"/>
        <v>3202.2322108007347</v>
      </c>
      <c r="AK213" s="8">
        <f t="shared" si="107"/>
        <v>0</v>
      </c>
      <c r="AL213" s="8">
        <f t="shared" si="108"/>
        <v>0</v>
      </c>
      <c r="AM213" s="8">
        <f t="shared" si="109"/>
        <v>38615.645514493037</v>
      </c>
      <c r="AN213" s="8">
        <f t="shared" si="110"/>
        <v>3135.6799754244498</v>
      </c>
      <c r="AO213" s="8">
        <f t="shared" si="111"/>
        <v>0</v>
      </c>
    </row>
    <row r="214" spans="1:41">
      <c r="A214" s="1">
        <v>41941</v>
      </c>
      <c r="B214" s="5">
        <v>212</v>
      </c>
      <c r="C214" s="3">
        <f>B214/365+input!$K$3</f>
        <v>0.58082191780821912</v>
      </c>
      <c r="D214" s="4">
        <f t="shared" si="87"/>
        <v>3.4252338414207482</v>
      </c>
      <c r="E214" s="12">
        <f t="shared" si="88"/>
        <v>0.54652443886687352</v>
      </c>
      <c r="F214" s="20">
        <f>input!E213</f>
        <v>73997.03</v>
      </c>
      <c r="G214" s="19">
        <f t="shared" si="89"/>
        <v>0</v>
      </c>
      <c r="H214" s="19">
        <f t="shared" si="90"/>
        <v>2.4364844847759905E-11</v>
      </c>
      <c r="I214" s="5">
        <v>577</v>
      </c>
      <c r="J214" s="3">
        <f>I214/365+input!$K$3</f>
        <v>1.5808219178082192</v>
      </c>
      <c r="K214" s="4">
        <f t="shared" si="91"/>
        <v>9.5336491510466015</v>
      </c>
      <c r="L214" s="12">
        <f t="shared" si="92"/>
        <v>11.784642288196567</v>
      </c>
      <c r="M214" s="20">
        <f>input!F213</f>
        <v>11256.07</v>
      </c>
      <c r="N214" s="19">
        <f t="shared" si="93"/>
        <v>0.9027847770704307</v>
      </c>
      <c r="O214" s="19">
        <f t="shared" si="94"/>
        <v>0.32048219357088953</v>
      </c>
      <c r="P214" s="21">
        <v>942</v>
      </c>
      <c r="Q214" s="3">
        <f>P214/365+input!$K$3</f>
        <v>2.580821917808219</v>
      </c>
      <c r="R214" s="4">
        <f t="shared" si="95"/>
        <v>12.042105038144957</v>
      </c>
      <c r="S214" s="12">
        <f t="shared" si="96"/>
        <v>23.74904451492722</v>
      </c>
      <c r="T214" s="20">
        <f>input!G213</f>
        <v>134.47</v>
      </c>
      <c r="U214" s="19">
        <f t="shared" si="97"/>
        <v>0.9756262067243584</v>
      </c>
      <c r="V214" s="19">
        <f t="shared" si="84"/>
        <v>0.97942944337601223</v>
      </c>
      <c r="W214" s="21">
        <v>1307</v>
      </c>
      <c r="X214" s="3">
        <f>W214/365+input!$K$3</f>
        <v>3.580821917808219</v>
      </c>
      <c r="Y214" s="4">
        <f t="shared" si="98"/>
        <v>12.589299260865312</v>
      </c>
      <c r="Z214" s="12">
        <f t="shared" si="99"/>
        <v>27.135859395209948</v>
      </c>
      <c r="AA214" s="20">
        <f>input!H213</f>
        <v>0</v>
      </c>
      <c r="AB214" s="19">
        <f t="shared" si="100"/>
        <v>0.98197554006092014</v>
      </c>
      <c r="AC214" s="19">
        <f t="shared" si="101"/>
        <v>0.99519142618801715</v>
      </c>
      <c r="AD214" s="8">
        <f t="shared" si="102"/>
        <v>40441.185298565208</v>
      </c>
      <c r="AE214" s="8">
        <f t="shared" si="103"/>
        <v>132648.75852090074</v>
      </c>
      <c r="AF214" s="8">
        <f t="shared" si="104"/>
        <v>3193.5340159222633</v>
      </c>
      <c r="AG214" s="8">
        <f t="shared" si="105"/>
        <v>0</v>
      </c>
      <c r="AH214" s="8">
        <f t="shared" si="85"/>
        <v>0</v>
      </c>
      <c r="AI214" s="8">
        <f t="shared" si="86"/>
        <v>119753.27988996077</v>
      </c>
      <c r="AJ214" s="8">
        <f t="shared" si="106"/>
        <v>3115.6954779994444</v>
      </c>
      <c r="AK214" s="8">
        <f t="shared" si="107"/>
        <v>0</v>
      </c>
      <c r="AL214" s="8">
        <f t="shared" si="108"/>
        <v>0</v>
      </c>
      <c r="AM214" s="8">
        <f t="shared" si="109"/>
        <v>38378.793826443318</v>
      </c>
      <c r="AN214" s="8">
        <f t="shared" si="110"/>
        <v>3051.6038877461542</v>
      </c>
      <c r="AO214" s="8">
        <f t="shared" si="111"/>
        <v>0</v>
      </c>
    </row>
    <row r="215" spans="1:41">
      <c r="A215" s="1">
        <v>41942</v>
      </c>
      <c r="B215" s="5">
        <v>213</v>
      </c>
      <c r="C215" s="3">
        <f>B215/365+input!$K$3</f>
        <v>0.58356164383561648</v>
      </c>
      <c r="D215" s="4">
        <f t="shared" si="87"/>
        <v>3.450476045627171</v>
      </c>
      <c r="E215" s="12">
        <f t="shared" si="88"/>
        <v>0.55869651012997745</v>
      </c>
      <c r="F215" s="20">
        <f>input!E214</f>
        <v>73812.92</v>
      </c>
      <c r="G215" s="19">
        <f t="shared" si="89"/>
        <v>0</v>
      </c>
      <c r="H215" s="19">
        <f t="shared" si="90"/>
        <v>2.8860391149477647E-11</v>
      </c>
      <c r="I215" s="5">
        <v>578</v>
      </c>
      <c r="J215" s="3">
        <f>I215/365+input!$K$3</f>
        <v>1.5835616438356164</v>
      </c>
      <c r="K215" s="4">
        <f t="shared" si="91"/>
        <v>9.5440150074161174</v>
      </c>
      <c r="L215" s="12">
        <f t="shared" si="92"/>
        <v>11.8231241255681</v>
      </c>
      <c r="M215" s="20">
        <f>input!F214</f>
        <v>11228.06</v>
      </c>
      <c r="N215" s="19">
        <f t="shared" si="93"/>
        <v>0.90333895072522996</v>
      </c>
      <c r="O215" s="19">
        <f t="shared" si="94"/>
        <v>0.3242003850183503</v>
      </c>
      <c r="P215" s="21">
        <v>943</v>
      </c>
      <c r="Q215" s="3">
        <f>P215/365+input!$K$3</f>
        <v>2.5835616438356164</v>
      </c>
      <c r="R215" s="4">
        <f t="shared" si="95"/>
        <v>12.046361836695302</v>
      </c>
      <c r="S215" s="12">
        <f t="shared" si="96"/>
        <v>23.774238774190483</v>
      </c>
      <c r="T215" s="20">
        <f>input!G214</f>
        <v>134.13</v>
      </c>
      <c r="U215" s="19">
        <f t="shared" si="97"/>
        <v>0.9756833603447066</v>
      </c>
      <c r="V215" s="19">
        <f t="shared" si="84"/>
        <v>0.97963960803970762</v>
      </c>
      <c r="W215" s="21">
        <v>1308</v>
      </c>
      <c r="X215" s="3">
        <f>W215/365+input!$K$3</f>
        <v>3.5835616438356164</v>
      </c>
      <c r="Y215" s="4">
        <f t="shared" si="98"/>
        <v>12.589299260865312</v>
      </c>
      <c r="Z215" s="12">
        <f t="shared" si="99"/>
        <v>27.135859395209948</v>
      </c>
      <c r="AA215" s="20">
        <f>input!H214</f>
        <v>0</v>
      </c>
      <c r="AB215" s="19">
        <f t="shared" si="100"/>
        <v>0.98197554006092014</v>
      </c>
      <c r="AC215" s="19">
        <f t="shared" si="101"/>
        <v>0.99519142618801715</v>
      </c>
      <c r="AD215" s="8">
        <f t="shared" si="102"/>
        <v>41239.020806503213</v>
      </c>
      <c r="AE215" s="8">
        <f t="shared" si="103"/>
        <v>132750.74706932614</v>
      </c>
      <c r="AF215" s="8">
        <f t="shared" si="104"/>
        <v>3188.8386467821692</v>
      </c>
      <c r="AG215" s="8">
        <f t="shared" si="105"/>
        <v>0</v>
      </c>
      <c r="AH215" s="8">
        <f t="shared" si="85"/>
        <v>0</v>
      </c>
      <c r="AI215" s="8">
        <f t="shared" si="86"/>
        <v>119918.92056559547</v>
      </c>
      <c r="AJ215" s="8">
        <f t="shared" si="106"/>
        <v>3111.296806489494</v>
      </c>
      <c r="AK215" s="8">
        <f t="shared" si="107"/>
        <v>0</v>
      </c>
      <c r="AL215" s="8">
        <f t="shared" si="108"/>
        <v>0</v>
      </c>
      <c r="AM215" s="8">
        <f t="shared" si="109"/>
        <v>38877.760218351017</v>
      </c>
      <c r="AN215" s="8">
        <f t="shared" si="110"/>
        <v>3047.949584004562</v>
      </c>
      <c r="AO215" s="8">
        <f t="shared" si="111"/>
        <v>0</v>
      </c>
    </row>
    <row r="216" spans="1:41">
      <c r="A216" s="1">
        <v>41943</v>
      </c>
      <c r="B216" s="5">
        <v>214</v>
      </c>
      <c r="C216" s="3">
        <f>B216/365+input!$K$3</f>
        <v>0.58630136986301373</v>
      </c>
      <c r="D216" s="4">
        <f t="shared" si="87"/>
        <v>3.4756567753281922</v>
      </c>
      <c r="E216" s="12">
        <f t="shared" si="88"/>
        <v>0.57101768234215711</v>
      </c>
      <c r="F216" s="20">
        <f>input!E215</f>
        <v>73629.33</v>
      </c>
      <c r="G216" s="19">
        <f t="shared" si="89"/>
        <v>0</v>
      </c>
      <c r="H216" s="19">
        <f t="shared" si="90"/>
        <v>3.415007342873483E-11</v>
      </c>
      <c r="I216" s="5">
        <v>579</v>
      </c>
      <c r="J216" s="3">
        <f>I216/365+input!$K$3</f>
        <v>1.5863013698630137</v>
      </c>
      <c r="K216" s="4">
        <f t="shared" si="91"/>
        <v>9.5543556189263441</v>
      </c>
      <c r="L216" s="12">
        <f t="shared" si="92"/>
        <v>11.861595621219717</v>
      </c>
      <c r="M216" s="20">
        <f>input!F215</f>
        <v>10991.98</v>
      </c>
      <c r="N216" s="19">
        <f t="shared" si="93"/>
        <v>0.90388862721262075</v>
      </c>
      <c r="O216" s="19">
        <f t="shared" si="94"/>
        <v>0.32792707331662652</v>
      </c>
      <c r="P216" s="21">
        <v>944</v>
      </c>
      <c r="Q216" s="3">
        <f>P216/365+input!$K$3</f>
        <v>2.5863013698630137</v>
      </c>
      <c r="R216" s="4">
        <f t="shared" si="95"/>
        <v>12.050608268298955</v>
      </c>
      <c r="S216" s="12">
        <f t="shared" si="96"/>
        <v>23.799389422674405</v>
      </c>
      <c r="T216" s="20">
        <f>input!G215</f>
        <v>130.38</v>
      </c>
      <c r="U216" s="19">
        <f t="shared" si="97"/>
        <v>0.97574024124448688</v>
      </c>
      <c r="V216" s="19">
        <f t="shared" si="84"/>
        <v>0.97984744473441054</v>
      </c>
      <c r="W216" s="21">
        <v>1309</v>
      </c>
      <c r="X216" s="3">
        <f>W216/365+input!$K$3</f>
        <v>3.5863013698630137</v>
      </c>
      <c r="Y216" s="4">
        <f t="shared" si="98"/>
        <v>12.589299260865312</v>
      </c>
      <c r="Z216" s="12">
        <f t="shared" si="99"/>
        <v>27.135859395209948</v>
      </c>
      <c r="AA216" s="20">
        <f>input!H215</f>
        <v>0</v>
      </c>
      <c r="AB216" s="19">
        <f t="shared" si="100"/>
        <v>0.98197554006092014</v>
      </c>
      <c r="AC216" s="19">
        <f t="shared" si="101"/>
        <v>0.99519142618801715</v>
      </c>
      <c r="AD216" s="8">
        <f t="shared" si="102"/>
        <v>42043.649369005856</v>
      </c>
      <c r="AE216" s="8">
        <f t="shared" si="103"/>
        <v>130382.4218365347</v>
      </c>
      <c r="AF216" s="8">
        <f t="shared" si="104"/>
        <v>3102.9643929282888</v>
      </c>
      <c r="AG216" s="8">
        <f t="shared" si="105"/>
        <v>0</v>
      </c>
      <c r="AH216" s="8">
        <f t="shared" si="85"/>
        <v>0</v>
      </c>
      <c r="AI216" s="8">
        <f t="shared" si="86"/>
        <v>117851.18828648218</v>
      </c>
      <c r="AJ216" s="8">
        <f t="shared" si="106"/>
        <v>3027.6872253289011</v>
      </c>
      <c r="AK216" s="8">
        <f t="shared" si="107"/>
        <v>0</v>
      </c>
      <c r="AL216" s="8">
        <f t="shared" si="108"/>
        <v>0</v>
      </c>
      <c r="AM216" s="8">
        <f t="shared" si="109"/>
        <v>38646.595261672795</v>
      </c>
      <c r="AN216" s="8">
        <f t="shared" si="110"/>
        <v>2966.6715911935412</v>
      </c>
      <c r="AO216" s="8">
        <f t="shared" si="111"/>
        <v>0</v>
      </c>
    </row>
    <row r="217" spans="1:41">
      <c r="A217" s="1">
        <v>41944</v>
      </c>
      <c r="B217" s="5">
        <v>215</v>
      </c>
      <c r="C217" s="3">
        <f>B217/365+input!$K$3</f>
        <v>0.58904109589041098</v>
      </c>
      <c r="D217" s="4">
        <f t="shared" si="87"/>
        <v>3.5007761802379491</v>
      </c>
      <c r="E217" s="12">
        <f t="shared" si="88"/>
        <v>0.58348802091996932</v>
      </c>
      <c r="F217" s="20">
        <f>input!E216</f>
        <v>73446.19</v>
      </c>
      <c r="G217" s="19">
        <f t="shared" si="89"/>
        <v>0</v>
      </c>
      <c r="H217" s="19">
        <f t="shared" si="90"/>
        <v>4.0367735100863783E-11</v>
      </c>
      <c r="I217" s="5">
        <v>580</v>
      </c>
      <c r="J217" s="3">
        <f>I217/365+input!$K$3</f>
        <v>1.5890410958904109</v>
      </c>
      <c r="K217" s="4">
        <f t="shared" si="91"/>
        <v>9.5646710470582512</v>
      </c>
      <c r="L217" s="12">
        <f t="shared" si="92"/>
        <v>11.900056484620855</v>
      </c>
      <c r="M217" s="20">
        <f>input!F216</f>
        <v>10964.64</v>
      </c>
      <c r="N217" s="19">
        <f t="shared" si="93"/>
        <v>0.90443385060915338</v>
      </c>
      <c r="O217" s="19">
        <f t="shared" si="94"/>
        <v>0.33166183605574684</v>
      </c>
      <c r="P217" s="21">
        <v>945</v>
      </c>
      <c r="Q217" s="3">
        <f>P217/365+input!$K$3</f>
        <v>2.5890410958904111</v>
      </c>
      <c r="R217" s="4">
        <f t="shared" si="95"/>
        <v>12.054844358203427</v>
      </c>
      <c r="S217" s="12">
        <f t="shared" si="96"/>
        <v>23.824496486477422</v>
      </c>
      <c r="T217" s="20">
        <f>input!G216</f>
        <v>130.06</v>
      </c>
      <c r="U217" s="19">
        <f t="shared" si="97"/>
        <v>0.9757968510483086</v>
      </c>
      <c r="V217" s="19">
        <f t="shared" si="84"/>
        <v>0.98005297990001616</v>
      </c>
      <c r="W217" s="21">
        <v>1310</v>
      </c>
      <c r="X217" s="3">
        <f>W217/365+input!$K$3</f>
        <v>3.5890410958904111</v>
      </c>
      <c r="Y217" s="4">
        <f t="shared" si="98"/>
        <v>12.589299260865312</v>
      </c>
      <c r="Z217" s="12">
        <f t="shared" si="99"/>
        <v>27.135859395209948</v>
      </c>
      <c r="AA217" s="20">
        <f>input!H216</f>
        <v>0</v>
      </c>
      <c r="AB217" s="19">
        <f t="shared" si="100"/>
        <v>0.98197554006092014</v>
      </c>
      <c r="AC217" s="19">
        <f t="shared" si="101"/>
        <v>0.99519142618801715</v>
      </c>
      <c r="AD217" s="8">
        <f t="shared" si="102"/>
        <v>42854.972047212046</v>
      </c>
      <c r="AE217" s="8">
        <f t="shared" si="103"/>
        <v>130479.83533353321</v>
      </c>
      <c r="AF217" s="8">
        <f t="shared" si="104"/>
        <v>3098.6140130312533</v>
      </c>
      <c r="AG217" s="8">
        <f t="shared" si="105"/>
        <v>0</v>
      </c>
      <c r="AH217" s="8">
        <f t="shared" si="85"/>
        <v>0</v>
      </c>
      <c r="AI217" s="8">
        <f t="shared" si="86"/>
        <v>118010.3798975557</v>
      </c>
      <c r="AJ217" s="8">
        <f t="shared" si="106"/>
        <v>3023.6177965300594</v>
      </c>
      <c r="AK217" s="8">
        <f t="shared" si="107"/>
        <v>0</v>
      </c>
      <c r="AL217" s="8">
        <f t="shared" si="108"/>
        <v>0</v>
      </c>
      <c r="AM217" s="8">
        <f t="shared" si="109"/>
        <v>39139.539270459522</v>
      </c>
      <c r="AN217" s="8">
        <f t="shared" si="110"/>
        <v>2963.3056315680055</v>
      </c>
      <c r="AO217" s="8">
        <f t="shared" si="111"/>
        <v>0</v>
      </c>
    </row>
    <row r="218" spans="1:41">
      <c r="A218" s="1">
        <v>41945</v>
      </c>
      <c r="B218" s="5">
        <v>216</v>
      </c>
      <c r="C218" s="3">
        <f>B218/365+input!$K$3</f>
        <v>0.59178082191780823</v>
      </c>
      <c r="D218" s="4">
        <f t="shared" si="87"/>
        <v>3.5258344097059648</v>
      </c>
      <c r="E218" s="12">
        <f t="shared" si="88"/>
        <v>0.59610757957486338</v>
      </c>
      <c r="F218" s="20">
        <f>input!E217</f>
        <v>73263.509999999995</v>
      </c>
      <c r="G218" s="19">
        <f t="shared" si="89"/>
        <v>0</v>
      </c>
      <c r="H218" s="19">
        <f t="shared" si="90"/>
        <v>4.7668652006246311E-11</v>
      </c>
      <c r="I218" s="5">
        <v>581</v>
      </c>
      <c r="J218" s="3">
        <f>I218/365+input!$K$3</f>
        <v>1.5917808219178082</v>
      </c>
      <c r="K218" s="4">
        <f t="shared" si="91"/>
        <v>9.5749613531430811</v>
      </c>
      <c r="L218" s="12">
        <f t="shared" si="92"/>
        <v>11.938506426829219</v>
      </c>
      <c r="M218" s="20">
        <f>input!F217</f>
        <v>10739.96</v>
      </c>
      <c r="N218" s="19">
        <f t="shared" si="93"/>
        <v>0.90497466449264008</v>
      </c>
      <c r="O218" s="19">
        <f t="shared" si="94"/>
        <v>0.33540425102072147</v>
      </c>
      <c r="P218" s="21">
        <v>946</v>
      </c>
      <c r="Q218" s="3">
        <f>P218/365+input!$K$3</f>
        <v>2.591780821917808</v>
      </c>
      <c r="R218" s="4">
        <f t="shared" si="95"/>
        <v>12.059070131594742</v>
      </c>
      <c r="S218" s="12">
        <f t="shared" si="96"/>
        <v>23.849559991978765</v>
      </c>
      <c r="T218" s="20">
        <f>input!G217</f>
        <v>126.5</v>
      </c>
      <c r="U218" s="19">
        <f t="shared" si="97"/>
        <v>0.97585319136916604</v>
      </c>
      <c r="V218" s="19">
        <f t="shared" si="84"/>
        <v>0.98025623968531761</v>
      </c>
      <c r="W218" s="21">
        <v>1311</v>
      </c>
      <c r="X218" s="3">
        <f>W218/365+input!$K$3</f>
        <v>3.591780821917808</v>
      </c>
      <c r="Y218" s="4">
        <f t="shared" si="98"/>
        <v>12.589299260865312</v>
      </c>
      <c r="Z218" s="12">
        <f t="shared" si="99"/>
        <v>27.135859395209948</v>
      </c>
      <c r="AA218" s="20">
        <f>input!H217</f>
        <v>0</v>
      </c>
      <c r="AB218" s="19">
        <f t="shared" si="100"/>
        <v>0.98197554006092014</v>
      </c>
      <c r="AC218" s="19">
        <f t="shared" si="101"/>
        <v>0.99519142618801715</v>
      </c>
      <c r="AD218" s="8">
        <f t="shared" si="102"/>
        <v>43672.933617258794</v>
      </c>
      <c r="AE218" s="8">
        <f t="shared" si="103"/>
        <v>128219.08148388873</v>
      </c>
      <c r="AF218" s="8">
        <f t="shared" si="104"/>
        <v>3016.9693389853137</v>
      </c>
      <c r="AG218" s="8">
        <f t="shared" si="105"/>
        <v>0</v>
      </c>
      <c r="AH218" s="8">
        <f t="shared" si="85"/>
        <v>0</v>
      </c>
      <c r="AI218" s="8">
        <f t="shared" si="86"/>
        <v>116035.02024743668</v>
      </c>
      <c r="AJ218" s="8">
        <f t="shared" si="106"/>
        <v>2944.1191577117415</v>
      </c>
      <c r="AK218" s="8">
        <f t="shared" si="107"/>
        <v>0</v>
      </c>
      <c r="AL218" s="8">
        <f t="shared" si="108"/>
        <v>0</v>
      </c>
      <c r="AM218" s="8">
        <f t="shared" si="109"/>
        <v>38918.639058265748</v>
      </c>
      <c r="AN218" s="8">
        <f t="shared" si="110"/>
        <v>2885.9911747240162</v>
      </c>
      <c r="AO218" s="8">
        <f t="shared" si="111"/>
        <v>0</v>
      </c>
    </row>
    <row r="219" spans="1:41">
      <c r="A219" s="1">
        <v>41946</v>
      </c>
      <c r="B219" s="5">
        <v>217</v>
      </c>
      <c r="C219" s="3">
        <f>B219/365+input!$K$3</f>
        <v>0.59452054794520548</v>
      </c>
      <c r="D219" s="4">
        <f t="shared" si="87"/>
        <v>3.5508316127180448</v>
      </c>
      <c r="E219" s="12">
        <f t="shared" si="88"/>
        <v>0.60887640046681701</v>
      </c>
      <c r="F219" s="20">
        <f>input!E218</f>
        <v>73081.279999999999</v>
      </c>
      <c r="G219" s="19">
        <f t="shared" si="89"/>
        <v>0</v>
      </c>
      <c r="H219" s="19">
        <f t="shared" si="90"/>
        <v>5.6232776345642533E-11</v>
      </c>
      <c r="I219" s="5">
        <v>582</v>
      </c>
      <c r="J219" s="3">
        <f>I219/365+input!$K$3</f>
        <v>1.5945205479452054</v>
      </c>
      <c r="K219" s="4">
        <f t="shared" si="91"/>
        <v>9.5852265983627092</v>
      </c>
      <c r="L219" s="12">
        <f t="shared" si="92"/>
        <v>11.976945160487404</v>
      </c>
      <c r="M219" s="20">
        <f>input!F218</f>
        <v>10713.25</v>
      </c>
      <c r="N219" s="19">
        <f t="shared" si="93"/>
        <v>0.90551111194849099</v>
      </c>
      <c r="O219" s="19">
        <f t="shared" si="94"/>
        <v>0.3391538963431322</v>
      </c>
      <c r="P219" s="21">
        <v>947</v>
      </c>
      <c r="Q219" s="3">
        <f>P219/365+input!$K$3</f>
        <v>2.5945205479452054</v>
      </c>
      <c r="R219" s="4">
        <f t="shared" si="95"/>
        <v>12.063285613597598</v>
      </c>
      <c r="S219" s="12">
        <f t="shared" si="96"/>
        <v>23.874579965836471</v>
      </c>
      <c r="T219" s="20">
        <f>input!G218</f>
        <v>126.18</v>
      </c>
      <c r="U219" s="19">
        <f t="shared" si="97"/>
        <v>0.97590926380853449</v>
      </c>
      <c r="V219" s="19">
        <f t="shared" si="84"/>
        <v>0.98045724995081374</v>
      </c>
      <c r="W219" s="21">
        <v>1312</v>
      </c>
      <c r="X219" s="3">
        <f>W219/365+input!$K$3</f>
        <v>3.5945205479452054</v>
      </c>
      <c r="Y219" s="4">
        <f t="shared" si="98"/>
        <v>12.589299260865312</v>
      </c>
      <c r="Z219" s="12">
        <f t="shared" si="99"/>
        <v>27.135859395209948</v>
      </c>
      <c r="AA219" s="20">
        <f>input!H218</f>
        <v>0</v>
      </c>
      <c r="AB219" s="19">
        <f t="shared" si="100"/>
        <v>0.98197554006092014</v>
      </c>
      <c r="AC219" s="19">
        <f t="shared" si="101"/>
        <v>0.99519142618801715</v>
      </c>
      <c r="AD219" s="8">
        <f t="shared" si="102"/>
        <v>44497.466707907581</v>
      </c>
      <c r="AE219" s="8">
        <f t="shared" si="103"/>
        <v>128312.00774059168</v>
      </c>
      <c r="AF219" s="8">
        <f t="shared" si="104"/>
        <v>3012.4945000892462</v>
      </c>
      <c r="AG219" s="8">
        <f t="shared" si="105"/>
        <v>0</v>
      </c>
      <c r="AH219" s="8">
        <f t="shared" si="85"/>
        <v>0</v>
      </c>
      <c r="AI219" s="8">
        <f t="shared" si="86"/>
        <v>116187.94880552655</v>
      </c>
      <c r="AJ219" s="8">
        <f t="shared" si="106"/>
        <v>2939.9212898093556</v>
      </c>
      <c r="AK219" s="8">
        <f t="shared" si="107"/>
        <v>0</v>
      </c>
      <c r="AL219" s="8">
        <f t="shared" si="108"/>
        <v>0</v>
      </c>
      <c r="AM219" s="8">
        <f t="shared" si="109"/>
        <v>39405.595545510703</v>
      </c>
      <c r="AN219" s="8">
        <f t="shared" si="110"/>
        <v>2882.4671428783299</v>
      </c>
      <c r="AO219" s="8">
        <f t="shared" si="111"/>
        <v>0</v>
      </c>
    </row>
    <row r="220" spans="1:41">
      <c r="A220" s="1">
        <v>41947</v>
      </c>
      <c r="B220" s="5">
        <v>218</v>
      </c>
      <c r="C220" s="3">
        <f>B220/365+input!$K$3</f>
        <v>0.59726027397260273</v>
      </c>
      <c r="D220" s="4">
        <f t="shared" si="87"/>
        <v>3.5757679378971501</v>
      </c>
      <c r="E220" s="12">
        <f t="shared" si="88"/>
        <v>0.6217945143564747</v>
      </c>
      <c r="F220" s="20">
        <f>input!E219</f>
        <v>72899.429999999993</v>
      </c>
      <c r="G220" s="19">
        <f t="shared" si="89"/>
        <v>0</v>
      </c>
      <c r="H220" s="19">
        <f t="shared" si="90"/>
        <v>6.6268441665149727E-11</v>
      </c>
      <c r="I220" s="5">
        <v>583</v>
      </c>
      <c r="J220" s="3">
        <f>I220/365+input!$K$3</f>
        <v>1.5972602739726027</v>
      </c>
      <c r="K220" s="4">
        <f t="shared" si="91"/>
        <v>9.5954668437500104</v>
      </c>
      <c r="L220" s="12">
        <f t="shared" si="92"/>
        <v>12.015372399819491</v>
      </c>
      <c r="M220" s="20">
        <f>input!F219</f>
        <v>10498.29</v>
      </c>
      <c r="N220" s="19">
        <f t="shared" si="93"/>
        <v>0.90604323557596189</v>
      </c>
      <c r="O220" s="19">
        <f t="shared" si="94"/>
        <v>0.34291035065078657</v>
      </c>
      <c r="P220" s="21">
        <v>948</v>
      </c>
      <c r="Q220" s="3">
        <f>P220/365+input!$K$3</f>
        <v>2.5972602739726027</v>
      </c>
      <c r="R220" s="4">
        <f t="shared" si="95"/>
        <v>12.067490829275489</v>
      </c>
      <c r="S220" s="12">
        <f t="shared" si="96"/>
        <v>23.899556434985257</v>
      </c>
      <c r="T220" s="20">
        <f>input!G219</f>
        <v>122.89</v>
      </c>
      <c r="U220" s="19">
        <f t="shared" si="97"/>
        <v>0.97596506995646448</v>
      </c>
      <c r="V220" s="19">
        <f t="shared" si="84"/>
        <v>0.98065603627149933</v>
      </c>
      <c r="W220" s="21">
        <v>1313</v>
      </c>
      <c r="X220" s="3">
        <f>W220/365+input!$K$3</f>
        <v>3.5972602739726027</v>
      </c>
      <c r="Y220" s="4">
        <f t="shared" si="98"/>
        <v>12.589299260865312</v>
      </c>
      <c r="Z220" s="12">
        <f t="shared" si="99"/>
        <v>27.135859395209948</v>
      </c>
      <c r="AA220" s="20">
        <f>input!H219</f>
        <v>0</v>
      </c>
      <c r="AB220" s="19">
        <f t="shared" si="100"/>
        <v>0.98197554006092014</v>
      </c>
      <c r="AC220" s="19">
        <f t="shared" si="101"/>
        <v>0.99519142618801715</v>
      </c>
      <c r="AD220" s="8">
        <f t="shared" si="102"/>
        <v>45328.465673713821</v>
      </c>
      <c r="AE220" s="8">
        <f t="shared" si="103"/>
        <v>126140.86391130097</v>
      </c>
      <c r="AF220" s="8">
        <f t="shared" si="104"/>
        <v>2937.0164902953384</v>
      </c>
      <c r="AG220" s="8">
        <f t="shared" si="105"/>
        <v>0</v>
      </c>
      <c r="AH220" s="8">
        <f t="shared" si="85"/>
        <v>0</v>
      </c>
      <c r="AI220" s="8">
        <f t="shared" si="86"/>
        <v>114289.07647654222</v>
      </c>
      <c r="AJ220" s="8">
        <f t="shared" si="106"/>
        <v>2866.4255044143797</v>
      </c>
      <c r="AK220" s="8">
        <f t="shared" si="107"/>
        <v>0</v>
      </c>
      <c r="AL220" s="8">
        <f t="shared" si="108"/>
        <v>0</v>
      </c>
      <c r="AM220" s="8">
        <f t="shared" si="109"/>
        <v>39190.907290125659</v>
      </c>
      <c r="AN220" s="8">
        <f t="shared" si="110"/>
        <v>2810.9774734265388</v>
      </c>
      <c r="AO220" s="8">
        <f t="shared" si="111"/>
        <v>0</v>
      </c>
    </row>
    <row r="221" spans="1:41">
      <c r="A221" s="1">
        <v>41948</v>
      </c>
      <c r="B221" s="5">
        <v>219</v>
      </c>
      <c r="C221" s="3">
        <f>B221/365+input!$K$3</f>
        <v>0.6</v>
      </c>
      <c r="D221" s="4">
        <f t="shared" si="87"/>
        <v>3.6006435335042881</v>
      </c>
      <c r="E221" s="12">
        <f t="shared" si="88"/>
        <v>0.63486194075582325</v>
      </c>
      <c r="F221" s="20">
        <f>input!E220</f>
        <v>72718.070000000007</v>
      </c>
      <c r="G221" s="19">
        <f t="shared" si="89"/>
        <v>0</v>
      </c>
      <c r="H221" s="19">
        <f t="shared" si="90"/>
        <v>7.8016589892916896E-11</v>
      </c>
      <c r="I221" s="5">
        <v>584</v>
      </c>
      <c r="J221" s="3">
        <f>I221/365+input!$K$3</f>
        <v>1.6</v>
      </c>
      <c r="K221" s="4">
        <f t="shared" si="91"/>
        <v>9.6056821501892244</v>
      </c>
      <c r="L221" s="12">
        <f t="shared" si="92"/>
        <v>12.053787860627622</v>
      </c>
      <c r="M221" s="20">
        <f>input!F220</f>
        <v>10472.17</v>
      </c>
      <c r="N221" s="19">
        <f t="shared" si="93"/>
        <v>0.90657107749431287</v>
      </c>
      <c r="O221" s="19">
        <f t="shared" si="94"/>
        <v>0.34667319321536572</v>
      </c>
      <c r="P221" s="21">
        <v>949</v>
      </c>
      <c r="Q221" s="3">
        <f>P221/365+input!$K$3</f>
        <v>2.6</v>
      </c>
      <c r="R221" s="4">
        <f t="shared" si="95"/>
        <v>12.07168580363088</v>
      </c>
      <c r="S221" s="12">
        <f t="shared" si="96"/>
        <v>23.924489426634626</v>
      </c>
      <c r="T221" s="20">
        <f>input!G220</f>
        <v>122.59</v>
      </c>
      <c r="U221" s="19">
        <f t="shared" si="97"/>
        <v>0.97602061139167706</v>
      </c>
      <c r="V221" s="19">
        <f t="shared" si="84"/>
        <v>0.98085262393964034</v>
      </c>
      <c r="W221" s="21">
        <v>1314</v>
      </c>
      <c r="X221" s="3">
        <f>W221/365+input!$K$3</f>
        <v>3.6</v>
      </c>
      <c r="Y221" s="4">
        <f t="shared" si="98"/>
        <v>12.589299260865312</v>
      </c>
      <c r="Z221" s="12">
        <f t="shared" si="99"/>
        <v>27.135859395209948</v>
      </c>
      <c r="AA221" s="20">
        <f>input!H220</f>
        <v>0</v>
      </c>
      <c r="AB221" s="19">
        <f t="shared" si="100"/>
        <v>0.98197554006092014</v>
      </c>
      <c r="AC221" s="19">
        <f t="shared" si="101"/>
        <v>0.99519142618801715</v>
      </c>
      <c r="AD221" s="8">
        <f t="shared" si="102"/>
        <v>46165.935048217812</v>
      </c>
      <c r="AE221" s="8">
        <f t="shared" si="103"/>
        <v>126229.31562042877</v>
      </c>
      <c r="AF221" s="8">
        <f t="shared" si="104"/>
        <v>2932.9031588111388</v>
      </c>
      <c r="AG221" s="8">
        <f t="shared" si="105"/>
        <v>0</v>
      </c>
      <c r="AH221" s="8">
        <f t="shared" si="85"/>
        <v>0</v>
      </c>
      <c r="AI221" s="8">
        <f t="shared" si="86"/>
        <v>114435.84667338181</v>
      </c>
      <c r="AJ221" s="8">
        <f t="shared" si="106"/>
        <v>2862.5739342154288</v>
      </c>
      <c r="AK221" s="8">
        <f t="shared" si="107"/>
        <v>0</v>
      </c>
      <c r="AL221" s="8">
        <f t="shared" si="108"/>
        <v>0</v>
      </c>
      <c r="AM221" s="8">
        <f t="shared" si="109"/>
        <v>39671.840384565257</v>
      </c>
      <c r="AN221" s="8">
        <f t="shared" si="110"/>
        <v>2807.7631545964227</v>
      </c>
      <c r="AO221" s="8">
        <f t="shared" si="111"/>
        <v>0</v>
      </c>
    </row>
    <row r="222" spans="1:41">
      <c r="A222" s="1">
        <v>41949</v>
      </c>
      <c r="B222" s="5">
        <v>220</v>
      </c>
      <c r="C222" s="3">
        <f>B222/365+input!$K$3</f>
        <v>0.60273972602739723</v>
      </c>
      <c r="D222" s="4">
        <f t="shared" si="87"/>
        <v>3.6254585474393988</v>
      </c>
      <c r="E222" s="12">
        <f t="shared" si="88"/>
        <v>0.64807868807740687</v>
      </c>
      <c r="F222" s="20">
        <f>input!E221</f>
        <v>72537.2</v>
      </c>
      <c r="G222" s="19">
        <f t="shared" si="89"/>
        <v>0</v>
      </c>
      <c r="H222" s="19">
        <f t="shared" si="90"/>
        <v>9.1755588854567491E-11</v>
      </c>
      <c r="I222" s="5">
        <v>585</v>
      </c>
      <c r="J222" s="3">
        <f>I222/365+input!$K$3</f>
        <v>1.6027397260273972</v>
      </c>
      <c r="K222" s="4">
        <f t="shared" si="91"/>
        <v>9.6158725784163064</v>
      </c>
      <c r="L222" s="12">
        <f t="shared" si="92"/>
        <v>12.092191260288494</v>
      </c>
      <c r="M222" s="20">
        <f>input!F221</f>
        <v>10263.49</v>
      </c>
      <c r="N222" s="19">
        <f t="shared" si="93"/>
        <v>0.90709467934888277</v>
      </c>
      <c r="O222" s="19">
        <f t="shared" si="94"/>
        <v>0.35044200409799559</v>
      </c>
      <c r="P222" s="21">
        <v>950</v>
      </c>
      <c r="Q222" s="3">
        <f>P222/365+input!$K$3</f>
        <v>2.6027397260273974</v>
      </c>
      <c r="R222" s="4">
        <f t="shared" si="95"/>
        <v>12.075870561605342</v>
      </c>
      <c r="S222" s="12">
        <f t="shared" si="96"/>
        <v>23.949378968266792</v>
      </c>
      <c r="T222" s="20">
        <f>input!G221</f>
        <v>119.45</v>
      </c>
      <c r="U222" s="19">
        <f t="shared" si="97"/>
        <v>0.97607588968165626</v>
      </c>
      <c r="V222" s="19">
        <f t="shared" si="84"/>
        <v>0.98104703796753112</v>
      </c>
      <c r="W222" s="21">
        <v>1315</v>
      </c>
      <c r="X222" s="3">
        <f>W222/365+input!$K$3</f>
        <v>3.6027397260273974</v>
      </c>
      <c r="Y222" s="4">
        <f t="shared" si="98"/>
        <v>12.589299260865312</v>
      </c>
      <c r="Z222" s="12">
        <f t="shared" si="99"/>
        <v>27.135859395209948</v>
      </c>
      <c r="AA222" s="20">
        <f>input!H221</f>
        <v>0</v>
      </c>
      <c r="AB222" s="19">
        <f t="shared" si="100"/>
        <v>0.98197554006092014</v>
      </c>
      <c r="AC222" s="19">
        <f t="shared" si="101"/>
        <v>0.99519142618801715</v>
      </c>
      <c r="AD222" s="8">
        <f t="shared" si="102"/>
        <v>47009.813412808478</v>
      </c>
      <c r="AE222" s="8">
        <f t="shared" si="103"/>
        <v>124108.08407805835</v>
      </c>
      <c r="AF222" s="8">
        <f t="shared" si="104"/>
        <v>2860.7533177594682</v>
      </c>
      <c r="AG222" s="8">
        <f t="shared" si="105"/>
        <v>0</v>
      </c>
      <c r="AH222" s="8">
        <f t="shared" si="85"/>
        <v>0</v>
      </c>
      <c r="AI222" s="8">
        <f t="shared" si="86"/>
        <v>112577.78273139053</v>
      </c>
      <c r="AJ222" s="8">
        <f t="shared" si="106"/>
        <v>2792.312339791823</v>
      </c>
      <c r="AK222" s="8">
        <f t="shared" si="107"/>
        <v>0</v>
      </c>
      <c r="AL222" s="8">
        <f t="shared" si="108"/>
        <v>0</v>
      </c>
      <c r="AM222" s="8">
        <f t="shared" si="109"/>
        <v>39451.983797297216</v>
      </c>
      <c r="AN222" s="8">
        <f t="shared" si="110"/>
        <v>2739.389750032954</v>
      </c>
      <c r="AO222" s="8">
        <f t="shared" si="111"/>
        <v>0</v>
      </c>
    </row>
    <row r="223" spans="1:41">
      <c r="A223" s="1">
        <v>41950</v>
      </c>
      <c r="B223" s="5">
        <v>221</v>
      </c>
      <c r="C223" s="3">
        <f>B223/365+input!$K$3</f>
        <v>0.60547945205479448</v>
      </c>
      <c r="D223" s="4">
        <f t="shared" si="87"/>
        <v>3.6502131272422251</v>
      </c>
      <c r="E223" s="12">
        <f t="shared" si="88"/>
        <v>0.66144475378208722</v>
      </c>
      <c r="F223" s="20">
        <f>input!E222</f>
        <v>72356.77</v>
      </c>
      <c r="G223" s="19">
        <f t="shared" si="89"/>
        <v>0</v>
      </c>
      <c r="H223" s="19">
        <f t="shared" si="90"/>
        <v>1.0780671693593083E-10</v>
      </c>
      <c r="I223" s="5">
        <v>586</v>
      </c>
      <c r="J223" s="3">
        <f>I223/365+input!$K$3</f>
        <v>1.6054794520547946</v>
      </c>
      <c r="K223" s="4">
        <f t="shared" si="91"/>
        <v>9.6260381890193063</v>
      </c>
      <c r="L223" s="12">
        <f t="shared" si="92"/>
        <v>12.130582317749948</v>
      </c>
      <c r="M223" s="20">
        <f>input!F222</f>
        <v>10237.969999999999</v>
      </c>
      <c r="N223" s="19">
        <f t="shared" si="93"/>
        <v>0.90761408231707774</v>
      </c>
      <c r="O223" s="19">
        <f t="shared" si="94"/>
        <v>0.35421636429269421</v>
      </c>
      <c r="P223" s="21">
        <v>951</v>
      </c>
      <c r="Q223" s="3">
        <f>P223/365+input!$K$3</f>
        <v>2.6054794520547944</v>
      </c>
      <c r="R223" s="4">
        <f t="shared" si="95"/>
        <v>12.080045128079703</v>
      </c>
      <c r="S223" s="12">
        <f t="shared" si="96"/>
        <v>23.974225087634711</v>
      </c>
      <c r="T223" s="20">
        <f>input!G222</f>
        <v>119.16</v>
      </c>
      <c r="U223" s="19">
        <f t="shared" si="97"/>
        <v>0.97613090638274225</v>
      </c>
      <c r="V223" s="19">
        <f t="shared" si="84"/>
        <v>0.98123930309023588</v>
      </c>
      <c r="W223" s="21">
        <v>1316</v>
      </c>
      <c r="X223" s="3">
        <f>W223/365+input!$K$3</f>
        <v>3.6054794520547944</v>
      </c>
      <c r="Y223" s="4">
        <f t="shared" si="98"/>
        <v>12.589299260865312</v>
      </c>
      <c r="Z223" s="12">
        <f t="shared" si="99"/>
        <v>27.135859395209948</v>
      </c>
      <c r="AA223" s="20">
        <f>input!H222</f>
        <v>0</v>
      </c>
      <c r="AB223" s="19">
        <f t="shared" si="100"/>
        <v>0.98197554006092014</v>
      </c>
      <c r="AC223" s="19">
        <f t="shared" si="101"/>
        <v>0.99519142618801715</v>
      </c>
      <c r="AD223" s="8">
        <f t="shared" si="102"/>
        <v>47860.005917117116</v>
      </c>
      <c r="AE223" s="8">
        <f t="shared" si="103"/>
        <v>124192.53785165443</v>
      </c>
      <c r="AF223" s="8">
        <f t="shared" si="104"/>
        <v>2856.768661442552</v>
      </c>
      <c r="AG223" s="8">
        <f t="shared" si="105"/>
        <v>0</v>
      </c>
      <c r="AH223" s="8">
        <f t="shared" si="85"/>
        <v>0</v>
      </c>
      <c r="AI223" s="8">
        <f t="shared" si="86"/>
        <v>112718.89627285827</v>
      </c>
      <c r="AJ223" s="8">
        <f t="shared" si="106"/>
        <v>2788.5801828197318</v>
      </c>
      <c r="AK223" s="8">
        <f t="shared" si="107"/>
        <v>0</v>
      </c>
      <c r="AL223" s="8">
        <f t="shared" si="108"/>
        <v>0</v>
      </c>
      <c r="AM223" s="8">
        <f t="shared" si="109"/>
        <v>39926.877624857174</v>
      </c>
      <c r="AN223" s="8">
        <f t="shared" si="110"/>
        <v>2736.2644752012761</v>
      </c>
      <c r="AO223" s="8">
        <f t="shared" si="111"/>
        <v>0</v>
      </c>
    </row>
    <row r="224" spans="1:41">
      <c r="A224" s="1">
        <v>41951</v>
      </c>
      <c r="B224" s="5">
        <v>222</v>
      </c>
      <c r="C224" s="3">
        <f>B224/365+input!$K$3</f>
        <v>0.60821917808219184</v>
      </c>
      <c r="D224" s="4">
        <f t="shared" si="87"/>
        <v>3.6749074200931937</v>
      </c>
      <c r="E224" s="12">
        <f t="shared" si="88"/>
        <v>0.67496012452537324</v>
      </c>
      <c r="F224" s="20">
        <f>input!E223</f>
        <v>72176.800000000003</v>
      </c>
      <c r="G224" s="19">
        <f t="shared" si="89"/>
        <v>0</v>
      </c>
      <c r="H224" s="19">
        <f t="shared" si="90"/>
        <v>1.2654040069922415E-10</v>
      </c>
      <c r="I224" s="5">
        <v>587</v>
      </c>
      <c r="J224" s="3">
        <f>I224/365+input!$K$3</f>
        <v>1.6082191780821917</v>
      </c>
      <c r="K224" s="4">
        <f t="shared" si="91"/>
        <v>9.6361790424387035</v>
      </c>
      <c r="L224" s="12">
        <f t="shared" si="92"/>
        <v>12.168960753527331</v>
      </c>
      <c r="M224" s="20">
        <f>input!F223</f>
        <v>10036.75</v>
      </c>
      <c r="N224" s="19">
        <f t="shared" si="93"/>
        <v>0.90812932711427696</v>
      </c>
      <c r="O224" s="19">
        <f t="shared" si="94"/>
        <v>0.35799585586760729</v>
      </c>
      <c r="P224" s="21">
        <v>952</v>
      </c>
      <c r="Q224" s="3">
        <f>P224/365+input!$K$3</f>
        <v>2.6082191780821917</v>
      </c>
      <c r="R224" s="4">
        <f t="shared" si="95"/>
        <v>12.084209527874197</v>
      </c>
      <c r="S224" s="12">
        <f t="shared" si="96"/>
        <v>23.999027812760072</v>
      </c>
      <c r="T224" s="20">
        <f>input!G223</f>
        <v>116.25</v>
      </c>
      <c r="U224" s="19">
        <f t="shared" si="97"/>
        <v>0.97618566304022214</v>
      </c>
      <c r="V224" s="19">
        <f t="shared" si="84"/>
        <v>0.98142944376831232</v>
      </c>
      <c r="W224" s="21">
        <v>1317</v>
      </c>
      <c r="X224" s="3">
        <f>W224/365+input!$K$3</f>
        <v>3.6082191780821917</v>
      </c>
      <c r="Y224" s="4">
        <f t="shared" si="98"/>
        <v>12.589299260865312</v>
      </c>
      <c r="Z224" s="12">
        <f t="shared" si="99"/>
        <v>27.135859395209948</v>
      </c>
      <c r="AA224" s="20">
        <f>input!H223</f>
        <v>0</v>
      </c>
      <c r="AB224" s="19">
        <f t="shared" si="100"/>
        <v>0.98197554006092014</v>
      </c>
      <c r="AC224" s="19">
        <f t="shared" si="101"/>
        <v>0.99519142618801715</v>
      </c>
      <c r="AD224" s="8">
        <f t="shared" si="102"/>
        <v>48716.461915842963</v>
      </c>
      <c r="AE224" s="8">
        <f t="shared" si="103"/>
        <v>122136.81684296545</v>
      </c>
      <c r="AF224" s="8">
        <f t="shared" si="104"/>
        <v>2789.8869832333585</v>
      </c>
      <c r="AG224" s="8">
        <f t="shared" si="105"/>
        <v>0</v>
      </c>
      <c r="AH224" s="8">
        <f t="shared" si="85"/>
        <v>0</v>
      </c>
      <c r="AI224" s="8">
        <f t="shared" si="86"/>
        <v>110916.0252954819</v>
      </c>
      <c r="AJ224" s="8">
        <f t="shared" si="106"/>
        <v>2723.4476745349411</v>
      </c>
      <c r="AK224" s="8">
        <f t="shared" si="107"/>
        <v>0</v>
      </c>
      <c r="AL224" s="8">
        <f t="shared" si="108"/>
        <v>0</v>
      </c>
      <c r="AM224" s="8">
        <f t="shared" si="109"/>
        <v>39707.477405089223</v>
      </c>
      <c r="AN224" s="8">
        <f t="shared" si="110"/>
        <v>2672.8717363509309</v>
      </c>
      <c r="AO224" s="8">
        <f t="shared" si="111"/>
        <v>0</v>
      </c>
    </row>
    <row r="225" spans="1:41">
      <c r="A225" s="1">
        <v>41952</v>
      </c>
      <c r="B225" s="5">
        <v>223</v>
      </c>
      <c r="C225" s="3">
        <f>B225/365+input!$K$3</f>
        <v>0.61095890410958908</v>
      </c>
      <c r="D225" s="4">
        <f t="shared" si="87"/>
        <v>3.6995415728142875</v>
      </c>
      <c r="E225" s="12">
        <f t="shared" si="88"/>
        <v>0.68862477630232766</v>
      </c>
      <c r="F225" s="20">
        <f>input!E224</f>
        <v>71997.2</v>
      </c>
      <c r="G225" s="19">
        <f t="shared" si="89"/>
        <v>0</v>
      </c>
      <c r="H225" s="19">
        <f t="shared" si="90"/>
        <v>1.4838330137735746E-10</v>
      </c>
      <c r="I225" s="5">
        <v>588</v>
      </c>
      <c r="J225" s="3">
        <f>I225/365+input!$K$3</f>
        <v>1.6109589041095891</v>
      </c>
      <c r="K225" s="4">
        <f t="shared" si="91"/>
        <v>9.6462951989678025</v>
      </c>
      <c r="L225" s="12">
        <f t="shared" si="92"/>
        <v>12.207326289700122</v>
      </c>
      <c r="M225" s="20">
        <f>input!F224</f>
        <v>10011.77</v>
      </c>
      <c r="N225" s="19">
        <f t="shared" si="93"/>
        <v>0.90864045399965587</v>
      </c>
      <c r="O225" s="19">
        <f t="shared" si="94"/>
        <v>0.3617800621040157</v>
      </c>
      <c r="P225" s="21">
        <v>953</v>
      </c>
      <c r="Q225" s="3">
        <f>P225/365+input!$K$3</f>
        <v>2.6109589041095891</v>
      </c>
      <c r="R225" s="4">
        <f t="shared" si="95"/>
        <v>12.088363785748614</v>
      </c>
      <c r="S225" s="12">
        <f t="shared" si="96"/>
        <v>24.023787171931403</v>
      </c>
      <c r="T225" s="20">
        <f>input!G224</f>
        <v>115.96</v>
      </c>
      <c r="U225" s="19">
        <f t="shared" si="97"/>
        <v>0.9762401611884215</v>
      </c>
      <c r="V225" s="19">
        <f t="shared" si="84"/>
        <v>0.98161748419051942</v>
      </c>
      <c r="W225" s="21">
        <v>1318</v>
      </c>
      <c r="X225" s="3">
        <f>W225/365+input!$K$3</f>
        <v>3.6109589041095891</v>
      </c>
      <c r="Y225" s="4">
        <f t="shared" si="98"/>
        <v>12.589299260865312</v>
      </c>
      <c r="Z225" s="12">
        <f t="shared" si="99"/>
        <v>27.135859395209948</v>
      </c>
      <c r="AA225" s="20">
        <f>input!H224</f>
        <v>0</v>
      </c>
      <c r="AB225" s="19">
        <f t="shared" si="100"/>
        <v>0.98197554006092014</v>
      </c>
      <c r="AC225" s="19">
        <f t="shared" si="101"/>
        <v>0.99519142618801715</v>
      </c>
      <c r="AD225" s="8">
        <f t="shared" si="102"/>
        <v>49579.05574439394</v>
      </c>
      <c r="AE225" s="8">
        <f t="shared" si="103"/>
        <v>122216.94312743099</v>
      </c>
      <c r="AF225" s="8">
        <f t="shared" si="104"/>
        <v>2785.7983604571655</v>
      </c>
      <c r="AG225" s="8">
        <f t="shared" si="105"/>
        <v>0</v>
      </c>
      <c r="AH225" s="8">
        <f t="shared" si="85"/>
        <v>0</v>
      </c>
      <c r="AI225" s="8">
        <f t="shared" si="86"/>
        <v>111051.25868975902</v>
      </c>
      <c r="AJ225" s="8">
        <f t="shared" si="106"/>
        <v>2719.6082404511435</v>
      </c>
      <c r="AK225" s="8">
        <f t="shared" si="107"/>
        <v>0</v>
      </c>
      <c r="AL225" s="8">
        <f t="shared" si="108"/>
        <v>0</v>
      </c>
      <c r="AM225" s="8">
        <f t="shared" si="109"/>
        <v>40176.131265510136</v>
      </c>
      <c r="AN225" s="8">
        <f t="shared" si="110"/>
        <v>2669.6149989754567</v>
      </c>
      <c r="AO225" s="8">
        <f t="shared" si="111"/>
        <v>0</v>
      </c>
    </row>
    <row r="226" spans="1:41">
      <c r="A226" s="1">
        <v>41953</v>
      </c>
      <c r="B226" s="5">
        <v>224</v>
      </c>
      <c r="C226" s="3">
        <f>B226/365+input!$K$3</f>
        <v>0.61369863013698633</v>
      </c>
      <c r="D226" s="4">
        <f t="shared" si="87"/>
        <v>3.7241157318699272</v>
      </c>
      <c r="E226" s="12">
        <f t="shared" si="88"/>
        <v>0.70243867459106546</v>
      </c>
      <c r="F226" s="20">
        <f>input!E225</f>
        <v>71818.13</v>
      </c>
      <c r="G226" s="19">
        <f t="shared" si="89"/>
        <v>0</v>
      </c>
      <c r="H226" s="19">
        <f t="shared" si="90"/>
        <v>1.7382635736278525E-10</v>
      </c>
      <c r="I226" s="5">
        <v>589</v>
      </c>
      <c r="J226" s="3">
        <f>I226/365+input!$K$3</f>
        <v>1.6136986301369862</v>
      </c>
      <c r="K226" s="4">
        <f t="shared" si="91"/>
        <v>9.6563867187530512</v>
      </c>
      <c r="L226" s="12">
        <f t="shared" si="92"/>
        <v>12.245678649908177</v>
      </c>
      <c r="M226" s="20">
        <f>input!F225</f>
        <v>9816.61</v>
      </c>
      <c r="N226" s="19">
        <f t="shared" si="93"/>
        <v>0.90914750278192868</v>
      </c>
      <c r="O226" s="19">
        <f t="shared" si="94"/>
        <v>0.36556856763300732</v>
      </c>
      <c r="P226" s="21">
        <v>954</v>
      </c>
      <c r="Q226" s="3">
        <f>P226/365+input!$K$3</f>
        <v>2.6136986301369864</v>
      </c>
      <c r="R226" s="4">
        <f t="shared" si="95"/>
        <v>12.092507926402442</v>
      </c>
      <c r="S226" s="12">
        <f t="shared" si="96"/>
        <v>24.048503193702018</v>
      </c>
      <c r="T226" s="20">
        <f>input!G225</f>
        <v>113.22</v>
      </c>
      <c r="U226" s="19">
        <f t="shared" si="97"/>
        <v>0.97629440235079401</v>
      </c>
      <c r="V226" s="19">
        <f t="shared" si="84"/>
        <v>0.98180344827650667</v>
      </c>
      <c r="W226" s="21">
        <v>1319</v>
      </c>
      <c r="X226" s="3">
        <f>W226/365+input!$K$3</f>
        <v>3.6136986301369864</v>
      </c>
      <c r="Y226" s="4">
        <f t="shared" si="98"/>
        <v>12.589299260865312</v>
      </c>
      <c r="Z226" s="12">
        <f t="shared" si="99"/>
        <v>27.135859395209948</v>
      </c>
      <c r="AA226" s="20">
        <f>input!H225</f>
        <v>0</v>
      </c>
      <c r="AB226" s="19">
        <f t="shared" si="100"/>
        <v>0.98197554006092014</v>
      </c>
      <c r="AC226" s="19">
        <f t="shared" si="101"/>
        <v>0.99519142618801715</v>
      </c>
      <c r="AD226" s="8">
        <f t="shared" si="102"/>
        <v>50447.832048808836</v>
      </c>
      <c r="AE226" s="8">
        <f t="shared" si="103"/>
        <v>120211.05149147511</v>
      </c>
      <c r="AF226" s="8">
        <f t="shared" si="104"/>
        <v>2722.7715315909427</v>
      </c>
      <c r="AG226" s="8">
        <f t="shared" si="105"/>
        <v>0</v>
      </c>
      <c r="AH226" s="8">
        <f t="shared" si="85"/>
        <v>0</v>
      </c>
      <c r="AI226" s="8">
        <f t="shared" si="86"/>
        <v>109289.57727026445</v>
      </c>
      <c r="AJ226" s="8">
        <f t="shared" si="106"/>
        <v>2658.2266051723354</v>
      </c>
      <c r="AK226" s="8">
        <f t="shared" si="107"/>
        <v>0</v>
      </c>
      <c r="AL226" s="8">
        <f t="shared" si="108"/>
        <v>0</v>
      </c>
      <c r="AM226" s="8">
        <f t="shared" si="109"/>
        <v>39952.834219907447</v>
      </c>
      <c r="AN226" s="8">
        <f t="shared" si="110"/>
        <v>2609.8560472585509</v>
      </c>
      <c r="AO226" s="8">
        <f t="shared" si="111"/>
        <v>0</v>
      </c>
    </row>
    <row r="227" spans="1:41">
      <c r="A227" s="1">
        <v>41954</v>
      </c>
      <c r="B227" s="5">
        <v>225</v>
      </c>
      <c r="C227" s="3">
        <f>B227/365+input!$K$3</f>
        <v>0.61643835616438358</v>
      </c>
      <c r="D227" s="4">
        <f t="shared" si="87"/>
        <v>3.748630043367831</v>
      </c>
      <c r="E227" s="12">
        <f t="shared" si="88"/>
        <v>0.71640177449484554</v>
      </c>
      <c r="F227" s="20">
        <f>input!E226</f>
        <v>71639.490000000005</v>
      </c>
      <c r="G227" s="19">
        <f t="shared" si="89"/>
        <v>0</v>
      </c>
      <c r="H227" s="19">
        <f t="shared" si="90"/>
        <v>2.0343390217119532E-10</v>
      </c>
      <c r="I227" s="5">
        <v>590</v>
      </c>
      <c r="J227" s="3">
        <f>I227/365+input!$K$3</f>
        <v>1.6164383561643836</v>
      </c>
      <c r="K227" s="4">
        <f t="shared" si="91"/>
        <v>9.6664536617944314</v>
      </c>
      <c r="L227" s="12">
        <f t="shared" si="92"/>
        <v>12.284017559348289</v>
      </c>
      <c r="M227" s="20">
        <f>input!F226</f>
        <v>9792.2000000000007</v>
      </c>
      <c r="N227" s="19">
        <f t="shared" si="93"/>
        <v>0.90965051282501119</v>
      </c>
      <c r="O227" s="19">
        <f t="shared" si="94"/>
        <v>0.36936095856981932</v>
      </c>
      <c r="P227" s="21">
        <v>955</v>
      </c>
      <c r="Q227" s="3">
        <f>P227/365+input!$K$3</f>
        <v>2.6164383561643834</v>
      </c>
      <c r="R227" s="4">
        <f t="shared" si="95"/>
        <v>12.096641974475013</v>
      </c>
      <c r="S227" s="12">
        <f t="shared" si="96"/>
        <v>24.073175906888064</v>
      </c>
      <c r="T227" s="20">
        <f>input!G226</f>
        <v>112.94</v>
      </c>
      <c r="U227" s="19">
        <f t="shared" si="97"/>
        <v>0.97634838804001012</v>
      </c>
      <c r="V227" s="19">
        <f t="shared" si="84"/>
        <v>0.98198735967948547</v>
      </c>
      <c r="W227" s="21">
        <v>1320</v>
      </c>
      <c r="X227" s="3">
        <f>W227/365+input!$K$3</f>
        <v>3.6164383561643834</v>
      </c>
      <c r="Y227" s="4">
        <f t="shared" si="98"/>
        <v>12.589299260865312</v>
      </c>
      <c r="Z227" s="12">
        <f t="shared" si="99"/>
        <v>27.135859395209948</v>
      </c>
      <c r="AA227" s="20">
        <f>input!H226</f>
        <v>0</v>
      </c>
      <c r="AB227" s="19">
        <f t="shared" si="100"/>
        <v>0.98197554006092014</v>
      </c>
      <c r="AC227" s="19">
        <f t="shared" si="101"/>
        <v>0.99519142618801715</v>
      </c>
      <c r="AD227" s="8">
        <f t="shared" si="102"/>
        <v>51322.657759905749</v>
      </c>
      <c r="AE227" s="8">
        <f t="shared" si="103"/>
        <v>120287.55674465033</v>
      </c>
      <c r="AF227" s="8">
        <f t="shared" si="104"/>
        <v>2718.8244869239379</v>
      </c>
      <c r="AG227" s="8">
        <f t="shared" si="105"/>
        <v>0</v>
      </c>
      <c r="AH227" s="8">
        <f t="shared" si="85"/>
        <v>0</v>
      </c>
      <c r="AI227" s="8">
        <f t="shared" si="86"/>
        <v>109419.6376792388</v>
      </c>
      <c r="AJ227" s="8">
        <f t="shared" si="106"/>
        <v>2654.5199051718942</v>
      </c>
      <c r="AK227" s="8">
        <f t="shared" si="107"/>
        <v>0</v>
      </c>
      <c r="AL227" s="8">
        <f t="shared" si="108"/>
        <v>0</v>
      </c>
      <c r="AM227" s="8">
        <f t="shared" si="109"/>
        <v>40415.342259565965</v>
      </c>
      <c r="AN227" s="8">
        <f t="shared" si="110"/>
        <v>2606.7049928963866</v>
      </c>
      <c r="AO227" s="8">
        <f t="shared" si="111"/>
        <v>0</v>
      </c>
    </row>
    <row r="228" spans="1:41">
      <c r="A228" s="1">
        <v>41955</v>
      </c>
      <c r="B228" s="5">
        <v>226</v>
      </c>
      <c r="C228" s="3">
        <f>B228/365+input!$K$3</f>
        <v>0.61917808219178083</v>
      </c>
      <c r="D228" s="4">
        <f t="shared" si="87"/>
        <v>3.7730846530598923</v>
      </c>
      <c r="E228" s="12">
        <f t="shared" si="88"/>
        <v>0.73051402088278505</v>
      </c>
      <c r="F228" s="20">
        <f>input!E227</f>
        <v>71461.3</v>
      </c>
      <c r="G228" s="19">
        <f t="shared" si="89"/>
        <v>0</v>
      </c>
      <c r="H228" s="19">
        <f t="shared" si="90"/>
        <v>2.3785399100321059E-10</v>
      </c>
      <c r="I228" s="5">
        <v>591</v>
      </c>
      <c r="J228" s="3">
        <f>I228/365+input!$K$3</f>
        <v>1.6191780821917807</v>
      </c>
      <c r="K228" s="4">
        <f t="shared" si="91"/>
        <v>9.6764960879457877</v>
      </c>
      <c r="L228" s="12">
        <f t="shared" si="92"/>
        <v>12.322342744770443</v>
      </c>
      <c r="M228" s="20">
        <f>input!F227</f>
        <v>9603.67</v>
      </c>
      <c r="N228" s="19">
        <f t="shared" si="93"/>
        <v>0.91014952305360342</v>
      </c>
      <c r="O228" s="19">
        <f t="shared" si="94"/>
        <v>0.37315682264575056</v>
      </c>
      <c r="P228" s="21">
        <v>956</v>
      </c>
      <c r="Q228" s="3">
        <f>P228/365+input!$K$3</f>
        <v>2.6191780821917807</v>
      </c>
      <c r="R228" s="4">
        <f t="shared" si="95"/>
        <v>12.100765954545658</v>
      </c>
      <c r="S228" s="12">
        <f t="shared" si="96"/>
        <v>24.097805340566648</v>
      </c>
      <c r="T228" s="20">
        <f>input!G227</f>
        <v>110.49</v>
      </c>
      <c r="U228" s="19">
        <f t="shared" si="97"/>
        <v>0.97640211975804614</v>
      </c>
      <c r="V228" s="19">
        <f t="shared" si="84"/>
        <v>0.98216924178888543</v>
      </c>
      <c r="W228" s="21">
        <v>1321</v>
      </c>
      <c r="X228" s="3">
        <f>W228/365+input!$K$3</f>
        <v>3.6191780821917807</v>
      </c>
      <c r="Y228" s="4">
        <f t="shared" si="98"/>
        <v>12.589299260865312</v>
      </c>
      <c r="Z228" s="12">
        <f t="shared" si="99"/>
        <v>27.135859395209948</v>
      </c>
      <c r="AA228" s="20">
        <f>input!H227</f>
        <v>0</v>
      </c>
      <c r="AB228" s="19">
        <f t="shared" si="100"/>
        <v>0.98197554006092014</v>
      </c>
      <c r="AC228" s="19">
        <f t="shared" si="101"/>
        <v>0.99519142618801715</v>
      </c>
      <c r="AD228" s="8">
        <f t="shared" si="102"/>
        <v>52203.481600510968</v>
      </c>
      <c r="AE228" s="8">
        <f t="shared" si="103"/>
        <v>118339.71334766956</v>
      </c>
      <c r="AF228" s="8">
        <f t="shared" si="104"/>
        <v>2662.5665120792087</v>
      </c>
      <c r="AG228" s="8">
        <f t="shared" si="105"/>
        <v>0</v>
      </c>
      <c r="AH228" s="8">
        <f t="shared" si="85"/>
        <v>0</v>
      </c>
      <c r="AI228" s="8">
        <f t="shared" si="86"/>
        <v>107706.83366168159</v>
      </c>
      <c r="AJ228" s="8">
        <f t="shared" si="106"/>
        <v>2599.7355863909265</v>
      </c>
      <c r="AK228" s="8">
        <f t="shared" si="107"/>
        <v>0</v>
      </c>
      <c r="AL228" s="8">
        <f t="shared" si="108"/>
        <v>0</v>
      </c>
      <c r="AM228" s="8">
        <f t="shared" si="109"/>
        <v>40191.539826427477</v>
      </c>
      <c r="AN228" s="8">
        <f t="shared" si="110"/>
        <v>2553.3803297371596</v>
      </c>
      <c r="AO228" s="8">
        <f t="shared" si="111"/>
        <v>0</v>
      </c>
    </row>
    <row r="229" spans="1:41">
      <c r="A229" s="1">
        <v>41956</v>
      </c>
      <c r="B229" s="5">
        <v>227</v>
      </c>
      <c r="C229" s="3">
        <f>B229/365+input!$K$3</f>
        <v>0.62191780821917808</v>
      </c>
      <c r="D229" s="4">
        <f t="shared" si="87"/>
        <v>3.7974797063430401</v>
      </c>
      <c r="E229" s="12">
        <f t="shared" si="88"/>
        <v>0.74477534852919114</v>
      </c>
      <c r="F229" s="20">
        <f>input!E228</f>
        <v>71283.55</v>
      </c>
      <c r="G229" s="19">
        <f t="shared" si="89"/>
        <v>0</v>
      </c>
      <c r="H229" s="19">
        <f t="shared" si="90"/>
        <v>2.778300840631986E-10</v>
      </c>
      <c r="I229" s="5">
        <v>592</v>
      </c>
      <c r="J229" s="3">
        <f>I229/365+input!$K$3</f>
        <v>1.6219178082191781</v>
      </c>
      <c r="K229" s="4">
        <f t="shared" si="91"/>
        <v>9.6865140569152111</v>
      </c>
      <c r="L229" s="12">
        <f t="shared" si="92"/>
        <v>12.360653934474277</v>
      </c>
      <c r="M229" s="20">
        <f>input!F228</f>
        <v>9579.7800000000007</v>
      </c>
      <c r="N229" s="19">
        <f t="shared" si="93"/>
        <v>0.9106445719586993</v>
      </c>
      <c r="O229" s="19">
        <f t="shared" si="94"/>
        <v>0.37695574933764381</v>
      </c>
      <c r="P229" s="21">
        <v>957</v>
      </c>
      <c r="Q229" s="3">
        <f>P229/365+input!$K$3</f>
        <v>2.6219178082191781</v>
      </c>
      <c r="R229" s="4">
        <f t="shared" si="95"/>
        <v>12.104879891133848</v>
      </c>
      <c r="S229" s="12">
        <f t="shared" si="96"/>
        <v>24.122391524073844</v>
      </c>
      <c r="T229" s="20">
        <f>input!G228</f>
        <v>110.22</v>
      </c>
      <c r="U229" s="19">
        <f t="shared" si="97"/>
        <v>0.97645559899627088</v>
      </c>
      <c r="V229" s="19">
        <f t="shared" si="84"/>
        <v>0.98234911773299016</v>
      </c>
      <c r="W229" s="21">
        <v>1322</v>
      </c>
      <c r="X229" s="3">
        <f>W229/365+input!$K$3</f>
        <v>3.6219178082191781</v>
      </c>
      <c r="Y229" s="4">
        <f t="shared" si="98"/>
        <v>12.589299260865312</v>
      </c>
      <c r="Z229" s="12">
        <f t="shared" si="99"/>
        <v>27.135859395209948</v>
      </c>
      <c r="AA229" s="20">
        <f>input!H228</f>
        <v>0</v>
      </c>
      <c r="AB229" s="19">
        <f t="shared" si="100"/>
        <v>0.98197554006092014</v>
      </c>
      <c r="AC229" s="19">
        <f t="shared" si="101"/>
        <v>0.99519142618801715</v>
      </c>
      <c r="AD229" s="8">
        <f t="shared" si="102"/>
        <v>53090.230795648022</v>
      </c>
      <c r="AE229" s="8">
        <f t="shared" si="103"/>
        <v>118412.345348398</v>
      </c>
      <c r="AF229" s="8">
        <f t="shared" si="104"/>
        <v>2658.7699937834191</v>
      </c>
      <c r="AG229" s="8">
        <f t="shared" si="105"/>
        <v>0</v>
      </c>
      <c r="AH229" s="8">
        <f t="shared" si="85"/>
        <v>0</v>
      </c>
      <c r="AI229" s="8">
        <f t="shared" si="86"/>
        <v>107831.55954441757</v>
      </c>
      <c r="AJ229" s="8">
        <f t="shared" si="106"/>
        <v>2596.1708468730999</v>
      </c>
      <c r="AK229" s="8">
        <f t="shared" si="107"/>
        <v>0</v>
      </c>
      <c r="AL229" s="8">
        <f t="shared" si="108"/>
        <v>0</v>
      </c>
      <c r="AM229" s="8">
        <f t="shared" si="109"/>
        <v>40647.726330312682</v>
      </c>
      <c r="AN229" s="8">
        <f t="shared" si="110"/>
        <v>2550.3461409098995</v>
      </c>
      <c r="AO229" s="8">
        <f t="shared" si="111"/>
        <v>0</v>
      </c>
    </row>
    <row r="230" spans="1:41">
      <c r="A230" s="1">
        <v>41957</v>
      </c>
      <c r="B230" s="5">
        <v>228</v>
      </c>
      <c r="C230" s="3">
        <f>B230/365+input!$K$3</f>
        <v>0.62465753424657533</v>
      </c>
      <c r="D230" s="4">
        <f t="shared" si="87"/>
        <v>3.8218153482601056</v>
      </c>
      <c r="E230" s="12">
        <f t="shared" si="88"/>
        <v>0.75918568225153371</v>
      </c>
      <c r="F230" s="20">
        <f>input!E229</f>
        <v>71106.25</v>
      </c>
      <c r="G230" s="19">
        <f t="shared" si="89"/>
        <v>0</v>
      </c>
      <c r="H230" s="19">
        <f t="shared" si="90"/>
        <v>3.2421425134653446E-10</v>
      </c>
      <c r="I230" s="5">
        <v>593</v>
      </c>
      <c r="J230" s="3">
        <f>I230/365+input!$K$3</f>
        <v>1.6246575342465754</v>
      </c>
      <c r="K230" s="4">
        <f t="shared" si="91"/>
        <v>9.6965076282653762</v>
      </c>
      <c r="L230" s="12">
        <f t="shared" si="92"/>
        <v>12.398950858305358</v>
      </c>
      <c r="M230" s="20">
        <f>input!F229</f>
        <v>9398.23</v>
      </c>
      <c r="N230" s="19">
        <f t="shared" si="93"/>
        <v>0.91113569760301494</v>
      </c>
      <c r="O230" s="19">
        <f t="shared" si="94"/>
        <v>0.38075732999485445</v>
      </c>
      <c r="P230" s="21">
        <v>958</v>
      </c>
      <c r="Q230" s="3">
        <f>P230/365+input!$K$3</f>
        <v>2.6246575342465754</v>
      </c>
      <c r="R230" s="4">
        <f t="shared" si="95"/>
        <v>12.108983808699334</v>
      </c>
      <c r="S230" s="12">
        <f t="shared" si="96"/>
        <v>24.146934487002735</v>
      </c>
      <c r="T230" s="20">
        <f>input!G229</f>
        <v>108.05</v>
      </c>
      <c r="U230" s="19">
        <f t="shared" si="97"/>
        <v>0.97650882723553267</v>
      </c>
      <c r="V230" s="19">
        <f t="shared" si="84"/>
        <v>0.98252701038155654</v>
      </c>
      <c r="W230" s="21">
        <v>1323</v>
      </c>
      <c r="X230" s="3">
        <f>W230/365+input!$K$3</f>
        <v>3.6246575342465754</v>
      </c>
      <c r="Y230" s="4">
        <f t="shared" si="98"/>
        <v>12.589299260865312</v>
      </c>
      <c r="Z230" s="12">
        <f t="shared" si="99"/>
        <v>27.135859395209948</v>
      </c>
      <c r="AA230" s="20">
        <f>input!H229</f>
        <v>0</v>
      </c>
      <c r="AB230" s="19">
        <f t="shared" si="100"/>
        <v>0.98197554006092014</v>
      </c>
      <c r="AC230" s="19">
        <f t="shared" si="101"/>
        <v>0.99519142618801715</v>
      </c>
      <c r="AD230" s="8">
        <f t="shared" si="102"/>
        <v>53982.846918598116</v>
      </c>
      <c r="AE230" s="8">
        <f t="shared" si="103"/>
        <v>116528.19192505117</v>
      </c>
      <c r="AF230" s="8">
        <f t="shared" si="104"/>
        <v>2609.0762713206454</v>
      </c>
      <c r="AG230" s="8">
        <f t="shared" si="105"/>
        <v>0</v>
      </c>
      <c r="AH230" s="8">
        <f t="shared" si="85"/>
        <v>0</v>
      </c>
      <c r="AI230" s="8">
        <f t="shared" si="86"/>
        <v>106172.9954400495</v>
      </c>
      <c r="AJ230" s="8">
        <f t="shared" si="106"/>
        <v>2547.7860098753799</v>
      </c>
      <c r="AK230" s="8">
        <f t="shared" si="107"/>
        <v>0</v>
      </c>
      <c r="AL230" s="8">
        <f t="shared" si="108"/>
        <v>0</v>
      </c>
      <c r="AM230" s="8">
        <f t="shared" si="109"/>
        <v>40426.146261309106</v>
      </c>
      <c r="AN230" s="8">
        <f t="shared" si="110"/>
        <v>2503.2685713748119</v>
      </c>
      <c r="AO230" s="8">
        <f t="shared" si="111"/>
        <v>0</v>
      </c>
    </row>
    <row r="231" spans="1:41">
      <c r="A231" s="1">
        <v>41958</v>
      </c>
      <c r="B231" s="5">
        <v>229</v>
      </c>
      <c r="C231" s="3">
        <f>B231/365+input!$K$3</f>
        <v>0.62739726027397258</v>
      </c>
      <c r="D231" s="4">
        <f t="shared" si="87"/>
        <v>3.846091723500686</v>
      </c>
      <c r="E231" s="12">
        <f t="shared" si="88"/>
        <v>0.77374493704706804</v>
      </c>
      <c r="F231" s="20">
        <f>input!E230</f>
        <v>70929.39</v>
      </c>
      <c r="G231" s="19">
        <f t="shared" si="89"/>
        <v>0</v>
      </c>
      <c r="H231" s="19">
        <f t="shared" si="90"/>
        <v>3.7798208180596165E-10</v>
      </c>
      <c r="I231" s="5">
        <v>594</v>
      </c>
      <c r="J231" s="3">
        <f>I231/365+input!$K$3</f>
        <v>1.6273972602739726</v>
      </c>
      <c r="K231" s="4">
        <f t="shared" si="91"/>
        <v>9.7064768614138952</v>
      </c>
      <c r="L231" s="12">
        <f t="shared" si="92"/>
        <v>12.437233247651475</v>
      </c>
      <c r="M231" s="20">
        <f>input!F230</f>
        <v>9374.85</v>
      </c>
      <c r="N231" s="19">
        <f t="shared" si="93"/>
        <v>0.91162293762634494</v>
      </c>
      <c r="O231" s="19">
        <f t="shared" si="94"/>
        <v>0.38456115796369145</v>
      </c>
      <c r="P231" s="21">
        <v>959</v>
      </c>
      <c r="Q231" s="3">
        <f>P231/365+input!$K$3</f>
        <v>2.6273972602739728</v>
      </c>
      <c r="R231" s="4">
        <f t="shared" si="95"/>
        <v>12.113077731642303</v>
      </c>
      <c r="S231" s="12">
        <f t="shared" si="96"/>
        <v>24.171434259201568</v>
      </c>
      <c r="T231" s="20">
        <f>input!G230</f>
        <v>107.78</v>
      </c>
      <c r="U231" s="19">
        <f t="shared" si="97"/>
        <v>0.97656180594624542</v>
      </c>
      <c r="V231" s="19">
        <f t="shared" si="84"/>
        <v>0.98270294234841626</v>
      </c>
      <c r="W231" s="21">
        <v>1324</v>
      </c>
      <c r="X231" s="3">
        <f>W231/365+input!$K$3</f>
        <v>3.6273972602739728</v>
      </c>
      <c r="Y231" s="4">
        <f t="shared" si="98"/>
        <v>12.589299260865312</v>
      </c>
      <c r="Z231" s="12">
        <f t="shared" si="99"/>
        <v>27.135859395209948</v>
      </c>
      <c r="AA231" s="20">
        <f>input!H230</f>
        <v>0</v>
      </c>
      <c r="AB231" s="19">
        <f t="shared" si="100"/>
        <v>0.98197554006092014</v>
      </c>
      <c r="AC231" s="19">
        <f t="shared" si="101"/>
        <v>0.99519142618801715</v>
      </c>
      <c r="AD231" s="8">
        <f t="shared" si="102"/>
        <v>54881.256400336933</v>
      </c>
      <c r="AE231" s="8">
        <f t="shared" si="103"/>
        <v>116597.19611174543</v>
      </c>
      <c r="AF231" s="8">
        <f t="shared" si="104"/>
        <v>2605.1971844567452</v>
      </c>
      <c r="AG231" s="8">
        <f t="shared" si="105"/>
        <v>0</v>
      </c>
      <c r="AH231" s="8">
        <f t="shared" si="85"/>
        <v>0</v>
      </c>
      <c r="AI231" s="8">
        <f t="shared" si="86"/>
        <v>106292.67843838442</v>
      </c>
      <c r="AJ231" s="8">
        <f t="shared" si="106"/>
        <v>2544.1360672991527</v>
      </c>
      <c r="AK231" s="8">
        <f t="shared" si="107"/>
        <v>0</v>
      </c>
      <c r="AL231" s="8">
        <f t="shared" si="108"/>
        <v>0</v>
      </c>
      <c r="AM231" s="8">
        <f t="shared" si="109"/>
        <v>40876.03550332741</v>
      </c>
      <c r="AN231" s="8">
        <f t="shared" si="110"/>
        <v>2500.1299990696057</v>
      </c>
      <c r="AO231" s="8">
        <f t="shared" si="111"/>
        <v>0</v>
      </c>
    </row>
    <row r="232" spans="1:41">
      <c r="A232" s="1">
        <v>41959</v>
      </c>
      <c r="B232" s="5">
        <v>230</v>
      </c>
      <c r="C232" s="3">
        <f>B232/365+input!$K$3</f>
        <v>0.63013698630136983</v>
      </c>
      <c r="D232" s="4">
        <f t="shared" si="87"/>
        <v>3.8703089764020029</v>
      </c>
      <c r="E232" s="12">
        <f t="shared" si="88"/>
        <v>0.78845301822811287</v>
      </c>
      <c r="F232" s="20">
        <f>input!E231</f>
        <v>70752.960000000006</v>
      </c>
      <c r="G232" s="19">
        <f t="shared" si="89"/>
        <v>0</v>
      </c>
      <c r="H232" s="19">
        <f t="shared" si="90"/>
        <v>4.402494997950475E-10</v>
      </c>
      <c r="I232" s="5">
        <v>595</v>
      </c>
      <c r="J232" s="3">
        <f>I232/365+input!$K$3</f>
        <v>1.6301369863013699</v>
      </c>
      <c r="K232" s="4">
        <f t="shared" si="91"/>
        <v>9.7164218156336801</v>
      </c>
      <c r="L232" s="12">
        <f t="shared" si="92"/>
        <v>12.475500835438968</v>
      </c>
      <c r="M232" s="20">
        <f>input!F231</f>
        <v>9198.0300000000007</v>
      </c>
      <c r="N232" s="19">
        <f t="shared" si="93"/>
        <v>0.91210632925084489</v>
      </c>
      <c r="O232" s="19">
        <f t="shared" si="94"/>
        <v>0.38836682870928818</v>
      </c>
      <c r="P232" s="21">
        <v>960</v>
      </c>
      <c r="Q232" s="3">
        <f>P232/365+input!$K$3</f>
        <v>2.6301369863013697</v>
      </c>
      <c r="R232" s="4">
        <f t="shared" si="95"/>
        <v>12.117161684303516</v>
      </c>
      <c r="S232" s="12">
        <f t="shared" si="96"/>
        <v>24.195890870771784</v>
      </c>
      <c r="T232" s="20">
        <f>input!G231</f>
        <v>105.64</v>
      </c>
      <c r="U232" s="19">
        <f t="shared" si="97"/>
        <v>0.97661453658847319</v>
      </c>
      <c r="V232" s="19">
        <f t="shared" si="84"/>
        <v>0.9828769359940589</v>
      </c>
      <c r="W232" s="21">
        <v>1325</v>
      </c>
      <c r="X232" s="3">
        <f>W232/365+input!$K$3</f>
        <v>3.6301369863013697</v>
      </c>
      <c r="Y232" s="4">
        <f t="shared" si="98"/>
        <v>12.589299260865312</v>
      </c>
      <c r="Z232" s="12">
        <f t="shared" si="99"/>
        <v>27.135859395209948</v>
      </c>
      <c r="AA232" s="20">
        <f>input!H231</f>
        <v>0</v>
      </c>
      <c r="AB232" s="19">
        <f t="shared" si="100"/>
        <v>0.98197554006092014</v>
      </c>
      <c r="AC232" s="19">
        <f t="shared" si="101"/>
        <v>0.99519142618801715</v>
      </c>
      <c r="AD232" s="8">
        <f t="shared" si="102"/>
        <v>55785.384860572944</v>
      </c>
      <c r="AE232" s="8">
        <f t="shared" si="103"/>
        <v>114750.03094939271</v>
      </c>
      <c r="AF232" s="8">
        <f t="shared" si="104"/>
        <v>2556.0539115883312</v>
      </c>
      <c r="AG232" s="8">
        <f t="shared" si="105"/>
        <v>0</v>
      </c>
      <c r="AH232" s="8">
        <f t="shared" si="85"/>
        <v>0</v>
      </c>
      <c r="AI232" s="8">
        <f t="shared" si="86"/>
        <v>104664.22951067143</v>
      </c>
      <c r="AJ232" s="8">
        <f t="shared" si="106"/>
        <v>2496.2794063609922</v>
      </c>
      <c r="AK232" s="8">
        <f t="shared" si="107"/>
        <v>0</v>
      </c>
      <c r="AL232" s="8">
        <f t="shared" si="108"/>
        <v>0</v>
      </c>
      <c r="AM232" s="8">
        <f t="shared" si="109"/>
        <v>40648.114894360559</v>
      </c>
      <c r="AN232" s="8">
        <f t="shared" si="110"/>
        <v>2453.5354543091603</v>
      </c>
      <c r="AO232" s="8">
        <f t="shared" si="111"/>
        <v>0</v>
      </c>
    </row>
    <row r="233" spans="1:41">
      <c r="A233" s="1">
        <v>41960</v>
      </c>
      <c r="B233" s="5">
        <v>231</v>
      </c>
      <c r="C233" s="3">
        <f>B233/365+input!$K$3</f>
        <v>0.63287671232876708</v>
      </c>
      <c r="D233" s="4">
        <f t="shared" si="87"/>
        <v>3.8944672509497607</v>
      </c>
      <c r="E233" s="12">
        <f t="shared" si="88"/>
        <v>0.80330982155600483</v>
      </c>
      <c r="F233" s="20">
        <f>input!E232</f>
        <v>70576.98</v>
      </c>
      <c r="G233" s="19">
        <f t="shared" si="89"/>
        <v>0</v>
      </c>
      <c r="H233" s="19">
        <f t="shared" si="90"/>
        <v>5.1229171361136795E-10</v>
      </c>
      <c r="I233" s="5">
        <v>596</v>
      </c>
      <c r="J233" s="3">
        <f>I233/365+input!$K$3</f>
        <v>1.6328767123287671</v>
      </c>
      <c r="K233" s="4">
        <f t="shared" si="91"/>
        <v>9.7263425500532872</v>
      </c>
      <c r="L233" s="12">
        <f t="shared" si="92"/>
        <v>12.513753356128952</v>
      </c>
      <c r="M233" s="20">
        <f>input!F232</f>
        <v>9175.15</v>
      </c>
      <c r="N233" s="19">
        <f t="shared" si="93"/>
        <v>0.91258590928623917</v>
      </c>
      <c r="O233" s="19">
        <f t="shared" si="94"/>
        <v>0.39217393993485988</v>
      </c>
      <c r="P233" s="21">
        <v>961</v>
      </c>
      <c r="Q233" s="3">
        <f>P233/365+input!$K$3</f>
        <v>2.6328767123287671</v>
      </c>
      <c r="R233" s="4">
        <f t="shared" si="95"/>
        <v>12.121235690964456</v>
      </c>
      <c r="S233" s="12">
        <f t="shared" si="96"/>
        <v>24.220304352066119</v>
      </c>
      <c r="T233" s="20">
        <f>input!G232</f>
        <v>105.38</v>
      </c>
      <c r="U233" s="19">
        <f t="shared" si="97"/>
        <v>0.97666702061201471</v>
      </c>
      <c r="V233" s="19">
        <f t="shared" si="84"/>
        <v>0.98304901342819684</v>
      </c>
      <c r="W233" s="21">
        <v>1326</v>
      </c>
      <c r="X233" s="3">
        <f>W233/365+input!$K$3</f>
        <v>3.6328767123287671</v>
      </c>
      <c r="Y233" s="4">
        <f t="shared" si="98"/>
        <v>12.589299260865312</v>
      </c>
      <c r="Z233" s="12">
        <f t="shared" si="99"/>
        <v>27.135859395209948</v>
      </c>
      <c r="AA233" s="20">
        <f>input!H232</f>
        <v>0</v>
      </c>
      <c r="AB233" s="19">
        <f t="shared" si="100"/>
        <v>0.98197554006092014</v>
      </c>
      <c r="AC233" s="19">
        <f t="shared" si="101"/>
        <v>0.99519142618801715</v>
      </c>
      <c r="AD233" s="8">
        <f t="shared" si="102"/>
        <v>56695.181209761722</v>
      </c>
      <c r="AE233" s="8">
        <f t="shared" si="103"/>
        <v>114815.56410548654</v>
      </c>
      <c r="AF233" s="8">
        <f t="shared" si="104"/>
        <v>2552.3356726207276</v>
      </c>
      <c r="AG233" s="8">
        <f t="shared" si="105"/>
        <v>0</v>
      </c>
      <c r="AH233" s="8">
        <f t="shared" si="85"/>
        <v>0</v>
      </c>
      <c r="AI233" s="8">
        <f t="shared" si="86"/>
        <v>104779.06596941792</v>
      </c>
      <c r="AJ233" s="8">
        <f t="shared" si="106"/>
        <v>2492.7820769802483</v>
      </c>
      <c r="AK233" s="8">
        <f t="shared" si="107"/>
        <v>0</v>
      </c>
      <c r="AL233" s="8">
        <f t="shared" si="108"/>
        <v>0</v>
      </c>
      <c r="AM233" s="8">
        <f t="shared" si="109"/>
        <v>41091.619123921228</v>
      </c>
      <c r="AN233" s="8">
        <f t="shared" si="110"/>
        <v>2450.5269614669246</v>
      </c>
      <c r="AO233" s="8">
        <f t="shared" si="111"/>
        <v>0</v>
      </c>
    </row>
    <row r="234" spans="1:41">
      <c r="A234" s="1">
        <v>41961</v>
      </c>
      <c r="B234" s="5">
        <v>232</v>
      </c>
      <c r="C234" s="3">
        <f>B234/365+input!$K$3</f>
        <v>0.63561643835616444</v>
      </c>
      <c r="D234" s="4">
        <f t="shared" si="87"/>
        <v>3.9185666907790053</v>
      </c>
      <c r="E234" s="12">
        <f t="shared" si="88"/>
        <v>0.81831523337373513</v>
      </c>
      <c r="F234" s="20">
        <f>input!E233</f>
        <v>70401.429999999993</v>
      </c>
      <c r="G234" s="19">
        <f t="shared" si="89"/>
        <v>0</v>
      </c>
      <c r="H234" s="19">
        <f t="shared" si="90"/>
        <v>5.9556454498398003E-10</v>
      </c>
      <c r="I234" s="5">
        <v>597</v>
      </c>
      <c r="J234" s="3">
        <f>I234/365+input!$K$3</f>
        <v>1.6356164383561644</v>
      </c>
      <c r="K234" s="4">
        <f t="shared" si="91"/>
        <v>9.7362391236572758</v>
      </c>
      <c r="L234" s="12">
        <f t="shared" si="92"/>
        <v>12.551990545713585</v>
      </c>
      <c r="M234" s="20">
        <f>input!F233</f>
        <v>9004.49</v>
      </c>
      <c r="N234" s="19">
        <f t="shared" si="93"/>
        <v>0.91306171413495951</v>
      </c>
      <c r="O234" s="19">
        <f t="shared" si="94"/>
        <v>0.39598209169832665</v>
      </c>
      <c r="P234" s="21">
        <v>962</v>
      </c>
      <c r="Q234" s="3">
        <f>P234/365+input!$K$3</f>
        <v>2.6356164383561644</v>
      </c>
      <c r="R234" s="4">
        <f t="shared" si="95"/>
        <v>12.12529977584747</v>
      </c>
      <c r="S234" s="12">
        <f t="shared" si="96"/>
        <v>24.244674733686743</v>
      </c>
      <c r="T234" s="20">
        <f>input!G233</f>
        <v>103.41</v>
      </c>
      <c r="U234" s="19">
        <f t="shared" si="97"/>
        <v>0.97671925945648708</v>
      </c>
      <c r="V234" s="19">
        <f t="shared" si="84"/>
        <v>0.9832191965123126</v>
      </c>
      <c r="W234" s="21">
        <v>1327</v>
      </c>
      <c r="X234" s="3">
        <f>W234/365+input!$K$3</f>
        <v>3.6356164383561644</v>
      </c>
      <c r="Y234" s="4">
        <f t="shared" si="98"/>
        <v>12.589299260865312</v>
      </c>
      <c r="Z234" s="12">
        <f t="shared" si="99"/>
        <v>27.135859395209948</v>
      </c>
      <c r="AA234" s="20">
        <f>input!H233</f>
        <v>0</v>
      </c>
      <c r="AB234" s="19">
        <f t="shared" si="100"/>
        <v>0.98197554006092014</v>
      </c>
      <c r="AC234" s="19">
        <f t="shared" si="101"/>
        <v>0.99519142618801715</v>
      </c>
      <c r="AD234" s="8">
        <f t="shared" si="102"/>
        <v>57610.562620294673</v>
      </c>
      <c r="AE234" s="8">
        <f t="shared" si="103"/>
        <v>113024.27334897251</v>
      </c>
      <c r="AF234" s="8">
        <f t="shared" si="104"/>
        <v>2507.1418142105458</v>
      </c>
      <c r="AG234" s="8">
        <f t="shared" si="105"/>
        <v>0</v>
      </c>
      <c r="AH234" s="8">
        <f t="shared" si="85"/>
        <v>0</v>
      </c>
      <c r="AI234" s="8">
        <f t="shared" si="86"/>
        <v>103198.13676287106</v>
      </c>
      <c r="AJ234" s="8">
        <f t="shared" si="106"/>
        <v>2448.773696128118</v>
      </c>
      <c r="AK234" s="8">
        <f t="shared" si="107"/>
        <v>0</v>
      </c>
      <c r="AL234" s="8">
        <f t="shared" si="108"/>
        <v>0</v>
      </c>
      <c r="AM234" s="8">
        <f t="shared" si="109"/>
        <v>40864.614054731661</v>
      </c>
      <c r="AN234" s="8">
        <f t="shared" si="110"/>
        <v>2407.6813059475739</v>
      </c>
      <c r="AO234" s="8">
        <f t="shared" si="111"/>
        <v>0</v>
      </c>
    </row>
    <row r="235" spans="1:41">
      <c r="A235" s="1">
        <v>41962</v>
      </c>
      <c r="B235" s="5">
        <v>233</v>
      </c>
      <c r="C235" s="3">
        <f>B235/365+input!$K$3</f>
        <v>0.63835616438356169</v>
      </c>
      <c r="D235" s="4">
        <f t="shared" si="87"/>
        <v>3.9426074391749721</v>
      </c>
      <c r="E235" s="12">
        <f t="shared" si="88"/>
        <v>0.83346913073727635</v>
      </c>
      <c r="F235" s="20">
        <f>input!E234</f>
        <v>70226.320000000007</v>
      </c>
      <c r="G235" s="19">
        <f t="shared" si="89"/>
        <v>0</v>
      </c>
      <c r="H235" s="19">
        <f t="shared" si="90"/>
        <v>6.9172841463822524E-10</v>
      </c>
      <c r="I235" s="5">
        <v>598</v>
      </c>
      <c r="J235" s="3">
        <f>I235/365+input!$K$3</f>
        <v>1.6383561643835616</v>
      </c>
      <c r="K235" s="4">
        <f t="shared" si="91"/>
        <v>9.7461115952865498</v>
      </c>
      <c r="L235" s="12">
        <f t="shared" si="92"/>
        <v>12.590212141712248</v>
      </c>
      <c r="M235" s="20">
        <f>input!F234</f>
        <v>8982.09</v>
      </c>
      <c r="N235" s="19">
        <f t="shared" si="93"/>
        <v>0.9135337797972104</v>
      </c>
      <c r="O235" s="19">
        <f t="shared" si="94"/>
        <v>0.39979088652626149</v>
      </c>
      <c r="P235" s="21">
        <v>963</v>
      </c>
      <c r="Q235" s="3">
        <f>P235/365+input!$K$3</f>
        <v>2.6383561643835618</v>
      </c>
      <c r="R235" s="4">
        <f t="shared" si="95"/>
        <v>12.129353963115918</v>
      </c>
      <c r="S235" s="12">
        <f t="shared" si="96"/>
        <v>24.269002046483365</v>
      </c>
      <c r="T235" s="20">
        <f>input!G234</f>
        <v>103.16</v>
      </c>
      <c r="U235" s="19">
        <f t="shared" si="97"/>
        <v>0.97677125455140801</v>
      </c>
      <c r="V235" s="19">
        <f t="shared" si="84"/>
        <v>0.98338750686218679</v>
      </c>
      <c r="W235" s="21">
        <v>1328</v>
      </c>
      <c r="X235" s="3">
        <f>W235/365+input!$K$3</f>
        <v>3.6383561643835618</v>
      </c>
      <c r="Y235" s="4">
        <f t="shared" si="98"/>
        <v>12.589299260865312</v>
      </c>
      <c r="Z235" s="12">
        <f t="shared" si="99"/>
        <v>27.135859395209948</v>
      </c>
      <c r="AA235" s="20">
        <f>input!H234</f>
        <v>0</v>
      </c>
      <c r="AB235" s="19">
        <f t="shared" si="100"/>
        <v>0.98197554006092014</v>
      </c>
      <c r="AC235" s="19">
        <f t="shared" si="101"/>
        <v>0.99519142618801715</v>
      </c>
      <c r="AD235" s="8">
        <f t="shared" si="102"/>
        <v>58531.469885277809</v>
      </c>
      <c r="AE235" s="8">
        <f t="shared" si="103"/>
        <v>113086.41857595216</v>
      </c>
      <c r="AF235" s="8">
        <f t="shared" si="104"/>
        <v>2503.590251115224</v>
      </c>
      <c r="AG235" s="8">
        <f t="shared" si="105"/>
        <v>0</v>
      </c>
      <c r="AH235" s="8">
        <f t="shared" si="85"/>
        <v>0</v>
      </c>
      <c r="AI235" s="8">
        <f t="shared" si="86"/>
        <v>103308.26340541904</v>
      </c>
      <c r="AJ235" s="8">
        <f t="shared" si="106"/>
        <v>2445.4349904644919</v>
      </c>
      <c r="AK235" s="8">
        <f t="shared" si="107"/>
        <v>0</v>
      </c>
      <c r="AL235" s="8">
        <f t="shared" si="108"/>
        <v>0</v>
      </c>
      <c r="AM235" s="8">
        <f t="shared" si="109"/>
        <v>41301.702212341013</v>
      </c>
      <c r="AN235" s="8">
        <f t="shared" si="110"/>
        <v>2404.8102184664322</v>
      </c>
      <c r="AO235" s="8">
        <f t="shared" si="111"/>
        <v>0</v>
      </c>
    </row>
    <row r="236" spans="1:41">
      <c r="A236" s="1">
        <v>41963</v>
      </c>
      <c r="B236" s="5">
        <v>234</v>
      </c>
      <c r="C236" s="3">
        <f>B236/365+input!$K$3</f>
        <v>0.64109589041095894</v>
      </c>
      <c r="D236" s="4">
        <f t="shared" si="87"/>
        <v>3.966589639073943</v>
      </c>
      <c r="E236" s="12">
        <f t="shared" si="88"/>
        <v>0.84877138154562182</v>
      </c>
      <c r="F236" s="20">
        <f>input!E235</f>
        <v>70051.649999999994</v>
      </c>
      <c r="G236" s="19">
        <f t="shared" si="89"/>
        <v>0</v>
      </c>
      <c r="H236" s="19">
        <f t="shared" si="90"/>
        <v>8.0267528780646495E-10</v>
      </c>
      <c r="I236" s="5">
        <v>599</v>
      </c>
      <c r="J236" s="3">
        <f>I236/365+input!$K$3</f>
        <v>1.6410958904109589</v>
      </c>
      <c r="K236" s="4">
        <f t="shared" si="91"/>
        <v>9.7559600236387194</v>
      </c>
      <c r="L236" s="12">
        <f t="shared" si="92"/>
        <v>12.628417883167797</v>
      </c>
      <c r="M236" s="20">
        <f>input!F235</f>
        <v>8816.3799999999992</v>
      </c>
      <c r="N236" s="19">
        <f t="shared" si="93"/>
        <v>0.91400214187596762</v>
      </c>
      <c r="O236" s="19">
        <f t="shared" si="94"/>
        <v>0.40359992952515</v>
      </c>
      <c r="P236" s="21">
        <v>964</v>
      </c>
      <c r="Q236" s="3">
        <f>P236/365+input!$K$3</f>
        <v>2.6410958904109587</v>
      </c>
      <c r="R236" s="4">
        <f t="shared" si="95"/>
        <v>12.133398276874303</v>
      </c>
      <c r="S236" s="12">
        <f t="shared" si="96"/>
        <v>24.293286321551278</v>
      </c>
      <c r="T236" s="20">
        <f>input!G235</f>
        <v>101.09</v>
      </c>
      <c r="U236" s="19">
        <f t="shared" si="97"/>
        <v>0.97682300731627825</v>
      </c>
      <c r="V236" s="19">
        <f t="shared" si="84"/>
        <v>0.98355396585040833</v>
      </c>
      <c r="W236" s="21">
        <v>1329</v>
      </c>
      <c r="X236" s="3">
        <f>W236/365+input!$K$3</f>
        <v>3.6410958904109587</v>
      </c>
      <c r="Y236" s="4">
        <f t="shared" si="98"/>
        <v>12.589299260865312</v>
      </c>
      <c r="Z236" s="12">
        <f t="shared" si="99"/>
        <v>27.135859395209948</v>
      </c>
      <c r="AA236" s="20">
        <f>input!H235</f>
        <v>0</v>
      </c>
      <c r="AB236" s="19">
        <f t="shared" si="100"/>
        <v>0.98197554006092014</v>
      </c>
      <c r="AC236" s="19">
        <f t="shared" si="101"/>
        <v>0.99519142618801715</v>
      </c>
      <c r="AD236" s="8">
        <f t="shared" si="102"/>
        <v>59457.835750050355</v>
      </c>
      <c r="AE236" s="8">
        <f t="shared" si="103"/>
        <v>111336.93085680289</v>
      </c>
      <c r="AF236" s="8">
        <f t="shared" si="104"/>
        <v>2455.8083142456189</v>
      </c>
      <c r="AG236" s="8">
        <f t="shared" si="105"/>
        <v>0</v>
      </c>
      <c r="AH236" s="8">
        <f t="shared" si="85"/>
        <v>0</v>
      </c>
      <c r="AI236" s="8">
        <f t="shared" si="86"/>
        <v>101762.19327301436</v>
      </c>
      <c r="AJ236" s="8">
        <f t="shared" si="106"/>
        <v>2398.8900629137252</v>
      </c>
      <c r="AK236" s="8">
        <f t="shared" si="107"/>
        <v>0</v>
      </c>
      <c r="AL236" s="8">
        <f t="shared" si="108"/>
        <v>0</v>
      </c>
      <c r="AM236" s="8">
        <f t="shared" si="109"/>
        <v>41071.214033313292</v>
      </c>
      <c r="AN236" s="8">
        <f t="shared" si="110"/>
        <v>2359.43783501793</v>
      </c>
      <c r="AO236" s="8">
        <f t="shared" si="111"/>
        <v>0</v>
      </c>
    </row>
    <row r="237" spans="1:41">
      <c r="A237" s="1">
        <v>41964</v>
      </c>
      <c r="B237" s="5">
        <v>235</v>
      </c>
      <c r="C237" s="3">
        <f>B237/365+input!$K$3</f>
        <v>0.64383561643835618</v>
      </c>
      <c r="D237" s="4">
        <f t="shared" si="87"/>
        <v>3.9905134330640979</v>
      </c>
      <c r="E237" s="12">
        <f t="shared" si="88"/>
        <v>0.86422184466954022</v>
      </c>
      <c r="F237" s="20">
        <f>input!E236</f>
        <v>69877.41</v>
      </c>
      <c r="G237" s="19">
        <f t="shared" si="89"/>
        <v>0</v>
      </c>
      <c r="H237" s="19">
        <f t="shared" si="90"/>
        <v>9.3055891492649235E-10</v>
      </c>
      <c r="I237" s="5">
        <v>600</v>
      </c>
      <c r="J237" s="3">
        <f>I237/365+input!$K$3</f>
        <v>1.6438356164383561</v>
      </c>
      <c r="K237" s="4">
        <f t="shared" si="91"/>
        <v>9.7657844672684391</v>
      </c>
      <c r="L237" s="12">
        <f t="shared" si="92"/>
        <v>12.666607510642681</v>
      </c>
      <c r="M237" s="20">
        <f>input!F236</f>
        <v>8794.4500000000007</v>
      </c>
      <c r="N237" s="19">
        <f t="shared" si="93"/>
        <v>0.91446683558190578</v>
      </c>
      <c r="O237" s="19">
        <f t="shared" si="94"/>
        <v>0.40740882848992199</v>
      </c>
      <c r="P237" s="21">
        <v>965</v>
      </c>
      <c r="Q237" s="3">
        <f>P237/365+input!$K$3</f>
        <v>2.6438356164383561</v>
      </c>
      <c r="R237" s="4">
        <f t="shared" si="95"/>
        <v>12.137432741168439</v>
      </c>
      <c r="S237" s="12">
        <f t="shared" si="96"/>
        <v>24.317527590229652</v>
      </c>
      <c r="T237" s="20">
        <f>input!G236</f>
        <v>100.84</v>
      </c>
      <c r="U237" s="19">
        <f t="shared" si="97"/>
        <v>0.97687451916066281</v>
      </c>
      <c r="V237" s="19">
        <f t="shared" si="84"/>
        <v>0.98371859460886746</v>
      </c>
      <c r="W237" s="21">
        <v>1330</v>
      </c>
      <c r="X237" s="3">
        <f>W237/365+input!$K$3</f>
        <v>3.6438356164383561</v>
      </c>
      <c r="Y237" s="4">
        <f t="shared" si="98"/>
        <v>12.589299260865312</v>
      </c>
      <c r="Z237" s="12">
        <f t="shared" si="99"/>
        <v>27.135859395209948</v>
      </c>
      <c r="AA237" s="20">
        <f>input!H236</f>
        <v>0</v>
      </c>
      <c r="AB237" s="19">
        <f t="shared" si="100"/>
        <v>0.98197554006092014</v>
      </c>
      <c r="AC237" s="19">
        <f t="shared" si="101"/>
        <v>0.99519142618801715</v>
      </c>
      <c r="AD237" s="8">
        <f t="shared" si="102"/>
        <v>60389.584170929782</v>
      </c>
      <c r="AE237" s="8">
        <f t="shared" si="103"/>
        <v>111395.84642197154</v>
      </c>
      <c r="AF237" s="8">
        <f t="shared" si="104"/>
        <v>2452.1794821987583</v>
      </c>
      <c r="AG237" s="8">
        <f t="shared" si="105"/>
        <v>0</v>
      </c>
      <c r="AH237" s="8">
        <f t="shared" si="85"/>
        <v>0</v>
      </c>
      <c r="AI237" s="8">
        <f t="shared" si="86"/>
        <v>101867.80717446827</v>
      </c>
      <c r="AJ237" s="8">
        <f t="shared" si="106"/>
        <v>2395.4716525685549</v>
      </c>
      <c r="AK237" s="8">
        <f t="shared" si="107"/>
        <v>0</v>
      </c>
      <c r="AL237" s="8">
        <f t="shared" si="108"/>
        <v>0</v>
      </c>
      <c r="AM237" s="8">
        <f t="shared" si="109"/>
        <v>41501.843981787388</v>
      </c>
      <c r="AN237" s="8">
        <f t="shared" si="110"/>
        <v>2356.4700074901202</v>
      </c>
      <c r="AO237" s="8">
        <f t="shared" si="111"/>
        <v>0</v>
      </c>
    </row>
    <row r="238" spans="1:41">
      <c r="A238" s="1">
        <v>41965</v>
      </c>
      <c r="B238" s="5">
        <v>236</v>
      </c>
      <c r="C238" s="3">
        <f>B238/365+input!$K$3</f>
        <v>0.64657534246575343</v>
      </c>
      <c r="D238" s="4">
        <f t="shared" si="87"/>
        <v>4.0143789633863562</v>
      </c>
      <c r="E238" s="12">
        <f t="shared" si="88"/>
        <v>0.87982037007905223</v>
      </c>
      <c r="F238" s="20">
        <f>input!E237</f>
        <v>69703.600000000006</v>
      </c>
      <c r="G238" s="19">
        <f t="shared" si="89"/>
        <v>0</v>
      </c>
      <c r="H238" s="19">
        <f t="shared" si="90"/>
        <v>1.077828736982236E-9</v>
      </c>
      <c r="I238" s="5">
        <v>601</v>
      </c>
      <c r="J238" s="3">
        <f>I238/365+input!$K$3</f>
        <v>1.6465753424657534</v>
      </c>
      <c r="K238" s="4">
        <f t="shared" si="91"/>
        <v>9.7755849845877609</v>
      </c>
      <c r="L238" s="12">
        <f t="shared" si="92"/>
        <v>12.704780766215125</v>
      </c>
      <c r="M238" s="20">
        <f>input!F237</f>
        <v>8631.89</v>
      </c>
      <c r="N238" s="19">
        <f t="shared" si="93"/>
        <v>0.91492789573826006</v>
      </c>
      <c r="O238" s="19">
        <f t="shared" si="94"/>
        <v>0.41121719400974688</v>
      </c>
      <c r="P238" s="21">
        <v>966</v>
      </c>
      <c r="Q238" s="3">
        <f>P238/365+input!$K$3</f>
        <v>2.6465753424657534</v>
      </c>
      <c r="R238" s="4">
        <f t="shared" si="95"/>
        <v>12.141457379985567</v>
      </c>
      <c r="S238" s="12">
        <f t="shared" si="96"/>
        <v>24.341725884099496</v>
      </c>
      <c r="T238" s="20">
        <f>input!G237</f>
        <v>98.75</v>
      </c>
      <c r="U238" s="19">
        <f t="shared" si="97"/>
        <v>0.97692579148427083</v>
      </c>
      <c r="V238" s="19">
        <f t="shared" si="84"/>
        <v>0.9838814140312272</v>
      </c>
      <c r="W238" s="21">
        <v>1331</v>
      </c>
      <c r="X238" s="3">
        <f>W238/365+input!$K$3</f>
        <v>3.6465753424657534</v>
      </c>
      <c r="Y238" s="4">
        <f t="shared" si="98"/>
        <v>12.589299260865312</v>
      </c>
      <c r="Z238" s="12">
        <f t="shared" si="99"/>
        <v>27.135859395209948</v>
      </c>
      <c r="AA238" s="20">
        <f>input!H237</f>
        <v>0</v>
      </c>
      <c r="AB238" s="19">
        <f t="shared" si="100"/>
        <v>0.98197554006092014</v>
      </c>
      <c r="AC238" s="19">
        <f t="shared" si="101"/>
        <v>0.99519142618801715</v>
      </c>
      <c r="AD238" s="8">
        <f t="shared" si="102"/>
        <v>61326.647147842232</v>
      </c>
      <c r="AE238" s="8">
        <f t="shared" si="103"/>
        <v>109666.27004808467</v>
      </c>
      <c r="AF238" s="8">
        <f t="shared" si="104"/>
        <v>2403.7454310548251</v>
      </c>
      <c r="AG238" s="8">
        <f t="shared" si="105"/>
        <v>0</v>
      </c>
      <c r="AH238" s="8">
        <f t="shared" si="85"/>
        <v>0</v>
      </c>
      <c r="AI238" s="8">
        <f t="shared" si="86"/>
        <v>100336.72968855788</v>
      </c>
      <c r="AJ238" s="8">
        <f t="shared" si="106"/>
        <v>2348.280907759935</v>
      </c>
      <c r="AK238" s="8">
        <f t="shared" si="107"/>
        <v>0</v>
      </c>
      <c r="AL238" s="8">
        <f t="shared" si="108"/>
        <v>0</v>
      </c>
      <c r="AM238" s="8">
        <f t="shared" si="109"/>
        <v>41260.188438643236</v>
      </c>
      <c r="AN238" s="8">
        <f t="shared" si="110"/>
        <v>2310.4299400693785</v>
      </c>
      <c r="AO238" s="8">
        <f t="shared" si="111"/>
        <v>0</v>
      </c>
    </row>
    <row r="239" spans="1:41">
      <c r="A239" s="1">
        <v>41966</v>
      </c>
      <c r="B239" s="5">
        <v>237</v>
      </c>
      <c r="C239" s="3">
        <f>B239/365+input!$K$3</f>
        <v>0.64931506849315068</v>
      </c>
      <c r="D239" s="4">
        <f t="shared" si="87"/>
        <v>4.0381863719352262</v>
      </c>
      <c r="E239" s="12">
        <f t="shared" si="88"/>
        <v>0.89556679896965286</v>
      </c>
      <c r="F239" s="20">
        <f>input!E238</f>
        <v>69530.22</v>
      </c>
      <c r="G239" s="19">
        <f t="shared" si="89"/>
        <v>0</v>
      </c>
      <c r="H239" s="19">
        <f t="shared" si="90"/>
        <v>1.2472678622075237E-9</v>
      </c>
      <c r="I239" s="5">
        <v>602</v>
      </c>
      <c r="J239" s="3">
        <f>I239/365+input!$K$3</f>
        <v>1.6493150684931508</v>
      </c>
      <c r="K239" s="4">
        <f t="shared" si="91"/>
        <v>9.7853616338664775</v>
      </c>
      <c r="L239" s="12">
        <f t="shared" si="92"/>
        <v>12.742937393475234</v>
      </c>
      <c r="M239" s="20">
        <f>input!F238</f>
        <v>8610.41</v>
      </c>
      <c r="N239" s="19">
        <f t="shared" si="93"/>
        <v>0.9153853567856205</v>
      </c>
      <c r="O239" s="19">
        <f t="shared" si="94"/>
        <v>0.41502463957106522</v>
      </c>
      <c r="P239" s="21">
        <v>967</v>
      </c>
      <c r="Q239" s="3">
        <f>P239/365+input!$K$3</f>
        <v>2.6493150684931508</v>
      </c>
      <c r="R239" s="4">
        <f t="shared" si="95"/>
        <v>12.145472217254515</v>
      </c>
      <c r="S239" s="12">
        <f t="shared" si="96"/>
        <v>24.365881234981909</v>
      </c>
      <c r="T239" s="20">
        <f>input!G238</f>
        <v>98.51</v>
      </c>
      <c r="U239" s="19">
        <f t="shared" si="97"/>
        <v>0.97697682567703636</v>
      </c>
      <c r="V239" s="19">
        <f t="shared" si="84"/>
        <v>0.98404244477537939</v>
      </c>
      <c r="W239" s="21">
        <v>1332</v>
      </c>
      <c r="X239" s="3">
        <f>W239/365+input!$K$3</f>
        <v>3.6493150684931508</v>
      </c>
      <c r="Y239" s="4">
        <f t="shared" si="98"/>
        <v>12.589299260865312</v>
      </c>
      <c r="Z239" s="12">
        <f t="shared" si="99"/>
        <v>27.135859395209948</v>
      </c>
      <c r="AA239" s="20">
        <f>input!H238</f>
        <v>0</v>
      </c>
      <c r="AB239" s="19">
        <f t="shared" si="100"/>
        <v>0.98197554006092014</v>
      </c>
      <c r="AC239" s="19">
        <f t="shared" si="101"/>
        <v>0.99519142618801715</v>
      </c>
      <c r="AD239" s="8">
        <f t="shared" si="102"/>
        <v>62268.956557055739</v>
      </c>
      <c r="AE239" s="8">
        <f t="shared" si="103"/>
        <v>109721.9155621531</v>
      </c>
      <c r="AF239" s="8">
        <f t="shared" si="104"/>
        <v>2400.2829604580679</v>
      </c>
      <c r="AG239" s="8">
        <f t="shared" si="105"/>
        <v>0</v>
      </c>
      <c r="AH239" s="8">
        <f t="shared" si="85"/>
        <v>0</v>
      </c>
      <c r="AI239" s="8">
        <f t="shared" si="86"/>
        <v>100437.83482406323</v>
      </c>
      <c r="AJ239" s="8">
        <f t="shared" si="106"/>
        <v>2345.0208274350025</v>
      </c>
      <c r="AK239" s="8">
        <f t="shared" si="107"/>
        <v>0</v>
      </c>
      <c r="AL239" s="8">
        <f t="shared" si="108"/>
        <v>0</v>
      </c>
      <c r="AM239" s="8">
        <f t="shared" si="109"/>
        <v>41684.17619715503</v>
      </c>
      <c r="AN239" s="8">
        <f t="shared" si="110"/>
        <v>2307.6000280783228</v>
      </c>
      <c r="AO239" s="8">
        <f t="shared" si="111"/>
        <v>0</v>
      </c>
    </row>
    <row r="240" spans="1:41">
      <c r="A240" s="1">
        <v>41967</v>
      </c>
      <c r="B240" s="5">
        <v>238</v>
      </c>
      <c r="C240" s="3">
        <f>B240/365+input!$K$3</f>
        <v>0.65205479452054793</v>
      </c>
      <c r="D240" s="4">
        <f t="shared" si="87"/>
        <v>4.0619358002596488</v>
      </c>
      <c r="E240" s="12">
        <f t="shared" si="88"/>
        <v>0.91146096388728282</v>
      </c>
      <c r="F240" s="20">
        <f>input!E239</f>
        <v>69357.279999999999</v>
      </c>
      <c r="G240" s="19">
        <f t="shared" si="89"/>
        <v>0</v>
      </c>
      <c r="H240" s="19">
        <f t="shared" si="90"/>
        <v>1.4420355614174416E-9</v>
      </c>
      <c r="I240" s="5">
        <v>603</v>
      </c>
      <c r="J240" s="3">
        <f>I240/365+input!$K$3</f>
        <v>1.6520547945205479</v>
      </c>
      <c r="K240" s="4">
        <f t="shared" si="91"/>
        <v>9.7951144732324824</v>
      </c>
      <c r="L240" s="12">
        <f t="shared" si="92"/>
        <v>12.781077137521191</v>
      </c>
      <c r="M240" s="20">
        <f>input!F239</f>
        <v>8452.9</v>
      </c>
      <c r="N240" s="19">
        <f t="shared" si="93"/>
        <v>0.91583925278666189</v>
      </c>
      <c r="O240" s="19">
        <f t="shared" si="94"/>
        <v>0.41883078165784948</v>
      </c>
      <c r="P240" s="21">
        <v>968</v>
      </c>
      <c r="Q240" s="3">
        <f>P240/365+input!$K$3</f>
        <v>2.6520547945205482</v>
      </c>
      <c r="R240" s="4">
        <f t="shared" si="95"/>
        <v>12.149477276845834</v>
      </c>
      <c r="S240" s="12">
        <f t="shared" si="96"/>
        <v>24.38999367493625</v>
      </c>
      <c r="T240" s="20">
        <f>input!G239</f>
        <v>96.24</v>
      </c>
      <c r="U240" s="19">
        <f t="shared" si="97"/>
        <v>0.97702762311919622</v>
      </c>
      <c r="V240" s="19">
        <f t="shared" si="84"/>
        <v>0.98420170726588063</v>
      </c>
      <c r="W240" s="21">
        <v>1333</v>
      </c>
      <c r="X240" s="3">
        <f>W240/365+input!$K$3</f>
        <v>3.6520547945205482</v>
      </c>
      <c r="Y240" s="4">
        <f t="shared" si="98"/>
        <v>12.589299260865312</v>
      </c>
      <c r="Z240" s="12">
        <f t="shared" si="99"/>
        <v>27.135859395209948</v>
      </c>
      <c r="AA240" s="20">
        <f>input!H239</f>
        <v>0</v>
      </c>
      <c r="AB240" s="19">
        <f t="shared" si="100"/>
        <v>0.98197554006092014</v>
      </c>
      <c r="AC240" s="19">
        <f t="shared" si="101"/>
        <v>0.99519142618801715</v>
      </c>
      <c r="AD240" s="8">
        <f t="shared" si="102"/>
        <v>63216.453281400165</v>
      </c>
      <c r="AE240" s="8">
        <f t="shared" si="103"/>
        <v>108037.16693575287</v>
      </c>
      <c r="AF240" s="8">
        <f t="shared" si="104"/>
        <v>2347.2929912758646</v>
      </c>
      <c r="AG240" s="8">
        <f t="shared" si="105"/>
        <v>0</v>
      </c>
      <c r="AH240" s="8">
        <f t="shared" si="85"/>
        <v>0</v>
      </c>
      <c r="AI240" s="8">
        <f t="shared" si="86"/>
        <v>98944.67823962777</v>
      </c>
      <c r="AJ240" s="8">
        <f t="shared" si="106"/>
        <v>2293.370092030606</v>
      </c>
      <c r="AK240" s="8">
        <f t="shared" si="107"/>
        <v>0</v>
      </c>
      <c r="AL240" s="8">
        <f t="shared" si="108"/>
        <v>0</v>
      </c>
      <c r="AM240" s="8">
        <f t="shared" si="109"/>
        <v>41441.076927987713</v>
      </c>
      <c r="AN240" s="8">
        <f t="shared" si="110"/>
        <v>2257.138759969032</v>
      </c>
      <c r="AO240" s="8">
        <f t="shared" si="111"/>
        <v>0</v>
      </c>
    </row>
    <row r="241" spans="1:41">
      <c r="A241" s="1">
        <v>41968</v>
      </c>
      <c r="B241" s="5">
        <v>239</v>
      </c>
      <c r="C241" s="3">
        <f>B241/365+input!$K$3</f>
        <v>0.65479452054794518</v>
      </c>
      <c r="D241" s="4">
        <f t="shared" si="87"/>
        <v>4.0856273895638386</v>
      </c>
      <c r="E241" s="12">
        <f t="shared" si="88"/>
        <v>0.92750268885205589</v>
      </c>
      <c r="F241" s="20">
        <f>input!E240</f>
        <v>69184.77</v>
      </c>
      <c r="G241" s="19">
        <f t="shared" si="89"/>
        <v>0</v>
      </c>
      <c r="H241" s="19">
        <f t="shared" si="90"/>
        <v>1.6657147732898224E-9</v>
      </c>
      <c r="I241" s="5">
        <v>604</v>
      </c>
      <c r="J241" s="3">
        <f>I241/365+input!$K$3</f>
        <v>1.6547945205479453</v>
      </c>
      <c r="K241" s="4">
        <f t="shared" si="91"/>
        <v>9.8048435606720936</v>
      </c>
      <c r="L241" s="12">
        <f t="shared" si="92"/>
        <v>12.819199744955226</v>
      </c>
      <c r="M241" s="20">
        <f>input!F240</f>
        <v>8431.8799999999992</v>
      </c>
      <c r="N241" s="19">
        <f t="shared" si="93"/>
        <v>0.91628961743080728</v>
      </c>
      <c r="O241" s="19">
        <f t="shared" si="94"/>
        <v>0.42263523984905998</v>
      </c>
      <c r="P241" s="21">
        <v>969</v>
      </c>
      <c r="Q241" s="3">
        <f>P241/365+input!$K$3</f>
        <v>2.6547945205479451</v>
      </c>
      <c r="R241" s="4">
        <f t="shared" si="95"/>
        <v>12.153472582571942</v>
      </c>
      <c r="S241" s="12">
        <f t="shared" si="96"/>
        <v>24.414063236258212</v>
      </c>
      <c r="T241" s="20">
        <f>input!G240</f>
        <v>96</v>
      </c>
      <c r="U241" s="19">
        <f t="shared" si="97"/>
        <v>0.97707818518136946</v>
      </c>
      <c r="V241" s="19">
        <f t="shared" si="84"/>
        <v>0.9843592216963698</v>
      </c>
      <c r="W241" s="21">
        <v>1334</v>
      </c>
      <c r="X241" s="3">
        <f>W241/365+input!$K$3</f>
        <v>3.6547945205479451</v>
      </c>
      <c r="Y241" s="4">
        <f t="shared" si="98"/>
        <v>12.589299260865312</v>
      </c>
      <c r="Z241" s="12">
        <f t="shared" si="99"/>
        <v>27.135859395209948</v>
      </c>
      <c r="AA241" s="20">
        <f>input!H240</f>
        <v>0</v>
      </c>
      <c r="AB241" s="19">
        <f t="shared" si="100"/>
        <v>0.98197554006092014</v>
      </c>
      <c r="AC241" s="19">
        <f t="shared" si="101"/>
        <v>0.99519142618801715</v>
      </c>
      <c r="AD241" s="8">
        <f t="shared" si="102"/>
        <v>64169.060202611057</v>
      </c>
      <c r="AE241" s="8">
        <f t="shared" si="103"/>
        <v>108089.95394549306</v>
      </c>
      <c r="AF241" s="8">
        <f t="shared" si="104"/>
        <v>2343.7500706807882</v>
      </c>
      <c r="AG241" s="8">
        <f t="shared" si="105"/>
        <v>0</v>
      </c>
      <c r="AH241" s="8">
        <f t="shared" si="85"/>
        <v>0</v>
      </c>
      <c r="AI241" s="8">
        <f t="shared" si="86"/>
        <v>99041.702548829417</v>
      </c>
      <c r="AJ241" s="8">
        <f t="shared" si="106"/>
        <v>2290.0270655794911</v>
      </c>
      <c r="AK241" s="8">
        <f t="shared" si="107"/>
        <v>0</v>
      </c>
      <c r="AL241" s="8">
        <f t="shared" si="108"/>
        <v>0</v>
      </c>
      <c r="AM241" s="8">
        <f t="shared" si="109"/>
        <v>41858.513711783773</v>
      </c>
      <c r="AN241" s="8">
        <f t="shared" si="110"/>
        <v>2254.2092599374496</v>
      </c>
      <c r="AO241" s="8">
        <f t="shared" si="111"/>
        <v>0</v>
      </c>
    </row>
    <row r="242" spans="1:41">
      <c r="A242" s="1">
        <v>41969</v>
      </c>
      <c r="B242" s="5">
        <v>240</v>
      </c>
      <c r="C242" s="3">
        <f>B242/365+input!$K$3</f>
        <v>0.65753424657534243</v>
      </c>
      <c r="D242" s="4">
        <f t="shared" si="87"/>
        <v>4.1092612807081235</v>
      </c>
      <c r="E242" s="12">
        <f t="shared" si="88"/>
        <v>0.94369178948076482</v>
      </c>
      <c r="F242" s="20">
        <f>input!E241</f>
        <v>69012.679999999993</v>
      </c>
      <c r="G242" s="19">
        <f t="shared" si="89"/>
        <v>0</v>
      </c>
      <c r="H242" s="19">
        <f t="shared" si="90"/>
        <v>1.9223651587413618E-9</v>
      </c>
      <c r="I242" s="5">
        <v>605</v>
      </c>
      <c r="J242" s="3">
        <f>I242/365+input!$K$3</f>
        <v>1.6575342465753424</v>
      </c>
      <c r="K242" s="4">
        <f t="shared" si="91"/>
        <v>9.8145489540304176</v>
      </c>
      <c r="L242" s="12">
        <f t="shared" si="92"/>
        <v>12.857304963879795</v>
      </c>
      <c r="M242" s="20">
        <f>input!F241</f>
        <v>8275.09</v>
      </c>
      <c r="N242" s="19">
        <f t="shared" si="93"/>
        <v>0.91673648403883023</v>
      </c>
      <c r="O242" s="19">
        <f t="shared" si="94"/>
        <v>0.42643763691331266</v>
      </c>
      <c r="P242" s="21">
        <v>970</v>
      </c>
      <c r="Q242" s="3">
        <f>P242/365+input!$K$3</f>
        <v>2.6575342465753424</v>
      </c>
      <c r="R242" s="4">
        <f t="shared" si="95"/>
        <v>12.157458158187262</v>
      </c>
      <c r="S242" s="12">
        <f t="shared" si="96"/>
        <v>24.438089951478098</v>
      </c>
      <c r="T242" s="20">
        <f>input!G241</f>
        <v>93.9</v>
      </c>
      <c r="U242" s="19">
        <f t="shared" si="97"/>
        <v>0.97712851322463401</v>
      </c>
      <c r="V242" s="19">
        <f t="shared" si="84"/>
        <v>0.98451500803196679</v>
      </c>
      <c r="W242" s="21">
        <v>1335</v>
      </c>
      <c r="X242" s="3">
        <f>W242/365+input!$K$3</f>
        <v>3.6575342465753424</v>
      </c>
      <c r="Y242" s="4">
        <f t="shared" si="98"/>
        <v>12.589299260865312</v>
      </c>
      <c r="Z242" s="12">
        <f t="shared" si="99"/>
        <v>27.135859395209948</v>
      </c>
      <c r="AA242" s="20">
        <f>input!H241</f>
        <v>0</v>
      </c>
      <c r="AB242" s="19">
        <f t="shared" si="100"/>
        <v>0.98197554006092014</v>
      </c>
      <c r="AC242" s="19">
        <f t="shared" si="101"/>
        <v>0.99519142618801715</v>
      </c>
      <c r="AD242" s="8">
        <f t="shared" si="102"/>
        <v>65126.699486063379</v>
      </c>
      <c r="AE242" s="8">
        <f t="shared" si="103"/>
        <v>106395.35573355205</v>
      </c>
      <c r="AF242" s="8">
        <f t="shared" si="104"/>
        <v>2294.7366464437937</v>
      </c>
      <c r="AG242" s="8">
        <f t="shared" si="105"/>
        <v>0</v>
      </c>
      <c r="AH242" s="8">
        <f t="shared" si="85"/>
        <v>0</v>
      </c>
      <c r="AI242" s="8">
        <f t="shared" si="86"/>
        <v>97536.504333237099</v>
      </c>
      <c r="AJ242" s="8">
        <f t="shared" si="106"/>
        <v>2242.2526075817068</v>
      </c>
      <c r="AK242" s="8">
        <f t="shared" si="107"/>
        <v>0</v>
      </c>
      <c r="AL242" s="8">
        <f t="shared" si="108"/>
        <v>0</v>
      </c>
      <c r="AM242" s="8">
        <f t="shared" si="109"/>
        <v>41593.236420650712</v>
      </c>
      <c r="AN242" s="8">
        <f t="shared" si="110"/>
        <v>2207.5313439630027</v>
      </c>
      <c r="AO242" s="8">
        <f t="shared" si="111"/>
        <v>0</v>
      </c>
    </row>
    <row r="243" spans="1:41">
      <c r="A243" s="1">
        <v>41970</v>
      </c>
      <c r="B243" s="5">
        <v>241</v>
      </c>
      <c r="C243" s="3">
        <f>B243/365+input!$K$3</f>
        <v>0.66027397260273968</v>
      </c>
      <c r="D243" s="4">
        <f t="shared" si="87"/>
        <v>4.1328376142097847</v>
      </c>
      <c r="E243" s="12">
        <f t="shared" si="88"/>
        <v>0.9600280731081634</v>
      </c>
      <c r="F243" s="20">
        <f>input!E242</f>
        <v>68841.03</v>
      </c>
      <c r="G243" s="19">
        <f t="shared" si="89"/>
        <v>0</v>
      </c>
      <c r="H243" s="19">
        <f t="shared" si="90"/>
        <v>2.2165822953867671E-9</v>
      </c>
      <c r="I243" s="5">
        <v>606</v>
      </c>
      <c r="J243" s="3">
        <f>I243/365+input!$K$3</f>
        <v>1.6602739726027398</v>
      </c>
      <c r="K243" s="4">
        <f t="shared" si="91"/>
        <v>9.8242307110116833</v>
      </c>
      <c r="L243" s="12">
        <f t="shared" si="92"/>
        <v>12.895392543893587</v>
      </c>
      <c r="M243" s="20">
        <f>input!F242</f>
        <v>8254.51</v>
      </c>
      <c r="N243" s="19">
        <f t="shared" si="93"/>
        <v>0.91717988556739272</v>
      </c>
      <c r="O243" s="19">
        <f t="shared" si="94"/>
        <v>0.43023759890072361</v>
      </c>
      <c r="P243" s="21">
        <v>971</v>
      </c>
      <c r="Q243" s="3">
        <f>P243/365+input!$K$3</f>
        <v>2.6602739726027398</v>
      </c>
      <c r="R243" s="4">
        <f t="shared" si="95"/>
        <v>12.161434027388369</v>
      </c>
      <c r="S243" s="12">
        <f t="shared" si="96"/>
        <v>24.46207385335893</v>
      </c>
      <c r="T243" s="20">
        <f>input!G242</f>
        <v>93.66</v>
      </c>
      <c r="U243" s="19">
        <f t="shared" si="97"/>
        <v>0.97717860860060413</v>
      </c>
      <c r="V243" s="19">
        <f t="shared" si="84"/>
        <v>0.98466908601165304</v>
      </c>
      <c r="W243" s="21">
        <v>1336</v>
      </c>
      <c r="X243" s="3">
        <f>W243/365+input!$K$3</f>
        <v>3.6602739726027398</v>
      </c>
      <c r="Y243" s="4">
        <f t="shared" si="98"/>
        <v>12.589299260865312</v>
      </c>
      <c r="Z243" s="12">
        <f t="shared" si="99"/>
        <v>27.135859395209948</v>
      </c>
      <c r="AA243" s="20">
        <f>input!H242</f>
        <v>0</v>
      </c>
      <c r="AB243" s="19">
        <f t="shared" si="100"/>
        <v>0.98197554006092014</v>
      </c>
      <c r="AC243" s="19">
        <f t="shared" si="101"/>
        <v>0.99519142618801715</v>
      </c>
      <c r="AD243" s="8">
        <f t="shared" si="102"/>
        <v>66089.321381681264</v>
      </c>
      <c r="AE243" s="8">
        <f t="shared" si="103"/>
        <v>106445.14670749506</v>
      </c>
      <c r="AF243" s="8">
        <f t="shared" si="104"/>
        <v>2291.1178371055971</v>
      </c>
      <c r="AG243" s="8">
        <f t="shared" si="105"/>
        <v>0</v>
      </c>
      <c r="AH243" s="8">
        <f t="shared" si="85"/>
        <v>0</v>
      </c>
      <c r="AI243" s="8">
        <f t="shared" si="86"/>
        <v>97629.347476384646</v>
      </c>
      <c r="AJ243" s="8">
        <f t="shared" si="106"/>
        <v>2238.831340202873</v>
      </c>
      <c r="AK243" s="8">
        <f t="shared" si="107"/>
        <v>0</v>
      </c>
      <c r="AL243" s="8">
        <f t="shared" si="108"/>
        <v>0</v>
      </c>
      <c r="AM243" s="8">
        <f t="shared" si="109"/>
        <v>42003.816040484147</v>
      </c>
      <c r="AN243" s="8">
        <f t="shared" si="110"/>
        <v>2204.5080094918071</v>
      </c>
      <c r="AO243" s="8">
        <f t="shared" si="111"/>
        <v>0</v>
      </c>
    </row>
    <row r="244" spans="1:41">
      <c r="A244" s="1">
        <v>41971</v>
      </c>
      <c r="B244" s="5">
        <v>242</v>
      </c>
      <c r="C244" s="3">
        <f>B244/365+input!$K$3</f>
        <v>0.66301369863013704</v>
      </c>
      <c r="D244" s="4">
        <f t="shared" si="87"/>
        <v>4.1563565302438841</v>
      </c>
      <c r="E244" s="12">
        <f t="shared" si="88"/>
        <v>0.97651133890703934</v>
      </c>
      <c r="F244" s="20">
        <f>input!E243</f>
        <v>68669.8</v>
      </c>
      <c r="G244" s="19">
        <f t="shared" si="89"/>
        <v>0</v>
      </c>
      <c r="H244" s="19">
        <f t="shared" si="90"/>
        <v>2.5535636592104857E-9</v>
      </c>
      <c r="I244" s="5">
        <v>607</v>
      </c>
      <c r="J244" s="3">
        <f>I244/365+input!$K$3</f>
        <v>1.6630136986301369</v>
      </c>
      <c r="K244" s="4">
        <f t="shared" si="91"/>
        <v>9.833888889179585</v>
      </c>
      <c r="L244" s="12">
        <f t="shared" si="92"/>
        <v>12.933462236087566</v>
      </c>
      <c r="M244" s="20">
        <f>input!F243</f>
        <v>8102.89</v>
      </c>
      <c r="N244" s="19">
        <f t="shared" si="93"/>
        <v>0.91761985461352191</v>
      </c>
      <c r="O244" s="19">
        <f t="shared" si="94"/>
        <v>0.43403475523193707</v>
      </c>
      <c r="P244" s="21">
        <v>972</v>
      </c>
      <c r="Q244" s="3">
        <f>P244/365+input!$K$3</f>
        <v>2.6630136986301371</v>
      </c>
      <c r="R244" s="4">
        <f t="shared" si="95"/>
        <v>12.165400213814126</v>
      </c>
      <c r="S244" s="12">
        <f t="shared" si="96"/>
        <v>24.48601497489468</v>
      </c>
      <c r="T244" s="20">
        <f>input!G243</f>
        <v>91.4</v>
      </c>
      <c r="U244" s="19">
        <f t="shared" si="97"/>
        <v>0.97722847265150625</v>
      </c>
      <c r="V244" s="19">
        <f t="shared" si="84"/>
        <v>0.98482147515063301</v>
      </c>
      <c r="W244" s="21">
        <v>1337</v>
      </c>
      <c r="X244" s="3">
        <f>W244/365+input!$K$3</f>
        <v>3.6630136986301371</v>
      </c>
      <c r="Y244" s="4">
        <f t="shared" si="98"/>
        <v>12.589299260865312</v>
      </c>
      <c r="Z244" s="12">
        <f t="shared" si="99"/>
        <v>27.135859395209948</v>
      </c>
      <c r="AA244" s="20">
        <f>input!H243</f>
        <v>0</v>
      </c>
      <c r="AB244" s="19">
        <f t="shared" si="100"/>
        <v>0.98197554006092014</v>
      </c>
      <c r="AC244" s="19">
        <f t="shared" si="101"/>
        <v>0.99519142618801715</v>
      </c>
      <c r="AD244" s="8">
        <f t="shared" si="102"/>
        <v>67056.838340478615</v>
      </c>
      <c r="AE244" s="8">
        <f t="shared" si="103"/>
        <v>104798.42181817158</v>
      </c>
      <c r="AF244" s="8">
        <f t="shared" si="104"/>
        <v>2238.0217687053737</v>
      </c>
      <c r="AG244" s="8">
        <f t="shared" si="105"/>
        <v>0</v>
      </c>
      <c r="AH244" s="8">
        <f t="shared" si="85"/>
        <v>0</v>
      </c>
      <c r="AI244" s="8">
        <f t="shared" si="86"/>
        <v>96165.112592517151</v>
      </c>
      <c r="AJ244" s="8">
        <f t="shared" si="106"/>
        <v>2187.0585947927748</v>
      </c>
      <c r="AK244" s="8">
        <f t="shared" si="107"/>
        <v>0</v>
      </c>
      <c r="AL244" s="8">
        <f t="shared" si="108"/>
        <v>0</v>
      </c>
      <c r="AM244" s="8">
        <f t="shared" si="109"/>
        <v>41739.001105944852</v>
      </c>
      <c r="AN244" s="8">
        <f t="shared" si="110"/>
        <v>2153.8622715646911</v>
      </c>
      <c r="AO244" s="8">
        <f t="shared" si="111"/>
        <v>0</v>
      </c>
    </row>
    <row r="245" spans="1:41">
      <c r="A245" s="1">
        <v>41972</v>
      </c>
      <c r="B245" s="5">
        <v>243</v>
      </c>
      <c r="C245" s="3">
        <f>B245/365+input!$K$3</f>
        <v>0.66575342465753429</v>
      </c>
      <c r="D245" s="4">
        <f t="shared" si="87"/>
        <v>4.1798181686441067</v>
      </c>
      <c r="E245" s="12">
        <f t="shared" si="88"/>
        <v>0.9931413780070989</v>
      </c>
      <c r="F245" s="20">
        <f>input!E244</f>
        <v>68498.990000000005</v>
      </c>
      <c r="G245" s="19">
        <f t="shared" si="89"/>
        <v>0</v>
      </c>
      <c r="H245" s="19">
        <f t="shared" si="90"/>
        <v>2.9391821013021639E-9</v>
      </c>
      <c r="I245" s="5">
        <v>608</v>
      </c>
      <c r="J245" s="3">
        <f>I245/365+input!$K$3</f>
        <v>1.6657534246575343</v>
      </c>
      <c r="K245" s="4">
        <f t="shared" si="91"/>
        <v>9.8435235459576322</v>
      </c>
      <c r="L245" s="12">
        <f t="shared" si="92"/>
        <v>12.971513793041019</v>
      </c>
      <c r="M245" s="20">
        <f>input!F244</f>
        <v>8082.74</v>
      </c>
      <c r="N245" s="19">
        <f t="shared" si="93"/>
        <v>0.91805642341902649</v>
      </c>
      <c r="O245" s="19">
        <f t="shared" si="94"/>
        <v>0.43782873878433198</v>
      </c>
      <c r="P245" s="21">
        <v>973</v>
      </c>
      <c r="Q245" s="3">
        <f>P245/365+input!$K$3</f>
        <v>2.6657534246575341</v>
      </c>
      <c r="R245" s="4">
        <f t="shared" si="95"/>
        <v>12.169356741045823</v>
      </c>
      <c r="S245" s="12">
        <f t="shared" si="96"/>
        <v>24.509913349308448</v>
      </c>
      <c r="T245" s="20">
        <f>input!G244</f>
        <v>91.18</v>
      </c>
      <c r="U245" s="19">
        <f t="shared" si="97"/>
        <v>0.97727810671025483</v>
      </c>
      <c r="V245" s="19">
        <f t="shared" si="84"/>
        <v>0.98497219474267683</v>
      </c>
      <c r="W245" s="21">
        <v>1338</v>
      </c>
      <c r="X245" s="3">
        <f>W245/365+input!$K$3</f>
        <v>3.6657534246575341</v>
      </c>
      <c r="Y245" s="4">
        <f t="shared" si="98"/>
        <v>12.589299260865312</v>
      </c>
      <c r="Z245" s="12">
        <f t="shared" si="99"/>
        <v>27.135859395209948</v>
      </c>
      <c r="AA245" s="20">
        <f>input!H244</f>
        <v>0</v>
      </c>
      <c r="AB245" s="19">
        <f t="shared" si="100"/>
        <v>0.98197554006092014</v>
      </c>
      <c r="AC245" s="19">
        <f t="shared" si="101"/>
        <v>0.99519142618801715</v>
      </c>
      <c r="AD245" s="8">
        <f t="shared" si="102"/>
        <v>68029.181320694493</v>
      </c>
      <c r="AE245" s="8">
        <f t="shared" si="103"/>
        <v>104845.37339556437</v>
      </c>
      <c r="AF245" s="8">
        <f t="shared" si="104"/>
        <v>2234.8138991899446</v>
      </c>
      <c r="AG245" s="8">
        <f t="shared" si="105"/>
        <v>0</v>
      </c>
      <c r="AH245" s="8">
        <f t="shared" si="85"/>
        <v>0</v>
      </c>
      <c r="AI245" s="8">
        <f t="shared" si="86"/>
        <v>96253.968511564177</v>
      </c>
      <c r="AJ245" s="8">
        <f t="shared" si="106"/>
        <v>2184.0346962501112</v>
      </c>
      <c r="AK245" s="8">
        <f t="shared" si="107"/>
        <v>0</v>
      </c>
      <c r="AL245" s="8">
        <f t="shared" si="108"/>
        <v>0</v>
      </c>
      <c r="AM245" s="8">
        <f t="shared" si="109"/>
        <v>42142.753636404945</v>
      </c>
      <c r="AN245" s="8">
        <f t="shared" si="110"/>
        <v>2151.2134481596277</v>
      </c>
      <c r="AO245" s="8">
        <f t="shared" si="111"/>
        <v>0</v>
      </c>
    </row>
    <row r="246" spans="1:41">
      <c r="A246" s="1">
        <v>41973</v>
      </c>
      <c r="B246" s="5">
        <v>244</v>
      </c>
      <c r="C246" s="3">
        <f>B246/365+input!$K$3</f>
        <v>0.66849315068493154</v>
      </c>
      <c r="D246" s="4">
        <f t="shared" si="87"/>
        <v>4.203222668903587</v>
      </c>
      <c r="E246" s="12">
        <f t="shared" si="88"/>
        <v>1.0099179736126571</v>
      </c>
      <c r="F246" s="20">
        <f>input!E245</f>
        <v>68328.62</v>
      </c>
      <c r="G246" s="19">
        <f t="shared" si="89"/>
        <v>0</v>
      </c>
      <c r="H246" s="19">
        <f t="shared" si="90"/>
        <v>3.3800675931039048E-9</v>
      </c>
      <c r="I246" s="5">
        <v>609</v>
      </c>
      <c r="J246" s="3">
        <f>I246/365+input!$K$3</f>
        <v>1.6684931506849314</v>
      </c>
      <c r="K246" s="4">
        <f t="shared" si="91"/>
        <v>9.8531347386294801</v>
      </c>
      <c r="L246" s="12">
        <f t="shared" si="92"/>
        <v>13.009546968817514</v>
      </c>
      <c r="M246" s="20">
        <f>input!F245</f>
        <v>7931.19</v>
      </c>
      <c r="N246" s="19">
        <f t="shared" si="93"/>
        <v>0.91848962387485211</v>
      </c>
      <c r="O246" s="19">
        <f t="shared" si="94"/>
        <v>0.44161918597539385</v>
      </c>
      <c r="P246" s="21">
        <v>974</v>
      </c>
      <c r="Q246" s="3">
        <f>P246/365+input!$K$3</f>
        <v>2.6684931506849314</v>
      </c>
      <c r="R246" s="4">
        <f t="shared" si="95"/>
        <v>12.173303632607329</v>
      </c>
      <c r="S246" s="12">
        <f t="shared" si="96"/>
        <v>24.533769010050712</v>
      </c>
      <c r="T246" s="20">
        <f>input!G245</f>
        <v>89.01</v>
      </c>
      <c r="U246" s="19">
        <f t="shared" si="97"/>
        <v>0.97732751210052671</v>
      </c>
      <c r="V246" s="19">
        <f t="shared" si="84"/>
        <v>0.98512126386244492</v>
      </c>
      <c r="W246" s="21">
        <v>1339</v>
      </c>
      <c r="X246" s="3">
        <f>W246/365+input!$K$3</f>
        <v>3.6684931506849314</v>
      </c>
      <c r="Y246" s="4">
        <f t="shared" si="98"/>
        <v>12.589299260865312</v>
      </c>
      <c r="Z246" s="12">
        <f t="shared" si="99"/>
        <v>27.135859395209948</v>
      </c>
      <c r="AA246" s="20">
        <f>input!H245</f>
        <v>0</v>
      </c>
      <c r="AB246" s="19">
        <f t="shared" si="100"/>
        <v>0.98197554006092014</v>
      </c>
      <c r="AC246" s="19">
        <f t="shared" si="101"/>
        <v>0.99519142618801715</v>
      </c>
      <c r="AD246" s="8">
        <f t="shared" si="102"/>
        <v>69006.301450149273</v>
      </c>
      <c r="AE246" s="8">
        <f t="shared" si="103"/>
        <v>103181.18882361577</v>
      </c>
      <c r="AF246" s="8">
        <f t="shared" si="104"/>
        <v>2183.7507795846141</v>
      </c>
      <c r="AG246" s="8">
        <f t="shared" si="105"/>
        <v>0</v>
      </c>
      <c r="AH246" s="8">
        <f t="shared" si="85"/>
        <v>0</v>
      </c>
      <c r="AI246" s="8">
        <f t="shared" si="86"/>
        <v>94770.851313562947</v>
      </c>
      <c r="AJ246" s="8">
        <f t="shared" si="106"/>
        <v>2134.2397164590166</v>
      </c>
      <c r="AK246" s="8">
        <f t="shared" si="107"/>
        <v>0</v>
      </c>
      <c r="AL246" s="8">
        <f t="shared" si="108"/>
        <v>0</v>
      </c>
      <c r="AM246" s="8">
        <f t="shared" si="109"/>
        <v>41852.626211290757</v>
      </c>
      <c r="AN246" s="8">
        <f t="shared" si="110"/>
        <v>2102.4849268635326</v>
      </c>
      <c r="AO246" s="8">
        <f t="shared" si="111"/>
        <v>0</v>
      </c>
    </row>
    <row r="247" spans="1:41">
      <c r="A247" s="1">
        <v>41974</v>
      </c>
      <c r="B247" s="5">
        <v>245</v>
      </c>
      <c r="C247" s="3">
        <f>B247/365+input!$K$3</f>
        <v>0.67123287671232879</v>
      </c>
      <c r="D247" s="4">
        <f t="shared" si="87"/>
        <v>4.2265701701757443</v>
      </c>
      <c r="E247" s="12">
        <f t="shared" si="88"/>
        <v>1.0268409011191568</v>
      </c>
      <c r="F247" s="20">
        <f>input!E246</f>
        <v>68158.66</v>
      </c>
      <c r="G247" s="19">
        <f t="shared" si="89"/>
        <v>0</v>
      </c>
      <c r="H247" s="19">
        <f t="shared" si="90"/>
        <v>3.8836980844025094E-9</v>
      </c>
      <c r="I247" s="5">
        <v>610</v>
      </c>
      <c r="J247" s="3">
        <f>I247/365+input!$K$3</f>
        <v>1.6712328767123288</v>
      </c>
      <c r="K247" s="4">
        <f t="shared" si="91"/>
        <v>9.8627225243392846</v>
      </c>
      <c r="L247" s="12">
        <f t="shared" si="92"/>
        <v>13.047561518960954</v>
      </c>
      <c r="M247" s="20">
        <f>input!F246</f>
        <v>7911.47</v>
      </c>
      <c r="N247" s="19">
        <f t="shared" si="93"/>
        <v>0.91891948752538011</v>
      </c>
      <c r="O247" s="19">
        <f t="shared" si="94"/>
        <v>0.44540573684326873</v>
      </c>
      <c r="P247" s="21">
        <v>975</v>
      </c>
      <c r="Q247" s="3">
        <f>P247/365+input!$K$3</f>
        <v>2.6712328767123288</v>
      </c>
      <c r="R247" s="4">
        <f t="shared" si="95"/>
        <v>12.177240911965217</v>
      </c>
      <c r="S247" s="12">
        <f t="shared" si="96"/>
        <v>24.557581990797466</v>
      </c>
      <c r="T247" s="20">
        <f>input!G246</f>
        <v>88.79</v>
      </c>
      <c r="U247" s="19">
        <f t="shared" si="97"/>
        <v>0.97737669013683581</v>
      </c>
      <c r="V247" s="19">
        <f t="shared" si="84"/>
        <v>0.98526870136779265</v>
      </c>
      <c r="W247" s="21">
        <v>1340</v>
      </c>
      <c r="X247" s="3">
        <f>W247/365+input!$K$3</f>
        <v>3.6712328767123288</v>
      </c>
      <c r="Y247" s="4">
        <f t="shared" si="98"/>
        <v>12.589299260865312</v>
      </c>
      <c r="Z247" s="12">
        <f t="shared" si="99"/>
        <v>27.135859395209948</v>
      </c>
      <c r="AA247" s="20">
        <f>input!H246</f>
        <v>0</v>
      </c>
      <c r="AB247" s="19">
        <f t="shared" si="100"/>
        <v>0.98197554006092014</v>
      </c>
      <c r="AC247" s="19">
        <f t="shared" si="101"/>
        <v>0.99519142618801715</v>
      </c>
      <c r="AD247" s="8">
        <f t="shared" si="102"/>
        <v>69988.099853474239</v>
      </c>
      <c r="AE247" s="8">
        <f t="shared" si="103"/>
        <v>103225.39153041402</v>
      </c>
      <c r="AF247" s="8">
        <f t="shared" si="104"/>
        <v>2180.4677049629072</v>
      </c>
      <c r="AG247" s="8">
        <f t="shared" si="105"/>
        <v>0</v>
      </c>
      <c r="AH247" s="8">
        <f t="shared" si="85"/>
        <v>0</v>
      </c>
      <c r="AI247" s="8">
        <f t="shared" si="86"/>
        <v>94855.823884734767</v>
      </c>
      <c r="AJ247" s="8">
        <f t="shared" si="106"/>
        <v>2131.1383084269087</v>
      </c>
      <c r="AK247" s="8">
        <f t="shared" si="107"/>
        <v>0</v>
      </c>
      <c r="AL247" s="8">
        <f t="shared" si="108"/>
        <v>0</v>
      </c>
      <c r="AM247" s="8">
        <f t="shared" si="109"/>
        <v>42249.328131255621</v>
      </c>
      <c r="AN247" s="8">
        <f t="shared" si="110"/>
        <v>2099.7438735789347</v>
      </c>
      <c r="AO247" s="8">
        <f t="shared" si="111"/>
        <v>0</v>
      </c>
    </row>
    <row r="248" spans="1:41">
      <c r="A248" s="1">
        <v>41975</v>
      </c>
      <c r="B248" s="5">
        <v>246</v>
      </c>
      <c r="C248" s="3">
        <f>B248/365+input!$K$3</f>
        <v>0.67397260273972603</v>
      </c>
      <c r="D248" s="4">
        <f t="shared" si="87"/>
        <v>4.2498608112750986</v>
      </c>
      <c r="E248" s="12">
        <f t="shared" si="88"/>
        <v>1.0439099282285125</v>
      </c>
      <c r="F248" s="20">
        <f>input!E247</f>
        <v>67989.13</v>
      </c>
      <c r="G248" s="19">
        <f t="shared" si="89"/>
        <v>0</v>
      </c>
      <c r="H248" s="19">
        <f t="shared" si="90"/>
        <v>4.4585003945864693E-9</v>
      </c>
      <c r="I248" s="5">
        <v>611</v>
      </c>
      <c r="J248" s="3">
        <f>I248/365+input!$K$3</f>
        <v>1.6739726027397259</v>
      </c>
      <c r="K248" s="4">
        <f t="shared" si="91"/>
        <v>9.8722869600920244</v>
      </c>
      <c r="L248" s="12">
        <f t="shared" si="92"/>
        <v>13.085557200491461</v>
      </c>
      <c r="M248" s="20">
        <f>input!F247</f>
        <v>7805.45</v>
      </c>
      <c r="N248" s="19">
        <f t="shared" si="93"/>
        <v>0.91934604557266431</v>
      </c>
      <c r="O248" s="19">
        <f t="shared" si="94"/>
        <v>0.44918803512447847</v>
      </c>
      <c r="P248" s="21">
        <v>976</v>
      </c>
      <c r="Q248" s="3">
        <f>P248/365+input!$K$3</f>
        <v>2.6739726027397261</v>
      </c>
      <c r="R248" s="4">
        <f t="shared" si="95"/>
        <v>12.18116860252891</v>
      </c>
      <c r="S248" s="12">
        <f t="shared" si="96"/>
        <v>24.581352325448506</v>
      </c>
      <c r="T248" s="20">
        <f>input!G247</f>
        <v>86.91</v>
      </c>
      <c r="U248" s="19">
        <f t="shared" si="97"/>
        <v>0.97742564212460603</v>
      </c>
      <c r="V248" s="19">
        <f t="shared" si="84"/>
        <v>0.98541452590205758</v>
      </c>
      <c r="W248" s="21">
        <v>1341</v>
      </c>
      <c r="X248" s="3">
        <f>W248/365+input!$K$3</f>
        <v>3.6739726027397261</v>
      </c>
      <c r="Y248" s="4">
        <f t="shared" si="98"/>
        <v>12.589299260865312</v>
      </c>
      <c r="Z248" s="12">
        <f t="shared" si="99"/>
        <v>27.135859395209948</v>
      </c>
      <c r="AA248" s="20">
        <f>input!H247</f>
        <v>0</v>
      </c>
      <c r="AB248" s="19">
        <f t="shared" si="100"/>
        <v>0.98197554006092014</v>
      </c>
      <c r="AC248" s="19">
        <f t="shared" si="101"/>
        <v>0.99519142618801715</v>
      </c>
      <c r="AD248" s="8">
        <f t="shared" si="102"/>
        <v>70974.527818619012</v>
      </c>
      <c r="AE248" s="8">
        <f t="shared" si="103"/>
        <v>102138.66245057607</v>
      </c>
      <c r="AF248" s="8">
        <f t="shared" si="104"/>
        <v>2136.3653306047295</v>
      </c>
      <c r="AG248" s="8">
        <f t="shared" si="105"/>
        <v>0</v>
      </c>
      <c r="AH248" s="8">
        <f t="shared" si="85"/>
        <v>0</v>
      </c>
      <c r="AI248" s="8">
        <f t="shared" si="86"/>
        <v>93900.775424018284</v>
      </c>
      <c r="AJ248" s="8">
        <f t="shared" si="106"/>
        <v>2088.138255079074</v>
      </c>
      <c r="AK248" s="8">
        <f t="shared" si="107"/>
        <v>0</v>
      </c>
      <c r="AL248" s="8">
        <f t="shared" si="108"/>
        <v>0</v>
      </c>
      <c r="AM248" s="8">
        <f t="shared" si="109"/>
        <v>42179.104809379693</v>
      </c>
      <c r="AN248" s="8">
        <f t="shared" si="110"/>
        <v>2057.6817686466957</v>
      </c>
      <c r="AO248" s="8">
        <f t="shared" si="111"/>
        <v>0</v>
      </c>
    </row>
    <row r="249" spans="1:41">
      <c r="A249" s="1">
        <v>41976</v>
      </c>
      <c r="B249" s="5">
        <v>247</v>
      </c>
      <c r="C249" s="3">
        <f>B249/365+input!$K$3</f>
        <v>0.67671232876712328</v>
      </c>
      <c r="D249" s="4">
        <f t="shared" si="87"/>
        <v>4.2730947306781104</v>
      </c>
      <c r="E249" s="12">
        <f t="shared" si="88"/>
        <v>1.0611248150633128</v>
      </c>
      <c r="F249" s="20">
        <f>input!E248</f>
        <v>67820.02</v>
      </c>
      <c r="G249" s="19">
        <f t="shared" si="89"/>
        <v>0</v>
      </c>
      <c r="H249" s="19">
        <f t="shared" si="90"/>
        <v>5.1139621398133831E-9</v>
      </c>
      <c r="I249" s="5">
        <v>612</v>
      </c>
      <c r="J249" s="3">
        <f>I249/365+input!$K$3</f>
        <v>1.6767123287671233</v>
      </c>
      <c r="K249" s="4">
        <f t="shared" si="91"/>
        <v>9.8818281027538575</v>
      </c>
      <c r="L249" s="12">
        <f t="shared" si="92"/>
        <v>13.123533771901412</v>
      </c>
      <c r="M249" s="20">
        <f>input!F248</f>
        <v>7786.03</v>
      </c>
      <c r="N249" s="19">
        <f t="shared" si="93"/>
        <v>0.91976932888061502</v>
      </c>
      <c r="O249" s="19">
        <f t="shared" si="94"/>
        <v>0.45296572832882709</v>
      </c>
      <c r="P249" s="21">
        <v>977</v>
      </c>
      <c r="Q249" s="3">
        <f>P249/365+input!$K$3</f>
        <v>2.6767123287671235</v>
      </c>
      <c r="R249" s="4">
        <f t="shared" si="95"/>
        <v>12.185086727650821</v>
      </c>
      <c r="S249" s="12">
        <f t="shared" si="96"/>
        <v>24.605080048125664</v>
      </c>
      <c r="T249" s="20">
        <f>input!G248</f>
        <v>86.7</v>
      </c>
      <c r="U249" s="19">
        <f t="shared" si="97"/>
        <v>0.97747436936024434</v>
      </c>
      <c r="V249" s="19">
        <f t="shared" si="84"/>
        <v>0.98555875589632691</v>
      </c>
      <c r="W249" s="21">
        <v>1342</v>
      </c>
      <c r="X249" s="3">
        <f>W249/365+input!$K$3</f>
        <v>3.6767123287671235</v>
      </c>
      <c r="Y249" s="4">
        <f t="shared" si="98"/>
        <v>12.589299260865312</v>
      </c>
      <c r="Z249" s="12">
        <f t="shared" si="99"/>
        <v>27.135859395209948</v>
      </c>
      <c r="AA249" s="20">
        <f>input!H248</f>
        <v>0</v>
      </c>
      <c r="AB249" s="19">
        <f t="shared" si="100"/>
        <v>0.98197554006092014</v>
      </c>
      <c r="AC249" s="19">
        <f t="shared" si="101"/>
        <v>0.99519142618801715</v>
      </c>
      <c r="AD249" s="8">
        <f t="shared" si="102"/>
        <v>71965.506180090175</v>
      </c>
      <c r="AE249" s="8">
        <f t="shared" si="103"/>
        <v>102180.22765403755</v>
      </c>
      <c r="AF249" s="8">
        <f t="shared" si="104"/>
        <v>2133.2604401724952</v>
      </c>
      <c r="AG249" s="8">
        <f t="shared" si="105"/>
        <v>0</v>
      </c>
      <c r="AH249" s="8">
        <f t="shared" si="85"/>
        <v>0</v>
      </c>
      <c r="AI249" s="8">
        <f t="shared" si="86"/>
        <v>93982.239414222568</v>
      </c>
      <c r="AJ249" s="8">
        <f t="shared" si="106"/>
        <v>2085.207403438767</v>
      </c>
      <c r="AK249" s="8">
        <f t="shared" si="107"/>
        <v>0</v>
      </c>
      <c r="AL249" s="8">
        <f t="shared" si="108"/>
        <v>0</v>
      </c>
      <c r="AM249" s="8">
        <f t="shared" si="109"/>
        <v>42570.733526237527</v>
      </c>
      <c r="AN249" s="8">
        <f t="shared" si="110"/>
        <v>2055.0944143189213</v>
      </c>
      <c r="AO249" s="8">
        <f t="shared" si="111"/>
        <v>0</v>
      </c>
    </row>
    <row r="250" spans="1:41">
      <c r="A250" s="1">
        <v>41977</v>
      </c>
      <c r="B250" s="5">
        <v>248</v>
      </c>
      <c r="C250" s="3">
        <f>B250/365+input!$K$3</f>
        <v>0.67945205479452053</v>
      </c>
      <c r="D250" s="4">
        <f t="shared" si="87"/>
        <v>4.2962720665239891</v>
      </c>
      <c r="E250" s="12">
        <f t="shared" si="88"/>
        <v>1.0784853142798589</v>
      </c>
      <c r="F250" s="20">
        <f>input!E249</f>
        <v>67651.33</v>
      </c>
      <c r="G250" s="19">
        <f t="shared" si="89"/>
        <v>0</v>
      </c>
      <c r="H250" s="19">
        <f t="shared" si="90"/>
        <v>5.8607557870338573E-9</v>
      </c>
      <c r="I250" s="5">
        <v>613</v>
      </c>
      <c r="J250" s="3">
        <f>I250/365+input!$K$3</f>
        <v>1.6794520547945206</v>
      </c>
      <c r="K250" s="4">
        <f t="shared" si="91"/>
        <v>9.8913460090524374</v>
      </c>
      <c r="L250" s="12">
        <f t="shared" si="92"/>
        <v>13.161490993151293</v>
      </c>
      <c r="M250" s="20">
        <f>input!F249</f>
        <v>7678.48</v>
      </c>
      <c r="N250" s="19">
        <f t="shared" si="93"/>
        <v>0.92018936797912243</v>
      </c>
      <c r="O250" s="19">
        <f t="shared" si="94"/>
        <v>0.45673846781147531</v>
      </c>
      <c r="P250" s="21">
        <v>978</v>
      </c>
      <c r="Q250" s="3">
        <f>P250/365+input!$K$3</f>
        <v>2.6794520547945204</v>
      </c>
      <c r="R250" s="4">
        <f t="shared" si="95"/>
        <v>12.188995310626492</v>
      </c>
      <c r="S250" s="12">
        <f t="shared" si="96"/>
        <v>24.628765193171002</v>
      </c>
      <c r="T250" s="20">
        <f>input!G249</f>
        <v>84.79</v>
      </c>
      <c r="U250" s="19">
        <f t="shared" si="97"/>
        <v>0.977522873131213</v>
      </c>
      <c r="V250" s="19">
        <f t="shared" si="84"/>
        <v>0.98570140957168706</v>
      </c>
      <c r="W250" s="21">
        <v>1343</v>
      </c>
      <c r="X250" s="3">
        <f>W250/365+input!$K$3</f>
        <v>3.6794520547945204</v>
      </c>
      <c r="Y250" s="4">
        <f t="shared" si="98"/>
        <v>12.589299260865312</v>
      </c>
      <c r="Z250" s="12">
        <f t="shared" si="99"/>
        <v>27.135859395209948</v>
      </c>
      <c r="AA250" s="20">
        <f>input!H249</f>
        <v>0</v>
      </c>
      <c r="AB250" s="19">
        <f t="shared" si="100"/>
        <v>0.98197554006092014</v>
      </c>
      <c r="AC250" s="19">
        <f t="shared" si="101"/>
        <v>0.99519142618801715</v>
      </c>
      <c r="AD250" s="8">
        <f t="shared" si="102"/>
        <v>72960.965896500449</v>
      </c>
      <c r="AE250" s="8">
        <f t="shared" si="103"/>
        <v>101060.24536109234</v>
      </c>
      <c r="AF250" s="8">
        <f t="shared" si="104"/>
        <v>2088.2730007289692</v>
      </c>
      <c r="AG250" s="8">
        <f t="shared" si="105"/>
        <v>0</v>
      </c>
      <c r="AH250" s="8">
        <f t="shared" si="85"/>
        <v>0</v>
      </c>
      <c r="AI250" s="8">
        <f t="shared" si="86"/>
        <v>92994.563306638607</v>
      </c>
      <c r="AJ250" s="8">
        <f t="shared" si="106"/>
        <v>2041.3346235549216</v>
      </c>
      <c r="AK250" s="8">
        <f t="shared" si="107"/>
        <v>0</v>
      </c>
      <c r="AL250" s="8">
        <f t="shared" si="108"/>
        <v>0</v>
      </c>
      <c r="AM250" s="8">
        <f t="shared" si="109"/>
        <v>42474.194359471359</v>
      </c>
      <c r="AN250" s="8">
        <f t="shared" si="110"/>
        <v>2012.1464158455753</v>
      </c>
      <c r="AO250" s="8">
        <f t="shared" si="111"/>
        <v>0</v>
      </c>
    </row>
    <row r="251" spans="1:41">
      <c r="A251" s="1">
        <v>41978</v>
      </c>
      <c r="B251" s="5">
        <v>249</v>
      </c>
      <c r="C251" s="3">
        <f>B251/365+input!$K$3</f>
        <v>0.68219178082191778</v>
      </c>
      <c r="D251" s="4">
        <f t="shared" si="87"/>
        <v>4.3193929566155278</v>
      </c>
      <c r="E251" s="12">
        <f t="shared" si="88"/>
        <v>1.0959911711800865</v>
      </c>
      <c r="F251" s="20">
        <f>input!E250</f>
        <v>67483.06</v>
      </c>
      <c r="G251" s="19">
        <f t="shared" si="89"/>
        <v>0</v>
      </c>
      <c r="H251" s="19">
        <f t="shared" si="90"/>
        <v>6.710876020651669E-9</v>
      </c>
      <c r="I251" s="5">
        <v>614</v>
      </c>
      <c r="J251" s="3">
        <f>I251/365+input!$K$3</f>
        <v>1.6821917808219178</v>
      </c>
      <c r="K251" s="4">
        <f t="shared" si="91"/>
        <v>9.9008407355772849</v>
      </c>
      <c r="L251" s="12">
        <f t="shared" si="92"/>
        <v>13.199428625665735</v>
      </c>
      <c r="M251" s="20">
        <f>input!F250</f>
        <v>7659.38</v>
      </c>
      <c r="N251" s="19">
        <f t="shared" si="93"/>
        <v>0.92060619306812785</v>
      </c>
      <c r="O251" s="19">
        <f t="shared" si="94"/>
        <v>0.46050590884222758</v>
      </c>
      <c r="P251" s="21">
        <v>979</v>
      </c>
      <c r="Q251" s="3">
        <f>P251/365+input!$K$3</f>
        <v>2.6821917808219178</v>
      </c>
      <c r="R251" s="4">
        <f t="shared" si="95"/>
        <v>12.192894374694731</v>
      </c>
      <c r="S251" s="12">
        <f t="shared" si="96"/>
        <v>24.652407795145123</v>
      </c>
      <c r="T251" s="20">
        <f>input!G250</f>
        <v>84.58</v>
      </c>
      <c r="U251" s="19">
        <f t="shared" si="97"/>
        <v>0.9775711547161009</v>
      </c>
      <c r="V251" s="19">
        <f t="shared" si="84"/>
        <v>0.98584250494145409</v>
      </c>
      <c r="W251" s="21">
        <v>1344</v>
      </c>
      <c r="X251" s="3">
        <f>W251/365+input!$K$3</f>
        <v>3.6821917808219178</v>
      </c>
      <c r="Y251" s="4">
        <f t="shared" si="98"/>
        <v>12.589299260865312</v>
      </c>
      <c r="Z251" s="12">
        <f t="shared" si="99"/>
        <v>27.135859395209948</v>
      </c>
      <c r="AA251" s="20">
        <f>input!H250</f>
        <v>0</v>
      </c>
      <c r="AB251" s="19">
        <f t="shared" si="100"/>
        <v>0.98197554006092014</v>
      </c>
      <c r="AC251" s="19">
        <f t="shared" si="101"/>
        <v>0.99519142618801715</v>
      </c>
      <c r="AD251" s="8">
        <f t="shared" si="102"/>
        <v>73960.837964216043</v>
      </c>
      <c r="AE251" s="8">
        <f t="shared" si="103"/>
        <v>101099.43962685163</v>
      </c>
      <c r="AF251" s="8">
        <f t="shared" si="104"/>
        <v>2085.1006513133743</v>
      </c>
      <c r="AG251" s="8">
        <f t="shared" si="105"/>
        <v>0</v>
      </c>
      <c r="AH251" s="8">
        <f t="shared" si="85"/>
        <v>0</v>
      </c>
      <c r="AI251" s="8">
        <f t="shared" si="86"/>
        <v>93072.770236196913</v>
      </c>
      <c r="AJ251" s="8">
        <f t="shared" si="106"/>
        <v>2038.3342514037095</v>
      </c>
      <c r="AK251" s="8">
        <f t="shared" si="107"/>
        <v>0</v>
      </c>
      <c r="AL251" s="8">
        <f t="shared" si="108"/>
        <v>0</v>
      </c>
      <c r="AM251" s="8">
        <f t="shared" si="109"/>
        <v>42860.560646083686</v>
      </c>
      <c r="AN251" s="8">
        <f t="shared" si="110"/>
        <v>2009.4765443117965</v>
      </c>
      <c r="AO251" s="8">
        <f t="shared" si="111"/>
        <v>0</v>
      </c>
    </row>
    <row r="252" spans="1:41">
      <c r="A252" s="1">
        <v>41979</v>
      </c>
      <c r="B252" s="5">
        <v>250</v>
      </c>
      <c r="C252" s="3">
        <f>B252/365+input!$K$3</f>
        <v>0.68493150684931503</v>
      </c>
      <c r="D252" s="4">
        <f t="shared" si="87"/>
        <v>4.3424575384199144</v>
      </c>
      <c r="E252" s="12">
        <f t="shared" si="88"/>
        <v>1.1136421238223442</v>
      </c>
      <c r="F252" s="20">
        <f>input!E251</f>
        <v>67315.210000000006</v>
      </c>
      <c r="G252" s="19">
        <f t="shared" si="89"/>
        <v>0</v>
      </c>
      <c r="H252" s="19">
        <f t="shared" si="90"/>
        <v>7.6777917093199953E-9</v>
      </c>
      <c r="I252" s="5">
        <v>615</v>
      </c>
      <c r="J252" s="3">
        <f>I252/365+input!$K$3</f>
        <v>1.6849315068493151</v>
      </c>
      <c r="K252" s="4">
        <f t="shared" si="91"/>
        <v>9.9103123387800824</v>
      </c>
      <c r="L252" s="12">
        <f t="shared" si="92"/>
        <v>13.237346432329286</v>
      </c>
      <c r="M252" s="20">
        <f>input!F251</f>
        <v>7552.51</v>
      </c>
      <c r="N252" s="19">
        <f t="shared" si="93"/>
        <v>0.92101983402163834</v>
      </c>
      <c r="O252" s="19">
        <f t="shared" si="94"/>
        <v>0.46426771067198924</v>
      </c>
      <c r="P252" s="21">
        <v>980</v>
      </c>
      <c r="Q252" s="3">
        <f>P252/365+input!$K$3</f>
        <v>2.6849315068493151</v>
      </c>
      <c r="R252" s="4">
        <f t="shared" si="95"/>
        <v>12.196783943037749</v>
      </c>
      <c r="S252" s="12">
        <f t="shared" si="96"/>
        <v>24.676007888825364</v>
      </c>
      <c r="T252" s="20">
        <f>input!G251</f>
        <v>82.79</v>
      </c>
      <c r="U252" s="19">
        <f t="shared" si="97"/>
        <v>0.97761921538469421</v>
      </c>
      <c r="V252" s="19">
        <f t="shared" si="84"/>
        <v>0.98598205981338527</v>
      </c>
      <c r="W252" s="21">
        <v>1345</v>
      </c>
      <c r="X252" s="3">
        <f>W252/365+input!$K$3</f>
        <v>3.6849315068493151</v>
      </c>
      <c r="Y252" s="4">
        <f t="shared" si="98"/>
        <v>12.589299260865312</v>
      </c>
      <c r="Z252" s="12">
        <f t="shared" si="99"/>
        <v>27.135859395209948</v>
      </c>
      <c r="AA252" s="20">
        <f>input!H251</f>
        <v>0</v>
      </c>
      <c r="AB252" s="19">
        <f t="shared" si="100"/>
        <v>0.98197554006092014</v>
      </c>
      <c r="AC252" s="19">
        <f t="shared" si="101"/>
        <v>0.99519142618801715</v>
      </c>
      <c r="AD252" s="8">
        <f t="shared" si="102"/>
        <v>74965.053429947104</v>
      </c>
      <c r="AE252" s="8">
        <f t="shared" si="103"/>
        <v>99975.191303631262</v>
      </c>
      <c r="AF252" s="8">
        <f t="shared" si="104"/>
        <v>2042.926693115852</v>
      </c>
      <c r="AG252" s="8">
        <f t="shared" si="105"/>
        <v>0</v>
      </c>
      <c r="AH252" s="8">
        <f t="shared" si="85"/>
        <v>0</v>
      </c>
      <c r="AI252" s="8">
        <f t="shared" si="86"/>
        <v>92079.13410075201</v>
      </c>
      <c r="AJ252" s="8">
        <f t="shared" si="106"/>
        <v>1997.2043908123671</v>
      </c>
      <c r="AK252" s="8">
        <f t="shared" si="107"/>
        <v>0</v>
      </c>
      <c r="AL252" s="8">
        <f t="shared" si="108"/>
        <v>0</v>
      </c>
      <c r="AM252" s="8">
        <f t="shared" si="109"/>
        <v>42749.368789615233</v>
      </c>
      <c r="AN252" s="8">
        <f t="shared" si="110"/>
        <v>1969.2076991215151</v>
      </c>
      <c r="AO252" s="8">
        <f t="shared" si="111"/>
        <v>0</v>
      </c>
    </row>
    <row r="253" spans="1:41">
      <c r="A253" s="1">
        <v>41980</v>
      </c>
      <c r="B253" s="5">
        <v>251</v>
      </c>
      <c r="C253" s="3">
        <f>B253/365+input!$K$3</f>
        <v>0.68767123287671228</v>
      </c>
      <c r="D253" s="4">
        <f t="shared" si="87"/>
        <v>4.3654659490695522</v>
      </c>
      <c r="E253" s="12">
        <f t="shared" si="88"/>
        <v>1.1314379031310666</v>
      </c>
      <c r="F253" s="20">
        <f>input!E252</f>
        <v>67147.77</v>
      </c>
      <c r="G253" s="19">
        <f t="shared" si="89"/>
        <v>0</v>
      </c>
      <c r="H253" s="19">
        <f t="shared" si="90"/>
        <v>8.7766138693618149E-9</v>
      </c>
      <c r="I253" s="5">
        <v>616</v>
      </c>
      <c r="J253" s="3">
        <f>I253/365+input!$K$3</f>
        <v>1.6876712328767123</v>
      </c>
      <c r="K253" s="4">
        <f t="shared" si="91"/>
        <v>9.9197608749750454</v>
      </c>
      <c r="L253" s="12">
        <f t="shared" si="92"/>
        <v>13.275244177482421</v>
      </c>
      <c r="M253" s="20">
        <f>input!F252</f>
        <v>7533.73</v>
      </c>
      <c r="N253" s="19">
        <f t="shared" si="93"/>
        <v>0.92143032039168693</v>
      </c>
      <c r="O253" s="19">
        <f t="shared" si="94"/>
        <v>0.46802353659646689</v>
      </c>
      <c r="P253" s="21">
        <v>981</v>
      </c>
      <c r="Q253" s="3">
        <f>P253/365+input!$K$3</f>
        <v>2.6876712328767125</v>
      </c>
      <c r="R253" s="4">
        <f t="shared" si="95"/>
        <v>12.200664038781298</v>
      </c>
      <c r="S253" s="12">
        <f t="shared" si="96"/>
        <v>24.69956550920411</v>
      </c>
      <c r="T253" s="20">
        <f>input!G252</f>
        <v>82.58</v>
      </c>
      <c r="U253" s="19">
        <f t="shared" si="97"/>
        <v>0.97766705639804719</v>
      </c>
      <c r="V253" s="19">
        <f t="shared" si="84"/>
        <v>0.98612009179187221</v>
      </c>
      <c r="W253" s="21">
        <v>1346</v>
      </c>
      <c r="X253" s="3">
        <f>W253/365+input!$K$3</f>
        <v>3.6876712328767125</v>
      </c>
      <c r="Y253" s="4">
        <f t="shared" si="98"/>
        <v>12.589299260865312</v>
      </c>
      <c r="Z253" s="12">
        <f t="shared" si="99"/>
        <v>27.135859395209948</v>
      </c>
      <c r="AA253" s="20">
        <f>input!H252</f>
        <v>0</v>
      </c>
      <c r="AB253" s="19">
        <f t="shared" si="100"/>
        <v>0.98197554006092014</v>
      </c>
      <c r="AC253" s="19">
        <f t="shared" si="101"/>
        <v>0.99519142618801715</v>
      </c>
      <c r="AD253" s="8">
        <f t="shared" si="102"/>
        <v>75973.532088727152</v>
      </c>
      <c r="AE253" s="8">
        <f t="shared" si="103"/>
        <v>100012.10531722463</v>
      </c>
      <c r="AF253" s="8">
        <f t="shared" si="104"/>
        <v>2039.6901197500754</v>
      </c>
      <c r="AG253" s="8">
        <f t="shared" si="105"/>
        <v>0</v>
      </c>
      <c r="AH253" s="8">
        <f t="shared" si="85"/>
        <v>0</v>
      </c>
      <c r="AI253" s="8">
        <f t="shared" si="86"/>
        <v>92154.186245497433</v>
      </c>
      <c r="AJ253" s="8">
        <f t="shared" si="106"/>
        <v>1994.1378353402365</v>
      </c>
      <c r="AK253" s="8">
        <f t="shared" si="107"/>
        <v>0</v>
      </c>
      <c r="AL253" s="8">
        <f t="shared" si="108"/>
        <v>0</v>
      </c>
      <c r="AM253" s="8">
        <f t="shared" si="109"/>
        <v>43130.328158787197</v>
      </c>
      <c r="AN253" s="8">
        <f t="shared" si="110"/>
        <v>1966.4593852313594</v>
      </c>
      <c r="AO253" s="8">
        <f t="shared" si="111"/>
        <v>0</v>
      </c>
    </row>
    <row r="254" spans="1:41">
      <c r="A254" s="1">
        <v>41981</v>
      </c>
      <c r="B254" s="5">
        <v>252</v>
      </c>
      <c r="C254" s="3">
        <f>B254/365+input!$K$3</f>
        <v>0.69041095890410964</v>
      </c>
      <c r="D254" s="4">
        <f t="shared" si="87"/>
        <v>4.3884183253628706</v>
      </c>
      <c r="E254" s="12">
        <f t="shared" si="88"/>
        <v>1.1493782330053317</v>
      </c>
      <c r="F254" s="20">
        <f>input!E253</f>
        <v>66980.759999999995</v>
      </c>
      <c r="G254" s="19">
        <f t="shared" si="89"/>
        <v>0</v>
      </c>
      <c r="H254" s="19">
        <f t="shared" si="90"/>
        <v>1.0024281137924829E-8</v>
      </c>
      <c r="I254" s="5">
        <v>617</v>
      </c>
      <c r="J254" s="3">
        <f>I254/365+input!$K$3</f>
        <v>1.6904109589041096</v>
      </c>
      <c r="K254" s="4">
        <f t="shared" si="91"/>
        <v>9.9291864003392316</v>
      </c>
      <c r="L254" s="12">
        <f t="shared" si="92"/>
        <v>13.313121626917326</v>
      </c>
      <c r="M254" s="20">
        <f>input!F253</f>
        <v>7427.27</v>
      </c>
      <c r="N254" s="19">
        <f t="shared" si="93"/>
        <v>0.92183768141224121</v>
      </c>
      <c r="O254" s="19">
        <f t="shared" si="94"/>
        <v>0.47177305401706854</v>
      </c>
      <c r="P254" s="21">
        <v>982</v>
      </c>
      <c r="Q254" s="3">
        <f>P254/365+input!$K$3</f>
        <v>2.6904109589041094</v>
      </c>
      <c r="R254" s="4">
        <f t="shared" si="95"/>
        <v>12.204534684994814</v>
      </c>
      <c r="S254" s="12">
        <f t="shared" si="96"/>
        <v>24.723080691487056</v>
      </c>
      <c r="T254" s="20">
        <f>input!G253</f>
        <v>80.77</v>
      </c>
      <c r="U254" s="19">
        <f t="shared" si="97"/>
        <v>0.97771467900855102</v>
      </c>
      <c r="V254" s="19">
        <f t="shared" si="84"/>
        <v>0.9862566182801159</v>
      </c>
      <c r="W254" s="21">
        <v>1347</v>
      </c>
      <c r="X254" s="3">
        <f>W254/365+input!$K$3</f>
        <v>3.6904109589041094</v>
      </c>
      <c r="Y254" s="4">
        <f t="shared" si="98"/>
        <v>12.589299260865312</v>
      </c>
      <c r="Z254" s="12">
        <f t="shared" si="99"/>
        <v>27.135859395209948</v>
      </c>
      <c r="AA254" s="20">
        <f>input!H253</f>
        <v>0</v>
      </c>
      <c r="AB254" s="19">
        <f t="shared" si="100"/>
        <v>0.98197554006092014</v>
      </c>
      <c r="AC254" s="19">
        <f t="shared" si="101"/>
        <v>0.99519142618801715</v>
      </c>
      <c r="AD254" s="8">
        <f t="shared" si="102"/>
        <v>76986.227574154196</v>
      </c>
      <c r="AE254" s="8">
        <f t="shared" si="103"/>
        <v>98880.148865954252</v>
      </c>
      <c r="AF254" s="8">
        <f t="shared" si="104"/>
        <v>1996.8832274514093</v>
      </c>
      <c r="AG254" s="8">
        <f t="shared" si="105"/>
        <v>0</v>
      </c>
      <c r="AH254" s="8">
        <f t="shared" si="85"/>
        <v>0</v>
      </c>
      <c r="AI254" s="8">
        <f t="shared" si="86"/>
        <v>91151.44716828852</v>
      </c>
      <c r="AJ254" s="8">
        <f t="shared" si="106"/>
        <v>1952.3820437452141</v>
      </c>
      <c r="AK254" s="8">
        <f t="shared" si="107"/>
        <v>0</v>
      </c>
      <c r="AL254" s="8">
        <f t="shared" si="108"/>
        <v>0</v>
      </c>
      <c r="AM254" s="8">
        <f t="shared" si="109"/>
        <v>43002.796608658951</v>
      </c>
      <c r="AN254" s="8">
        <f t="shared" si="110"/>
        <v>1925.5497120549762</v>
      </c>
      <c r="AO254" s="8">
        <f t="shared" si="111"/>
        <v>0</v>
      </c>
    </row>
    <row r="255" spans="1:41">
      <c r="A255" s="1">
        <v>41982</v>
      </c>
      <c r="B255" s="5">
        <v>253</v>
      </c>
      <c r="C255" s="3">
        <f>B255/365+input!$K$3</f>
        <v>0.69315068493150689</v>
      </c>
      <c r="D255" s="4">
        <f t="shared" si="87"/>
        <v>4.411314803765146</v>
      </c>
      <c r="E255" s="12">
        <f t="shared" si="88"/>
        <v>1.167462830426335</v>
      </c>
      <c r="F255" s="20">
        <f>input!E254</f>
        <v>66814.16</v>
      </c>
      <c r="G255" s="19">
        <f t="shared" si="89"/>
        <v>0</v>
      </c>
      <c r="H255" s="19">
        <f t="shared" si="90"/>
        <v>1.1439764393636089E-8</v>
      </c>
      <c r="I255" s="5">
        <v>618</v>
      </c>
      <c r="J255" s="3">
        <f>I255/365+input!$K$3</f>
        <v>1.6931506849315068</v>
      </c>
      <c r="K255" s="4">
        <f t="shared" si="91"/>
        <v>9.9385889709128961</v>
      </c>
      <c r="L255" s="12">
        <f t="shared" si="92"/>
        <v>13.350978547873844</v>
      </c>
      <c r="M255" s="20">
        <f>input!F254</f>
        <v>7408.8</v>
      </c>
      <c r="N255" s="19">
        <f t="shared" si="93"/>
        <v>0.92224194600305887</v>
      </c>
      <c r="O255" s="19">
        <f t="shared" si="94"/>
        <v>0.47551593449906265</v>
      </c>
      <c r="P255" s="21">
        <v>983</v>
      </c>
      <c r="Q255" s="3">
        <f>P255/365+input!$K$3</f>
        <v>2.6931506849315068</v>
      </c>
      <c r="R255" s="4">
        <f t="shared" si="95"/>
        <v>12.20839590469155</v>
      </c>
      <c r="S255" s="12">
        <f t="shared" si="96"/>
        <v>24.746553471091506</v>
      </c>
      <c r="T255" s="20">
        <f>input!G254</f>
        <v>80.569999999999993</v>
      </c>
      <c r="U255" s="19">
        <f t="shared" si="97"/>
        <v>0.97776208446000346</v>
      </c>
      <c r="V255" s="19">
        <f t="shared" si="84"/>
        <v>0.986391656482282</v>
      </c>
      <c r="W255" s="21">
        <v>1348</v>
      </c>
      <c r="X255" s="3">
        <f>W255/365+input!$K$3</f>
        <v>3.6931506849315068</v>
      </c>
      <c r="Y255" s="4">
        <f t="shared" si="98"/>
        <v>12.589299260865312</v>
      </c>
      <c r="Z255" s="12">
        <f t="shared" si="99"/>
        <v>27.135859395209948</v>
      </c>
      <c r="AA255" s="20">
        <f>input!H254</f>
        <v>0</v>
      </c>
      <c r="AB255" s="19">
        <f t="shared" si="100"/>
        <v>0.98197554006092014</v>
      </c>
      <c r="AC255" s="19">
        <f t="shared" si="101"/>
        <v>0.99519142618801715</v>
      </c>
      <c r="AD255" s="8">
        <f t="shared" si="102"/>
        <v>78003.048346158015</v>
      </c>
      <c r="AE255" s="8">
        <f t="shared" si="103"/>
        <v>98914.729865487738</v>
      </c>
      <c r="AF255" s="8">
        <f t="shared" si="104"/>
        <v>1993.8298131658426</v>
      </c>
      <c r="AG255" s="8">
        <f t="shared" si="105"/>
        <v>0</v>
      </c>
      <c r="AH255" s="8">
        <f t="shared" si="85"/>
        <v>0</v>
      </c>
      <c r="AI255" s="8">
        <f t="shared" si="86"/>
        <v>91223.312959514296</v>
      </c>
      <c r="AJ255" s="8">
        <f t="shared" si="106"/>
        <v>1949.4911941795335</v>
      </c>
      <c r="AK255" s="8">
        <f t="shared" si="107"/>
        <v>0</v>
      </c>
      <c r="AL255" s="8">
        <f t="shared" si="108"/>
        <v>0</v>
      </c>
      <c r="AM255" s="8">
        <f t="shared" si="109"/>
        <v>43378.13891004389</v>
      </c>
      <c r="AN255" s="8">
        <f t="shared" si="110"/>
        <v>1922.9618483243721</v>
      </c>
      <c r="AO255" s="8">
        <f t="shared" si="111"/>
        <v>0</v>
      </c>
    </row>
    <row r="256" spans="1:41">
      <c r="A256" s="1">
        <v>41983</v>
      </c>
      <c r="B256" s="5">
        <v>254</v>
      </c>
      <c r="C256" s="3">
        <f>B256/365+input!$K$3</f>
        <v>0.69589041095890414</v>
      </c>
      <c r="D256" s="4">
        <f t="shared" si="87"/>
        <v>4.4341555204093082</v>
      </c>
      <c r="E256" s="12">
        <f t="shared" si="88"/>
        <v>1.1856914055637613</v>
      </c>
      <c r="F256" s="20">
        <f>input!E255</f>
        <v>66647.97</v>
      </c>
      <c r="G256" s="19">
        <f t="shared" si="89"/>
        <v>0</v>
      </c>
      <c r="H256" s="19">
        <f t="shared" si="90"/>
        <v>1.3044292295587578E-8</v>
      </c>
      <c r="I256" s="5">
        <v>619</v>
      </c>
      <c r="J256" s="3">
        <f>I256/365+input!$K$3</f>
        <v>1.6958904109589041</v>
      </c>
      <c r="K256" s="4">
        <f t="shared" si="91"/>
        <v>9.9479686425998075</v>
      </c>
      <c r="L256" s="12">
        <f t="shared" si="92"/>
        <v>13.388814709035264</v>
      </c>
      <c r="M256" s="20">
        <f>input!F255</f>
        <v>7303.12</v>
      </c>
      <c r="N256" s="19">
        <f t="shared" si="93"/>
        <v>0.92264314277349113</v>
      </c>
      <c r="O256" s="19">
        <f t="shared" si="94"/>
        <v>0.47925185382697844</v>
      </c>
      <c r="P256" s="21">
        <v>984</v>
      </c>
      <c r="Q256" s="3">
        <f>P256/365+input!$K$3</f>
        <v>2.6958904109589041</v>
      </c>
      <c r="R256" s="4">
        <f t="shared" si="95"/>
        <v>12.212247720828707</v>
      </c>
      <c r="S256" s="12">
        <f t="shared" si="96"/>
        <v>24.769983883644581</v>
      </c>
      <c r="T256" s="20">
        <f>input!G255</f>
        <v>78.92</v>
      </c>
      <c r="U256" s="19">
        <f t="shared" si="97"/>
        <v>0.97780927398767647</v>
      </c>
      <c r="V256" s="19">
        <f t="shared" si="84"/>
        <v>0.98652522340563842</v>
      </c>
      <c r="W256" s="21">
        <v>1349</v>
      </c>
      <c r="X256" s="3">
        <f>W256/365+input!$K$3</f>
        <v>3.6958904109589041</v>
      </c>
      <c r="Y256" s="4">
        <f t="shared" si="98"/>
        <v>12.589299260865312</v>
      </c>
      <c r="Z256" s="12">
        <f t="shared" si="99"/>
        <v>27.135859395209948</v>
      </c>
      <c r="AA256" s="20">
        <f>input!H255</f>
        <v>0</v>
      </c>
      <c r="AB256" s="19">
        <f t="shared" si="100"/>
        <v>0.98197554006092014</v>
      </c>
      <c r="AC256" s="19">
        <f t="shared" si="101"/>
        <v>0.99519142618801715</v>
      </c>
      <c r="AD256" s="8">
        <f t="shared" si="102"/>
        <v>79023.925227271393</v>
      </c>
      <c r="AE256" s="8">
        <f t="shared" si="103"/>
        <v>97780.120477849618</v>
      </c>
      <c r="AF256" s="8">
        <f t="shared" si="104"/>
        <v>1954.8471280972303</v>
      </c>
      <c r="AG256" s="8">
        <f t="shared" si="105"/>
        <v>0</v>
      </c>
      <c r="AH256" s="8">
        <f t="shared" si="85"/>
        <v>0</v>
      </c>
      <c r="AI256" s="8">
        <f t="shared" si="86"/>
        <v>90216.157658453769</v>
      </c>
      <c r="AJ256" s="8">
        <f t="shared" si="106"/>
        <v>1911.4676510816471</v>
      </c>
      <c r="AK256" s="8">
        <f t="shared" si="107"/>
        <v>0</v>
      </c>
      <c r="AL256" s="8">
        <f t="shared" si="108"/>
        <v>0</v>
      </c>
      <c r="AM256" s="8">
        <f t="shared" si="109"/>
        <v>43236.260802960926</v>
      </c>
      <c r="AN256" s="8">
        <f t="shared" si="110"/>
        <v>1885.7110515159727</v>
      </c>
      <c r="AO256" s="8">
        <f t="shared" si="111"/>
        <v>0</v>
      </c>
    </row>
    <row r="257" spans="1:41">
      <c r="A257" s="1">
        <v>41984</v>
      </c>
      <c r="B257" s="5">
        <v>255</v>
      </c>
      <c r="C257" s="3">
        <f>B257/365+input!$K$3</f>
        <v>0.69863013698630139</v>
      </c>
      <c r="D257" s="4">
        <f t="shared" si="87"/>
        <v>4.4569406110967487</v>
      </c>
      <c r="E257" s="12">
        <f t="shared" si="88"/>
        <v>1.2040636618810832</v>
      </c>
      <c r="F257" s="20">
        <f>input!E256</f>
        <v>66482.19</v>
      </c>
      <c r="G257" s="19">
        <f t="shared" si="89"/>
        <v>0</v>
      </c>
      <c r="H257" s="19">
        <f t="shared" si="90"/>
        <v>1.4861599653371055E-8</v>
      </c>
      <c r="I257" s="5">
        <v>620</v>
      </c>
      <c r="J257" s="3">
        <f>I257/365+input!$K$3</f>
        <v>1.6986301369863013</v>
      </c>
      <c r="K257" s="4">
        <f t="shared" si="91"/>
        <v>9.9573254711675876</v>
      </c>
      <c r="L257" s="12">
        <f t="shared" si="92"/>
        <v>13.42662988052418</v>
      </c>
      <c r="M257" s="20">
        <f>input!F256</f>
        <v>7284.96</v>
      </c>
      <c r="N257" s="19">
        <f t="shared" si="93"/>
        <v>0.92304130002623541</v>
      </c>
      <c r="O257" s="19">
        <f t="shared" si="94"/>
        <v>0.48298049205729021</v>
      </c>
      <c r="P257" s="21">
        <v>985</v>
      </c>
      <c r="Q257" s="3">
        <f>P257/365+input!$K$3</f>
        <v>2.6986301369863015</v>
      </c>
      <c r="R257" s="4">
        <f t="shared" si="95"/>
        <v>12.216090156307585</v>
      </c>
      <c r="S257" s="12">
        <f t="shared" si="96"/>
        <v>24.793371964981663</v>
      </c>
      <c r="T257" s="20">
        <f>input!G256</f>
        <v>78.72</v>
      </c>
      <c r="U257" s="19">
        <f t="shared" si="97"/>
        <v>0.97785624881838473</v>
      </c>
      <c r="V257" s="19">
        <f t="shared" si="84"/>
        <v>0.98665733586267423</v>
      </c>
      <c r="W257" s="21">
        <v>1350</v>
      </c>
      <c r="X257" s="3">
        <f>W257/365+input!$K$3</f>
        <v>3.6986301369863015</v>
      </c>
      <c r="Y257" s="4">
        <f t="shared" si="98"/>
        <v>12.589299260865312</v>
      </c>
      <c r="Z257" s="12">
        <f t="shared" si="99"/>
        <v>27.135859395209948</v>
      </c>
      <c r="AA257" s="20">
        <f>input!H256</f>
        <v>0</v>
      </c>
      <c r="AB257" s="19">
        <f t="shared" si="100"/>
        <v>0.98197554006092014</v>
      </c>
      <c r="AC257" s="19">
        <f t="shared" si="101"/>
        <v>0.99519142618801715</v>
      </c>
      <c r="AD257" s="8">
        <f t="shared" si="102"/>
        <v>80048.789141273926</v>
      </c>
      <c r="AE257" s="8">
        <f t="shared" si="103"/>
        <v>97812.461614423431</v>
      </c>
      <c r="AF257" s="8">
        <f t="shared" si="104"/>
        <v>1951.7342410833564</v>
      </c>
      <c r="AG257" s="8">
        <f t="shared" si="105"/>
        <v>0</v>
      </c>
      <c r="AH257" s="8">
        <f t="shared" si="85"/>
        <v>0</v>
      </c>
      <c r="AI257" s="8">
        <f t="shared" si="86"/>
        <v>90284.941727343656</v>
      </c>
      <c r="AJ257" s="8">
        <f t="shared" si="106"/>
        <v>1908.515523676168</v>
      </c>
      <c r="AK257" s="8">
        <f t="shared" si="107"/>
        <v>0</v>
      </c>
      <c r="AL257" s="8">
        <f t="shared" si="108"/>
        <v>0</v>
      </c>
      <c r="AM257" s="8">
        <f t="shared" si="109"/>
        <v>43605.865580836209</v>
      </c>
      <c r="AN257" s="8">
        <f t="shared" si="110"/>
        <v>1883.0508420428844</v>
      </c>
      <c r="AO257" s="8">
        <f t="shared" si="111"/>
        <v>0</v>
      </c>
    </row>
    <row r="258" spans="1:41">
      <c r="A258" s="1">
        <v>41985</v>
      </c>
      <c r="B258" s="5">
        <v>256</v>
      </c>
      <c r="C258" s="3">
        <f>B258/365+input!$K$3</f>
        <v>0.70136986301369864</v>
      </c>
      <c r="D258" s="4">
        <f t="shared" si="87"/>
        <v>4.4796702112981359</v>
      </c>
      <c r="E258" s="12">
        <f t="shared" si="88"/>
        <v>1.2225792962398021</v>
      </c>
      <c r="F258" s="20">
        <f>input!E257</f>
        <v>66316.83</v>
      </c>
      <c r="G258" s="19">
        <f t="shared" si="89"/>
        <v>0</v>
      </c>
      <c r="H258" s="19">
        <f t="shared" si="90"/>
        <v>1.6918200691977323E-8</v>
      </c>
      <c r="I258" s="5">
        <v>621</v>
      </c>
      <c r="J258" s="3">
        <f>I258/365+input!$K$3</f>
        <v>1.7013698630136986</v>
      </c>
      <c r="K258" s="4">
        <f t="shared" si="91"/>
        <v>9.9666595122480484</v>
      </c>
      <c r="L258" s="12">
        <f t="shared" si="92"/>
        <v>13.464423833898334</v>
      </c>
      <c r="M258" s="20">
        <f>input!F257</f>
        <v>7179.87</v>
      </c>
      <c r="N258" s="19">
        <f t="shared" si="93"/>
        <v>0.92343644576103889</v>
      </c>
      <c r="O258" s="19">
        <f t="shared" si="94"/>
        <v>0.48670153356839585</v>
      </c>
      <c r="P258" s="21">
        <v>986</v>
      </c>
      <c r="Q258" s="3">
        <f>P258/365+input!$K$3</f>
        <v>2.7013698630136984</v>
      </c>
      <c r="R258" s="4">
        <f t="shared" si="95"/>
        <v>12.219923233973702</v>
      </c>
      <c r="S258" s="12">
        <f t="shared" si="96"/>
        <v>24.816717751144552</v>
      </c>
      <c r="T258" s="20">
        <f>input!G257</f>
        <v>77.010000000000005</v>
      </c>
      <c r="U258" s="19">
        <f t="shared" si="97"/>
        <v>0.97790301017055203</v>
      </c>
      <c r="V258" s="19">
        <f t="shared" si="84"/>
        <v>0.98678801047319942</v>
      </c>
      <c r="W258" s="21">
        <v>1351</v>
      </c>
      <c r="X258" s="3">
        <f>W258/365+input!$K$3</f>
        <v>3.7013698630136984</v>
      </c>
      <c r="Y258" s="4">
        <f t="shared" si="98"/>
        <v>12.589299260865312</v>
      </c>
      <c r="Z258" s="12">
        <f t="shared" si="99"/>
        <v>27.135859395209948</v>
      </c>
      <c r="AA258" s="20">
        <f>input!H257</f>
        <v>0</v>
      </c>
      <c r="AB258" s="19">
        <f t="shared" si="100"/>
        <v>0.98197554006092014</v>
      </c>
      <c r="AC258" s="19">
        <f t="shared" si="101"/>
        <v>0.99519142618801715</v>
      </c>
      <c r="AD258" s="8">
        <f t="shared" si="102"/>
        <v>81077.583350254601</v>
      </c>
      <c r="AE258" s="8">
        <f t="shared" si="103"/>
        <v>96672.812752291633</v>
      </c>
      <c r="AF258" s="8">
        <f t="shared" si="104"/>
        <v>1911.135434015642</v>
      </c>
      <c r="AG258" s="8">
        <f t="shared" si="105"/>
        <v>0</v>
      </c>
      <c r="AH258" s="8">
        <f t="shared" si="85"/>
        <v>0</v>
      </c>
      <c r="AI258" s="8">
        <f t="shared" si="86"/>
        <v>89271.198609698622</v>
      </c>
      <c r="AJ258" s="8">
        <f t="shared" si="106"/>
        <v>1868.9050937675006</v>
      </c>
      <c r="AK258" s="8">
        <f t="shared" si="107"/>
        <v>0</v>
      </c>
      <c r="AL258" s="8">
        <f t="shared" si="108"/>
        <v>0</v>
      </c>
      <c r="AM258" s="8">
        <f t="shared" si="109"/>
        <v>43448.429266829167</v>
      </c>
      <c r="AN258" s="8">
        <f t="shared" si="110"/>
        <v>1844.2131392420602</v>
      </c>
      <c r="AO258" s="8">
        <f t="shared" si="111"/>
        <v>0</v>
      </c>
    </row>
    <row r="259" spans="1:41">
      <c r="A259" s="1">
        <v>41986</v>
      </c>
      <c r="B259" s="5">
        <v>257</v>
      </c>
      <c r="C259" s="3">
        <f>B259/365+input!$K$3</f>
        <v>0.70410958904109588</v>
      </c>
      <c r="D259" s="4">
        <f t="shared" si="87"/>
        <v>4.5023444561542068</v>
      </c>
      <c r="E259" s="12">
        <f t="shared" si="88"/>
        <v>1.2412379990026059</v>
      </c>
      <c r="F259" s="20">
        <f>input!E258</f>
        <v>66151.88</v>
      </c>
      <c r="G259" s="19">
        <f t="shared" si="89"/>
        <v>0</v>
      </c>
      <c r="H259" s="19">
        <f t="shared" si="90"/>
        <v>1.9243689436086181E-8</v>
      </c>
      <c r="I259" s="5">
        <v>622</v>
      </c>
      <c r="J259" s="3">
        <f>I259/365+input!$K$3</f>
        <v>1.704109589041096</v>
      </c>
      <c r="K259" s="4">
        <f t="shared" si="91"/>
        <v>9.9759708213375102</v>
      </c>
      <c r="L259" s="12">
        <f t="shared" si="92"/>
        <v>13.502196342146382</v>
      </c>
      <c r="M259" s="20">
        <f>input!F258</f>
        <v>7162.01</v>
      </c>
      <c r="N259" s="19">
        <f t="shared" si="93"/>
        <v>0.92382860767835107</v>
      </c>
      <c r="O259" s="19">
        <f t="shared" si="94"/>
        <v>0.49041466710790377</v>
      </c>
      <c r="P259" s="21">
        <v>987</v>
      </c>
      <c r="Q259" s="3">
        <f>P259/365+input!$K$3</f>
        <v>2.7041095890410958</v>
      </c>
      <c r="R259" s="4">
        <f t="shared" si="95"/>
        <v>12.223746976616946</v>
      </c>
      <c r="S259" s="12">
        <f t="shared" si="96"/>
        <v>24.84002127837989</v>
      </c>
      <c r="T259" s="20">
        <f>input!G258</f>
        <v>76.819999999999993</v>
      </c>
      <c r="U259" s="19">
        <f t="shared" si="97"/>
        <v>0.97794955925427807</v>
      </c>
      <c r="V259" s="19">
        <f t="shared" ref="V259:V322" si="112">_xlfn.NORM.DIST(R259,10,1,TRUE)</f>
        <v>0.98691726366642774</v>
      </c>
      <c r="W259" s="21">
        <v>1352</v>
      </c>
      <c r="X259" s="3">
        <f>W259/365+input!$K$3</f>
        <v>3.7041095890410958</v>
      </c>
      <c r="Y259" s="4">
        <f t="shared" si="98"/>
        <v>12.589299260865312</v>
      </c>
      <c r="Z259" s="12">
        <f t="shared" si="99"/>
        <v>27.135859395209948</v>
      </c>
      <c r="AA259" s="20">
        <f>input!H258</f>
        <v>0</v>
      </c>
      <c r="AB259" s="19">
        <f t="shared" si="100"/>
        <v>0.98197554006092014</v>
      </c>
      <c r="AC259" s="19">
        <f t="shared" si="101"/>
        <v>0.99519142618801715</v>
      </c>
      <c r="AD259" s="8">
        <f t="shared" si="102"/>
        <v>82110.227161460512</v>
      </c>
      <c r="AE259" s="8">
        <f t="shared" si="103"/>
        <v>96702.865224415815</v>
      </c>
      <c r="AF259" s="8">
        <f t="shared" si="104"/>
        <v>1908.2104346051431</v>
      </c>
      <c r="AG259" s="8">
        <f t="shared" si="105"/>
        <v>0</v>
      </c>
      <c r="AH259" s="8">
        <f t="shared" ref="AH259:AH322" si="113">E259*F259*G259</f>
        <v>0</v>
      </c>
      <c r="AI259" s="8">
        <f t="shared" ref="AI259:AI322" si="114">L259*M259*N259</f>
        <v>89336.873338779289</v>
      </c>
      <c r="AJ259" s="8">
        <f t="shared" si="106"/>
        <v>1866.1335534865141</v>
      </c>
      <c r="AK259" s="8">
        <f t="shared" si="107"/>
        <v>0</v>
      </c>
      <c r="AL259" s="8">
        <f t="shared" si="108"/>
        <v>0</v>
      </c>
      <c r="AM259" s="8">
        <f t="shared" si="109"/>
        <v>43812.11299889841</v>
      </c>
      <c r="AN259" s="8">
        <f t="shared" si="110"/>
        <v>1841.7194202430178</v>
      </c>
      <c r="AO259" s="8">
        <f t="shared" si="111"/>
        <v>0</v>
      </c>
    </row>
    <row r="260" spans="1:41">
      <c r="A260" s="1">
        <v>41987</v>
      </c>
      <c r="B260" s="5">
        <v>258</v>
      </c>
      <c r="C260" s="3">
        <f>B260/365+input!$K$3</f>
        <v>0.70684931506849313</v>
      </c>
      <c r="D260" s="4">
        <f t="shared" ref="D260:D323" si="115">MAX(0,13.79*(1-EXP(-0.89*(C260-0.26))))</f>
        <v>4.5249634804765835</v>
      </c>
      <c r="E260" s="12">
        <f t="shared" ref="E260:E323" si="116">0.0136*D260^3</f>
        <v>1.2600394541355029</v>
      </c>
      <c r="F260" s="20">
        <f>input!E259</f>
        <v>65987.34</v>
      </c>
      <c r="G260" s="19">
        <f t="shared" ref="G260:G323" si="117">MAX(1-EXP(2.927-1.285*(D260/2.33)),0)</f>
        <v>0</v>
      </c>
      <c r="H260" s="19">
        <f t="shared" ref="H260:H323" si="118">_xlfn.NORM.DIST(D260,10,1,TRUE)</f>
        <v>2.1871069609011177E-8</v>
      </c>
      <c r="I260" s="5">
        <v>623</v>
      </c>
      <c r="J260" s="3">
        <f>I260/365+input!$K$3</f>
        <v>1.7068493150684931</v>
      </c>
      <c r="K260" s="4">
        <f t="shared" ref="K260:K323" si="119">MAX(0,13.79*(1-EXP(-0.89*(J260-0.26))))</f>
        <v>9.9852594537971413</v>
      </c>
      <c r="L260" s="12">
        <f t="shared" ref="L260:L323" si="120">0.0136*K260^3</f>
        <v>13.539947179683724</v>
      </c>
      <c r="M260" s="20">
        <f>input!F259</f>
        <v>7057.9</v>
      </c>
      <c r="N260" s="19">
        <f t="shared" ref="N260:N323" si="121">MAX(1-EXP(2.927-1.285*(K260/2.33)),0)</f>
        <v>0.92421781318292906</v>
      </c>
      <c r="O260" s="19">
        <f t="shared" ref="O260:O323" si="122">_xlfn.NORM.DIST(K260,10,1,TRUE)</f>
        <v>0.49411958583726678</v>
      </c>
      <c r="P260" s="21">
        <v>988</v>
      </c>
      <c r="Q260" s="3">
        <f>P260/365+input!$K$3</f>
        <v>2.7068493150684931</v>
      </c>
      <c r="R260" s="4">
        <f t="shared" ref="R260:R323" si="123">MAX(0,13.79*(1-EXP(-0.89*(Q260-0.26))))</f>
        <v>12.227561406971693</v>
      </c>
      <c r="S260" s="12">
        <f t="shared" ref="S260:S323" si="124">0.0136*R260^3</f>
        <v>24.863282583137394</v>
      </c>
      <c r="T260" s="20">
        <f>input!G259</f>
        <v>75.25</v>
      </c>
      <c r="U260" s="19">
        <f t="shared" ref="U260:U323" si="125">MAX(1-EXP(2.927-1.285*(R260/2.33)),0)</f>
        <v>0.97799589727140446</v>
      </c>
      <c r="V260" s="19">
        <f t="shared" si="112"/>
        <v>0.98704511168303899</v>
      </c>
      <c r="W260" s="21">
        <v>1353</v>
      </c>
      <c r="X260" s="3">
        <f>W260/365+input!$K$3</f>
        <v>3.7068493150684931</v>
      </c>
      <c r="Y260" s="4">
        <f t="shared" ref="Y260:Y323" si="126">MAX(0,13.79*(1-EXP(-0.89*(X$3-0.26))))</f>
        <v>12.589299260865312</v>
      </c>
      <c r="Z260" s="12">
        <f t="shared" ref="Z260:Z323" si="127">0.0136*Y260^3</f>
        <v>27.135859395209948</v>
      </c>
      <c r="AA260" s="20">
        <f>input!H259</f>
        <v>0</v>
      </c>
      <c r="AB260" s="19">
        <f t="shared" ref="AB260:AB323" si="128">MAX(1-EXP(2.927-1.285*(Y260/2.33)),0)</f>
        <v>0.98197554006092014</v>
      </c>
      <c r="AC260" s="19">
        <f t="shared" ref="AC260:AC323" si="129">_xlfn.NORM.DIST(Y260,10,1,TRUE)</f>
        <v>0.99519142618801715</v>
      </c>
      <c r="AD260" s="8">
        <f t="shared" ref="AD260:AD323" si="130">E260*F260</f>
        <v>83146.651873453826</v>
      </c>
      <c r="AE260" s="8">
        <f t="shared" ref="AE260:AE323" si="131">L260*M260</f>
        <v>95563.593199489755</v>
      </c>
      <c r="AF260" s="8">
        <f t="shared" ref="AF260:AF323" si="132">S260*T260</f>
        <v>1870.9620143810889</v>
      </c>
      <c r="AG260" s="8">
        <f t="shared" ref="AG260:AG323" si="133">Z260*AA260</f>
        <v>0</v>
      </c>
      <c r="AH260" s="8">
        <f t="shared" si="113"/>
        <v>0</v>
      </c>
      <c r="AI260" s="8">
        <f t="shared" si="114"/>
        <v>88321.57512673545</v>
      </c>
      <c r="AJ260" s="8">
        <f t="shared" ref="AJ260:AJ323" si="134">AF260*U260</f>
        <v>1829.7931740153474</v>
      </c>
      <c r="AK260" s="8">
        <f t="shared" ref="AK260:AK323" si="135">AG260*AB260</f>
        <v>0</v>
      </c>
      <c r="AL260" s="8">
        <f t="shared" ref="AL260:AL323" si="136">AH260*H260</f>
        <v>0</v>
      </c>
      <c r="AM260" s="8">
        <f t="shared" ref="AM260:AM323" si="137">AI260*O260</f>
        <v>43641.420122117561</v>
      </c>
      <c r="AN260" s="8">
        <f t="shared" ref="AN260:AN323" si="138">AJ260*V260</f>
        <v>1806.0884078028409</v>
      </c>
      <c r="AO260" s="8">
        <f t="shared" ref="AO260:AO323" si="139">AK260*AC260</f>
        <v>0</v>
      </c>
    </row>
    <row r="261" spans="1:41">
      <c r="A261" s="1">
        <v>41988</v>
      </c>
      <c r="B261" s="5">
        <v>259</v>
      </c>
      <c r="C261" s="3">
        <f>B261/365+input!$K$3</f>
        <v>0.70958904109589038</v>
      </c>
      <c r="D261" s="4">
        <f t="shared" si="115"/>
        <v>4.5475274187485715</v>
      </c>
      <c r="E261" s="12">
        <f t="shared" si="116"/>
        <v>1.2789833393089005</v>
      </c>
      <c r="F261" s="20">
        <f>input!E260</f>
        <v>65823.210000000006</v>
      </c>
      <c r="G261" s="19">
        <f t="shared" si="117"/>
        <v>0</v>
      </c>
      <c r="H261" s="19">
        <f t="shared" si="118"/>
        <v>2.4837116622704387E-8</v>
      </c>
      <c r="I261" s="5">
        <v>624</v>
      </c>
      <c r="J261" s="3">
        <f>I261/365+input!$K$3</f>
        <v>1.7095890410958905</v>
      </c>
      <c r="K261" s="4">
        <f t="shared" si="119"/>
        <v>9.9945254648532806</v>
      </c>
      <c r="L261" s="12">
        <f t="shared" si="120"/>
        <v>13.577676122348278</v>
      </c>
      <c r="M261" s="20">
        <f>input!F260</f>
        <v>7040.35</v>
      </c>
      <c r="N261" s="19">
        <f t="shared" si="121"/>
        <v>0.92460408938739347</v>
      </c>
      <c r="O261" s="19">
        <f t="shared" si="122"/>
        <v>0.49781598737377325</v>
      </c>
      <c r="P261" s="21">
        <v>989</v>
      </c>
      <c r="Q261" s="3">
        <f>P261/365+input!$K$3</f>
        <v>2.7095890410958905</v>
      </c>
      <c r="R261" s="4">
        <f t="shared" si="123"/>
        <v>12.231366547716966</v>
      </c>
      <c r="S261" s="12">
        <f t="shared" si="124"/>
        <v>24.886501702068319</v>
      </c>
      <c r="T261" s="20">
        <f>input!G260</f>
        <v>75.06</v>
      </c>
      <c r="U261" s="19">
        <f t="shared" si="125"/>
        <v>0.97804202541557994</v>
      </c>
      <c r="V261" s="19">
        <f t="shared" si="112"/>
        <v>0.98717157057722515</v>
      </c>
      <c r="W261" s="21">
        <v>1354</v>
      </c>
      <c r="X261" s="3">
        <f>W261/365+input!$K$3</f>
        <v>3.7095890410958905</v>
      </c>
      <c r="Y261" s="4">
        <f t="shared" si="126"/>
        <v>12.589299260865312</v>
      </c>
      <c r="Z261" s="12">
        <f t="shared" si="127"/>
        <v>27.135859395209948</v>
      </c>
      <c r="AA261" s="20">
        <f>input!H260</f>
        <v>0</v>
      </c>
      <c r="AB261" s="19">
        <f t="shared" si="128"/>
        <v>0.98197554006092014</v>
      </c>
      <c r="AC261" s="19">
        <f t="shared" si="129"/>
        <v>0.99519142618801715</v>
      </c>
      <c r="AD261" s="8">
        <f t="shared" si="130"/>
        <v>84186.788929831018</v>
      </c>
      <c r="AE261" s="8">
        <f t="shared" si="131"/>
        <v>95591.592087974699</v>
      </c>
      <c r="AF261" s="8">
        <f t="shared" si="132"/>
        <v>1867.9808177572481</v>
      </c>
      <c r="AG261" s="8">
        <f t="shared" si="133"/>
        <v>0</v>
      </c>
      <c r="AH261" s="8">
        <f t="shared" si="113"/>
        <v>0</v>
      </c>
      <c r="AI261" s="8">
        <f t="shared" si="114"/>
        <v>88384.376955593019</v>
      </c>
      <c r="AJ261" s="8">
        <f t="shared" si="134"/>
        <v>1826.9637424367502</v>
      </c>
      <c r="AK261" s="8">
        <f t="shared" si="135"/>
        <v>0</v>
      </c>
      <c r="AL261" s="8">
        <f t="shared" si="136"/>
        <v>0</v>
      </c>
      <c r="AM261" s="8">
        <f t="shared" si="137"/>
        <v>43999.155882564308</v>
      </c>
      <c r="AN261" s="8">
        <f t="shared" si="138"/>
        <v>1803.5266670089318</v>
      </c>
      <c r="AO261" s="8">
        <f t="shared" si="139"/>
        <v>0</v>
      </c>
    </row>
    <row r="262" spans="1:41">
      <c r="A262" s="1">
        <v>41989</v>
      </c>
      <c r="B262" s="5">
        <v>260</v>
      </c>
      <c r="C262" s="3">
        <f>B262/365+input!$K$3</f>
        <v>0.71232876712328763</v>
      </c>
      <c r="D262" s="4">
        <f t="shared" si="115"/>
        <v>4.5700364051259532</v>
      </c>
      <c r="E262" s="12">
        <f t="shared" si="116"/>
        <v>1.2980693259976497</v>
      </c>
      <c r="F262" s="20">
        <f>input!E261</f>
        <v>65659.490000000005</v>
      </c>
      <c r="G262" s="19">
        <f t="shared" si="117"/>
        <v>0</v>
      </c>
      <c r="H262" s="19">
        <f t="shared" si="118"/>
        <v>2.8182774427192043E-8</v>
      </c>
      <c r="I262" s="5">
        <v>625</v>
      </c>
      <c r="J262" s="3">
        <f>I262/365+input!$K$3</f>
        <v>1.7123287671232876</v>
      </c>
      <c r="K262" s="4">
        <f t="shared" si="119"/>
        <v>10.003768909597778</v>
      </c>
      <c r="L262" s="12">
        <f t="shared" si="120"/>
        <v>13.615382947396283</v>
      </c>
      <c r="M262" s="20">
        <f>input!F261</f>
        <v>6937.49</v>
      </c>
      <c r="N262" s="19">
        <f t="shared" si="121"/>
        <v>0.92498746311573898</v>
      </c>
      <c r="O262" s="19">
        <f t="shared" si="122"/>
        <v>0.50150357382993271</v>
      </c>
      <c r="P262" s="21">
        <v>990</v>
      </c>
      <c r="Q262" s="3">
        <f>P262/365+input!$K$3</f>
        <v>2.7123287671232879</v>
      </c>
      <c r="R262" s="4">
        <f t="shared" si="123"/>
        <v>12.235162421476542</v>
      </c>
      <c r="S262" s="12">
        <f t="shared" si="124"/>
        <v>24.90967867202361</v>
      </c>
      <c r="T262" s="20">
        <f>input!G261</f>
        <v>73.39</v>
      </c>
      <c r="U262" s="19">
        <f t="shared" si="125"/>
        <v>0.97808794487232531</v>
      </c>
      <c r="V262" s="19">
        <f t="shared" si="112"/>
        <v>0.98729665621871665</v>
      </c>
      <c r="W262" s="21">
        <v>1355</v>
      </c>
      <c r="X262" s="3">
        <f>W262/365+input!$K$3</f>
        <v>3.7123287671232879</v>
      </c>
      <c r="Y262" s="4">
        <f t="shared" si="126"/>
        <v>12.589299260865312</v>
      </c>
      <c r="Z262" s="12">
        <f t="shared" si="127"/>
        <v>27.135859395209948</v>
      </c>
      <c r="AA262" s="20">
        <f>input!H261</f>
        <v>0</v>
      </c>
      <c r="AB262" s="19">
        <f t="shared" si="128"/>
        <v>0.98197554006092014</v>
      </c>
      <c r="AC262" s="19">
        <f t="shared" si="129"/>
        <v>0.99519142618801715</v>
      </c>
      <c r="AD262" s="8">
        <f t="shared" si="130"/>
        <v>85230.569929649428</v>
      </c>
      <c r="AE262" s="8">
        <f t="shared" si="131"/>
        <v>94456.583043732229</v>
      </c>
      <c r="AF262" s="8">
        <f t="shared" si="132"/>
        <v>1828.1213177398126</v>
      </c>
      <c r="AG262" s="8">
        <f t="shared" si="133"/>
        <v>0</v>
      </c>
      <c r="AH262" s="8">
        <f t="shared" si="113"/>
        <v>0</v>
      </c>
      <c r="AI262" s="8">
        <f t="shared" si="114"/>
        <v>87371.155124202996</v>
      </c>
      <c r="AJ262" s="8">
        <f t="shared" si="134"/>
        <v>1788.0634226454206</v>
      </c>
      <c r="AK262" s="8">
        <f t="shared" si="135"/>
        <v>0</v>
      </c>
      <c r="AL262" s="8">
        <f t="shared" si="136"/>
        <v>0</v>
      </c>
      <c r="AM262" s="8">
        <f t="shared" si="137"/>
        <v>43816.94654443724</v>
      </c>
      <c r="AN262" s="8">
        <f t="shared" si="138"/>
        <v>1765.3490382848177</v>
      </c>
      <c r="AO262" s="8">
        <f t="shared" si="139"/>
        <v>0</v>
      </c>
    </row>
    <row r="263" spans="1:41">
      <c r="A263" s="1">
        <v>41990</v>
      </c>
      <c r="B263" s="5">
        <v>261</v>
      </c>
      <c r="C263" s="3">
        <f>B263/365+input!$K$3</f>
        <v>0.71506849315068488</v>
      </c>
      <c r="D263" s="4">
        <f t="shared" si="115"/>
        <v>4.5924905734377912</v>
      </c>
      <c r="E263" s="12">
        <f t="shared" si="116"/>
        <v>1.3172970795800754</v>
      </c>
      <c r="F263" s="20">
        <f>input!E262</f>
        <v>65496.17</v>
      </c>
      <c r="G263" s="19">
        <f t="shared" si="117"/>
        <v>0</v>
      </c>
      <c r="H263" s="19">
        <f t="shared" si="118"/>
        <v>3.1953590190984202E-8</v>
      </c>
      <c r="I263" s="5">
        <v>626</v>
      </c>
      <c r="J263" s="3">
        <f>I263/365+input!$K$3</f>
        <v>1.715068493150685</v>
      </c>
      <c r="K263" s="4">
        <f t="shared" si="119"/>
        <v>10.012989842988302</v>
      </c>
      <c r="L263" s="12">
        <f t="shared" si="120"/>
        <v>13.653067433498004</v>
      </c>
      <c r="M263" s="20">
        <f>input!F262</f>
        <v>6920.24</v>
      </c>
      <c r="N263" s="19">
        <f t="shared" si="121"/>
        <v>0.92536796090679574</v>
      </c>
      <c r="O263" s="19">
        <f t="shared" si="122"/>
        <v>0.50518205185026521</v>
      </c>
      <c r="P263" s="21">
        <v>991</v>
      </c>
      <c r="Q263" s="3">
        <f>P263/365+input!$K$3</f>
        <v>2.7150684931506848</v>
      </c>
      <c r="R263" s="4">
        <f t="shared" si="123"/>
        <v>12.238949050819105</v>
      </c>
      <c r="S263" s="12">
        <f t="shared" si="124"/>
        <v>24.932813530052421</v>
      </c>
      <c r="T263" s="20">
        <f>input!G262</f>
        <v>73.2</v>
      </c>
      <c r="U263" s="19">
        <f t="shared" si="125"/>
        <v>0.97813365681909714</v>
      </c>
      <c r="V263" s="19">
        <f t="shared" si="112"/>
        <v>0.98742038429479095</v>
      </c>
      <c r="W263" s="21">
        <v>1356</v>
      </c>
      <c r="X263" s="3">
        <f>W263/365+input!$K$3</f>
        <v>3.7150684931506848</v>
      </c>
      <c r="Y263" s="4">
        <f t="shared" si="126"/>
        <v>12.589299260865312</v>
      </c>
      <c r="Z263" s="12">
        <f t="shared" si="127"/>
        <v>27.135859395209948</v>
      </c>
      <c r="AA263" s="20">
        <f>input!H262</f>
        <v>0</v>
      </c>
      <c r="AB263" s="19">
        <f t="shared" si="128"/>
        <v>0.98197554006092014</v>
      </c>
      <c r="AC263" s="19">
        <f t="shared" si="129"/>
        <v>0.99519142618801715</v>
      </c>
      <c r="AD263" s="8">
        <f t="shared" si="130"/>
        <v>86277.913464680139</v>
      </c>
      <c r="AE263" s="8">
        <f t="shared" si="131"/>
        <v>94482.503375990229</v>
      </c>
      <c r="AF263" s="8">
        <f t="shared" si="132"/>
        <v>1825.0819503998373</v>
      </c>
      <c r="AG263" s="8">
        <f t="shared" si="133"/>
        <v>0</v>
      </c>
      <c r="AH263" s="8">
        <f t="shared" si="113"/>
        <v>0</v>
      </c>
      <c r="AI263" s="8">
        <f t="shared" si="114"/>
        <v>87431.081490409517</v>
      </c>
      <c r="AJ263" s="8">
        <f t="shared" si="134"/>
        <v>1785.1740821391229</v>
      </c>
      <c r="AK263" s="8">
        <f t="shared" si="135"/>
        <v>0</v>
      </c>
      <c r="AL263" s="8">
        <f t="shared" si="136"/>
        <v>0</v>
      </c>
      <c r="AM263" s="8">
        <f t="shared" si="137"/>
        <v>44168.613142812821</v>
      </c>
      <c r="AN263" s="8">
        <f t="shared" si="138"/>
        <v>1762.7172782189134</v>
      </c>
      <c r="AO263" s="8">
        <f t="shared" si="139"/>
        <v>0</v>
      </c>
    </row>
    <row r="264" spans="1:41">
      <c r="A264" s="1">
        <v>41991</v>
      </c>
      <c r="B264" s="5">
        <v>262</v>
      </c>
      <c r="C264" s="3">
        <f>B264/365+input!$K$3</f>
        <v>0.71780821917808224</v>
      </c>
      <c r="D264" s="4">
        <f t="shared" si="115"/>
        <v>4.6148900571872264</v>
      </c>
      <c r="E264" s="12">
        <f t="shared" si="116"/>
        <v>1.3366662594359926</v>
      </c>
      <c r="F264" s="20">
        <f>input!E263</f>
        <v>65333.26</v>
      </c>
      <c r="G264" s="19">
        <f t="shared" si="117"/>
        <v>0</v>
      </c>
      <c r="H264" s="19">
        <f t="shared" si="118"/>
        <v>3.6200189998747147E-8</v>
      </c>
      <c r="I264" s="5">
        <v>627</v>
      </c>
      <c r="J264" s="3">
        <f>I264/365+input!$K$3</f>
        <v>1.7178082191780821</v>
      </c>
      <c r="K264" s="4">
        <f t="shared" si="119"/>
        <v>10.022188319848691</v>
      </c>
      <c r="L264" s="12">
        <f t="shared" si="120"/>
        <v>13.69072936073356</v>
      </c>
      <c r="M264" s="20">
        <f>input!F263</f>
        <v>6818.17</v>
      </c>
      <c r="N264" s="19">
        <f t="shared" si="121"/>
        <v>0.92574560901764769</v>
      </c>
      <c r="O264" s="19">
        <f t="shared" si="122"/>
        <v>0.50885113264554904</v>
      </c>
      <c r="P264" s="21">
        <v>992</v>
      </c>
      <c r="Q264" s="3">
        <f>P264/365+input!$K$3</f>
        <v>2.7178082191780821</v>
      </c>
      <c r="R264" s="4">
        <f t="shared" si="123"/>
        <v>12.242726458258383</v>
      </c>
      <c r="S264" s="12">
        <f t="shared" si="124"/>
        <v>24.955906313400405</v>
      </c>
      <c r="T264" s="20">
        <f>input!G263</f>
        <v>71.72</v>
      </c>
      <c r="U264" s="19">
        <f t="shared" si="125"/>
        <v>0.97817916242535186</v>
      </c>
      <c r="V264" s="19">
        <f t="shared" si="112"/>
        <v>0.98754277031226334</v>
      </c>
      <c r="W264" s="21">
        <v>1357</v>
      </c>
      <c r="X264" s="3">
        <f>W264/365+input!$K$3</f>
        <v>3.7178082191780821</v>
      </c>
      <c r="Y264" s="4">
        <f t="shared" si="126"/>
        <v>12.589299260865312</v>
      </c>
      <c r="Z264" s="12">
        <f t="shared" si="127"/>
        <v>27.135859395209948</v>
      </c>
      <c r="AA264" s="20">
        <f>input!H263</f>
        <v>0</v>
      </c>
      <c r="AB264" s="19">
        <f t="shared" si="128"/>
        <v>0.98197554006092014</v>
      </c>
      <c r="AC264" s="19">
        <f t="shared" si="129"/>
        <v>0.99519142618801715</v>
      </c>
      <c r="AD264" s="8">
        <f t="shared" si="130"/>
        <v>87328.764260959157</v>
      </c>
      <c r="AE264" s="8">
        <f t="shared" si="131"/>
        <v>93345.720205472739</v>
      </c>
      <c r="AF264" s="8">
        <f t="shared" si="132"/>
        <v>1789.8376007970769</v>
      </c>
      <c r="AG264" s="8">
        <f t="shared" si="133"/>
        <v>0</v>
      </c>
      <c r="AH264" s="8">
        <f t="shared" si="113"/>
        <v>0</v>
      </c>
      <c r="AI264" s="8">
        <f t="shared" si="114"/>
        <v>86414.390600806306</v>
      </c>
      <c r="AJ264" s="8">
        <f t="shared" si="134"/>
        <v>1750.781845225086</v>
      </c>
      <c r="AK264" s="8">
        <f t="shared" si="135"/>
        <v>0</v>
      </c>
      <c r="AL264" s="8">
        <f t="shared" si="136"/>
        <v>0</v>
      </c>
      <c r="AM264" s="8">
        <f t="shared" si="137"/>
        <v>43972.060534095173</v>
      </c>
      <c r="AN264" s="8">
        <f t="shared" si="138"/>
        <v>1728.9719536459977</v>
      </c>
      <c r="AO264" s="8">
        <f t="shared" si="139"/>
        <v>0</v>
      </c>
    </row>
    <row r="265" spans="1:41">
      <c r="A265" s="1">
        <v>41992</v>
      </c>
      <c r="B265" s="5">
        <v>263</v>
      </c>
      <c r="C265" s="3">
        <f>B265/365+input!$K$3</f>
        <v>0.72054794520547949</v>
      </c>
      <c r="D265" s="4">
        <f t="shared" si="115"/>
        <v>4.63723498955226</v>
      </c>
      <c r="E265" s="12">
        <f t="shared" si="116"/>
        <v>1.3561765190437036</v>
      </c>
      <c r="F265" s="20">
        <f>input!E264</f>
        <v>65170.76</v>
      </c>
      <c r="G265" s="19">
        <f t="shared" si="117"/>
        <v>0</v>
      </c>
      <c r="H265" s="19">
        <f t="shared" si="118"/>
        <v>4.0978798979246771E-8</v>
      </c>
      <c r="I265" s="5">
        <v>628</v>
      </c>
      <c r="J265" s="3">
        <f>I265/365+input!$K$3</f>
        <v>1.7205479452054795</v>
      </c>
      <c r="K265" s="4">
        <f t="shared" si="119"/>
        <v>10.031364394869254</v>
      </c>
      <c r="L265" s="12">
        <f t="shared" si="120"/>
        <v>13.728368510588572</v>
      </c>
      <c r="M265" s="20">
        <f>input!F264</f>
        <v>6801.21</v>
      </c>
      <c r="N265" s="19">
        <f t="shared" si="121"/>
        <v>0.92612043342700279</v>
      </c>
      <c r="O265" s="19">
        <f t="shared" si="122"/>
        <v>0.5125105320245239</v>
      </c>
      <c r="P265" s="21">
        <v>993</v>
      </c>
      <c r="Q265" s="3">
        <f>P265/365+input!$K$3</f>
        <v>2.7205479452054795</v>
      </c>
      <c r="R265" s="4">
        <f t="shared" si="123"/>
        <v>12.246494666253266</v>
      </c>
      <c r="S265" s="12">
        <f t="shared" si="124"/>
        <v>24.978957059508026</v>
      </c>
      <c r="T265" s="20">
        <f>input!G264</f>
        <v>71.540000000000006</v>
      </c>
      <c r="U265" s="19">
        <f t="shared" si="125"/>
        <v>0.97822446285260867</v>
      </c>
      <c r="V265" s="19">
        <f t="shared" si="112"/>
        <v>0.98766382959945909</v>
      </c>
      <c r="W265" s="21">
        <v>1358</v>
      </c>
      <c r="X265" s="3">
        <f>W265/365+input!$K$3</f>
        <v>3.7205479452054795</v>
      </c>
      <c r="Y265" s="4">
        <f t="shared" si="126"/>
        <v>12.589299260865312</v>
      </c>
      <c r="Z265" s="12">
        <f t="shared" si="127"/>
        <v>27.135859395209948</v>
      </c>
      <c r="AA265" s="20">
        <f>input!H264</f>
        <v>0</v>
      </c>
      <c r="AB265" s="19">
        <f t="shared" si="128"/>
        <v>0.98197554006092014</v>
      </c>
      <c r="AC265" s="19">
        <f t="shared" si="129"/>
        <v>0.99519142618801715</v>
      </c>
      <c r="AD265" s="8">
        <f t="shared" si="130"/>
        <v>88383.054440232634</v>
      </c>
      <c r="AE265" s="8">
        <f t="shared" si="131"/>
        <v>93369.517197900102</v>
      </c>
      <c r="AF265" s="8">
        <f t="shared" si="132"/>
        <v>1786.9945880372043</v>
      </c>
      <c r="AG265" s="8">
        <f t="shared" si="133"/>
        <v>0</v>
      </c>
      <c r="AH265" s="8">
        <f t="shared" si="113"/>
        <v>0</v>
      </c>
      <c r="AI265" s="8">
        <f t="shared" si="114"/>
        <v>86471.417736189236</v>
      </c>
      <c r="AJ265" s="8">
        <f t="shared" si="134"/>
        <v>1748.0818210032128</v>
      </c>
      <c r="AK265" s="8">
        <f t="shared" si="135"/>
        <v>0</v>
      </c>
      <c r="AL265" s="8">
        <f t="shared" si="136"/>
        <v>0</v>
      </c>
      <c r="AM265" s="8">
        <f t="shared" si="137"/>
        <v>44317.5123088892</v>
      </c>
      <c r="AN265" s="8">
        <f t="shared" si="138"/>
        <v>1726.5171857852292</v>
      </c>
      <c r="AO265" s="8">
        <f t="shared" si="139"/>
        <v>0</v>
      </c>
    </row>
    <row r="266" spans="1:41">
      <c r="A266" s="1">
        <v>41993</v>
      </c>
      <c r="B266" s="5">
        <v>264</v>
      </c>
      <c r="C266" s="3">
        <f>B266/365+input!$K$3</f>
        <v>0.72328767123287674</v>
      </c>
      <c r="D266" s="4">
        <f t="shared" si="115"/>
        <v>4.6595255033865621</v>
      </c>
      <c r="E266" s="12">
        <f t="shared" si="116"/>
        <v>1.3758275060760248</v>
      </c>
      <c r="F266" s="20">
        <f>input!E265</f>
        <v>65008.66</v>
      </c>
      <c r="G266" s="19">
        <f t="shared" si="117"/>
        <v>0</v>
      </c>
      <c r="H266" s="19">
        <f t="shared" si="118"/>
        <v>4.6351809515609567E-8</v>
      </c>
      <c r="I266" s="5">
        <v>629</v>
      </c>
      <c r="J266" s="3">
        <f>I266/365+input!$K$3</f>
        <v>1.7232876712328766</v>
      </c>
      <c r="K266" s="4">
        <f t="shared" si="119"/>
        <v>10.040518122607114</v>
      </c>
      <c r="L266" s="12">
        <f t="shared" si="120"/>
        <v>13.765984665949992</v>
      </c>
      <c r="M266" s="20">
        <f>input!F265</f>
        <v>6699.75</v>
      </c>
      <c r="N266" s="19">
        <f t="shared" si="121"/>
        <v>0.92649245983852124</v>
      </c>
      <c r="O266" s="19">
        <f t="shared" si="122"/>
        <v>0.51615997042311323</v>
      </c>
      <c r="P266" s="21">
        <v>994</v>
      </c>
      <c r="Q266" s="3">
        <f>P266/365+input!$K$3</f>
        <v>2.7232876712328768</v>
      </c>
      <c r="R266" s="4">
        <f t="shared" si="123"/>
        <v>12.250253697207947</v>
      </c>
      <c r="S266" s="12">
        <f t="shared" si="124"/>
        <v>25.001965806009004</v>
      </c>
      <c r="T266" s="20">
        <f>input!G265</f>
        <v>69.900000000000006</v>
      </c>
      <c r="U266" s="19">
        <f t="shared" si="125"/>
        <v>0.97826955925451153</v>
      </c>
      <c r="V266" s="19">
        <f t="shared" si="112"/>
        <v>0.98778357730816746</v>
      </c>
      <c r="W266" s="21">
        <v>1359</v>
      </c>
      <c r="X266" s="3">
        <f>W266/365+input!$K$3</f>
        <v>3.7232876712328768</v>
      </c>
      <c r="Y266" s="4">
        <f t="shared" si="126"/>
        <v>12.589299260865312</v>
      </c>
      <c r="Z266" s="12">
        <f t="shared" si="127"/>
        <v>27.135859395209948</v>
      </c>
      <c r="AA266" s="20">
        <f>input!H265</f>
        <v>0</v>
      </c>
      <c r="AB266" s="19">
        <f t="shared" si="128"/>
        <v>0.98197554006092014</v>
      </c>
      <c r="AC266" s="19">
        <f t="shared" si="129"/>
        <v>0.99519142618801715</v>
      </c>
      <c r="AD266" s="8">
        <f t="shared" si="130"/>
        <v>89440.702561144237</v>
      </c>
      <c r="AE266" s="8">
        <f t="shared" si="131"/>
        <v>92228.655765698451</v>
      </c>
      <c r="AF266" s="8">
        <f t="shared" si="132"/>
        <v>1747.6374098400295</v>
      </c>
      <c r="AG266" s="8">
        <f t="shared" si="133"/>
        <v>0</v>
      </c>
      <c r="AH266" s="8">
        <f t="shared" si="113"/>
        <v>0</v>
      </c>
      <c r="AI266" s="8">
        <f t="shared" si="114"/>
        <v>85449.154147962166</v>
      </c>
      <c r="AJ266" s="8">
        <f t="shared" si="134"/>
        <v>1709.6604786609018</v>
      </c>
      <c r="AK266" s="8">
        <f t="shared" si="135"/>
        <v>0</v>
      </c>
      <c r="AL266" s="8">
        <f t="shared" si="136"/>
        <v>0</v>
      </c>
      <c r="AM266" s="8">
        <f t="shared" si="137"/>
        <v>44105.432877692198</v>
      </c>
      <c r="AN266" s="8">
        <f t="shared" si="138"/>
        <v>1688.7745435940594</v>
      </c>
      <c r="AO266" s="8">
        <f t="shared" si="139"/>
        <v>0</v>
      </c>
    </row>
    <row r="267" spans="1:41">
      <c r="A267" s="1">
        <v>41994</v>
      </c>
      <c r="B267" s="5">
        <v>265</v>
      </c>
      <c r="C267" s="3">
        <f>B267/365+input!$K$3</f>
        <v>0.72602739726027399</v>
      </c>
      <c r="D267" s="4">
        <f t="shared" si="115"/>
        <v>4.6817617312202477</v>
      </c>
      <c r="E267" s="12">
        <f t="shared" si="116"/>
        <v>1.3956188624952994</v>
      </c>
      <c r="F267" s="20">
        <f>input!E266</f>
        <v>64846.96</v>
      </c>
      <c r="G267" s="19">
        <f t="shared" si="117"/>
        <v>0</v>
      </c>
      <c r="H267" s="19">
        <f t="shared" si="118"/>
        <v>5.2388401441624229E-8</v>
      </c>
      <c r="I267" s="5">
        <v>630</v>
      </c>
      <c r="J267" s="3">
        <f>I267/365+input!$K$3</f>
        <v>1.726027397260274</v>
      </c>
      <c r="K267" s="4">
        <f t="shared" si="119"/>
        <v>10.049649557486529</v>
      </c>
      <c r="L267" s="12">
        <f t="shared" si="120"/>
        <v>13.803577611101758</v>
      </c>
      <c r="M267" s="20">
        <f>input!F266</f>
        <v>6683.08</v>
      </c>
      <c r="N267" s="19">
        <f t="shared" si="121"/>
        <v>0.92686171368409731</v>
      </c>
      <c r="O267" s="19">
        <f t="shared" si="122"/>
        <v>0.51979917293116862</v>
      </c>
      <c r="P267" s="21">
        <v>995</v>
      </c>
      <c r="Q267" s="3">
        <f>P267/365+input!$K$3</f>
        <v>2.7260273972602738</v>
      </c>
      <c r="R267" s="4">
        <f t="shared" si="123"/>
        <v>12.254003573472064</v>
      </c>
      <c r="S267" s="12">
        <f t="shared" si="124"/>
        <v>25.024932590728667</v>
      </c>
      <c r="T267" s="20">
        <f>input!G266</f>
        <v>69.73</v>
      </c>
      <c r="U267" s="19">
        <f t="shared" si="125"/>
        <v>0.97831445277689211</v>
      </c>
      <c r="V267" s="19">
        <f t="shared" si="112"/>
        <v>0.9879020284155785</v>
      </c>
      <c r="W267" s="21">
        <v>1360</v>
      </c>
      <c r="X267" s="3">
        <f>W267/365+input!$K$3</f>
        <v>3.7260273972602738</v>
      </c>
      <c r="Y267" s="4">
        <f t="shared" si="126"/>
        <v>12.589299260865312</v>
      </c>
      <c r="Z267" s="12">
        <f t="shared" si="127"/>
        <v>27.135859395209948</v>
      </c>
      <c r="AA267" s="20">
        <f>input!H266</f>
        <v>0</v>
      </c>
      <c r="AB267" s="19">
        <f t="shared" si="128"/>
        <v>0.98197554006092014</v>
      </c>
      <c r="AC267" s="19">
        <f t="shared" si="129"/>
        <v>0.99519142618801715</v>
      </c>
      <c r="AD267" s="8">
        <f t="shared" si="130"/>
        <v>90501.64055147818</v>
      </c>
      <c r="AE267" s="8">
        <f t="shared" si="131"/>
        <v>92250.413461201941</v>
      </c>
      <c r="AF267" s="8">
        <f t="shared" si="132"/>
        <v>1744.98854955151</v>
      </c>
      <c r="AG267" s="8">
        <f t="shared" si="133"/>
        <v>0</v>
      </c>
      <c r="AH267" s="8">
        <f t="shared" si="113"/>
        <v>0</v>
      </c>
      <c r="AI267" s="8">
        <f t="shared" si="114"/>
        <v>85503.37630871615</v>
      </c>
      <c r="AJ267" s="8">
        <f t="shared" si="134"/>
        <v>1707.1475179564281</v>
      </c>
      <c r="AK267" s="8">
        <f t="shared" si="135"/>
        <v>0</v>
      </c>
      <c r="AL267" s="8">
        <f t="shared" si="136"/>
        <v>0</v>
      </c>
      <c r="AM267" s="8">
        <f t="shared" si="137"/>
        <v>44444.58428809313</v>
      </c>
      <c r="AN267" s="8">
        <f t="shared" si="138"/>
        <v>1686.4944957937755</v>
      </c>
      <c r="AO267" s="8">
        <f t="shared" si="139"/>
        <v>0</v>
      </c>
    </row>
    <row r="268" spans="1:41">
      <c r="A268" s="1">
        <v>41995</v>
      </c>
      <c r="B268" s="5">
        <v>266</v>
      </c>
      <c r="C268" s="3">
        <f>B268/365+input!$K$3</f>
        <v>0.72876712328767124</v>
      </c>
      <c r="D268" s="4">
        <f t="shared" si="115"/>
        <v>4.7039438052606712</v>
      </c>
      <c r="E268" s="12">
        <f t="shared" si="116"/>
        <v>1.4155502246474478</v>
      </c>
      <c r="F268" s="20">
        <f>input!E267</f>
        <v>64685.67</v>
      </c>
      <c r="G268" s="19">
        <f t="shared" si="117"/>
        <v>0</v>
      </c>
      <c r="H268" s="19">
        <f t="shared" si="118"/>
        <v>5.9165218392507409E-8</v>
      </c>
      <c r="I268" s="5">
        <v>631</v>
      </c>
      <c r="J268" s="3">
        <f>I268/365+input!$K$3</f>
        <v>1.7287671232876711</v>
      </c>
      <c r="K268" s="4">
        <f t="shared" si="119"/>
        <v>10.058758753799209</v>
      </c>
      <c r="L268" s="12">
        <f t="shared" si="120"/>
        <v>13.841147131720536</v>
      </c>
      <c r="M268" s="20">
        <f>input!F267</f>
        <v>6583.02</v>
      </c>
      <c r="N268" s="19">
        <f t="shared" si="121"/>
        <v>0.92722822012710027</v>
      </c>
      <c r="O268" s="19">
        <f t="shared" si="122"/>
        <v>0.5234278693167862</v>
      </c>
      <c r="P268" s="21">
        <v>996</v>
      </c>
      <c r="Q268" s="3">
        <f>P268/365+input!$K$3</f>
        <v>2.7287671232876711</v>
      </c>
      <c r="R268" s="4">
        <f t="shared" si="123"/>
        <v>12.257744317340814</v>
      </c>
      <c r="S268" s="12">
        <f t="shared" si="124"/>
        <v>25.047857451682319</v>
      </c>
      <c r="T268" s="20">
        <f>input!G267</f>
        <v>68.33</v>
      </c>
      <c r="U268" s="19">
        <f t="shared" si="125"/>
        <v>0.97835914455782991</v>
      </c>
      <c r="V268" s="19">
        <f t="shared" si="112"/>
        <v>0.98801919772620095</v>
      </c>
      <c r="W268" s="21">
        <v>1361</v>
      </c>
      <c r="X268" s="3">
        <f>W268/365+input!$K$3</f>
        <v>3.7287671232876711</v>
      </c>
      <c r="Y268" s="4">
        <f t="shared" si="126"/>
        <v>12.589299260865312</v>
      </c>
      <c r="Z268" s="12">
        <f t="shared" si="127"/>
        <v>27.135859395209948</v>
      </c>
      <c r="AA268" s="20">
        <f>input!H267</f>
        <v>0</v>
      </c>
      <c r="AB268" s="19">
        <f t="shared" si="128"/>
        <v>0.98197554006092014</v>
      </c>
      <c r="AC268" s="19">
        <f t="shared" si="129"/>
        <v>0.99519142618801715</v>
      </c>
      <c r="AD268" s="8">
        <f t="shared" si="130"/>
        <v>91565.814699970681</v>
      </c>
      <c r="AE268" s="8">
        <f t="shared" si="131"/>
        <v>91116.548391058925</v>
      </c>
      <c r="AF268" s="8">
        <f t="shared" si="132"/>
        <v>1711.5200996734527</v>
      </c>
      <c r="AG268" s="8">
        <f t="shared" si="133"/>
        <v>0</v>
      </c>
      <c r="AH268" s="8">
        <f t="shared" si="113"/>
        <v>0</v>
      </c>
      <c r="AI268" s="8">
        <f t="shared" si="114"/>
        <v>84485.834988766364</v>
      </c>
      <c r="AJ268" s="8">
        <f t="shared" si="134"/>
        <v>1674.4813406100509</v>
      </c>
      <c r="AK268" s="8">
        <f t="shared" si="135"/>
        <v>0</v>
      </c>
      <c r="AL268" s="8">
        <f t="shared" si="136"/>
        <v>0</v>
      </c>
      <c r="AM268" s="8">
        <f t="shared" si="137"/>
        <v>44222.240595619565</v>
      </c>
      <c r="AN268" s="8">
        <f t="shared" si="138"/>
        <v>1654.419710757036</v>
      </c>
      <c r="AO268" s="8">
        <f t="shared" si="139"/>
        <v>0</v>
      </c>
    </row>
    <row r="269" spans="1:41">
      <c r="A269" s="1">
        <v>41996</v>
      </c>
      <c r="B269" s="5">
        <v>267</v>
      </c>
      <c r="C269" s="3">
        <f>B269/365+input!$K$3</f>
        <v>0.73150684931506849</v>
      </c>
      <c r="D269" s="4">
        <f t="shared" si="115"/>
        <v>4.7260718573932126</v>
      </c>
      <c r="E269" s="12">
        <f t="shared" si="116"/>
        <v>1.4356212233550456</v>
      </c>
      <c r="F269" s="20">
        <f>input!E268</f>
        <v>64524.77</v>
      </c>
      <c r="G269" s="19">
        <f t="shared" si="117"/>
        <v>0</v>
      </c>
      <c r="H269" s="19">
        <f t="shared" si="118"/>
        <v>6.6767104756512361E-8</v>
      </c>
      <c r="I269" s="5">
        <v>632</v>
      </c>
      <c r="J269" s="3">
        <f>I269/365+input!$K$3</f>
        <v>1.7315068493150685</v>
      </c>
      <c r="K269" s="4">
        <f t="shared" si="119"/>
        <v>10.067845765704641</v>
      </c>
      <c r="L269" s="12">
        <f t="shared" si="120"/>
        <v>13.878693014871375</v>
      </c>
      <c r="M269" s="20">
        <f>input!F268</f>
        <v>6566.65</v>
      </c>
      <c r="N269" s="19">
        <f t="shared" si="121"/>
        <v>0.92759200406557019</v>
      </c>
      <c r="O269" s="19">
        <f t="shared" si="122"/>
        <v>0.52704579404821938</v>
      </c>
      <c r="P269" s="21">
        <v>997</v>
      </c>
      <c r="Q269" s="3">
        <f>P269/365+input!$K$3</f>
        <v>2.7315068493150685</v>
      </c>
      <c r="R269" s="4">
        <f t="shared" si="123"/>
        <v>12.261475951055109</v>
      </c>
      <c r="S269" s="12">
        <f t="shared" si="124"/>
        <v>25.070740427073687</v>
      </c>
      <c r="T269" s="20">
        <f>input!G268</f>
        <v>68.16</v>
      </c>
      <c r="U269" s="19">
        <f t="shared" si="125"/>
        <v>0.97840363572771405</v>
      </c>
      <c r="V269" s="19">
        <f t="shared" si="112"/>
        <v>0.98813509987376369</v>
      </c>
      <c r="W269" s="21">
        <v>1362</v>
      </c>
      <c r="X269" s="3">
        <f>W269/365+input!$K$3</f>
        <v>3.7315068493150685</v>
      </c>
      <c r="Y269" s="4">
        <f t="shared" si="126"/>
        <v>12.589299260865312</v>
      </c>
      <c r="Z269" s="12">
        <f t="shared" si="127"/>
        <v>27.135859395209948</v>
      </c>
      <c r="AA269" s="20">
        <f>input!H268</f>
        <v>0</v>
      </c>
      <c r="AB269" s="19">
        <f t="shared" si="128"/>
        <v>0.98197554006092014</v>
      </c>
      <c r="AC269" s="19">
        <f t="shared" si="129"/>
        <v>0.99519142618801715</v>
      </c>
      <c r="AD269" s="8">
        <f t="shared" si="130"/>
        <v>92633.129244102936</v>
      </c>
      <c r="AE269" s="8">
        <f t="shared" si="131"/>
        <v>91136.519486105113</v>
      </c>
      <c r="AF269" s="8">
        <f t="shared" si="132"/>
        <v>1708.8216675093424</v>
      </c>
      <c r="AG269" s="8">
        <f t="shared" si="133"/>
        <v>0</v>
      </c>
      <c r="AH269" s="8">
        <f t="shared" si="113"/>
        <v>0</v>
      </c>
      <c r="AI269" s="8">
        <f t="shared" si="114"/>
        <v>84537.506753677124</v>
      </c>
      <c r="AJ269" s="8">
        <f t="shared" si="134"/>
        <v>1671.9173323014356</v>
      </c>
      <c r="AK269" s="8">
        <f t="shared" si="135"/>
        <v>0</v>
      </c>
      <c r="AL269" s="8">
        <f t="shared" si="136"/>
        <v>0</v>
      </c>
      <c r="AM269" s="8">
        <f t="shared" si="137"/>
        <v>44555.137373848469</v>
      </c>
      <c r="AN269" s="8">
        <f t="shared" si="138"/>
        <v>1652.0802001343557</v>
      </c>
      <c r="AO269" s="8">
        <f t="shared" si="139"/>
        <v>0</v>
      </c>
    </row>
    <row r="270" spans="1:41">
      <c r="A270" s="1">
        <v>41997</v>
      </c>
      <c r="B270" s="5">
        <v>268</v>
      </c>
      <c r="C270" s="3">
        <f>B270/365+input!$K$3</f>
        <v>0.73424657534246573</v>
      </c>
      <c r="D270" s="4">
        <f t="shared" si="115"/>
        <v>4.7481460191820561</v>
      </c>
      <c r="E270" s="12">
        <f t="shared" si="116"/>
        <v>1.4558314840094311</v>
      </c>
      <c r="F270" s="20">
        <f>input!E269</f>
        <v>64364.28</v>
      </c>
      <c r="G270" s="19">
        <f t="shared" si="117"/>
        <v>0</v>
      </c>
      <c r="H270" s="19">
        <f t="shared" si="118"/>
        <v>7.5287907965291213E-8</v>
      </c>
      <c r="I270" s="5">
        <v>633</v>
      </c>
      <c r="J270" s="3">
        <f>I270/365+input!$K$3</f>
        <v>1.7342465753424658</v>
      </c>
      <c r="K270" s="4">
        <f t="shared" si="119"/>
        <v>10.076910647230417</v>
      </c>
      <c r="L270" s="12">
        <f t="shared" si="120"/>
        <v>13.916215049003471</v>
      </c>
      <c r="M270" s="20">
        <f>input!F269</f>
        <v>6468.12</v>
      </c>
      <c r="N270" s="19">
        <f t="shared" si="121"/>
        <v>0.92795309013537364</v>
      </c>
      <c r="O270" s="19">
        <f t="shared" si="122"/>
        <v>0.5306526863134321</v>
      </c>
      <c r="P270" s="21">
        <v>998</v>
      </c>
      <c r="Q270" s="3">
        <f>P270/365+input!$K$3</f>
        <v>2.7342465753424658</v>
      </c>
      <c r="R270" s="4">
        <f t="shared" si="123"/>
        <v>12.265198496801688</v>
      </c>
      <c r="S270" s="12">
        <f t="shared" si="124"/>
        <v>25.093581555293245</v>
      </c>
      <c r="T270" s="20">
        <f>input!G269</f>
        <v>66.62</v>
      </c>
      <c r="U270" s="19">
        <f t="shared" si="125"/>
        <v>0.97844792740930309</v>
      </c>
      <c r="V270" s="19">
        <f t="shared" si="112"/>
        <v>0.98824974932309773</v>
      </c>
      <c r="W270" s="21">
        <v>1363</v>
      </c>
      <c r="X270" s="3">
        <f>W270/365+input!$K$3</f>
        <v>3.7342465753424658</v>
      </c>
      <c r="Y270" s="4">
        <f t="shared" si="126"/>
        <v>12.589299260865312</v>
      </c>
      <c r="Z270" s="12">
        <f t="shared" si="127"/>
        <v>27.135859395209948</v>
      </c>
      <c r="AA270" s="20">
        <f>input!H269</f>
        <v>0</v>
      </c>
      <c r="AB270" s="19">
        <f t="shared" si="128"/>
        <v>0.98197554006092014</v>
      </c>
      <c r="AC270" s="19">
        <f t="shared" si="129"/>
        <v>0.99519142618801715</v>
      </c>
      <c r="AD270" s="8">
        <f t="shared" si="130"/>
        <v>93703.545269598544</v>
      </c>
      <c r="AE270" s="8">
        <f t="shared" si="131"/>
        <v>90011.748882760323</v>
      </c>
      <c r="AF270" s="8">
        <f t="shared" si="132"/>
        <v>1671.7344032136361</v>
      </c>
      <c r="AG270" s="8">
        <f t="shared" si="133"/>
        <v>0</v>
      </c>
      <c r="AH270" s="8">
        <f t="shared" si="113"/>
        <v>0</v>
      </c>
      <c r="AI270" s="8">
        <f t="shared" si="114"/>
        <v>83526.680524246709</v>
      </c>
      <c r="AJ270" s="8">
        <f t="shared" si="134"/>
        <v>1635.7050620032105</v>
      </c>
      <c r="AK270" s="8">
        <f t="shared" si="135"/>
        <v>0</v>
      </c>
      <c r="AL270" s="8">
        <f t="shared" si="136"/>
        <v>0</v>
      </c>
      <c r="AM270" s="8">
        <f t="shared" si="137"/>
        <v>44323.65739903535</v>
      </c>
      <c r="AN270" s="8">
        <f t="shared" si="138"/>
        <v>1616.4851174911948</v>
      </c>
      <c r="AO270" s="8">
        <f t="shared" si="139"/>
        <v>0</v>
      </c>
    </row>
    <row r="271" spans="1:41">
      <c r="A271" s="1">
        <v>41998</v>
      </c>
      <c r="B271" s="5">
        <v>269</v>
      </c>
      <c r="C271" s="3">
        <f>B271/365+input!$K$3</f>
        <v>0.73698630136986298</v>
      </c>
      <c r="D271" s="4">
        <f t="shared" si="115"/>
        <v>4.7701664218709823</v>
      </c>
      <c r="E271" s="12">
        <f t="shared" si="116"/>
        <v>1.4761806266618756</v>
      </c>
      <c r="F271" s="20">
        <f>input!E270</f>
        <v>64204.18</v>
      </c>
      <c r="G271" s="19">
        <f t="shared" si="117"/>
        <v>0</v>
      </c>
      <c r="H271" s="19">
        <f t="shared" si="118"/>
        <v>8.4831351166283185E-8</v>
      </c>
      <c r="I271" s="5">
        <v>634</v>
      </c>
      <c r="J271" s="3">
        <f>I271/365+input!$K$3</f>
        <v>1.736986301369863</v>
      </c>
      <c r="K271" s="4">
        <f t="shared" si="119"/>
        <v>10.085953452272546</v>
      </c>
      <c r="L271" s="12">
        <f t="shared" si="120"/>
        <v>13.953713023945784</v>
      </c>
      <c r="M271" s="20">
        <f>input!F270</f>
        <v>6452.03</v>
      </c>
      <c r="N271" s="19">
        <f t="shared" si="121"/>
        <v>0.92831150271331719</v>
      </c>
      <c r="O271" s="19">
        <f t="shared" si="122"/>
        <v>0.53424829003731544</v>
      </c>
      <c r="P271" s="21">
        <v>999</v>
      </c>
      <c r="Q271" s="3">
        <f>P271/365+input!$K$3</f>
        <v>2.7369863013698632</v>
      </c>
      <c r="R271" s="4">
        <f t="shared" si="123"/>
        <v>12.268911976713255</v>
      </c>
      <c r="S271" s="12">
        <f t="shared" si="124"/>
        <v>25.11638087491669</v>
      </c>
      <c r="T271" s="20">
        <f>input!G270</f>
        <v>66.45</v>
      </c>
      <c r="U271" s="19">
        <f t="shared" si="125"/>
        <v>0.97849202071778485</v>
      </c>
      <c r="V271" s="19">
        <f t="shared" si="112"/>
        <v>0.98836316037200167</v>
      </c>
      <c r="W271" s="21">
        <v>1364</v>
      </c>
      <c r="X271" s="3">
        <f>W271/365+input!$K$3</f>
        <v>3.7369863013698632</v>
      </c>
      <c r="Y271" s="4">
        <f t="shared" si="126"/>
        <v>12.589299260865312</v>
      </c>
      <c r="Z271" s="12">
        <f t="shared" si="127"/>
        <v>27.135859395209948</v>
      </c>
      <c r="AA271" s="20">
        <f>input!H270</f>
        <v>0</v>
      </c>
      <c r="AB271" s="19">
        <f t="shared" si="128"/>
        <v>0.98197554006092014</v>
      </c>
      <c r="AC271" s="19">
        <f t="shared" si="129"/>
        <v>0.99519142618801715</v>
      </c>
      <c r="AD271" s="8">
        <f t="shared" si="130"/>
        <v>94776.966666711858</v>
      </c>
      <c r="AE271" s="8">
        <f t="shared" si="131"/>
        <v>90029.775041888919</v>
      </c>
      <c r="AF271" s="8">
        <f t="shared" si="132"/>
        <v>1668.983509138214</v>
      </c>
      <c r="AG271" s="8">
        <f t="shared" si="133"/>
        <v>0</v>
      </c>
      <c r="AH271" s="8">
        <f t="shared" si="113"/>
        <v>0</v>
      </c>
      <c r="AI271" s="8">
        <f t="shared" si="114"/>
        <v>83575.675758077807</v>
      </c>
      <c r="AJ271" s="8">
        <f t="shared" si="134"/>
        <v>1633.0870464013105</v>
      </c>
      <c r="AK271" s="8">
        <f t="shared" si="135"/>
        <v>0</v>
      </c>
      <c r="AL271" s="8">
        <f t="shared" si="136"/>
        <v>0</v>
      </c>
      <c r="AM271" s="8">
        <f t="shared" si="137"/>
        <v>44650.161862466186</v>
      </c>
      <c r="AN271" s="8">
        <f t="shared" si="138"/>
        <v>1614.0830743437771</v>
      </c>
      <c r="AO271" s="8">
        <f t="shared" si="139"/>
        <v>0</v>
      </c>
    </row>
    <row r="272" spans="1:41">
      <c r="A272" s="1">
        <v>41999</v>
      </c>
      <c r="B272" s="5">
        <v>270</v>
      </c>
      <c r="C272" s="3">
        <f>B272/365+input!$K$3</f>
        <v>0.73972602739726023</v>
      </c>
      <c r="D272" s="4">
        <f t="shared" si="115"/>
        <v>4.7921331963841345</v>
      </c>
      <c r="E272" s="12">
        <f t="shared" si="116"/>
        <v>1.496668266113788</v>
      </c>
      <c r="F272" s="20">
        <f>input!E271</f>
        <v>64044.49</v>
      </c>
      <c r="G272" s="19">
        <f t="shared" si="117"/>
        <v>0</v>
      </c>
      <c r="H272" s="19">
        <f t="shared" si="118"/>
        <v>9.5511981639758637E-8</v>
      </c>
      <c r="I272" s="5">
        <v>635</v>
      </c>
      <c r="J272" s="3">
        <f>I272/365+input!$K$3</f>
        <v>1.7397260273972603</v>
      </c>
      <c r="K272" s="4">
        <f t="shared" si="119"/>
        <v>10.094974234595787</v>
      </c>
      <c r="L272" s="12">
        <f t="shared" si="120"/>
        <v>13.991186730902763</v>
      </c>
      <c r="M272" s="20">
        <f>input!F271</f>
        <v>6354.59</v>
      </c>
      <c r="N272" s="19">
        <f t="shared" si="121"/>
        <v>0.92866726592021887</v>
      </c>
      <c r="O272" s="19">
        <f t="shared" si="122"/>
        <v>0.53783235389661366</v>
      </c>
      <c r="P272" s="21">
        <v>1000</v>
      </c>
      <c r="Q272" s="3">
        <f>P272/365+input!$K$3</f>
        <v>2.7397260273972601</v>
      </c>
      <c r="R272" s="4">
        <f t="shared" si="123"/>
        <v>12.272616412868619</v>
      </c>
      <c r="S272" s="12">
        <f t="shared" si="124"/>
        <v>25.139138424703326</v>
      </c>
      <c r="T272" s="20">
        <f>input!G271</f>
        <v>65.12</v>
      </c>
      <c r="U272" s="19">
        <f t="shared" si="125"/>
        <v>0.97853591676083573</v>
      </c>
      <c r="V272" s="19">
        <f t="shared" si="112"/>
        <v>0.9884753471530896</v>
      </c>
      <c r="W272" s="21">
        <v>1365</v>
      </c>
      <c r="X272" s="3">
        <f>W272/365+input!$K$3</f>
        <v>3.7397260273972601</v>
      </c>
      <c r="Y272" s="4">
        <f t="shared" si="126"/>
        <v>12.589299260865312</v>
      </c>
      <c r="Z272" s="12">
        <f t="shared" si="127"/>
        <v>27.135859395209948</v>
      </c>
      <c r="AA272" s="20">
        <f>input!H271</f>
        <v>0</v>
      </c>
      <c r="AB272" s="19">
        <f t="shared" si="128"/>
        <v>0.98197554006092014</v>
      </c>
      <c r="AC272" s="19">
        <f t="shared" si="129"/>
        <v>0.99519142618801715</v>
      </c>
      <c r="AD272" s="8">
        <f t="shared" si="130"/>
        <v>95853.355802441831</v>
      </c>
      <c r="AE272" s="8">
        <f t="shared" si="131"/>
        <v>88908.255288327389</v>
      </c>
      <c r="AF272" s="8">
        <f t="shared" si="132"/>
        <v>1637.0606942166808</v>
      </c>
      <c r="AG272" s="8">
        <f t="shared" si="133"/>
        <v>0</v>
      </c>
      <c r="AH272" s="8">
        <f t="shared" si="113"/>
        <v>0</v>
      </c>
      <c r="AI272" s="8">
        <f t="shared" si="114"/>
        <v>82566.18635634784</v>
      </c>
      <c r="AJ272" s="8">
        <f t="shared" si="134"/>
        <v>1601.9226872084498</v>
      </c>
      <c r="AK272" s="8">
        <f t="shared" si="135"/>
        <v>0</v>
      </c>
      <c r="AL272" s="8">
        <f t="shared" si="136"/>
        <v>0</v>
      </c>
      <c r="AM272" s="8">
        <f t="shared" si="137"/>
        <v>44406.766360301022</v>
      </c>
      <c r="AN272" s="8">
        <f t="shared" si="138"/>
        <v>1583.4610843507826</v>
      </c>
      <c r="AO272" s="8">
        <f t="shared" si="139"/>
        <v>0</v>
      </c>
    </row>
    <row r="273" spans="1:41">
      <c r="A273" s="1">
        <v>42000</v>
      </c>
      <c r="B273" s="5">
        <v>271</v>
      </c>
      <c r="C273" s="3">
        <f>B273/365+input!$K$3</f>
        <v>0.74246575342465748</v>
      </c>
      <c r="D273" s="4">
        <f t="shared" si="115"/>
        <v>4.8140464733268136</v>
      </c>
      <c r="E273" s="12">
        <f t="shared" si="116"/>
        <v>1.5172940120060103</v>
      </c>
      <c r="F273" s="20">
        <f>input!E272</f>
        <v>63885.19</v>
      </c>
      <c r="G273" s="19">
        <f t="shared" si="117"/>
        <v>0</v>
      </c>
      <c r="H273" s="19">
        <f t="shared" si="118"/>
        <v>1.0745620065676884E-7</v>
      </c>
      <c r="I273" s="5">
        <v>636</v>
      </c>
      <c r="J273" s="3">
        <f>I273/365+input!$K$3</f>
        <v>1.7424657534246575</v>
      </c>
      <c r="K273" s="4">
        <f t="shared" si="119"/>
        <v>10.103973047833952</v>
      </c>
      <c r="L273" s="12">
        <f t="shared" si="120"/>
        <v>14.028635962449966</v>
      </c>
      <c r="M273" s="20">
        <f>input!F272</f>
        <v>6338.78</v>
      </c>
      <c r="N273" s="19">
        <f t="shared" si="121"/>
        <v>0.92902040362394178</v>
      </c>
      <c r="O273" s="19">
        <f t="shared" si="122"/>
        <v>0.5414046313325882</v>
      </c>
      <c r="P273" s="21">
        <v>1001</v>
      </c>
      <c r="Q273" s="3">
        <f>P273/365+input!$K$3</f>
        <v>2.7424657534246575</v>
      </c>
      <c r="R273" s="4">
        <f t="shared" si="123"/>
        <v>12.276311827292817</v>
      </c>
      <c r="S273" s="12">
        <f t="shared" si="124"/>
        <v>25.161854243594533</v>
      </c>
      <c r="T273" s="20">
        <f>input!G272</f>
        <v>64.959999999999994</v>
      </c>
      <c r="U273" s="19">
        <f t="shared" si="125"/>
        <v>0.97857961663867932</v>
      </c>
      <c r="V273" s="19">
        <f t="shared" si="112"/>
        <v>0.98858632363562149</v>
      </c>
      <c r="W273" s="21">
        <v>1366</v>
      </c>
      <c r="X273" s="3">
        <f>W273/365+input!$K$3</f>
        <v>3.7424657534246575</v>
      </c>
      <c r="Y273" s="4">
        <f t="shared" si="126"/>
        <v>12.589299260865312</v>
      </c>
      <c r="Z273" s="12">
        <f t="shared" si="127"/>
        <v>27.135859395209948</v>
      </c>
      <c r="AA273" s="20">
        <f>input!H272</f>
        <v>0</v>
      </c>
      <c r="AB273" s="19">
        <f t="shared" si="128"/>
        <v>0.98197554006092014</v>
      </c>
      <c r="AC273" s="19">
        <f t="shared" si="129"/>
        <v>0.99519142618801715</v>
      </c>
      <c r="AD273" s="8">
        <f t="shared" si="130"/>
        <v>96932.61624286625</v>
      </c>
      <c r="AE273" s="8">
        <f t="shared" si="131"/>
        <v>88924.437066058599</v>
      </c>
      <c r="AF273" s="8">
        <f t="shared" si="132"/>
        <v>1634.5140516639008</v>
      </c>
      <c r="AG273" s="8">
        <f t="shared" si="133"/>
        <v>0</v>
      </c>
      <c r="AH273" s="8">
        <f t="shared" si="113"/>
        <v>0</v>
      </c>
      <c r="AI273" s="8">
        <f t="shared" si="114"/>
        <v>82612.616415141572</v>
      </c>
      <c r="AJ273" s="8">
        <f t="shared" si="134"/>
        <v>1599.5021340677945</v>
      </c>
      <c r="AK273" s="8">
        <f t="shared" si="135"/>
        <v>0</v>
      </c>
      <c r="AL273" s="8">
        <f t="shared" si="136"/>
        <v>0</v>
      </c>
      <c r="AM273" s="8">
        <f t="shared" si="137"/>
        <v>44726.853133660246</v>
      </c>
      <c r="AN273" s="8">
        <f t="shared" si="138"/>
        <v>1581.2459343654118</v>
      </c>
      <c r="AO273" s="8">
        <f t="shared" si="139"/>
        <v>0</v>
      </c>
    </row>
    <row r="274" spans="1:41">
      <c r="A274" s="1">
        <v>42001</v>
      </c>
      <c r="B274" s="5">
        <v>272</v>
      </c>
      <c r="C274" s="3">
        <f>B274/365+input!$K$3</f>
        <v>0.74520547945205484</v>
      </c>
      <c r="D274" s="4">
        <f t="shared" si="115"/>
        <v>4.8359063829862423</v>
      </c>
      <c r="E274" s="12">
        <f t="shared" si="116"/>
        <v>1.5380574689071569</v>
      </c>
      <c r="F274" s="20">
        <f>input!E273</f>
        <v>63726.29</v>
      </c>
      <c r="G274" s="19">
        <f t="shared" si="117"/>
        <v>0</v>
      </c>
      <c r="H274" s="19">
        <f t="shared" si="118"/>
        <v>1.208033808221639E-7</v>
      </c>
      <c r="I274" s="5">
        <v>637</v>
      </c>
      <c r="J274" s="3">
        <f>I274/365+input!$K$3</f>
        <v>1.7452054794520548</v>
      </c>
      <c r="K274" s="4">
        <f t="shared" si="119"/>
        <v>10.112949945490243</v>
      </c>
      <c r="L274" s="12">
        <f t="shared" si="120"/>
        <v>14.066060512529772</v>
      </c>
      <c r="M274" s="20">
        <f>input!F273</f>
        <v>6241.23</v>
      </c>
      <c r="N274" s="19">
        <f t="shared" si="121"/>
        <v>0.92937093944238547</v>
      </c>
      <c r="O274" s="19">
        <f t="shared" si="122"/>
        <v>0.54496488056146897</v>
      </c>
      <c r="P274" s="21">
        <v>1002</v>
      </c>
      <c r="Q274" s="3">
        <f>P274/365+input!$K$3</f>
        <v>2.7452054794520548</v>
      </c>
      <c r="R274" s="4">
        <f t="shared" si="123"/>
        <v>12.279998241957243</v>
      </c>
      <c r="S274" s="12">
        <f t="shared" si="124"/>
        <v>25.184528370712123</v>
      </c>
      <c r="T274" s="20">
        <f>input!G273</f>
        <v>63.42</v>
      </c>
      <c r="U274" s="19">
        <f t="shared" si="125"/>
        <v>0.97862312144414454</v>
      </c>
      <c r="V274" s="19">
        <f t="shared" si="112"/>
        <v>0.98869610362731464</v>
      </c>
      <c r="W274" s="21">
        <v>1367</v>
      </c>
      <c r="X274" s="3">
        <f>W274/365+input!$K$3</f>
        <v>3.7452054794520548</v>
      </c>
      <c r="Y274" s="4">
        <f t="shared" si="126"/>
        <v>12.589299260865312</v>
      </c>
      <c r="Z274" s="12">
        <f t="shared" si="127"/>
        <v>27.135859395209948</v>
      </c>
      <c r="AA274" s="20">
        <f>input!H273</f>
        <v>0</v>
      </c>
      <c r="AB274" s="19">
        <f t="shared" si="128"/>
        <v>0.98197554006092014</v>
      </c>
      <c r="AC274" s="19">
        <f t="shared" si="129"/>
        <v>0.99519142618801715</v>
      </c>
      <c r="AD274" s="8">
        <f t="shared" si="130"/>
        <v>98014.696300243464</v>
      </c>
      <c r="AE274" s="8">
        <f t="shared" si="131"/>
        <v>87789.51885261618</v>
      </c>
      <c r="AF274" s="8">
        <f t="shared" si="132"/>
        <v>1597.2027892705628</v>
      </c>
      <c r="AG274" s="8">
        <f t="shared" si="133"/>
        <v>0</v>
      </c>
      <c r="AH274" s="8">
        <f t="shared" si="113"/>
        <v>0</v>
      </c>
      <c r="AI274" s="8">
        <f t="shared" si="114"/>
        <v>81589.027609250916</v>
      </c>
      <c r="AJ274" s="8">
        <f t="shared" si="134"/>
        <v>1563.0595792152524</v>
      </c>
      <c r="AK274" s="8">
        <f t="shared" si="135"/>
        <v>0</v>
      </c>
      <c r="AL274" s="8">
        <f t="shared" si="136"/>
        <v>0</v>
      </c>
      <c r="AM274" s="8">
        <f t="shared" si="137"/>
        <v>44463.154686201822</v>
      </c>
      <c r="AN274" s="8">
        <f t="shared" si="138"/>
        <v>1545.39091570747</v>
      </c>
      <c r="AO274" s="8">
        <f t="shared" si="139"/>
        <v>0</v>
      </c>
    </row>
    <row r="275" spans="1:41">
      <c r="A275" s="1">
        <v>42002</v>
      </c>
      <c r="B275" s="5">
        <v>273</v>
      </c>
      <c r="C275" s="3">
        <f>B275/365+input!$K$3</f>
        <v>0.74794520547945209</v>
      </c>
      <c r="D275" s="4">
        <f t="shared" si="115"/>
        <v>4.8577130553323427</v>
      </c>
      <c r="E275" s="12">
        <f t="shared" si="116"/>
        <v>1.5589582364010488</v>
      </c>
      <c r="F275" s="20">
        <f>input!E274</f>
        <v>63567.78</v>
      </c>
      <c r="G275" s="19">
        <f t="shared" si="117"/>
        <v>0</v>
      </c>
      <c r="H275" s="19">
        <f t="shared" si="118"/>
        <v>1.3570707730927995E-7</v>
      </c>
      <c r="I275" s="5">
        <v>638</v>
      </c>
      <c r="J275" s="3">
        <f>I275/365+input!$K$3</f>
        <v>1.747945205479452</v>
      </c>
      <c r="K275" s="4">
        <f t="shared" si="119"/>
        <v>10.121904980937556</v>
      </c>
      <c r="L275" s="12">
        <f t="shared" si="120"/>
        <v>14.103460176446971</v>
      </c>
      <c r="M275" s="20">
        <f>input!F274</f>
        <v>6225.7</v>
      </c>
      <c r="N275" s="19">
        <f t="shared" si="121"/>
        <v>0.92971889674643993</v>
      </c>
      <c r="O275" s="19">
        <f t="shared" si="122"/>
        <v>0.54851286458271398</v>
      </c>
      <c r="P275" s="21">
        <v>1003</v>
      </c>
      <c r="Q275" s="3">
        <f>P275/365+input!$K$3</f>
        <v>2.7479452054794522</v>
      </c>
      <c r="R275" s="4">
        <f t="shared" si="123"/>
        <v>12.283675678779781</v>
      </c>
      <c r="S275" s="12">
        <f t="shared" si="124"/>
        <v>25.207160845356825</v>
      </c>
      <c r="T275" s="20">
        <f>input!G274</f>
        <v>63.26</v>
      </c>
      <c r="U275" s="19">
        <f t="shared" si="125"/>
        <v>0.97866643226272343</v>
      </c>
      <c r="V275" s="19">
        <f t="shared" si="112"/>
        <v>0.98880470077614047</v>
      </c>
      <c r="W275" s="21">
        <v>1368</v>
      </c>
      <c r="X275" s="3">
        <f>W275/365+input!$K$3</f>
        <v>3.7479452054794522</v>
      </c>
      <c r="Y275" s="4">
        <f t="shared" si="126"/>
        <v>12.589299260865312</v>
      </c>
      <c r="Z275" s="12">
        <f t="shared" si="127"/>
        <v>27.135859395209948</v>
      </c>
      <c r="AA275" s="20">
        <f>input!H274</f>
        <v>0</v>
      </c>
      <c r="AB275" s="19">
        <f t="shared" si="128"/>
        <v>0.98197554006092014</v>
      </c>
      <c r="AC275" s="19">
        <f t="shared" si="129"/>
        <v>0.99519142618801715</v>
      </c>
      <c r="AD275" s="8">
        <f t="shared" si="130"/>
        <v>99099.514200729856</v>
      </c>
      <c r="AE275" s="8">
        <f t="shared" si="131"/>
        <v>87803.912020505901</v>
      </c>
      <c r="AF275" s="8">
        <f t="shared" si="132"/>
        <v>1594.6049950772726</v>
      </c>
      <c r="AG275" s="8">
        <f t="shared" si="133"/>
        <v>0</v>
      </c>
      <c r="AH275" s="8">
        <f t="shared" si="113"/>
        <v>0</v>
      </c>
      <c r="AI275" s="8">
        <f t="shared" si="114"/>
        <v>81632.956213726226</v>
      </c>
      <c r="AJ275" s="8">
        <f t="shared" si="134"/>
        <v>1560.586381400592</v>
      </c>
      <c r="AK275" s="8">
        <f t="shared" si="135"/>
        <v>0</v>
      </c>
      <c r="AL275" s="8">
        <f t="shared" si="136"/>
        <v>0</v>
      </c>
      <c r="AM275" s="8">
        <f t="shared" si="137"/>
        <v>44776.726657146231</v>
      </c>
      <c r="AN275" s="8">
        <f t="shared" si="138"/>
        <v>1543.1151498961322</v>
      </c>
      <c r="AO275" s="8">
        <f t="shared" si="139"/>
        <v>0</v>
      </c>
    </row>
    <row r="276" spans="1:41">
      <c r="A276" s="1">
        <v>42003</v>
      </c>
      <c r="B276" s="5">
        <v>274</v>
      </c>
      <c r="C276" s="3">
        <f>B276/365+input!$K$3</f>
        <v>0.75068493150684934</v>
      </c>
      <c r="D276" s="4">
        <f t="shared" si="115"/>
        <v>4.8794666200185102</v>
      </c>
      <c r="E276" s="12">
        <f t="shared" si="116"/>
        <v>1.5799959091732376</v>
      </c>
      <c r="F276" s="20">
        <f>input!E275</f>
        <v>63409.67</v>
      </c>
      <c r="G276" s="19">
        <f t="shared" si="117"/>
        <v>0</v>
      </c>
      <c r="H276" s="19">
        <f t="shared" si="118"/>
        <v>1.5233633976977963E-7</v>
      </c>
      <c r="I276" s="5">
        <v>639</v>
      </c>
      <c r="J276" s="3">
        <f>I276/365+input!$K$3</f>
        <v>1.7506849315068493</v>
      </c>
      <c r="K276" s="4">
        <f t="shared" si="119"/>
        <v>10.130838207418799</v>
      </c>
      <c r="L276" s="12">
        <f t="shared" si="120"/>
        <v>14.140834750864427</v>
      </c>
      <c r="M276" s="20">
        <f>input!F275</f>
        <v>6130.89</v>
      </c>
      <c r="N276" s="19">
        <f t="shared" si="121"/>
        <v>0.93006429866289952</v>
      </c>
      <c r="O276" s="19">
        <f t="shared" si="122"/>
        <v>0.55204835118513107</v>
      </c>
      <c r="P276" s="21">
        <v>1004</v>
      </c>
      <c r="Q276" s="3">
        <f>P276/365+input!$K$3</f>
        <v>2.7506849315068491</v>
      </c>
      <c r="R276" s="4">
        <f t="shared" si="123"/>
        <v>12.287344159624944</v>
      </c>
      <c r="S276" s="12">
        <f t="shared" si="124"/>
        <v>25.229751707006756</v>
      </c>
      <c r="T276" s="20">
        <f>input!G275</f>
        <v>62.01</v>
      </c>
      <c r="U276" s="19">
        <f t="shared" si="125"/>
        <v>0.97870955017262828</v>
      </c>
      <c r="V276" s="19">
        <f t="shared" si="112"/>
        <v>0.98891212857210209</v>
      </c>
      <c r="W276" s="21">
        <v>1369</v>
      </c>
      <c r="X276" s="3">
        <f>W276/365+input!$K$3</f>
        <v>3.7506849315068491</v>
      </c>
      <c r="Y276" s="4">
        <f t="shared" si="126"/>
        <v>12.589299260865312</v>
      </c>
      <c r="Z276" s="12">
        <f t="shared" si="127"/>
        <v>27.135859395209948</v>
      </c>
      <c r="AA276" s="20">
        <f>input!H275</f>
        <v>0</v>
      </c>
      <c r="AB276" s="19">
        <f t="shared" si="128"/>
        <v>0.98197554006092014</v>
      </c>
      <c r="AC276" s="19">
        <f t="shared" si="129"/>
        <v>0.99519142618801715</v>
      </c>
      <c r="AD276" s="8">
        <f t="shared" si="130"/>
        <v>100187.01920202497</v>
      </c>
      <c r="AE276" s="8">
        <f t="shared" si="131"/>
        <v>86695.902365727205</v>
      </c>
      <c r="AF276" s="8">
        <f t="shared" si="132"/>
        <v>1564.4969033514888</v>
      </c>
      <c r="AG276" s="8">
        <f t="shared" si="133"/>
        <v>0</v>
      </c>
      <c r="AH276" s="8">
        <f t="shared" si="113"/>
        <v>0</v>
      </c>
      <c r="AI276" s="8">
        <f t="shared" si="114"/>
        <v>80632.763630727291</v>
      </c>
      <c r="AJ276" s="8">
        <f t="shared" si="134"/>
        <v>1531.1880605256056</v>
      </c>
      <c r="AK276" s="8">
        <f t="shared" si="135"/>
        <v>0</v>
      </c>
      <c r="AL276" s="8">
        <f t="shared" si="136"/>
        <v>0</v>
      </c>
      <c r="AM276" s="8">
        <f t="shared" si="137"/>
        <v>44513.1842138434</v>
      </c>
      <c r="AN276" s="8">
        <f t="shared" si="138"/>
        <v>1514.2104441785652</v>
      </c>
      <c r="AO276" s="8">
        <f t="shared" si="139"/>
        <v>0</v>
      </c>
    </row>
    <row r="277" spans="1:41">
      <c r="A277" s="1">
        <v>42004</v>
      </c>
      <c r="B277" s="5">
        <v>275</v>
      </c>
      <c r="C277" s="3">
        <f>B277/365+input!$K$3</f>
        <v>0.75342465753424659</v>
      </c>
      <c r="D277" s="4">
        <f t="shared" si="115"/>
        <v>4.9011672063823868</v>
      </c>
      <c r="E277" s="12">
        <f t="shared" si="116"/>
        <v>1.6011700770966213</v>
      </c>
      <c r="F277" s="20">
        <f>input!E276</f>
        <v>63251.95</v>
      </c>
      <c r="G277" s="19">
        <f t="shared" si="117"/>
        <v>0</v>
      </c>
      <c r="H277" s="19">
        <f t="shared" si="118"/>
        <v>1.7087713209355937E-7</v>
      </c>
      <c r="I277" s="5">
        <v>640</v>
      </c>
      <c r="J277" s="3">
        <f>I277/365+input!$K$3</f>
        <v>1.7534246575342465</v>
      </c>
      <c r="K277" s="4">
        <f t="shared" si="119"/>
        <v>10.139749678047224</v>
      </c>
      <c r="L277" s="12">
        <f t="shared" si="120"/>
        <v>14.178184033798756</v>
      </c>
      <c r="M277" s="20">
        <f>input!F276</f>
        <v>6115.64</v>
      </c>
      <c r="N277" s="19">
        <f t="shared" si="121"/>
        <v>0.93040716807734081</v>
      </c>
      <c r="O277" s="19">
        <f t="shared" si="122"/>
        <v>0.55557111295089978</v>
      </c>
      <c r="P277" s="21">
        <v>1005</v>
      </c>
      <c r="Q277" s="3">
        <f>P277/365+input!$K$3</f>
        <v>2.7534246575342465</v>
      </c>
      <c r="R277" s="4">
        <f t="shared" si="123"/>
        <v>12.291003706303991</v>
      </c>
      <c r="S277" s="12">
        <f t="shared" si="124"/>
        <v>25.252300995315867</v>
      </c>
      <c r="T277" s="20">
        <f>input!G276</f>
        <v>61.85</v>
      </c>
      <c r="U277" s="19">
        <f t="shared" si="125"/>
        <v>0.97875247624484807</v>
      </c>
      <c r="V277" s="19">
        <f t="shared" si="112"/>
        <v>0.98901840034899524</v>
      </c>
      <c r="W277" s="21">
        <v>1370</v>
      </c>
      <c r="X277" s="3">
        <f>W277/365+input!$K$3</f>
        <v>3.7534246575342465</v>
      </c>
      <c r="Y277" s="4">
        <f t="shared" si="126"/>
        <v>12.589299260865312</v>
      </c>
      <c r="Z277" s="12">
        <f t="shared" si="127"/>
        <v>27.135859395209948</v>
      </c>
      <c r="AA277" s="20">
        <f>input!H276</f>
        <v>0</v>
      </c>
      <c r="AB277" s="19">
        <f t="shared" si="128"/>
        <v>0.98197554006092014</v>
      </c>
      <c r="AC277" s="19">
        <f t="shared" si="129"/>
        <v>0.99519142618801715</v>
      </c>
      <c r="AD277" s="8">
        <f t="shared" si="130"/>
        <v>101277.12965801163</v>
      </c>
      <c r="AE277" s="8">
        <f t="shared" si="131"/>
        <v>86708.669404461034</v>
      </c>
      <c r="AF277" s="8">
        <f t="shared" si="132"/>
        <v>1561.8548165602865</v>
      </c>
      <c r="AG277" s="8">
        <f t="shared" si="133"/>
        <v>0</v>
      </c>
      <c r="AH277" s="8">
        <f t="shared" si="113"/>
        <v>0</v>
      </c>
      <c r="AI277" s="8">
        <f t="shared" si="114"/>
        <v>80674.367548358961</v>
      </c>
      <c r="AJ277" s="8">
        <f t="shared" si="134"/>
        <v>1528.6692692433235</v>
      </c>
      <c r="AK277" s="8">
        <f t="shared" si="135"/>
        <v>0</v>
      </c>
      <c r="AL277" s="8">
        <f t="shared" si="136"/>
        <v>0</v>
      </c>
      <c r="AM277" s="8">
        <f t="shared" si="137"/>
        <v>44820.348165451738</v>
      </c>
      <c r="AN277" s="8">
        <f t="shared" si="138"/>
        <v>1511.8820353296992</v>
      </c>
      <c r="AO277" s="8">
        <f t="shared" si="139"/>
        <v>0</v>
      </c>
    </row>
    <row r="278" spans="1:41">
      <c r="A278" s="1">
        <v>42005</v>
      </c>
      <c r="B278" s="5">
        <v>276</v>
      </c>
      <c r="C278" s="3">
        <f>B278/365+input!$K$3</f>
        <v>0.75616438356164384</v>
      </c>
      <c r="D278" s="4">
        <f t="shared" si="115"/>
        <v>4.9228149434466255</v>
      </c>
      <c r="E278" s="12">
        <f t="shared" si="116"/>
        <v>1.6224803253161626</v>
      </c>
      <c r="F278" s="20">
        <f>input!E277</f>
        <v>63094.62</v>
      </c>
      <c r="G278" s="19">
        <f t="shared" si="117"/>
        <v>0</v>
      </c>
      <c r="H278" s="19">
        <f t="shared" si="118"/>
        <v>1.9153386759950617E-7</v>
      </c>
      <c r="I278" s="5">
        <v>641</v>
      </c>
      <c r="J278" s="3">
        <f>I278/365+input!$K$3</f>
        <v>1.7561643835616438</v>
      </c>
      <c r="K278" s="4">
        <f t="shared" si="119"/>
        <v>10.148639445806722</v>
      </c>
      <c r="L278" s="12">
        <f t="shared" si="120"/>
        <v>14.215507824615894</v>
      </c>
      <c r="M278" s="20">
        <f>input!F277</f>
        <v>6050.15</v>
      </c>
      <c r="N278" s="19">
        <f t="shared" si="121"/>
        <v>0.93074752763696067</v>
      </c>
      <c r="O278" s="19">
        <f t="shared" si="122"/>
        <v>0.55908092725751879</v>
      </c>
      <c r="P278" s="21">
        <v>1006</v>
      </c>
      <c r="Q278" s="3">
        <f>P278/365+input!$K$3</f>
        <v>2.7561643835616438</v>
      </c>
      <c r="R278" s="4">
        <f t="shared" si="123"/>
        <v>12.294654340575061</v>
      </c>
      <c r="S278" s="12">
        <f t="shared" si="124"/>
        <v>25.274808750112332</v>
      </c>
      <c r="T278" s="20">
        <f>input!G277</f>
        <v>60.94</v>
      </c>
      <c r="U278" s="19">
        <f t="shared" si="125"/>
        <v>0.97879521154320503</v>
      </c>
      <c r="V278" s="19">
        <f t="shared" si="112"/>
        <v>0.98912352928615233</v>
      </c>
      <c r="W278" s="21">
        <v>1371</v>
      </c>
      <c r="X278" s="3">
        <f>W278/365+input!$K$3</f>
        <v>3.7561643835616438</v>
      </c>
      <c r="Y278" s="4">
        <f t="shared" si="126"/>
        <v>12.589299260865312</v>
      </c>
      <c r="Z278" s="12">
        <f t="shared" si="127"/>
        <v>27.135859395209948</v>
      </c>
      <c r="AA278" s="20">
        <f>input!H277</f>
        <v>0</v>
      </c>
      <c r="AB278" s="19">
        <f t="shared" si="128"/>
        <v>0.98197554006092014</v>
      </c>
      <c r="AC278" s="19">
        <f t="shared" si="129"/>
        <v>0.99519142618801715</v>
      </c>
      <c r="AD278" s="8">
        <f t="shared" si="130"/>
        <v>102369.77958329966</v>
      </c>
      <c r="AE278" s="8">
        <f t="shared" si="131"/>
        <v>86005.954665099853</v>
      </c>
      <c r="AF278" s="8">
        <f t="shared" si="132"/>
        <v>1540.2468452318453</v>
      </c>
      <c r="AG278" s="8">
        <f t="shared" si="133"/>
        <v>0</v>
      </c>
      <c r="AH278" s="8">
        <f t="shared" si="113"/>
        <v>0</v>
      </c>
      <c r="AI278" s="8">
        <f t="shared" si="114"/>
        <v>80049.829666598205</v>
      </c>
      <c r="AJ278" s="8">
        <f t="shared" si="134"/>
        <v>1507.5862367074583</v>
      </c>
      <c r="AK278" s="8">
        <f t="shared" si="135"/>
        <v>0</v>
      </c>
      <c r="AL278" s="8">
        <f t="shared" si="136"/>
        <v>0</v>
      </c>
      <c r="AM278" s="8">
        <f t="shared" si="137"/>
        <v>44754.33299680816</v>
      </c>
      <c r="AN278" s="8">
        <f t="shared" si="138"/>
        <v>1491.1890191553098</v>
      </c>
      <c r="AO278" s="8">
        <f t="shared" si="139"/>
        <v>0</v>
      </c>
    </row>
    <row r="279" spans="1:41">
      <c r="A279" s="1">
        <v>42006</v>
      </c>
      <c r="B279" s="5">
        <v>277</v>
      </c>
      <c r="C279" s="3">
        <f>B279/365+input!$K$3</f>
        <v>0.75890410958904109</v>
      </c>
      <c r="D279" s="4">
        <f t="shared" si="115"/>
        <v>4.9444099599196578</v>
      </c>
      <c r="E279" s="12">
        <f t="shared" si="116"/>
        <v>1.6439262343327192</v>
      </c>
      <c r="F279" s="20">
        <f>input!E278</f>
        <v>62937.68</v>
      </c>
      <c r="G279" s="19">
        <f t="shared" si="117"/>
        <v>0</v>
      </c>
      <c r="H279" s="19">
        <f t="shared" si="118"/>
        <v>2.145310676580999E-7</v>
      </c>
      <c r="I279" s="5">
        <v>642</v>
      </c>
      <c r="J279" s="3">
        <f>I279/365+input!$K$3</f>
        <v>1.7589041095890412</v>
      </c>
      <c r="K279" s="4">
        <f t="shared" si="119"/>
        <v>10.157507563552159</v>
      </c>
      <c r="L279" s="12">
        <f t="shared" si="120"/>
        <v>14.25280592402677</v>
      </c>
      <c r="M279" s="20">
        <f>input!F278</f>
        <v>6035.1</v>
      </c>
      <c r="N279" s="19">
        <f t="shared" si="121"/>
        <v>0.9310853997533789</v>
      </c>
      <c r="O279" s="19">
        <f t="shared" si="122"/>
        <v>0.56257757627773974</v>
      </c>
      <c r="P279" s="21">
        <v>1007</v>
      </c>
      <c r="Q279" s="3">
        <f>P279/365+input!$K$3</f>
        <v>2.7589041095890412</v>
      </c>
      <c r="R279" s="4">
        <f t="shared" si="123"/>
        <v>12.29829608414331</v>
      </c>
      <c r="S279" s="12">
        <f t="shared" si="124"/>
        <v>25.297275011397151</v>
      </c>
      <c r="T279" s="20">
        <f>input!G278</f>
        <v>60.79</v>
      </c>
      <c r="U279" s="19">
        <f t="shared" si="125"/>
        <v>0.97883775712441001</v>
      </c>
      <c r="V279" s="19">
        <f t="shared" si="112"/>
        <v>0.98922752841016981</v>
      </c>
      <c r="W279" s="21">
        <v>1372</v>
      </c>
      <c r="X279" s="3">
        <f>W279/365+input!$K$3</f>
        <v>3.7589041095890412</v>
      </c>
      <c r="Y279" s="4">
        <f t="shared" si="126"/>
        <v>12.589299260865312</v>
      </c>
      <c r="Z279" s="12">
        <f t="shared" si="127"/>
        <v>27.135859395209948</v>
      </c>
      <c r="AA279" s="20">
        <f>input!H278</f>
        <v>0</v>
      </c>
      <c r="AB279" s="19">
        <f t="shared" si="128"/>
        <v>0.98197554006092014</v>
      </c>
      <c r="AC279" s="19">
        <f t="shared" si="129"/>
        <v>0.99519142618801715</v>
      </c>
      <c r="AD279" s="8">
        <f t="shared" si="130"/>
        <v>103464.9032800377</v>
      </c>
      <c r="AE279" s="8">
        <f t="shared" si="131"/>
        <v>86017.109032093969</v>
      </c>
      <c r="AF279" s="8">
        <f t="shared" si="132"/>
        <v>1537.8213479428327</v>
      </c>
      <c r="AG279" s="8">
        <f t="shared" si="133"/>
        <v>0</v>
      </c>
      <c r="AH279" s="8">
        <f t="shared" si="113"/>
        <v>0</v>
      </c>
      <c r="AI279" s="8">
        <f t="shared" si="114"/>
        <v>80089.274348777195</v>
      </c>
      <c r="AJ279" s="8">
        <f t="shared" si="134"/>
        <v>1505.2775990783994</v>
      </c>
      <c r="AK279" s="8">
        <f t="shared" si="135"/>
        <v>0</v>
      </c>
      <c r="AL279" s="8">
        <f t="shared" si="136"/>
        <v>0</v>
      </c>
      <c r="AM279" s="8">
        <f t="shared" si="137"/>
        <v>45056.429848978027</v>
      </c>
      <c r="AN279" s="8">
        <f t="shared" si="138"/>
        <v>1489.0620389075195</v>
      </c>
      <c r="AO279" s="8">
        <f t="shared" si="139"/>
        <v>0</v>
      </c>
    </row>
    <row r="280" spans="1:41">
      <c r="A280" s="1">
        <v>42007</v>
      </c>
      <c r="B280" s="5">
        <v>278</v>
      </c>
      <c r="C280" s="3">
        <f>B280/365+input!$K$3</f>
        <v>0.76164383561643834</v>
      </c>
      <c r="D280" s="4">
        <f t="shared" si="115"/>
        <v>4.9659523841964637</v>
      </c>
      <c r="E280" s="12">
        <f t="shared" si="116"/>
        <v>1.665507380086005</v>
      </c>
      <c r="F280" s="20">
        <f>input!E279</f>
        <v>62781.14</v>
      </c>
      <c r="G280" s="19">
        <f t="shared" si="117"/>
        <v>0</v>
      </c>
      <c r="H280" s="19">
        <f t="shared" si="118"/>
        <v>2.4011515218126087E-7</v>
      </c>
      <c r="I280" s="5">
        <v>643</v>
      </c>
      <c r="J280" s="3">
        <f>I280/365+input!$K$3</f>
        <v>1.7616438356164383</v>
      </c>
      <c r="K280" s="4">
        <f t="shared" si="119"/>
        <v>10.16635408400966</v>
      </c>
      <c r="L280" s="12">
        <f t="shared" si="120"/>
        <v>14.290078134082838</v>
      </c>
      <c r="M280" s="20">
        <f>input!F279</f>
        <v>5969.02</v>
      </c>
      <c r="N280" s="19">
        <f t="shared" si="121"/>
        <v>0.9314208066054035</v>
      </c>
      <c r="O280" s="19">
        <f t="shared" si="122"/>
        <v>0.56606084697750503</v>
      </c>
      <c r="P280" s="21">
        <v>1008</v>
      </c>
      <c r="Q280" s="3">
        <f>P280/365+input!$K$3</f>
        <v>2.7616438356164386</v>
      </c>
      <c r="R280" s="4">
        <f t="shared" si="123"/>
        <v>12.301928958661025</v>
      </c>
      <c r="S280" s="12">
        <f t="shared" si="124"/>
        <v>25.319699819342507</v>
      </c>
      <c r="T280" s="20">
        <f>input!G279</f>
        <v>59.84</v>
      </c>
      <c r="U280" s="19">
        <f t="shared" si="125"/>
        <v>0.97888011403811759</v>
      </c>
      <c r="V280" s="19">
        <f t="shared" si="112"/>
        <v>0.98933041059661753</v>
      </c>
      <c r="W280" s="21">
        <v>1373</v>
      </c>
      <c r="X280" s="3">
        <f>W280/365+input!$K$3</f>
        <v>3.7616438356164386</v>
      </c>
      <c r="Y280" s="4">
        <f t="shared" si="126"/>
        <v>12.589299260865312</v>
      </c>
      <c r="Z280" s="12">
        <f t="shared" si="127"/>
        <v>27.135859395209948</v>
      </c>
      <c r="AA280" s="20">
        <f>input!H279</f>
        <v>0</v>
      </c>
      <c r="AB280" s="19">
        <f t="shared" si="128"/>
        <v>0.98197554006092014</v>
      </c>
      <c r="AC280" s="19">
        <f t="shared" si="129"/>
        <v>0.99519142618801715</v>
      </c>
      <c r="AD280" s="8">
        <f t="shared" si="130"/>
        <v>104562.4520002127</v>
      </c>
      <c r="AE280" s="8">
        <f t="shared" si="131"/>
        <v>85297.762183903149</v>
      </c>
      <c r="AF280" s="8">
        <f t="shared" si="132"/>
        <v>1515.1308371894556</v>
      </c>
      <c r="AG280" s="8">
        <f t="shared" si="133"/>
        <v>0</v>
      </c>
      <c r="AH280" s="8">
        <f t="shared" si="113"/>
        <v>0</v>
      </c>
      <c r="AI280" s="8">
        <f t="shared" si="114"/>
        <v>79448.110454966954</v>
      </c>
      <c r="AJ280" s="8">
        <f t="shared" si="134"/>
        <v>1483.1314466906829</v>
      </c>
      <c r="AK280" s="8">
        <f t="shared" si="135"/>
        <v>0</v>
      </c>
      <c r="AL280" s="8">
        <f t="shared" si="136"/>
        <v>0</v>
      </c>
      <c r="AM280" s="8">
        <f t="shared" si="137"/>
        <v>44972.464694900969</v>
      </c>
      <c r="AN280" s="8">
        <f t="shared" si="138"/>
        <v>1467.3070431232486</v>
      </c>
      <c r="AO280" s="8">
        <f t="shared" si="139"/>
        <v>0</v>
      </c>
    </row>
    <row r="281" spans="1:41">
      <c r="A281" s="1">
        <v>42008</v>
      </c>
      <c r="B281" s="5">
        <v>279</v>
      </c>
      <c r="C281" s="3">
        <f>B281/365+input!$K$3</f>
        <v>0.76438356164383559</v>
      </c>
      <c r="D281" s="4">
        <f t="shared" si="115"/>
        <v>4.9874423443593319</v>
      </c>
      <c r="E281" s="12">
        <f t="shared" si="116"/>
        <v>1.6872233340366642</v>
      </c>
      <c r="F281" s="20">
        <f>input!E280</f>
        <v>62624.98</v>
      </c>
      <c r="G281" s="19">
        <f t="shared" si="117"/>
        <v>0</v>
      </c>
      <c r="H281" s="19">
        <f t="shared" si="118"/>
        <v>2.6855637086311014E-7</v>
      </c>
      <c r="I281" s="5">
        <v>644</v>
      </c>
      <c r="J281" s="3">
        <f>I281/365+input!$K$3</f>
        <v>1.7643835616438357</v>
      </c>
      <c r="K281" s="4">
        <f t="shared" si="119"/>
        <v>10.175179059776958</v>
      </c>
      <c r="L281" s="12">
        <f t="shared" si="120"/>
        <v>14.327324258171794</v>
      </c>
      <c r="M281" s="20">
        <f>input!F280</f>
        <v>5954.17</v>
      </c>
      <c r="N281" s="19">
        <f t="shared" si="121"/>
        <v>0.93175377014176131</v>
      </c>
      <c r="O281" s="19">
        <f t="shared" si="122"/>
        <v>0.56953053111196317</v>
      </c>
      <c r="P281" s="21">
        <v>1009</v>
      </c>
      <c r="Q281" s="3">
        <f>P281/365+input!$K$3</f>
        <v>2.7643835616438355</v>
      </c>
      <c r="R281" s="4">
        <f t="shared" si="123"/>
        <v>12.305552985727765</v>
      </c>
      <c r="S281" s="12">
        <f t="shared" si="124"/>
        <v>25.342083214290312</v>
      </c>
      <c r="T281" s="20">
        <f>input!G280</f>
        <v>59.69</v>
      </c>
      <c r="U281" s="19">
        <f t="shared" si="125"/>
        <v>0.97892228332698106</v>
      </c>
      <c r="V281" s="19">
        <f t="shared" si="112"/>
        <v>0.98943218857173287</v>
      </c>
      <c r="W281" s="21">
        <v>1374</v>
      </c>
      <c r="X281" s="3">
        <f>W281/365+input!$K$3</f>
        <v>3.7643835616438355</v>
      </c>
      <c r="Y281" s="4">
        <f t="shared" si="126"/>
        <v>12.589299260865312</v>
      </c>
      <c r="Z281" s="12">
        <f t="shared" si="127"/>
        <v>27.135859395209948</v>
      </c>
      <c r="AA281" s="20">
        <f>input!H280</f>
        <v>0</v>
      </c>
      <c r="AB281" s="19">
        <f t="shared" si="128"/>
        <v>0.98197554006092014</v>
      </c>
      <c r="AC281" s="19">
        <f t="shared" si="129"/>
        <v>0.99519142618801715</v>
      </c>
      <c r="AD281" s="8">
        <f t="shared" si="130"/>
        <v>105662.32754957942</v>
      </c>
      <c r="AE281" s="8">
        <f t="shared" si="131"/>
        <v>85307.324278278757</v>
      </c>
      <c r="AF281" s="8">
        <f t="shared" si="132"/>
        <v>1512.6689470609888</v>
      </c>
      <c r="AG281" s="8">
        <f t="shared" si="133"/>
        <v>0</v>
      </c>
      <c r="AH281" s="8">
        <f t="shared" si="113"/>
        <v>0</v>
      </c>
      <c r="AI281" s="8">
        <f t="shared" si="114"/>
        <v>79485.421016992041</v>
      </c>
      <c r="AJ281" s="8">
        <f t="shared" si="134"/>
        <v>1480.7853395747634</v>
      </c>
      <c r="AK281" s="8">
        <f t="shared" si="135"/>
        <v>0</v>
      </c>
      <c r="AL281" s="8">
        <f t="shared" si="136"/>
        <v>0</v>
      </c>
      <c r="AM281" s="8">
        <f t="shared" si="137"/>
        <v>45269.374047465477</v>
      </c>
      <c r="AN281" s="8">
        <f t="shared" si="138"/>
        <v>1465.1366793403947</v>
      </c>
      <c r="AO281" s="8">
        <f t="shared" si="139"/>
        <v>0</v>
      </c>
    </row>
    <row r="282" spans="1:41">
      <c r="A282" s="1">
        <v>42009</v>
      </c>
      <c r="B282" s="5">
        <v>280</v>
      </c>
      <c r="C282" s="3">
        <f>B282/365+input!$K$3</f>
        <v>0.76712328767123283</v>
      </c>
      <c r="D282" s="4">
        <f t="shared" si="115"/>
        <v>5.0088799681786185</v>
      </c>
      <c r="E282" s="12">
        <f t="shared" si="116"/>
        <v>1.7090736632474866</v>
      </c>
      <c r="F282" s="20">
        <f>input!E281</f>
        <v>62469.21</v>
      </c>
      <c r="G282" s="19">
        <f t="shared" si="117"/>
        <v>0</v>
      </c>
      <c r="H282" s="19">
        <f t="shared" si="118"/>
        <v>3.0015088451727326E-7</v>
      </c>
      <c r="I282" s="5">
        <v>645</v>
      </c>
      <c r="J282" s="3">
        <f>I282/365+input!$K$3</f>
        <v>1.7671232876712328</v>
      </c>
      <c r="K282" s="4">
        <f t="shared" si="119"/>
        <v>10.18398254332369</v>
      </c>
      <c r="L282" s="12">
        <f t="shared" si="120"/>
        <v>14.364544101013129</v>
      </c>
      <c r="M282" s="20">
        <f>input!F281</f>
        <v>5887.74</v>
      </c>
      <c r="N282" s="19">
        <f t="shared" si="121"/>
        <v>0.93208431208379161</v>
      </c>
      <c r="O282" s="19">
        <f t="shared" si="122"/>
        <v>0.57298642521956578</v>
      </c>
      <c r="P282" s="21">
        <v>1010</v>
      </c>
      <c r="Q282" s="3">
        <f>P282/365+input!$K$3</f>
        <v>2.7671232876712328</v>
      </c>
      <c r="R282" s="4">
        <f t="shared" si="123"/>
        <v>12.30916818689049</v>
      </c>
      <c r="S282" s="12">
        <f t="shared" si="124"/>
        <v>25.364425236750719</v>
      </c>
      <c r="T282" s="20">
        <f>input!G281</f>
        <v>58.58</v>
      </c>
      <c r="U282" s="19">
        <f t="shared" si="125"/>
        <v>0.97896426602670661</v>
      </c>
      <c r="V282" s="19">
        <f t="shared" si="112"/>
        <v>0.98953287491409714</v>
      </c>
      <c r="W282" s="21">
        <v>1375</v>
      </c>
      <c r="X282" s="3">
        <f>W282/365+input!$K$3</f>
        <v>3.7671232876712328</v>
      </c>
      <c r="Y282" s="4">
        <f t="shared" si="126"/>
        <v>12.589299260865312</v>
      </c>
      <c r="Z282" s="12">
        <f t="shared" si="127"/>
        <v>27.135859395209948</v>
      </c>
      <c r="AA282" s="20">
        <f>input!H281</f>
        <v>0</v>
      </c>
      <c r="AB282" s="19">
        <f t="shared" si="128"/>
        <v>0.98197554006092014</v>
      </c>
      <c r="AC282" s="19">
        <f t="shared" si="129"/>
        <v>0.99519142618801715</v>
      </c>
      <c r="AD282" s="8">
        <f t="shared" si="130"/>
        <v>106764.48157487652</v>
      </c>
      <c r="AE282" s="8">
        <f t="shared" si="131"/>
        <v>84574.70088529904</v>
      </c>
      <c r="AF282" s="8">
        <f t="shared" si="132"/>
        <v>1485.8480303688571</v>
      </c>
      <c r="AG282" s="8">
        <f t="shared" si="133"/>
        <v>0</v>
      </c>
      <c r="AH282" s="8">
        <f t="shared" si="113"/>
        <v>0</v>
      </c>
      <c r="AI282" s="8">
        <f t="shared" si="114"/>
        <v>78830.751894366404</v>
      </c>
      <c r="AJ282" s="8">
        <f t="shared" si="134"/>
        <v>1454.5921264772758</v>
      </c>
      <c r="AK282" s="8">
        <f t="shared" si="135"/>
        <v>0</v>
      </c>
      <c r="AL282" s="8">
        <f t="shared" si="136"/>
        <v>0</v>
      </c>
      <c r="AM282" s="8">
        <f t="shared" si="137"/>
        <v>45168.950725323521</v>
      </c>
      <c r="AN282" s="8">
        <f t="shared" si="138"/>
        <v>1439.3667287404687</v>
      </c>
      <c r="AO282" s="8">
        <f t="shared" si="139"/>
        <v>0</v>
      </c>
    </row>
    <row r="283" spans="1:41">
      <c r="A283" s="1">
        <v>42010</v>
      </c>
      <c r="B283" s="5">
        <v>281</v>
      </c>
      <c r="C283" s="3">
        <f>B283/365+input!$K$3</f>
        <v>0.76986301369863008</v>
      </c>
      <c r="D283" s="4">
        <f t="shared" si="115"/>
        <v>5.0302653831135098</v>
      </c>
      <c r="E283" s="12">
        <f t="shared" si="116"/>
        <v>1.7310579304637677</v>
      </c>
      <c r="F283" s="20">
        <f>input!E282</f>
        <v>62313.83</v>
      </c>
      <c r="G283" s="19">
        <f t="shared" si="117"/>
        <v>0</v>
      </c>
      <c r="H283" s="19">
        <f t="shared" si="118"/>
        <v>3.3522300633148418E-7</v>
      </c>
      <c r="I283" s="5">
        <v>646</v>
      </c>
      <c r="J283" s="3">
        <f>I283/365+input!$K$3</f>
        <v>1.7698630136986302</v>
      </c>
      <c r="K283" s="4">
        <f t="shared" si="119"/>
        <v>10.1927645869917</v>
      </c>
      <c r="L283" s="12">
        <f t="shared" si="120"/>
        <v>14.401737468653685</v>
      </c>
      <c r="M283" s="20">
        <f>input!F282</f>
        <v>5873.09</v>
      </c>
      <c r="N283" s="19">
        <f t="shared" si="121"/>
        <v>0.93241245392810568</v>
      </c>
      <c r="O283" s="19">
        <f t="shared" si="122"/>
        <v>0.57642833061431098</v>
      </c>
      <c r="P283" s="21">
        <v>1011</v>
      </c>
      <c r="Q283" s="3">
        <f>P283/365+input!$K$3</f>
        <v>2.7698630136986302</v>
      </c>
      <c r="R283" s="4">
        <f t="shared" si="123"/>
        <v>12.31277458364368</v>
      </c>
      <c r="S283" s="12">
        <f t="shared" si="124"/>
        <v>25.386725927400573</v>
      </c>
      <c r="T283" s="20">
        <f>input!G282</f>
        <v>58.43</v>
      </c>
      <c r="U283" s="19">
        <f t="shared" si="125"/>
        <v>0.97900606316610661</v>
      </c>
      <c r="V283" s="19">
        <f t="shared" si="112"/>
        <v>0.98963248205629561</v>
      </c>
      <c r="W283" s="21">
        <v>1376</v>
      </c>
      <c r="X283" s="3">
        <f>W283/365+input!$K$3</f>
        <v>3.7698630136986302</v>
      </c>
      <c r="Y283" s="4">
        <f t="shared" si="126"/>
        <v>12.589299260865312</v>
      </c>
      <c r="Z283" s="12">
        <f t="shared" si="127"/>
        <v>27.135859395209948</v>
      </c>
      <c r="AA283" s="20">
        <f>input!H282</f>
        <v>0</v>
      </c>
      <c r="AB283" s="19">
        <f t="shared" si="128"/>
        <v>0.98197554006092014</v>
      </c>
      <c r="AC283" s="19">
        <f t="shared" si="129"/>
        <v>0.99519142618801715</v>
      </c>
      <c r="AD283" s="8">
        <f t="shared" si="130"/>
        <v>107868.84959907104</v>
      </c>
      <c r="AE283" s="8">
        <f t="shared" si="131"/>
        <v>84582.700309775275</v>
      </c>
      <c r="AF283" s="8">
        <f t="shared" si="132"/>
        <v>1483.3463959380153</v>
      </c>
      <c r="AG283" s="8">
        <f t="shared" si="133"/>
        <v>0</v>
      </c>
      <c r="AH283" s="8">
        <f t="shared" si="113"/>
        <v>0</v>
      </c>
      <c r="AI283" s="8">
        <f t="shared" si="114"/>
        <v>78865.96315570311</v>
      </c>
      <c r="AJ283" s="8">
        <f t="shared" si="134"/>
        <v>1452.2051153989091</v>
      </c>
      <c r="AK283" s="8">
        <f t="shared" si="135"/>
        <v>0</v>
      </c>
      <c r="AL283" s="8">
        <f t="shared" si="136"/>
        <v>0</v>
      </c>
      <c r="AM283" s="8">
        <f t="shared" si="137"/>
        <v>45460.575484131703</v>
      </c>
      <c r="AN283" s="8">
        <f t="shared" si="138"/>
        <v>1437.1493528070716</v>
      </c>
      <c r="AO283" s="8">
        <f t="shared" si="139"/>
        <v>0</v>
      </c>
    </row>
    <row r="284" spans="1:41">
      <c r="A284" s="1">
        <v>42011</v>
      </c>
      <c r="B284" s="5">
        <v>282</v>
      </c>
      <c r="C284" s="3">
        <f>B284/365+input!$K$3</f>
        <v>0.77260273972602744</v>
      </c>
      <c r="D284" s="4">
        <f t="shared" si="115"/>
        <v>5.0515987163127818</v>
      </c>
      <c r="E284" s="12">
        <f t="shared" si="116"/>
        <v>1.7531756941928223</v>
      </c>
      <c r="F284" s="20">
        <f>input!E283</f>
        <v>62158.84</v>
      </c>
      <c r="G284" s="19">
        <f t="shared" si="117"/>
        <v>0</v>
      </c>
      <c r="H284" s="19">
        <f t="shared" si="118"/>
        <v>3.7412761334814224E-7</v>
      </c>
      <c r="I284" s="5">
        <v>647</v>
      </c>
      <c r="J284" s="3">
        <f>I284/365+input!$K$3</f>
        <v>1.7726027397260273</v>
      </c>
      <c r="K284" s="4">
        <f t="shared" si="119"/>
        <v>10.201525242995363</v>
      </c>
      <c r="L284" s="12">
        <f t="shared" si="120"/>
        <v>14.438904168463301</v>
      </c>
      <c r="M284" s="20">
        <f>input!F283</f>
        <v>5807.35</v>
      </c>
      <c r="N284" s="19">
        <f t="shared" si="121"/>
        <v>0.93273821694921222</v>
      </c>
      <c r="O284" s="19">
        <f t="shared" si="122"/>
        <v>0.57985605337617452</v>
      </c>
      <c r="P284" s="21">
        <v>1012</v>
      </c>
      <c r="Q284" s="3">
        <f>P284/365+input!$K$3</f>
        <v>2.7726027397260276</v>
      </c>
      <c r="R284" s="4">
        <f t="shared" si="123"/>
        <v>12.31637219742947</v>
      </c>
      <c r="S284" s="12">
        <f t="shared" si="124"/>
        <v>25.408985327081943</v>
      </c>
      <c r="T284" s="20">
        <f>input!G283</f>
        <v>57.43</v>
      </c>
      <c r="U284" s="19">
        <f t="shared" si="125"/>
        <v>0.97904767576715357</v>
      </c>
      <c r="V284" s="19">
        <f t="shared" si="112"/>
        <v>0.98973102228656151</v>
      </c>
      <c r="W284" s="21">
        <v>1377</v>
      </c>
      <c r="X284" s="3">
        <f>W284/365+input!$K$3</f>
        <v>3.7726027397260276</v>
      </c>
      <c r="Y284" s="4">
        <f t="shared" si="126"/>
        <v>12.589299260865312</v>
      </c>
      <c r="Z284" s="12">
        <f t="shared" si="127"/>
        <v>27.135859395209948</v>
      </c>
      <c r="AA284" s="20">
        <f>input!H283</f>
        <v>0</v>
      </c>
      <c r="AB284" s="19">
        <f t="shared" si="128"/>
        <v>0.98197554006092014</v>
      </c>
      <c r="AC284" s="19">
        <f t="shared" si="129"/>
        <v>0.99519142618801715</v>
      </c>
      <c r="AD284" s="8">
        <f t="shared" si="130"/>
        <v>108975.36746722057</v>
      </c>
      <c r="AE284" s="8">
        <f t="shared" si="131"/>
        <v>83851.770122725356</v>
      </c>
      <c r="AF284" s="8">
        <f t="shared" si="132"/>
        <v>1459.238027334316</v>
      </c>
      <c r="AG284" s="8">
        <f t="shared" si="133"/>
        <v>0</v>
      </c>
      <c r="AH284" s="8">
        <f t="shared" si="113"/>
        <v>0</v>
      </c>
      <c r="AI284" s="8">
        <f t="shared" si="114"/>
        <v>78211.750552306068</v>
      </c>
      <c r="AJ284" s="8">
        <f t="shared" si="134"/>
        <v>1428.6635990527082</v>
      </c>
      <c r="AK284" s="8">
        <f t="shared" si="135"/>
        <v>0</v>
      </c>
      <c r="AL284" s="8">
        <f t="shared" si="136"/>
        <v>0</v>
      </c>
      <c r="AM284" s="8">
        <f t="shared" si="137"/>
        <v>45351.557002902031</v>
      </c>
      <c r="AN284" s="8">
        <f t="shared" si="138"/>
        <v>1413.992684394035</v>
      </c>
      <c r="AO284" s="8">
        <f t="shared" si="139"/>
        <v>0</v>
      </c>
    </row>
    <row r="285" spans="1:41">
      <c r="A285" s="1">
        <v>42012</v>
      </c>
      <c r="B285" s="5">
        <v>283</v>
      </c>
      <c r="C285" s="3">
        <f>B285/365+input!$K$3</f>
        <v>0.77534246575342469</v>
      </c>
      <c r="D285" s="4">
        <f t="shared" si="115"/>
        <v>5.0728800946155541</v>
      </c>
      <c r="E285" s="12">
        <f t="shared" si="116"/>
        <v>1.7754265087826497</v>
      </c>
      <c r="F285" s="20">
        <f>input!E284</f>
        <v>62004.23</v>
      </c>
      <c r="G285" s="19">
        <f t="shared" si="117"/>
        <v>0</v>
      </c>
      <c r="H285" s="19">
        <f t="shared" si="118"/>
        <v>4.1725273897957638E-7</v>
      </c>
      <c r="I285" s="5">
        <v>648</v>
      </c>
      <c r="J285" s="3">
        <f>I285/365+input!$K$3</f>
        <v>1.7753424657534247</v>
      </c>
      <c r="K285" s="4">
        <f t="shared" si="119"/>
        <v>10.210264563421896</v>
      </c>
      <c r="L285" s="12">
        <f t="shared" si="120"/>
        <v>14.476044009130415</v>
      </c>
      <c r="M285" s="20">
        <f>input!F284</f>
        <v>5792.9</v>
      </c>
      <c r="N285" s="19">
        <f t="shared" si="121"/>
        <v>0.93306162220210787</v>
      </c>
      <c r="O285" s="19">
        <f t="shared" si="122"/>
        <v>0.58326940433976437</v>
      </c>
      <c r="P285" s="21">
        <v>1013</v>
      </c>
      <c r="Q285" s="3">
        <f>P285/365+input!$K$3</f>
        <v>2.7753424657534245</v>
      </c>
      <c r="R285" s="4">
        <f t="shared" si="123"/>
        <v>12.319961049637772</v>
      </c>
      <c r="S285" s="12">
        <f t="shared" si="124"/>
        <v>25.431203476800636</v>
      </c>
      <c r="T285" s="20">
        <f>input!G284</f>
        <v>57.28</v>
      </c>
      <c r="U285" s="19">
        <f t="shared" si="125"/>
        <v>0.97908910484503231</v>
      </c>
      <c r="V285" s="19">
        <f t="shared" si="112"/>
        <v>0.9898285077504031</v>
      </c>
      <c r="W285" s="21">
        <v>1378</v>
      </c>
      <c r="X285" s="3">
        <f>W285/365+input!$K$3</f>
        <v>3.7753424657534245</v>
      </c>
      <c r="Y285" s="4">
        <f t="shared" si="126"/>
        <v>12.589299260865312</v>
      </c>
      <c r="Z285" s="12">
        <f t="shared" si="127"/>
        <v>27.135859395209948</v>
      </c>
      <c r="AA285" s="20">
        <f>input!H284</f>
        <v>0</v>
      </c>
      <c r="AB285" s="19">
        <f t="shared" si="128"/>
        <v>0.98197554006092014</v>
      </c>
      <c r="AC285" s="19">
        <f t="shared" si="129"/>
        <v>0.99519142618801715</v>
      </c>
      <c r="AD285" s="8">
        <f t="shared" si="130"/>
        <v>110083.95359865644</v>
      </c>
      <c r="AE285" s="8">
        <f t="shared" si="131"/>
        <v>83858.275340491571</v>
      </c>
      <c r="AF285" s="8">
        <f t="shared" si="132"/>
        <v>1456.6993351511405</v>
      </c>
      <c r="AG285" s="8">
        <f t="shared" si="133"/>
        <v>0</v>
      </c>
      <c r="AH285" s="8">
        <f t="shared" si="113"/>
        <v>0</v>
      </c>
      <c r="AI285" s="8">
        <f t="shared" si="114"/>
        <v>78244.938424270091</v>
      </c>
      <c r="AJ285" s="8">
        <f t="shared" si="134"/>
        <v>1426.238448081484</v>
      </c>
      <c r="AK285" s="8">
        <f t="shared" si="135"/>
        <v>0</v>
      </c>
      <c r="AL285" s="8">
        <f t="shared" si="136"/>
        <v>0</v>
      </c>
      <c r="AM285" s="8">
        <f t="shared" si="137"/>
        <v>45637.878627325561</v>
      </c>
      <c r="AN285" s="8">
        <f t="shared" si="138"/>
        <v>1411.7314747607461</v>
      </c>
      <c r="AO285" s="8">
        <f t="shared" si="139"/>
        <v>0</v>
      </c>
    </row>
    <row r="286" spans="1:41">
      <c r="A286" s="1">
        <v>42013</v>
      </c>
      <c r="B286" s="5">
        <v>284</v>
      </c>
      <c r="C286" s="3">
        <f>B286/365+input!$K$3</f>
        <v>0.77808219178082194</v>
      </c>
      <c r="D286" s="4">
        <f t="shared" si="115"/>
        <v>5.0941096445520415</v>
      </c>
      <c r="E286" s="12">
        <f t="shared" si="116"/>
        <v>1.7978099244997658</v>
      </c>
      <c r="F286" s="20">
        <f>input!E285</f>
        <v>61850.01</v>
      </c>
      <c r="G286" s="19">
        <f t="shared" si="117"/>
        <v>0</v>
      </c>
      <c r="H286" s="19">
        <f t="shared" si="118"/>
        <v>4.6502235787844277E-7</v>
      </c>
      <c r="I286" s="5">
        <v>649</v>
      </c>
      <c r="J286" s="3">
        <f>I286/365+input!$K$3</f>
        <v>1.7780821917808218</v>
      </c>
      <c r="K286" s="4">
        <f t="shared" si="119"/>
        <v>10.218982600231657</v>
      </c>
      <c r="L286" s="12">
        <f t="shared" si="120"/>
        <v>14.513156800657566</v>
      </c>
      <c r="M286" s="20">
        <f>input!F285</f>
        <v>5727.35</v>
      </c>
      <c r="N286" s="19">
        <f t="shared" si="121"/>
        <v>0.93338269052483491</v>
      </c>
      <c r="O286" s="19">
        <f t="shared" si="122"/>
        <v>0.58666819908123669</v>
      </c>
      <c r="P286" s="21">
        <v>1014</v>
      </c>
      <c r="Q286" s="3">
        <f>P286/365+input!$K$3</f>
        <v>2.7780821917808218</v>
      </c>
      <c r="R286" s="4">
        <f t="shared" si="123"/>
        <v>12.323541161606409</v>
      </c>
      <c r="S286" s="12">
        <f t="shared" si="124"/>
        <v>25.45338041772472</v>
      </c>
      <c r="T286" s="20">
        <f>input!G285</f>
        <v>56.19</v>
      </c>
      <c r="U286" s="19">
        <f t="shared" si="125"/>
        <v>0.97913035140819271</v>
      </c>
      <c r="V286" s="19">
        <f t="shared" si="112"/>
        <v>0.98992495045221462</v>
      </c>
      <c r="W286" s="21">
        <v>1379</v>
      </c>
      <c r="X286" s="3">
        <f>W286/365+input!$K$3</f>
        <v>3.7780821917808218</v>
      </c>
      <c r="Y286" s="4">
        <f t="shared" si="126"/>
        <v>12.589299260865312</v>
      </c>
      <c r="Z286" s="12">
        <f t="shared" si="127"/>
        <v>27.135859395209948</v>
      </c>
      <c r="AA286" s="20">
        <f>input!H285</f>
        <v>0</v>
      </c>
      <c r="AB286" s="19">
        <f t="shared" si="128"/>
        <v>0.98197554006092014</v>
      </c>
      <c r="AC286" s="19">
        <f t="shared" si="129"/>
        <v>0.99519142618801715</v>
      </c>
      <c r="AD286" s="8">
        <f t="shared" si="130"/>
        <v>111194.56180840977</v>
      </c>
      <c r="AE286" s="8">
        <f t="shared" si="131"/>
        <v>83121.928602246116</v>
      </c>
      <c r="AF286" s="8">
        <f t="shared" si="132"/>
        <v>1430.225445671952</v>
      </c>
      <c r="AG286" s="8">
        <f t="shared" si="133"/>
        <v>0</v>
      </c>
      <c r="AH286" s="8">
        <f t="shared" si="113"/>
        <v>0</v>
      </c>
      <c r="AI286" s="8">
        <f t="shared" si="114"/>
        <v>77584.569360377704</v>
      </c>
      <c r="AJ286" s="8">
        <f t="shared" si="134"/>
        <v>1400.3771432137173</v>
      </c>
      <c r="AK286" s="8">
        <f t="shared" si="135"/>
        <v>0</v>
      </c>
      <c r="AL286" s="8">
        <f t="shared" si="136"/>
        <v>0</v>
      </c>
      <c r="AM286" s="8">
        <f t="shared" si="137"/>
        <v>45516.399583146085</v>
      </c>
      <c r="AN286" s="8">
        <f t="shared" si="138"/>
        <v>1386.2682741102531</v>
      </c>
      <c r="AO286" s="8">
        <f t="shared" si="139"/>
        <v>0</v>
      </c>
    </row>
    <row r="287" spans="1:41">
      <c r="A287" s="1">
        <v>42014</v>
      </c>
      <c r="B287" s="5">
        <v>285</v>
      </c>
      <c r="C287" s="3">
        <f>B287/365+input!$K$3</f>
        <v>0.78082191780821919</v>
      </c>
      <c r="D287" s="4">
        <f t="shared" si="115"/>
        <v>5.1152874923443141</v>
      </c>
      <c r="E287" s="12">
        <f t="shared" si="116"/>
        <v>1.8203254876062174</v>
      </c>
      <c r="F287" s="20">
        <f>input!E286</f>
        <v>61696.17</v>
      </c>
      <c r="G287" s="19">
        <f t="shared" si="117"/>
        <v>0</v>
      </c>
      <c r="H287" s="19">
        <f t="shared" si="118"/>
        <v>5.1789937500623438E-7</v>
      </c>
      <c r="I287" s="5">
        <v>650</v>
      </c>
      <c r="J287" s="3">
        <f>I287/365+input!$K$3</f>
        <v>1.7808219178082192</v>
      </c>
      <c r="K287" s="4">
        <f t="shared" si="119"/>
        <v>10.227679405258465</v>
      </c>
      <c r="L287" s="12">
        <f t="shared" si="120"/>
        <v>14.550242354357049</v>
      </c>
      <c r="M287" s="20">
        <f>input!F286</f>
        <v>5713.11</v>
      </c>
      <c r="N287" s="19">
        <f t="shared" si="121"/>
        <v>0.9337014425410064</v>
      </c>
      <c r="O287" s="19">
        <f t="shared" si="122"/>
        <v>0.59005225790353466</v>
      </c>
      <c r="P287" s="21">
        <v>1015</v>
      </c>
      <c r="Q287" s="3">
        <f>P287/365+input!$K$3</f>
        <v>2.7808219178082192</v>
      </c>
      <c r="R287" s="4">
        <f t="shared" si="123"/>
        <v>12.327112554621232</v>
      </c>
      <c r="S287" s="12">
        <f t="shared" si="124"/>
        <v>25.475516191183058</v>
      </c>
      <c r="T287" s="20">
        <f>input!G286</f>
        <v>56.05</v>
      </c>
      <c r="U287" s="19">
        <f t="shared" si="125"/>
        <v>0.97917141645840167</v>
      </c>
      <c r="V287" s="19">
        <f t="shared" si="112"/>
        <v>0.99002036225687162</v>
      </c>
      <c r="W287" s="21">
        <v>1380</v>
      </c>
      <c r="X287" s="3">
        <f>W287/365+input!$K$3</f>
        <v>3.7808219178082192</v>
      </c>
      <c r="Y287" s="4">
        <f t="shared" si="126"/>
        <v>12.589299260865312</v>
      </c>
      <c r="Z287" s="12">
        <f t="shared" si="127"/>
        <v>27.135859395209948</v>
      </c>
      <c r="AA287" s="20">
        <f>input!H286</f>
        <v>0</v>
      </c>
      <c r="AB287" s="19">
        <f t="shared" si="128"/>
        <v>0.98197554006092014</v>
      </c>
      <c r="AC287" s="19">
        <f t="shared" si="129"/>
        <v>0.99519142618801715</v>
      </c>
      <c r="AD287" s="8">
        <f t="shared" si="130"/>
        <v>112307.11073868608</v>
      </c>
      <c r="AE287" s="8">
        <f t="shared" si="131"/>
        <v>83127.135097100792</v>
      </c>
      <c r="AF287" s="8">
        <f t="shared" si="132"/>
        <v>1427.9026825158103</v>
      </c>
      <c r="AG287" s="8">
        <f t="shared" si="133"/>
        <v>0</v>
      </c>
      <c r="AH287" s="8">
        <f t="shared" si="113"/>
        <v>0</v>
      </c>
      <c r="AI287" s="8">
        <f t="shared" si="114"/>
        <v>77615.925954464139</v>
      </c>
      <c r="AJ287" s="8">
        <f t="shared" si="134"/>
        <v>1398.1614922037575</v>
      </c>
      <c r="AK287" s="8">
        <f t="shared" si="135"/>
        <v>0</v>
      </c>
      <c r="AL287" s="8">
        <f t="shared" si="136"/>
        <v>0</v>
      </c>
      <c r="AM287" s="8">
        <f t="shared" si="137"/>
        <v>45797.452358705123</v>
      </c>
      <c r="AN287" s="8">
        <f t="shared" si="138"/>
        <v>1384.2083470051721</v>
      </c>
      <c r="AO287" s="8">
        <f t="shared" si="139"/>
        <v>0</v>
      </c>
    </row>
    <row r="288" spans="1:41">
      <c r="A288" s="1">
        <v>42015</v>
      </c>
      <c r="B288" s="5">
        <v>286</v>
      </c>
      <c r="C288" s="3">
        <f>B288/365+input!$K$3</f>
        <v>0.78356164383561644</v>
      </c>
      <c r="D288" s="4">
        <f t="shared" si="115"/>
        <v>5.1364137639070337</v>
      </c>
      <c r="E288" s="12">
        <f t="shared" si="116"/>
        <v>1.8429727404357563</v>
      </c>
      <c r="F288" s="20">
        <f>input!E287</f>
        <v>61542.71</v>
      </c>
      <c r="G288" s="19">
        <f t="shared" si="117"/>
        <v>0</v>
      </c>
      <c r="H288" s="19">
        <f t="shared" si="118"/>
        <v>5.7638883127526414E-7</v>
      </c>
      <c r="I288" s="5">
        <v>651</v>
      </c>
      <c r="J288" s="3">
        <f>I288/365+input!$K$3</f>
        <v>1.7835616438356163</v>
      </c>
      <c r="K288" s="4">
        <f t="shared" si="119"/>
        <v>10.236355030209905</v>
      </c>
      <c r="L288" s="12">
        <f t="shared" si="120"/>
        <v>14.587300482846468</v>
      </c>
      <c r="M288" s="20">
        <f>input!F287</f>
        <v>5648.32</v>
      </c>
      <c r="N288" s="19">
        <f t="shared" si="121"/>
        <v>0.93401789866229756</v>
      </c>
      <c r="O288" s="19">
        <f t="shared" si="122"/>
        <v>0.59342140581996961</v>
      </c>
      <c r="P288" s="21">
        <v>1016</v>
      </c>
      <c r="Q288" s="3">
        <f>P288/365+input!$K$3</f>
        <v>2.7835616438356166</v>
      </c>
      <c r="R288" s="4">
        <f t="shared" si="123"/>
        <v>12.330675249916261</v>
      </c>
      <c r="S288" s="12">
        <f t="shared" si="124"/>
        <v>25.497610838663846</v>
      </c>
      <c r="T288" s="20">
        <f>input!G287</f>
        <v>55.08</v>
      </c>
      <c r="U288" s="19">
        <f t="shared" si="125"/>
        <v>0.97921230099079404</v>
      </c>
      <c r="V288" s="19">
        <f t="shared" si="112"/>
        <v>0.9901147548913094</v>
      </c>
      <c r="W288" s="21">
        <v>1381</v>
      </c>
      <c r="X288" s="3">
        <f>W288/365+input!$K$3</f>
        <v>3.7835616438356166</v>
      </c>
      <c r="Y288" s="4">
        <f t="shared" si="126"/>
        <v>12.589299260865312</v>
      </c>
      <c r="Z288" s="12">
        <f t="shared" si="127"/>
        <v>27.135859395209948</v>
      </c>
      <c r="AA288" s="20">
        <f>input!H287</f>
        <v>0</v>
      </c>
      <c r="AB288" s="19">
        <f t="shared" si="128"/>
        <v>0.98197554006092014</v>
      </c>
      <c r="AC288" s="19">
        <f t="shared" si="129"/>
        <v>0.99519142618801715</v>
      </c>
      <c r="AD288" s="8">
        <f t="shared" si="130"/>
        <v>113421.53690254303</v>
      </c>
      <c r="AE288" s="8">
        <f t="shared" si="131"/>
        <v>82393.741063271358</v>
      </c>
      <c r="AF288" s="8">
        <f t="shared" si="132"/>
        <v>1404.4084049936046</v>
      </c>
      <c r="AG288" s="8">
        <f t="shared" si="133"/>
        <v>0</v>
      </c>
      <c r="AH288" s="8">
        <f t="shared" si="113"/>
        <v>0</v>
      </c>
      <c r="AI288" s="8">
        <f t="shared" si="114"/>
        <v>76957.228890842176</v>
      </c>
      <c r="AJ288" s="8">
        <f t="shared" si="134"/>
        <v>1375.2139857845984</v>
      </c>
      <c r="AK288" s="8">
        <f t="shared" si="135"/>
        <v>0</v>
      </c>
      <c r="AL288" s="8">
        <f t="shared" si="136"/>
        <v>0</v>
      </c>
      <c r="AM288" s="8">
        <f t="shared" si="137"/>
        <v>45668.066956412746</v>
      </c>
      <c r="AN288" s="8">
        <f t="shared" si="138"/>
        <v>1361.6196584582183</v>
      </c>
      <c r="AO288" s="8">
        <f t="shared" si="139"/>
        <v>0</v>
      </c>
    </row>
    <row r="289" spans="1:41">
      <c r="A289" s="1">
        <v>42016</v>
      </c>
      <c r="B289" s="5">
        <v>287</v>
      </c>
      <c r="C289" s="3">
        <f>B289/365+input!$K$3</f>
        <v>0.78630136986301369</v>
      </c>
      <c r="D289" s="4">
        <f t="shared" si="115"/>
        <v>5.1574885848482213</v>
      </c>
      <c r="E289" s="12">
        <f t="shared" si="116"/>
        <v>1.8657512214692338</v>
      </c>
      <c r="F289" s="20">
        <f>input!E288</f>
        <v>61389.63</v>
      </c>
      <c r="G289" s="19">
        <f t="shared" si="117"/>
        <v>0</v>
      </c>
      <c r="H289" s="19">
        <f t="shared" si="118"/>
        <v>6.4104133868138465E-7</v>
      </c>
      <c r="I289" s="5">
        <v>652</v>
      </c>
      <c r="J289" s="3">
        <f>I289/365+input!$K$3</f>
        <v>1.7863013698630137</v>
      </c>
      <c r="K289" s="4">
        <f t="shared" si="119"/>
        <v>10.24500952666763</v>
      </c>
      <c r="L289" s="12">
        <f t="shared" si="120"/>
        <v>14.624331000044259</v>
      </c>
      <c r="M289" s="20">
        <f>input!F288</f>
        <v>5634.27</v>
      </c>
      <c r="N289" s="19">
        <f t="shared" si="121"/>
        <v>0.93433207909090632</v>
      </c>
      <c r="O289" s="19">
        <f t="shared" si="122"/>
        <v>0.59677547253620133</v>
      </c>
      <c r="P289" s="21">
        <v>1017</v>
      </c>
      <c r="Q289" s="3">
        <f>P289/365+input!$K$3</f>
        <v>2.7863013698630139</v>
      </c>
      <c r="R289" s="4">
        <f t="shared" si="123"/>
        <v>12.334229268673802</v>
      </c>
      <c r="S289" s="12">
        <f t="shared" si="124"/>
        <v>25.519664401813184</v>
      </c>
      <c r="T289" s="20">
        <f>input!G288</f>
        <v>54.94</v>
      </c>
      <c r="U289" s="19">
        <f t="shared" si="125"/>
        <v>0.97925300599392395</v>
      </c>
      <c r="V289" s="19">
        <f t="shared" si="112"/>
        <v>0.99020813994608614</v>
      </c>
      <c r="W289" s="21">
        <v>1382</v>
      </c>
      <c r="X289" s="3">
        <f>W289/365+input!$K$3</f>
        <v>3.7863013698630139</v>
      </c>
      <c r="Y289" s="4">
        <f t="shared" si="126"/>
        <v>12.589299260865312</v>
      </c>
      <c r="Z289" s="12">
        <f t="shared" si="127"/>
        <v>27.135859395209948</v>
      </c>
      <c r="AA289" s="20">
        <f>input!H288</f>
        <v>0</v>
      </c>
      <c r="AB289" s="19">
        <f t="shared" si="128"/>
        <v>0.98197554006092014</v>
      </c>
      <c r="AC289" s="19">
        <f t="shared" si="129"/>
        <v>0.99519142618801715</v>
      </c>
      <c r="AD289" s="8">
        <f t="shared" si="130"/>
        <v>114537.77715804431</v>
      </c>
      <c r="AE289" s="8">
        <f t="shared" si="131"/>
        <v>82397.429423619382</v>
      </c>
      <c r="AF289" s="8">
        <f t="shared" si="132"/>
        <v>1402.0503622356164</v>
      </c>
      <c r="AG289" s="8">
        <f t="shared" si="133"/>
        <v>0</v>
      </c>
      <c r="AH289" s="8">
        <f t="shared" si="113"/>
        <v>0</v>
      </c>
      <c r="AI289" s="8">
        <f t="shared" si="114"/>
        <v>76986.561545116521</v>
      </c>
      <c r="AJ289" s="8">
        <f t="shared" si="134"/>
        <v>1372.9620317740973</v>
      </c>
      <c r="AK289" s="8">
        <f t="shared" si="135"/>
        <v>0</v>
      </c>
      <c r="AL289" s="8">
        <f t="shared" si="136"/>
        <v>0</v>
      </c>
      <c r="AM289" s="8">
        <f t="shared" si="137"/>
        <v>45943.691645024257</v>
      </c>
      <c r="AN289" s="8">
        <f t="shared" si="138"/>
        <v>1359.518179699628</v>
      </c>
      <c r="AO289" s="8">
        <f t="shared" si="139"/>
        <v>0</v>
      </c>
    </row>
    <row r="290" spans="1:41">
      <c r="A290" s="1">
        <v>42017</v>
      </c>
      <c r="B290" s="5">
        <v>288</v>
      </c>
      <c r="C290" s="3">
        <f>B290/365+input!$K$3</f>
        <v>0.78904109589041094</v>
      </c>
      <c r="D290" s="4">
        <f t="shared" si="115"/>
        <v>5.1785120804699893</v>
      </c>
      <c r="E290" s="12">
        <f t="shared" si="116"/>
        <v>1.8886604654091588</v>
      </c>
      <c r="F290" s="20">
        <f>input!E289</f>
        <v>61236.94</v>
      </c>
      <c r="G290" s="19">
        <f t="shared" si="117"/>
        <v>0</v>
      </c>
      <c r="H290" s="19">
        <f t="shared" si="118"/>
        <v>7.1245675839402915E-7</v>
      </c>
      <c r="I290" s="5">
        <v>653</v>
      </c>
      <c r="J290" s="3">
        <f>I290/365+input!$K$3</f>
        <v>1.789041095890411</v>
      </c>
      <c r="K290" s="4">
        <f t="shared" si="119"/>
        <v>10.253642946087673</v>
      </c>
      <c r="L290" s="12">
        <f t="shared" si="120"/>
        <v>14.66133372116532</v>
      </c>
      <c r="M290" s="20">
        <f>input!F289</f>
        <v>5569.61</v>
      </c>
      <c r="N290" s="19">
        <f t="shared" si="121"/>
        <v>0.93464400382198132</v>
      </c>
      <c r="O290" s="19">
        <f t="shared" si="122"/>
        <v>0.60011429243065983</v>
      </c>
      <c r="P290" s="21">
        <v>1018</v>
      </c>
      <c r="Q290" s="3">
        <f>P290/365+input!$K$3</f>
        <v>2.7890410958904108</v>
      </c>
      <c r="R290" s="4">
        <f t="shared" si="123"/>
        <v>12.337774632024566</v>
      </c>
      <c r="S290" s="12">
        <f t="shared" si="124"/>
        <v>25.541676922433542</v>
      </c>
      <c r="T290" s="20">
        <f>input!G289</f>
        <v>54</v>
      </c>
      <c r="U290" s="19">
        <f t="shared" si="125"/>
        <v>0.97929353244981576</v>
      </c>
      <c r="V290" s="19">
        <f t="shared" si="112"/>
        <v>0.99030052887692988</v>
      </c>
      <c r="W290" s="21">
        <v>1383</v>
      </c>
      <c r="X290" s="3">
        <f>W290/365+input!$K$3</f>
        <v>3.7890410958904108</v>
      </c>
      <c r="Y290" s="4">
        <f t="shared" si="126"/>
        <v>12.589299260865312</v>
      </c>
      <c r="Z290" s="12">
        <f t="shared" si="127"/>
        <v>27.135859395209948</v>
      </c>
      <c r="AA290" s="20">
        <f>input!H289</f>
        <v>0</v>
      </c>
      <c r="AB290" s="19">
        <f t="shared" si="128"/>
        <v>0.98197554006092014</v>
      </c>
      <c r="AC290" s="19">
        <f t="shared" si="129"/>
        <v>0.99519142618801715</v>
      </c>
      <c r="AD290" s="8">
        <f t="shared" si="130"/>
        <v>115655.78760063274</v>
      </c>
      <c r="AE290" s="8">
        <f t="shared" si="131"/>
        <v>81657.910906739577</v>
      </c>
      <c r="AF290" s="8">
        <f t="shared" si="132"/>
        <v>1379.2505538114112</v>
      </c>
      <c r="AG290" s="8">
        <f t="shared" si="133"/>
        <v>0</v>
      </c>
      <c r="AH290" s="8">
        <f t="shared" si="113"/>
        <v>0</v>
      </c>
      <c r="AI290" s="8">
        <f t="shared" si="114"/>
        <v>76321.076793613713</v>
      </c>
      <c r="AJ290" s="8">
        <f t="shared" si="134"/>
        <v>1350.6911469753416</v>
      </c>
      <c r="AK290" s="8">
        <f t="shared" si="135"/>
        <v>0</v>
      </c>
      <c r="AL290" s="8">
        <f t="shared" si="136"/>
        <v>0</v>
      </c>
      <c r="AM290" s="8">
        <f t="shared" si="137"/>
        <v>45801.368997545549</v>
      </c>
      <c r="AN290" s="8">
        <f t="shared" si="138"/>
        <v>1337.5901571990678</v>
      </c>
      <c r="AO290" s="8">
        <f t="shared" si="139"/>
        <v>0</v>
      </c>
    </row>
    <row r="291" spans="1:41">
      <c r="A291" s="1">
        <v>42018</v>
      </c>
      <c r="B291" s="5">
        <v>289</v>
      </c>
      <c r="C291" s="3">
        <f>B291/365+input!$K$3</f>
        <v>0.79178082191780819</v>
      </c>
      <c r="D291" s="4">
        <f t="shared" si="115"/>
        <v>5.1994843757692886</v>
      </c>
      <c r="E291" s="12">
        <f t="shared" si="116"/>
        <v>1.9117000032534679</v>
      </c>
      <c r="F291" s="20">
        <f>input!E290</f>
        <v>61084.62</v>
      </c>
      <c r="G291" s="19">
        <f t="shared" si="117"/>
        <v>0</v>
      </c>
      <c r="H291" s="19">
        <f t="shared" si="118"/>
        <v>7.9128813582719395E-7</v>
      </c>
      <c r="I291" s="5">
        <v>654</v>
      </c>
      <c r="J291" s="3">
        <f>I291/365+input!$K$3</f>
        <v>1.7917808219178082</v>
      </c>
      <c r="K291" s="4">
        <f t="shared" si="119"/>
        <v>10.262255339800753</v>
      </c>
      <c r="L291" s="12">
        <f t="shared" si="120"/>
        <v>14.698308462716525</v>
      </c>
      <c r="M291" s="20">
        <f>input!F290</f>
        <v>5555.76</v>
      </c>
      <c r="N291" s="19">
        <f t="shared" si="121"/>
        <v>0.93495369264601913</v>
      </c>
      <c r="O291" s="19">
        <f t="shared" si="122"/>
        <v>0.60343770453344481</v>
      </c>
      <c r="P291" s="21">
        <v>1019</v>
      </c>
      <c r="Q291" s="3">
        <f>P291/365+input!$K$3</f>
        <v>2.7917808219178082</v>
      </c>
      <c r="R291" s="4">
        <f t="shared" si="123"/>
        <v>12.34131136104781</v>
      </c>
      <c r="S291" s="12">
        <f t="shared" si="124"/>
        <v>25.563648442482421</v>
      </c>
      <c r="T291" s="20">
        <f>input!G290</f>
        <v>53.86</v>
      </c>
      <c r="U291" s="19">
        <f t="shared" si="125"/>
        <v>0.97933388133401311</v>
      </c>
      <c r="V291" s="19">
        <f t="shared" si="112"/>
        <v>0.99039193300626993</v>
      </c>
      <c r="W291" s="21">
        <v>1384</v>
      </c>
      <c r="X291" s="3">
        <f>W291/365+input!$K$3</f>
        <v>3.7917808219178082</v>
      </c>
      <c r="Y291" s="4">
        <f t="shared" si="126"/>
        <v>12.589299260865312</v>
      </c>
      <c r="Z291" s="12">
        <f t="shared" si="127"/>
        <v>27.135859395209948</v>
      </c>
      <c r="AA291" s="20">
        <f>input!H290</f>
        <v>0</v>
      </c>
      <c r="AB291" s="19">
        <f t="shared" si="128"/>
        <v>0.98197554006092014</v>
      </c>
      <c r="AC291" s="19">
        <f t="shared" si="129"/>
        <v>0.99519142618801715</v>
      </c>
      <c r="AD291" s="8">
        <f t="shared" si="130"/>
        <v>116775.46825273686</v>
      </c>
      <c r="AE291" s="8">
        <f t="shared" si="131"/>
        <v>81660.274224821973</v>
      </c>
      <c r="AF291" s="8">
        <f t="shared" si="132"/>
        <v>1376.8581051121032</v>
      </c>
      <c r="AG291" s="8">
        <f t="shared" si="133"/>
        <v>0</v>
      </c>
      <c r="AH291" s="8">
        <f t="shared" si="113"/>
        <v>0</v>
      </c>
      <c r="AI291" s="8">
        <f t="shared" si="114"/>
        <v>76348.574928983842</v>
      </c>
      <c r="AJ291" s="8">
        <f t="shared" si="134"/>
        <v>1348.4037921256306</v>
      </c>
      <c r="AK291" s="8">
        <f t="shared" si="135"/>
        <v>0</v>
      </c>
      <c r="AL291" s="8">
        <f t="shared" si="136"/>
        <v>0</v>
      </c>
      <c r="AM291" s="8">
        <f t="shared" si="137"/>
        <v>46071.60879954572</v>
      </c>
      <c r="AN291" s="8">
        <f t="shared" si="138"/>
        <v>1335.448238156288</v>
      </c>
      <c r="AO291" s="8">
        <f t="shared" si="139"/>
        <v>0</v>
      </c>
    </row>
    <row r="292" spans="1:41">
      <c r="A292" s="1">
        <v>42019</v>
      </c>
      <c r="B292" s="5">
        <v>290</v>
      </c>
      <c r="C292" s="3">
        <f>B292/365+input!$K$3</f>
        <v>0.79452054794520544</v>
      </c>
      <c r="D292" s="4">
        <f t="shared" si="115"/>
        <v>5.2204055954386588</v>
      </c>
      <c r="E292" s="12">
        <f t="shared" si="116"/>
        <v>1.9348693623685211</v>
      </c>
      <c r="F292" s="20">
        <f>input!E291</f>
        <v>60932.69</v>
      </c>
      <c r="G292" s="19">
        <f t="shared" si="117"/>
        <v>0</v>
      </c>
      <c r="H292" s="19">
        <f t="shared" si="118"/>
        <v>8.7824590727718517E-7</v>
      </c>
      <c r="I292" s="5">
        <v>655</v>
      </c>
      <c r="J292" s="3">
        <f>I292/365+input!$K$3</f>
        <v>1.7945205479452055</v>
      </c>
      <c r="K292" s="4">
        <f t="shared" si="119"/>
        <v>10.270846759012572</v>
      </c>
      <c r="L292" s="12">
        <f t="shared" si="120"/>
        <v>14.735255042492286</v>
      </c>
      <c r="M292" s="20">
        <f>input!F291</f>
        <v>5492.53</v>
      </c>
      <c r="N292" s="19">
        <f t="shared" si="121"/>
        <v>0.93526116515123114</v>
      </c>
      <c r="O292" s="19">
        <f t="shared" si="122"/>
        <v>0.60674555250375006</v>
      </c>
      <c r="P292" s="21">
        <v>1020</v>
      </c>
      <c r="Q292" s="3">
        <f>P292/365+input!$K$3</f>
        <v>2.7945205479452055</v>
      </c>
      <c r="R292" s="4">
        <f t="shared" si="123"/>
        <v>12.344839476771453</v>
      </c>
      <c r="S292" s="12">
        <f t="shared" si="124"/>
        <v>25.585579004070883</v>
      </c>
      <c r="T292" s="20">
        <f>input!G291</f>
        <v>52.91</v>
      </c>
      <c r="U292" s="19">
        <f t="shared" si="125"/>
        <v>0.97937405361562979</v>
      </c>
      <c r="V292" s="19">
        <f t="shared" si="112"/>
        <v>0.99048236352475227</v>
      </c>
      <c r="W292" s="21">
        <v>1385</v>
      </c>
      <c r="X292" s="3">
        <f>W292/365+input!$K$3</f>
        <v>3.7945205479452055</v>
      </c>
      <c r="Y292" s="4">
        <f t="shared" si="126"/>
        <v>12.589299260865312</v>
      </c>
      <c r="Z292" s="12">
        <f t="shared" si="127"/>
        <v>27.135859395209948</v>
      </c>
      <c r="AA292" s="20">
        <f>input!H291</f>
        <v>0</v>
      </c>
      <c r="AB292" s="19">
        <f t="shared" si="128"/>
        <v>0.98197554006092014</v>
      </c>
      <c r="AC292" s="19">
        <f t="shared" si="129"/>
        <v>0.99519142618801715</v>
      </c>
      <c r="AD292" s="8">
        <f t="shared" si="130"/>
        <v>117896.79504769878</v>
      </c>
      <c r="AE292" s="8">
        <f t="shared" si="131"/>
        <v>80933.830378540151</v>
      </c>
      <c r="AF292" s="8">
        <f t="shared" si="132"/>
        <v>1353.7329851053903</v>
      </c>
      <c r="AG292" s="8">
        <f t="shared" si="133"/>
        <v>0</v>
      </c>
      <c r="AH292" s="8">
        <f t="shared" si="113"/>
        <v>0</v>
      </c>
      <c r="AI292" s="8">
        <f t="shared" si="114"/>
        <v>75694.26849998557</v>
      </c>
      <c r="AJ292" s="8">
        <f t="shared" si="134"/>
        <v>1325.8109611358532</v>
      </c>
      <c r="AK292" s="8">
        <f t="shared" si="135"/>
        <v>0</v>
      </c>
      <c r="AL292" s="8">
        <f t="shared" si="136"/>
        <v>0</v>
      </c>
      <c r="AM292" s="8">
        <f t="shared" si="137"/>
        <v>45927.160762390951</v>
      </c>
      <c r="AN292" s="8">
        <f t="shared" si="138"/>
        <v>1313.1923743728632</v>
      </c>
      <c r="AO292" s="8">
        <f t="shared" si="139"/>
        <v>0</v>
      </c>
    </row>
    <row r="293" spans="1:41">
      <c r="A293" s="1">
        <v>42020</v>
      </c>
      <c r="B293" s="5">
        <v>291</v>
      </c>
      <c r="C293" s="3">
        <f>B293/365+input!$K$3</f>
        <v>0.79726027397260268</v>
      </c>
      <c r="D293" s="4">
        <f t="shared" si="115"/>
        <v>5.2412758638669628</v>
      </c>
      <c r="E293" s="12">
        <f t="shared" si="116"/>
        <v>1.9581680665612906</v>
      </c>
      <c r="F293" s="20">
        <f>input!E292</f>
        <v>60781.13</v>
      </c>
      <c r="G293" s="19">
        <f t="shared" si="117"/>
        <v>0</v>
      </c>
      <c r="H293" s="19">
        <f t="shared" si="118"/>
        <v>9.7410239327974387E-7</v>
      </c>
      <c r="I293" s="5">
        <v>656</v>
      </c>
      <c r="J293" s="3">
        <f>I293/365+input!$K$3</f>
        <v>1.7972602739726027</v>
      </c>
      <c r="K293" s="4">
        <f t="shared" si="119"/>
        <v>10.279417254804143</v>
      </c>
      <c r="L293" s="12">
        <f t="shared" si="120"/>
        <v>14.772173279570167</v>
      </c>
      <c r="M293" s="20">
        <f>input!F292</f>
        <v>5478.87</v>
      </c>
      <c r="N293" s="19">
        <f t="shared" si="121"/>
        <v>0.93556644072587958</v>
      </c>
      <c r="O293" s="19">
        <f t="shared" si="122"/>
        <v>0.61003768460586016</v>
      </c>
      <c r="P293" s="21">
        <v>1021</v>
      </c>
      <c r="Q293" s="3">
        <f>P293/365+input!$K$3</f>
        <v>2.7972602739726029</v>
      </c>
      <c r="R293" s="4">
        <f t="shared" si="123"/>
        <v>12.3483590001722</v>
      </c>
      <c r="S293" s="12">
        <f t="shared" si="124"/>
        <v>25.607468649462078</v>
      </c>
      <c r="T293" s="20">
        <f>input!G292</f>
        <v>52.78</v>
      </c>
      <c r="U293" s="19">
        <f t="shared" si="125"/>
        <v>0.97941405025739814</v>
      </c>
      <c r="V293" s="19">
        <f t="shared" si="112"/>
        <v>0.99057183149274042</v>
      </c>
      <c r="W293" s="21">
        <v>1386</v>
      </c>
      <c r="X293" s="3">
        <f>W293/365+input!$K$3</f>
        <v>3.7972602739726029</v>
      </c>
      <c r="Y293" s="4">
        <f t="shared" si="126"/>
        <v>12.589299260865312</v>
      </c>
      <c r="Z293" s="12">
        <f t="shared" si="127"/>
        <v>27.135859395209948</v>
      </c>
      <c r="AA293" s="20">
        <f>input!H292</f>
        <v>0</v>
      </c>
      <c r="AB293" s="19">
        <f t="shared" si="128"/>
        <v>0.98197554006092014</v>
      </c>
      <c r="AC293" s="19">
        <f t="shared" si="129"/>
        <v>0.99519142618801715</v>
      </c>
      <c r="AD293" s="8">
        <f t="shared" si="130"/>
        <v>119019.66781551045</v>
      </c>
      <c r="AE293" s="8">
        <f t="shared" si="131"/>
        <v>80934.817016238594</v>
      </c>
      <c r="AF293" s="8">
        <f t="shared" si="132"/>
        <v>1351.5621953186085</v>
      </c>
      <c r="AG293" s="8">
        <f t="shared" si="133"/>
        <v>0</v>
      </c>
      <c r="AH293" s="8">
        <f t="shared" si="113"/>
        <v>0</v>
      </c>
      <c r="AI293" s="8">
        <f t="shared" si="114"/>
        <v>75719.898686682689</v>
      </c>
      <c r="AJ293" s="8">
        <f t="shared" si="134"/>
        <v>1323.739003891779</v>
      </c>
      <c r="AK293" s="8">
        <f t="shared" si="135"/>
        <v>0</v>
      </c>
      <c r="AL293" s="8">
        <f t="shared" si="136"/>
        <v>0</v>
      </c>
      <c r="AM293" s="8">
        <f t="shared" si="137"/>
        <v>46191.991673414217</v>
      </c>
      <c r="AN293" s="8">
        <f t="shared" si="138"/>
        <v>1311.2585695034554</v>
      </c>
      <c r="AO293" s="8">
        <f t="shared" si="139"/>
        <v>0</v>
      </c>
    </row>
    <row r="294" spans="1:41">
      <c r="A294" s="1">
        <v>42021</v>
      </c>
      <c r="B294" s="5">
        <v>292</v>
      </c>
      <c r="C294" s="3">
        <f>B294/365+input!$K$3</f>
        <v>0.8</v>
      </c>
      <c r="D294" s="4">
        <f t="shared" si="115"/>
        <v>5.2620953051401296</v>
      </c>
      <c r="E294" s="12">
        <f t="shared" si="116"/>
        <v>1.981595636150786</v>
      </c>
      <c r="F294" s="20">
        <f>input!E293</f>
        <v>60629.95</v>
      </c>
      <c r="G294" s="19">
        <f t="shared" si="117"/>
        <v>0</v>
      </c>
      <c r="H294" s="19">
        <f t="shared" si="118"/>
        <v>1.079696594409018E-6</v>
      </c>
      <c r="I294" s="5">
        <v>657</v>
      </c>
      <c r="J294" s="3">
        <f>I294/365+input!$K$3</f>
        <v>1.8</v>
      </c>
      <c r="K294" s="4">
        <f t="shared" si="119"/>
        <v>10.287966878132059</v>
      </c>
      <c r="L294" s="12">
        <f t="shared" si="120"/>
        <v>14.809062994306329</v>
      </c>
      <c r="M294" s="20">
        <f>input!F293</f>
        <v>5415.19</v>
      </c>
      <c r="N294" s="19">
        <f t="shared" si="121"/>
        <v>0.9358695385605833</v>
      </c>
      <c r="O294" s="19">
        <f t="shared" si="122"/>
        <v>0.61331395368374253</v>
      </c>
      <c r="P294" s="21">
        <v>1022</v>
      </c>
      <c r="Q294" s="3">
        <f>P294/365+input!$K$3</f>
        <v>2.8</v>
      </c>
      <c r="R294" s="4">
        <f t="shared" si="123"/>
        <v>12.351869952175672</v>
      </c>
      <c r="S294" s="12">
        <f t="shared" si="124"/>
        <v>25.629317421069903</v>
      </c>
      <c r="T294" s="20">
        <f>input!G293</f>
        <v>51.96</v>
      </c>
      <c r="U294" s="19">
        <f t="shared" si="125"/>
        <v>0.979453872215718</v>
      </c>
      <c r="V294" s="19">
        <f t="shared" si="112"/>
        <v>0.99066034784179924</v>
      </c>
      <c r="W294" s="21">
        <v>1387</v>
      </c>
      <c r="X294" s="3">
        <f>W294/365+input!$K$3</f>
        <v>3.8</v>
      </c>
      <c r="Y294" s="4">
        <f t="shared" si="126"/>
        <v>12.589299260865312</v>
      </c>
      <c r="Z294" s="12">
        <f t="shared" si="127"/>
        <v>27.135859395209948</v>
      </c>
      <c r="AA294" s="20">
        <f>input!H293</f>
        <v>0</v>
      </c>
      <c r="AB294" s="19">
        <f t="shared" si="128"/>
        <v>0.98197554006092014</v>
      </c>
      <c r="AC294" s="19">
        <f t="shared" si="129"/>
        <v>0.99519142618801715</v>
      </c>
      <c r="AD294" s="8">
        <f t="shared" si="130"/>
        <v>120144.04434004035</v>
      </c>
      <c r="AE294" s="8">
        <f t="shared" si="131"/>
        <v>80193.889836137678</v>
      </c>
      <c r="AF294" s="8">
        <f t="shared" si="132"/>
        <v>1331.6993331987921</v>
      </c>
      <c r="AG294" s="8">
        <f t="shared" si="133"/>
        <v>0</v>
      </c>
      <c r="AH294" s="8">
        <f t="shared" si="113"/>
        <v>0</v>
      </c>
      <c r="AI294" s="8">
        <f t="shared" si="114"/>
        <v>75051.018676324413</v>
      </c>
      <c r="AJ294" s="8">
        <f t="shared" si="134"/>
        <v>1304.3380685286465</v>
      </c>
      <c r="AK294" s="8">
        <f t="shared" si="135"/>
        <v>0</v>
      </c>
      <c r="AL294" s="8">
        <f t="shared" si="136"/>
        <v>0</v>
      </c>
      <c r="AM294" s="8">
        <f t="shared" si="137"/>
        <v>46029.836992368924</v>
      </c>
      <c r="AN294" s="8">
        <f t="shared" si="138"/>
        <v>1292.1560046718896</v>
      </c>
      <c r="AO294" s="8">
        <f t="shared" si="139"/>
        <v>0</v>
      </c>
    </row>
    <row r="295" spans="1:41">
      <c r="A295" s="1">
        <v>42022</v>
      </c>
      <c r="B295" s="5">
        <v>293</v>
      </c>
      <c r="C295" s="3">
        <f>B295/365+input!$K$3</f>
        <v>0.80273972602739729</v>
      </c>
      <c r="D295" s="4">
        <f t="shared" si="115"/>
        <v>5.2828640430418883</v>
      </c>
      <c r="E295" s="12">
        <f t="shared" si="116"/>
        <v>2.0051515880387054</v>
      </c>
      <c r="F295" s="20">
        <f>input!E294</f>
        <v>60479.14</v>
      </c>
      <c r="G295" s="19">
        <f t="shared" si="117"/>
        <v>0</v>
      </c>
      <c r="H295" s="19">
        <f t="shared" si="118"/>
        <v>1.1959393058119345E-6</v>
      </c>
      <c r="I295" s="5">
        <v>658</v>
      </c>
      <c r="J295" s="3">
        <f>I295/365+input!$K$3</f>
        <v>1.8027397260273972</v>
      </c>
      <c r="K295" s="4">
        <f t="shared" si="119"/>
        <v>10.296495679828821</v>
      </c>
      <c r="L295" s="12">
        <f t="shared" si="120"/>
        <v>14.84592400833116</v>
      </c>
      <c r="M295" s="20">
        <f>input!F294</f>
        <v>5401.73</v>
      </c>
      <c r="N295" s="19">
        <f t="shared" si="121"/>
        <v>0.93617047765059536</v>
      </c>
      <c r="O295" s="19">
        <f t="shared" si="122"/>
        <v>0.61657421713430671</v>
      </c>
      <c r="P295" s="21">
        <v>1023</v>
      </c>
      <c r="Q295" s="3">
        <f>P295/365+input!$K$3</f>
        <v>2.8027397260273972</v>
      </c>
      <c r="R295" s="4">
        <f t="shared" si="123"/>
        <v>12.355372353656534</v>
      </c>
      <c r="S295" s="12">
        <f t="shared" si="124"/>
        <v>25.651125361457577</v>
      </c>
      <c r="T295" s="20">
        <f>input!G294</f>
        <v>51.83</v>
      </c>
      <c r="U295" s="19">
        <f t="shared" si="125"/>
        <v>0.97949352044070581</v>
      </c>
      <c r="V295" s="19">
        <f t="shared" si="112"/>
        <v>0.99074792337616591</v>
      </c>
      <c r="W295" s="21">
        <v>1388</v>
      </c>
      <c r="X295" s="3">
        <f>W295/365+input!$K$3</f>
        <v>3.8027397260273972</v>
      </c>
      <c r="Y295" s="4">
        <f t="shared" si="126"/>
        <v>12.589299260865312</v>
      </c>
      <c r="Z295" s="12">
        <f t="shared" si="127"/>
        <v>27.135859395209948</v>
      </c>
      <c r="AA295" s="20">
        <f>input!H294</f>
        <v>0</v>
      </c>
      <c r="AB295" s="19">
        <f t="shared" si="128"/>
        <v>0.98197554006092014</v>
      </c>
      <c r="AC295" s="19">
        <f t="shared" si="129"/>
        <v>0.99519142618801715</v>
      </c>
      <c r="AD295" s="8">
        <f t="shared" si="130"/>
        <v>121269.84361421519</v>
      </c>
      <c r="AE295" s="8">
        <f t="shared" si="131"/>
        <v>80193.673093522666</v>
      </c>
      <c r="AF295" s="8">
        <f t="shared" si="132"/>
        <v>1329.4978274843461</v>
      </c>
      <c r="AG295" s="8">
        <f t="shared" si="133"/>
        <v>0</v>
      </c>
      <c r="AH295" s="8">
        <f t="shared" si="113"/>
        <v>0</v>
      </c>
      <c r="AI295" s="8">
        <f t="shared" si="114"/>
        <v>75074.949244518808</v>
      </c>
      <c r="AJ295" s="8">
        <f t="shared" si="134"/>
        <v>1302.2345074609123</v>
      </c>
      <c r="AK295" s="8">
        <f t="shared" si="135"/>
        <v>0</v>
      </c>
      <c r="AL295" s="8">
        <f t="shared" si="136"/>
        <v>0</v>
      </c>
      <c r="AM295" s="8">
        <f t="shared" si="137"/>
        <v>46289.278056836993</v>
      </c>
      <c r="AN295" s="8">
        <f t="shared" si="138"/>
        <v>1290.1861340156831</v>
      </c>
      <c r="AO295" s="8">
        <f t="shared" si="139"/>
        <v>0</v>
      </c>
    </row>
    <row r="296" spans="1:41">
      <c r="A296" s="1">
        <v>42023</v>
      </c>
      <c r="B296" s="5">
        <v>294</v>
      </c>
      <c r="C296" s="3">
        <f>B296/365+input!$K$3</f>
        <v>0.80547945205479454</v>
      </c>
      <c r="D296" s="4">
        <f t="shared" si="115"/>
        <v>5.3035822010545113</v>
      </c>
      <c r="E296" s="12">
        <f t="shared" si="116"/>
        <v>2.0288354357793308</v>
      </c>
      <c r="F296" s="20">
        <f>input!E295</f>
        <v>60328.71</v>
      </c>
      <c r="G296" s="19">
        <f t="shared" si="117"/>
        <v>0</v>
      </c>
      <c r="H296" s="19">
        <f t="shared" si="118"/>
        <v>1.3238185673425616E-6</v>
      </c>
      <c r="I296" s="5">
        <v>659</v>
      </c>
      <c r="J296" s="3">
        <f>I296/365+input!$K$3</f>
        <v>1.8054794520547945</v>
      </c>
      <c r="K296" s="4">
        <f t="shared" si="119"/>
        <v>10.305003710603136</v>
      </c>
      <c r="L296" s="12">
        <f t="shared" si="120"/>
        <v>14.882756144544791</v>
      </c>
      <c r="M296" s="20">
        <f>input!F295</f>
        <v>5338.91</v>
      </c>
      <c r="N296" s="19">
        <f t="shared" si="121"/>
        <v>0.93646927679805025</v>
      </c>
      <c r="O296" s="19">
        <f t="shared" si="122"/>
        <v>0.61981833687934962</v>
      </c>
      <c r="P296" s="21">
        <v>1024</v>
      </c>
      <c r="Q296" s="3">
        <f>P296/365+input!$K$3</f>
        <v>2.8054794520547945</v>
      </c>
      <c r="R296" s="4">
        <f t="shared" si="123"/>
        <v>12.3588662254386</v>
      </c>
      <c r="S296" s="12">
        <f t="shared" si="124"/>
        <v>25.672892513336141</v>
      </c>
      <c r="T296" s="20">
        <f>input!G295</f>
        <v>50.93</v>
      </c>
      <c r="U296" s="19">
        <f t="shared" si="125"/>
        <v>0.97953299587624132</v>
      </c>
      <c r="V296" s="19">
        <f t="shared" si="112"/>
        <v>0.99083456877420228</v>
      </c>
      <c r="W296" s="21">
        <v>1389</v>
      </c>
      <c r="X296" s="3">
        <f>W296/365+input!$K$3</f>
        <v>3.8054794520547945</v>
      </c>
      <c r="Y296" s="4">
        <f t="shared" si="126"/>
        <v>12.589299260865312</v>
      </c>
      <c r="Z296" s="12">
        <f t="shared" si="127"/>
        <v>27.135859395209948</v>
      </c>
      <c r="AA296" s="20">
        <f>input!H295</f>
        <v>0</v>
      </c>
      <c r="AB296" s="19">
        <f t="shared" si="128"/>
        <v>0.98197554006092014</v>
      </c>
      <c r="AC296" s="19">
        <f t="shared" si="129"/>
        <v>0.99519142618801715</v>
      </c>
      <c r="AD296" s="8">
        <f t="shared" si="130"/>
        <v>122397.02464285487</v>
      </c>
      <c r="AE296" s="8">
        <f t="shared" si="131"/>
        <v>79457.695607671631</v>
      </c>
      <c r="AF296" s="8">
        <f t="shared" si="132"/>
        <v>1307.5204157042097</v>
      </c>
      <c r="AG296" s="8">
        <f t="shared" si="133"/>
        <v>0</v>
      </c>
      <c r="AH296" s="8">
        <f t="shared" si="113"/>
        <v>0</v>
      </c>
      <c r="AI296" s="8">
        <f t="shared" si="114"/>
        <v>74409.690741755869</v>
      </c>
      <c r="AJ296" s="8">
        <f t="shared" si="134"/>
        <v>1280.7593899640929</v>
      </c>
      <c r="AK296" s="8">
        <f t="shared" si="135"/>
        <v>0</v>
      </c>
      <c r="AL296" s="8">
        <f t="shared" si="136"/>
        <v>0</v>
      </c>
      <c r="AM296" s="8">
        <f t="shared" si="137"/>
        <v>46120.490763261863</v>
      </c>
      <c r="AN296" s="8">
        <f t="shared" si="138"/>
        <v>1269.0206778585823</v>
      </c>
      <c r="AO296" s="8">
        <f t="shared" si="139"/>
        <v>0</v>
      </c>
    </row>
    <row r="297" spans="1:41">
      <c r="A297" s="1">
        <v>42024</v>
      </c>
      <c r="B297" s="5">
        <v>295</v>
      </c>
      <c r="C297" s="3">
        <f>B297/365+input!$K$3</f>
        <v>0.80821917808219179</v>
      </c>
      <c r="D297" s="4">
        <f t="shared" si="115"/>
        <v>5.3242499023595409</v>
      </c>
      <c r="E297" s="12">
        <f t="shared" si="116"/>
        <v>2.0526466896486575</v>
      </c>
      <c r="F297" s="20">
        <f>input!E296</f>
        <v>60178.65</v>
      </c>
      <c r="G297" s="19">
        <f t="shared" si="117"/>
        <v>9.2918084395759992E-3</v>
      </c>
      <c r="H297" s="19">
        <f t="shared" si="118"/>
        <v>1.4644054667296692E-6</v>
      </c>
      <c r="I297" s="5">
        <v>660</v>
      </c>
      <c r="J297" s="3">
        <f>I297/365+input!$K$3</f>
        <v>1.8082191780821917</v>
      </c>
      <c r="K297" s="4">
        <f t="shared" si="119"/>
        <v>10.313491021040216</v>
      </c>
      <c r="L297" s="12">
        <f t="shared" si="120"/>
        <v>14.919559227112655</v>
      </c>
      <c r="M297" s="20">
        <f>input!F296</f>
        <v>5325.63</v>
      </c>
      <c r="N297" s="19">
        <f t="shared" si="121"/>
        <v>0.93676595461418344</v>
      </c>
      <c r="O297" s="19">
        <f t="shared" si="122"/>
        <v>0.62304617933623652</v>
      </c>
      <c r="P297" s="21">
        <v>1025</v>
      </c>
      <c r="Q297" s="3">
        <f>P297/365+input!$K$3</f>
        <v>2.8082191780821919</v>
      </c>
      <c r="R297" s="4">
        <f t="shared" si="123"/>
        <v>12.362351588294981</v>
      </c>
      <c r="S297" s="12">
        <f t="shared" si="124"/>
        <v>25.694618919563219</v>
      </c>
      <c r="T297" s="20">
        <f>input!G296</f>
        <v>50.8</v>
      </c>
      <c r="U297" s="19">
        <f t="shared" si="125"/>
        <v>0.97957229946001634</v>
      </c>
      <c r="V297" s="19">
        <f t="shared" si="112"/>
        <v>0.99092029458983621</v>
      </c>
      <c r="W297" s="21">
        <v>1390</v>
      </c>
      <c r="X297" s="3">
        <f>W297/365+input!$K$3</f>
        <v>3.8082191780821919</v>
      </c>
      <c r="Y297" s="4">
        <f t="shared" si="126"/>
        <v>12.589299260865312</v>
      </c>
      <c r="Z297" s="12">
        <f t="shared" si="127"/>
        <v>27.135859395209948</v>
      </c>
      <c r="AA297" s="20">
        <f>input!H296</f>
        <v>0</v>
      </c>
      <c r="AB297" s="19">
        <f t="shared" si="128"/>
        <v>0.98197554006092014</v>
      </c>
      <c r="AC297" s="19">
        <f t="shared" si="129"/>
        <v>0.99519142618801715</v>
      </c>
      <c r="AD297" s="8">
        <f t="shared" si="130"/>
        <v>123525.50671002519</v>
      </c>
      <c r="AE297" s="8">
        <f t="shared" si="131"/>
        <v>79456.052206687978</v>
      </c>
      <c r="AF297" s="8">
        <f t="shared" si="132"/>
        <v>1305.2866411138114</v>
      </c>
      <c r="AG297" s="8">
        <f t="shared" si="133"/>
        <v>0</v>
      </c>
      <c r="AH297" s="8">
        <f t="shared" si="113"/>
        <v>1147.7753457511137</v>
      </c>
      <c r="AI297" s="8">
        <f t="shared" si="114"/>
        <v>74431.724595272462</v>
      </c>
      <c r="AJ297" s="8">
        <f t="shared" si="134"/>
        <v>1278.6226364902973</v>
      </c>
      <c r="AK297" s="8">
        <f t="shared" si="135"/>
        <v>0</v>
      </c>
      <c r="AL297" s="8">
        <f t="shared" si="136"/>
        <v>1.6808084908954671E-3</v>
      </c>
      <c r="AM297" s="8">
        <f t="shared" si="137"/>
        <v>46374.401630491491</v>
      </c>
      <c r="AN297" s="8">
        <f t="shared" si="138"/>
        <v>1267.0131196201985</v>
      </c>
      <c r="AO297" s="8">
        <f t="shared" si="139"/>
        <v>0</v>
      </c>
    </row>
    <row r="298" spans="1:41">
      <c r="A298" s="1">
        <v>42025</v>
      </c>
      <c r="B298" s="5">
        <v>296</v>
      </c>
      <c r="C298" s="3">
        <f>B298/365+input!$K$3</f>
        <v>0.81095890410958904</v>
      </c>
      <c r="D298" s="4">
        <f t="shared" si="115"/>
        <v>5.3448672698385256</v>
      </c>
      <c r="E298" s="12">
        <f t="shared" si="116"/>
        <v>2.0765848567127794</v>
      </c>
      <c r="F298" s="20">
        <f>input!E297</f>
        <v>60028.97</v>
      </c>
      <c r="G298" s="19">
        <f t="shared" si="117"/>
        <v>2.0492876453245823E-2</v>
      </c>
      <c r="H298" s="19">
        <f t="shared" si="118"/>
        <v>1.6188603137759828E-6</v>
      </c>
      <c r="I298" s="5">
        <v>661</v>
      </c>
      <c r="J298" s="3">
        <f>I298/365+input!$K$3</f>
        <v>1.810958904109589</v>
      </c>
      <c r="K298" s="4">
        <f t="shared" si="119"/>
        <v>10.321957661602069</v>
      </c>
      <c r="L298" s="12">
        <f t="shared" si="120"/>
        <v>14.956333081460981</v>
      </c>
      <c r="M298" s="20">
        <f>input!F297</f>
        <v>5263.09</v>
      </c>
      <c r="N298" s="19">
        <f t="shared" si="121"/>
        <v>0.93706052952152175</v>
      </c>
      <c r="O298" s="19">
        <f t="shared" si="122"/>
        <v>0.62625761538735936</v>
      </c>
      <c r="P298" s="21">
        <v>1026</v>
      </c>
      <c r="Q298" s="3">
        <f>P298/365+input!$K$3</f>
        <v>2.8109589041095893</v>
      </c>
      <c r="R298" s="4">
        <f t="shared" si="123"/>
        <v>12.365828462948192</v>
      </c>
      <c r="S298" s="12">
        <f t="shared" si="124"/>
        <v>25.71630462314149</v>
      </c>
      <c r="T298" s="20">
        <f>input!G297</f>
        <v>50</v>
      </c>
      <c r="U298" s="19">
        <f t="shared" si="125"/>
        <v>0.97961143212358137</v>
      </c>
      <c r="V298" s="19">
        <f t="shared" si="112"/>
        <v>0.99100511125398427</v>
      </c>
      <c r="W298" s="21">
        <v>1391</v>
      </c>
      <c r="X298" s="3">
        <f>W298/365+input!$K$3</f>
        <v>3.8109589041095893</v>
      </c>
      <c r="Y298" s="4">
        <f t="shared" si="126"/>
        <v>12.589299260865312</v>
      </c>
      <c r="Z298" s="12">
        <f t="shared" si="127"/>
        <v>27.135859395209948</v>
      </c>
      <c r="AA298" s="20">
        <f>input!H297</f>
        <v>0</v>
      </c>
      <c r="AB298" s="19">
        <f t="shared" si="128"/>
        <v>0.98197554006092014</v>
      </c>
      <c r="AC298" s="19">
        <f t="shared" si="129"/>
        <v>0.99519142618801715</v>
      </c>
      <c r="AD298" s="8">
        <f t="shared" si="130"/>
        <v>124655.25006606574</v>
      </c>
      <c r="AE298" s="8">
        <f t="shared" si="131"/>
        <v>78716.527077706472</v>
      </c>
      <c r="AF298" s="8">
        <f t="shared" si="132"/>
        <v>1285.8152311570745</v>
      </c>
      <c r="AG298" s="8">
        <f t="shared" si="133"/>
        <v>0</v>
      </c>
      <c r="AH298" s="8">
        <f t="shared" si="113"/>
        <v>2554.5446388523483</v>
      </c>
      <c r="AI298" s="8">
        <f t="shared" si="114"/>
        <v>73762.150545530836</v>
      </c>
      <c r="AJ298" s="8">
        <f t="shared" si="134"/>
        <v>1259.5993000400956</v>
      </c>
      <c r="AK298" s="8">
        <f t="shared" si="135"/>
        <v>0</v>
      </c>
      <c r="AL298" s="8">
        <f t="shared" si="136"/>
        <v>4.1354509356072667E-3</v>
      </c>
      <c r="AM298" s="8">
        <f t="shared" si="137"/>
        <v>46194.108506487551</v>
      </c>
      <c r="AN298" s="8">
        <f t="shared" si="138"/>
        <v>1248.2693444716756</v>
      </c>
      <c r="AO298" s="8">
        <f t="shared" si="139"/>
        <v>0</v>
      </c>
    </row>
    <row r="299" spans="1:41">
      <c r="A299" s="1">
        <v>42026</v>
      </c>
      <c r="B299" s="5">
        <v>297</v>
      </c>
      <c r="C299" s="3">
        <f>B299/365+input!$K$3</f>
        <v>0.81369863013698629</v>
      </c>
      <c r="D299" s="4">
        <f t="shared" si="115"/>
        <v>5.3654344260737528</v>
      </c>
      <c r="E299" s="12">
        <f t="shared" si="116"/>
        <v>2.1006494408955385</v>
      </c>
      <c r="F299" s="20">
        <f>input!E298</f>
        <v>59879.66</v>
      </c>
      <c r="G299" s="19">
        <f t="shared" si="117"/>
        <v>3.1540485991082612E-2</v>
      </c>
      <c r="H299" s="19">
        <f t="shared" si="118"/>
        <v>1.7884392041464863E-6</v>
      </c>
      <c r="I299" s="5">
        <v>662</v>
      </c>
      <c r="J299" s="3">
        <f>I299/365+input!$K$3</f>
        <v>1.8136986301369864</v>
      </c>
      <c r="K299" s="4">
        <f t="shared" si="119"/>
        <v>10.330403682627821</v>
      </c>
      <c r="L299" s="12">
        <f t="shared" si="120"/>
        <v>14.993077534272414</v>
      </c>
      <c r="M299" s="20">
        <f>input!F298</f>
        <v>5250</v>
      </c>
      <c r="N299" s="19">
        <f t="shared" si="121"/>
        <v>0.93735301975604679</v>
      </c>
      <c r="O299" s="19">
        <f t="shared" si="122"/>
        <v>0.62945252034842269</v>
      </c>
      <c r="P299" s="21">
        <v>1027</v>
      </c>
      <c r="Q299" s="3">
        <f>P299/365+input!$K$3</f>
        <v>2.8136986301369862</v>
      </c>
      <c r="R299" s="4">
        <f t="shared" si="123"/>
        <v>12.369296870070285</v>
      </c>
      <c r="S299" s="12">
        <f t="shared" si="124"/>
        <v>25.737949667217379</v>
      </c>
      <c r="T299" s="20">
        <f>input!G298</f>
        <v>49.88</v>
      </c>
      <c r="U299" s="19">
        <f t="shared" si="125"/>
        <v>0.97965039479239235</v>
      </c>
      <c r="V299" s="19">
        <f t="shared" si="112"/>
        <v>0.99108902907596197</v>
      </c>
      <c r="W299" s="21">
        <v>1392</v>
      </c>
      <c r="X299" s="3">
        <f>W299/365+input!$K$3</f>
        <v>3.8136986301369862</v>
      </c>
      <c r="Y299" s="4">
        <f t="shared" si="126"/>
        <v>12.589299260865312</v>
      </c>
      <c r="Z299" s="12">
        <f t="shared" si="127"/>
        <v>27.135859395209948</v>
      </c>
      <c r="AA299" s="20">
        <f>input!H298</f>
        <v>0</v>
      </c>
      <c r="AB299" s="19">
        <f t="shared" si="128"/>
        <v>0.98197554006092014</v>
      </c>
      <c r="AC299" s="19">
        <f t="shared" si="129"/>
        <v>0.99519142618801715</v>
      </c>
      <c r="AD299" s="8">
        <f t="shared" si="130"/>
        <v>125786.17430001494</v>
      </c>
      <c r="AE299" s="8">
        <f t="shared" si="131"/>
        <v>78713.657054930169</v>
      </c>
      <c r="AF299" s="8">
        <f t="shared" si="132"/>
        <v>1283.808929400803</v>
      </c>
      <c r="AG299" s="8">
        <f t="shared" si="133"/>
        <v>0</v>
      </c>
      <c r="AH299" s="8">
        <f t="shared" si="113"/>
        <v>3967.3570683814969</v>
      </c>
      <c r="AI299" s="8">
        <f t="shared" si="114"/>
        <v>73782.484136480649</v>
      </c>
      <c r="AJ299" s="8">
        <f t="shared" si="134"/>
        <v>1257.6839245254953</v>
      </c>
      <c r="AK299" s="8">
        <f t="shared" si="135"/>
        <v>0</v>
      </c>
      <c r="AL299" s="8">
        <f t="shared" si="136"/>
        <v>7.0953769179411411E-3</v>
      </c>
      <c r="AM299" s="8">
        <f t="shared" si="137"/>
        <v>46442.570597275262</v>
      </c>
      <c r="AN299" s="8">
        <f t="shared" si="138"/>
        <v>1246.4767396424186</v>
      </c>
      <c r="AO299" s="8">
        <f t="shared" si="139"/>
        <v>0</v>
      </c>
    </row>
    <row r="300" spans="1:41">
      <c r="A300" s="1">
        <v>42027</v>
      </c>
      <c r="B300" s="5">
        <v>298</v>
      </c>
      <c r="C300" s="3">
        <f>B300/365+input!$K$3</f>
        <v>0.81643835616438354</v>
      </c>
      <c r="D300" s="4">
        <f t="shared" si="115"/>
        <v>5.3859514933489665</v>
      </c>
      <c r="E300" s="12">
        <f t="shared" si="116"/>
        <v>2.1248399430454152</v>
      </c>
      <c r="F300" s="20">
        <f>input!E299</f>
        <v>59730.720000000001</v>
      </c>
      <c r="G300" s="19">
        <f t="shared" si="117"/>
        <v>4.2437040859790942E-2</v>
      </c>
      <c r="H300" s="19">
        <f t="shared" si="118"/>
        <v>1.9745009918539932E-6</v>
      </c>
      <c r="I300" s="5">
        <v>663</v>
      </c>
      <c r="J300" s="3">
        <f>I300/365+input!$K$3</f>
        <v>1.8164383561643835</v>
      </c>
      <c r="K300" s="4">
        <f t="shared" si="119"/>
        <v>10.338829134333993</v>
      </c>
      <c r="L300" s="12">
        <f t="shared" si="120"/>
        <v>15.029792413481452</v>
      </c>
      <c r="M300" s="20">
        <f>input!F299</f>
        <v>5187.13</v>
      </c>
      <c r="N300" s="19">
        <f t="shared" si="121"/>
        <v>0.93764344336933036</v>
      </c>
      <c r="O300" s="19">
        <f t="shared" si="122"/>
        <v>0.63263077393557476</v>
      </c>
      <c r="P300" s="21">
        <v>1028</v>
      </c>
      <c r="Q300" s="3">
        <f>P300/365+input!$K$3</f>
        <v>2.8164383561643835</v>
      </c>
      <c r="R300" s="4">
        <f t="shared" si="123"/>
        <v>12.372756830282961</v>
      </c>
      <c r="S300" s="12">
        <f t="shared" si="124"/>
        <v>25.759554095079661</v>
      </c>
      <c r="T300" s="20">
        <f>input!G299</f>
        <v>49</v>
      </c>
      <c r="U300" s="19">
        <f t="shared" si="125"/>
        <v>0.97968918838585684</v>
      </c>
      <c r="V300" s="19">
        <f t="shared" si="112"/>
        <v>0.9911720582448782</v>
      </c>
      <c r="W300" s="21">
        <v>1393</v>
      </c>
      <c r="X300" s="3">
        <f>W300/365+input!$K$3</f>
        <v>3.8164383561643835</v>
      </c>
      <c r="Y300" s="4">
        <f t="shared" si="126"/>
        <v>12.589299260865312</v>
      </c>
      <c r="Z300" s="12">
        <f t="shared" si="127"/>
        <v>27.135859395209948</v>
      </c>
      <c r="AA300" s="20">
        <f>input!H299</f>
        <v>0</v>
      </c>
      <c r="AB300" s="19">
        <f t="shared" si="128"/>
        <v>0.98197554006092014</v>
      </c>
      <c r="AC300" s="19">
        <f t="shared" si="129"/>
        <v>0.99519142618801715</v>
      </c>
      <c r="AD300" s="8">
        <f t="shared" si="130"/>
        <v>126918.21968286164</v>
      </c>
      <c r="AE300" s="8">
        <f t="shared" si="131"/>
        <v>77961.487121742044</v>
      </c>
      <c r="AF300" s="8">
        <f t="shared" si="132"/>
        <v>1262.2181506589034</v>
      </c>
      <c r="AG300" s="8">
        <f t="shared" si="133"/>
        <v>0</v>
      </c>
      <c r="AH300" s="8">
        <f t="shared" si="113"/>
        <v>5386.0336745335226</v>
      </c>
      <c r="AI300" s="8">
        <f t="shared" si="114"/>
        <v>73100.077235023913</v>
      </c>
      <c r="AJ300" s="8">
        <f t="shared" si="134"/>
        <v>1236.5814755849183</v>
      </c>
      <c r="AK300" s="8">
        <f t="shared" si="135"/>
        <v>0</v>
      </c>
      <c r="AL300" s="8">
        <f t="shared" si="136"/>
        <v>1.0634728832525447E-2</v>
      </c>
      <c r="AM300" s="8">
        <f t="shared" si="137"/>
        <v>46245.358435943468</v>
      </c>
      <c r="AN300" s="8">
        <f t="shared" si="138"/>
        <v>1225.665006342992</v>
      </c>
      <c r="AO300" s="8">
        <f t="shared" si="139"/>
        <v>0</v>
      </c>
    </row>
    <row r="301" spans="1:41">
      <c r="A301" s="1">
        <v>42028</v>
      </c>
      <c r="B301" s="5">
        <v>299</v>
      </c>
      <c r="C301" s="3">
        <f>B301/365+input!$K$3</f>
        <v>0.81917808219178079</v>
      </c>
      <c r="D301" s="4">
        <f t="shared" si="115"/>
        <v>5.4064185936501117</v>
      </c>
      <c r="E301" s="12">
        <f t="shared" si="116"/>
        <v>2.1491558610017298</v>
      </c>
      <c r="F301" s="20">
        <f>input!E300</f>
        <v>59582.15</v>
      </c>
      <c r="G301" s="19">
        <f t="shared" si="117"/>
        <v>5.3184902975986548E-2</v>
      </c>
      <c r="H301" s="19">
        <f t="shared" si="118"/>
        <v>2.1785146900915724E-6</v>
      </c>
      <c r="I301" s="5">
        <v>664</v>
      </c>
      <c r="J301" s="3">
        <f>I301/365+input!$K$3</f>
        <v>1.8191780821917809</v>
      </c>
      <c r="K301" s="4">
        <f t="shared" si="119"/>
        <v>10.347234066814819</v>
      </c>
      <c r="L301" s="12">
        <f t="shared" si="120"/>
        <v>15.066477548270093</v>
      </c>
      <c r="M301" s="20">
        <f>input!F300</f>
        <v>5174.2299999999996</v>
      </c>
      <c r="N301" s="19">
        <f t="shared" si="121"/>
        <v>0.93793181823064287</v>
      </c>
      <c r="O301" s="19">
        <f t="shared" si="122"/>
        <v>0.63579226023145852</v>
      </c>
      <c r="P301" s="21">
        <v>1029</v>
      </c>
      <c r="Q301" s="3">
        <f>P301/365+input!$K$3</f>
        <v>2.8191780821917809</v>
      </c>
      <c r="R301" s="4">
        <f t="shared" si="123"/>
        <v>12.376208364157709</v>
      </c>
      <c r="S301" s="12">
        <f t="shared" si="124"/>
        <v>25.781117950158102</v>
      </c>
      <c r="T301" s="20">
        <f>input!G300</f>
        <v>48.88</v>
      </c>
      <c r="U301" s="19">
        <f t="shared" si="125"/>
        <v>0.9797278138173805</v>
      </c>
      <c r="V301" s="19">
        <f t="shared" si="112"/>
        <v>0.99125420883101567</v>
      </c>
      <c r="W301" s="21">
        <v>1394</v>
      </c>
      <c r="X301" s="3">
        <f>W301/365+input!$K$3</f>
        <v>3.8191780821917809</v>
      </c>
      <c r="Y301" s="4">
        <f t="shared" si="126"/>
        <v>12.589299260865312</v>
      </c>
      <c r="Z301" s="12">
        <f t="shared" si="127"/>
        <v>27.135859395209948</v>
      </c>
      <c r="AA301" s="20">
        <f>input!H300</f>
        <v>0</v>
      </c>
      <c r="AB301" s="19">
        <f t="shared" si="128"/>
        <v>0.98197554006092014</v>
      </c>
      <c r="AC301" s="19">
        <f t="shared" si="129"/>
        <v>0.99519142618801715</v>
      </c>
      <c r="AD301" s="8">
        <f t="shared" si="130"/>
        <v>128051.32688358422</v>
      </c>
      <c r="AE301" s="8">
        <f t="shared" si="131"/>
        <v>77957.420124585551</v>
      </c>
      <c r="AF301" s="8">
        <f t="shared" si="132"/>
        <v>1260.1810454037281</v>
      </c>
      <c r="AG301" s="8">
        <f t="shared" si="133"/>
        <v>0</v>
      </c>
      <c r="AH301" s="8">
        <f t="shared" si="113"/>
        <v>6810.3973962497648</v>
      </c>
      <c r="AI301" s="8">
        <f t="shared" si="114"/>
        <v>73118.744802022629</v>
      </c>
      <c r="AJ301" s="8">
        <f t="shared" si="134"/>
        <v>1234.6344206274957</v>
      </c>
      <c r="AK301" s="8">
        <f t="shared" si="135"/>
        <v>0</v>
      </c>
      <c r="AL301" s="8">
        <f t="shared" si="136"/>
        <v>1.4836550773091508E-2</v>
      </c>
      <c r="AM301" s="8">
        <f t="shared" si="137"/>
        <v>46488.332022965173</v>
      </c>
      <c r="AN301" s="8">
        <f t="shared" si="138"/>
        <v>1223.8365658146477</v>
      </c>
      <c r="AO301" s="8">
        <f t="shared" si="139"/>
        <v>0</v>
      </c>
    </row>
    <row r="302" spans="1:41">
      <c r="A302" s="1">
        <v>42029</v>
      </c>
      <c r="B302" s="5">
        <v>300</v>
      </c>
      <c r="C302" s="3">
        <f>B302/365+input!$K$3</f>
        <v>0.82191780821917804</v>
      </c>
      <c r="D302" s="4">
        <f t="shared" si="115"/>
        <v>5.4268358486660473</v>
      </c>
      <c r="E302" s="12">
        <f t="shared" si="116"/>
        <v>2.1735966896600818</v>
      </c>
      <c r="F302" s="20">
        <f>input!E301</f>
        <v>59433.95</v>
      </c>
      <c r="G302" s="19">
        <f t="shared" si="117"/>
        <v>6.3786393164373179E-2</v>
      </c>
      <c r="H302" s="19">
        <f t="shared" si="118"/>
        <v>2.4020673205887208E-6</v>
      </c>
      <c r="I302" s="5">
        <v>665</v>
      </c>
      <c r="J302" s="3">
        <f>I302/365+input!$K$3</f>
        <v>1.821917808219178</v>
      </c>
      <c r="K302" s="4">
        <f t="shared" si="119"/>
        <v>10.355618530042525</v>
      </c>
      <c r="L302" s="12">
        <f t="shared" si="120"/>
        <v>15.103132769063265</v>
      </c>
      <c r="M302" s="20">
        <f>input!F301</f>
        <v>5113.68</v>
      </c>
      <c r="N302" s="19">
        <f t="shared" si="121"/>
        <v>0.93821816202903485</v>
      </c>
      <c r="O302" s="19">
        <f t="shared" si="122"/>
        <v>0.63893686765018853</v>
      </c>
      <c r="P302" s="21">
        <v>1030</v>
      </c>
      <c r="Q302" s="3">
        <f>P302/365+input!$K$3</f>
        <v>2.8219178082191783</v>
      </c>
      <c r="R302" s="4">
        <f t="shared" si="123"/>
        <v>12.379651492215904</v>
      </c>
      <c r="S302" s="12">
        <f t="shared" si="124"/>
        <v>25.802641276022051</v>
      </c>
      <c r="T302" s="20">
        <f>input!G301</f>
        <v>48.13</v>
      </c>
      <c r="U302" s="19">
        <f t="shared" si="125"/>
        <v>0.97976627199441224</v>
      </c>
      <c r="V302" s="19">
        <f t="shared" si="112"/>
        <v>0.99133549078719596</v>
      </c>
      <c r="W302" s="21">
        <v>1395</v>
      </c>
      <c r="X302" s="3">
        <f>W302/365+input!$K$3</f>
        <v>3.8219178082191783</v>
      </c>
      <c r="Y302" s="4">
        <f t="shared" si="126"/>
        <v>12.589299260865312</v>
      </c>
      <c r="Z302" s="12">
        <f t="shared" si="127"/>
        <v>27.135859395209948</v>
      </c>
      <c r="AA302" s="20">
        <f>input!H301</f>
        <v>0</v>
      </c>
      <c r="AB302" s="19">
        <f t="shared" si="128"/>
        <v>0.98197554006092014</v>
      </c>
      <c r="AC302" s="19">
        <f t="shared" si="129"/>
        <v>0.99519142618801715</v>
      </c>
      <c r="AD302" s="8">
        <f t="shared" si="130"/>
        <v>129185.43697342281</v>
      </c>
      <c r="AE302" s="8">
        <f t="shared" si="131"/>
        <v>77232.587978503449</v>
      </c>
      <c r="AF302" s="8">
        <f t="shared" si="132"/>
        <v>1241.8811246149414</v>
      </c>
      <c r="AG302" s="8">
        <f t="shared" si="133"/>
        <v>0</v>
      </c>
      <c r="AH302" s="8">
        <f t="shared" si="113"/>
        <v>8240.273073898099</v>
      </c>
      <c r="AI302" s="8">
        <f t="shared" si="114"/>
        <v>72461.016741937245</v>
      </c>
      <c r="AJ302" s="8">
        <f t="shared" si="134"/>
        <v>1216.7532397242092</v>
      </c>
      <c r="AK302" s="8">
        <f t="shared" si="135"/>
        <v>0</v>
      </c>
      <c r="AL302" s="8">
        <f t="shared" si="136"/>
        <v>1.979369066353779E-2</v>
      </c>
      <c r="AM302" s="8">
        <f t="shared" si="137"/>
        <v>46298.015063841252</v>
      </c>
      <c r="AN302" s="8">
        <f t="shared" si="138"/>
        <v>1206.2106700689096</v>
      </c>
      <c r="AO302" s="8">
        <f t="shared" si="139"/>
        <v>0</v>
      </c>
    </row>
    <row r="303" spans="1:41">
      <c r="A303" s="1">
        <v>42030</v>
      </c>
      <c r="B303" s="5">
        <v>301</v>
      </c>
      <c r="C303" s="3">
        <f>B303/365+input!$K$3</f>
        <v>0.8246575342465754</v>
      </c>
      <c r="D303" s="4">
        <f t="shared" si="115"/>
        <v>5.4472033797892712</v>
      </c>
      <c r="E303" s="12">
        <f t="shared" si="116"/>
        <v>2.1981619210370908</v>
      </c>
      <c r="F303" s="20">
        <f>input!E302</f>
        <v>59286.12</v>
      </c>
      <c r="G303" s="19">
        <f t="shared" si="117"/>
        <v>7.424379193949826E-2</v>
      </c>
      <c r="H303" s="19">
        <f t="shared" si="118"/>
        <v>2.646872232182238E-6</v>
      </c>
      <c r="I303" s="5">
        <v>666</v>
      </c>
      <c r="J303" s="3">
        <f>I303/365+input!$K$3</f>
        <v>1.8246575342465754</v>
      </c>
      <c r="K303" s="4">
        <f t="shared" si="119"/>
        <v>10.363982573867638</v>
      </c>
      <c r="L303" s="12">
        <f t="shared" si="120"/>
        <v>15.139757907524404</v>
      </c>
      <c r="M303" s="20">
        <f>input!F302</f>
        <v>5100.96</v>
      </c>
      <c r="N303" s="19">
        <f t="shared" si="121"/>
        <v>0.93850249227539295</v>
      </c>
      <c r="O303" s="19">
        <f t="shared" si="122"/>
        <v>0.64206448890132073</v>
      </c>
      <c r="P303" s="21">
        <v>1031</v>
      </c>
      <c r="Q303" s="3">
        <f>P303/365+input!$K$3</f>
        <v>2.8246575342465752</v>
      </c>
      <c r="R303" s="4">
        <f t="shared" si="123"/>
        <v>12.383086234928962</v>
      </c>
      <c r="S303" s="12">
        <f t="shared" si="124"/>
        <v>25.824124116379188</v>
      </c>
      <c r="T303" s="20">
        <f>input!G302</f>
        <v>48.01</v>
      </c>
      <c r="U303" s="19">
        <f t="shared" si="125"/>
        <v>0.97980456381848924</v>
      </c>
      <c r="V303" s="19">
        <f t="shared" si="112"/>
        <v>0.99141591395013129</v>
      </c>
      <c r="W303" s="21">
        <v>1396</v>
      </c>
      <c r="X303" s="3">
        <f>W303/365+input!$K$3</f>
        <v>3.8246575342465752</v>
      </c>
      <c r="Y303" s="4">
        <f t="shared" si="126"/>
        <v>12.589299260865312</v>
      </c>
      <c r="Z303" s="12">
        <f t="shared" si="127"/>
        <v>27.135859395209948</v>
      </c>
      <c r="AA303" s="20">
        <f>input!H302</f>
        <v>0</v>
      </c>
      <c r="AB303" s="19">
        <f t="shared" si="128"/>
        <v>0.98197554006092014</v>
      </c>
      <c r="AC303" s="19">
        <f t="shared" si="129"/>
        <v>0.99519142618801715</v>
      </c>
      <c r="AD303" s="8">
        <f t="shared" si="130"/>
        <v>130320.4914300355</v>
      </c>
      <c r="AE303" s="8">
        <f t="shared" si="131"/>
        <v>77227.299495965679</v>
      </c>
      <c r="AF303" s="8">
        <f t="shared" si="132"/>
        <v>1239.8161988273648</v>
      </c>
      <c r="AG303" s="8">
        <f t="shared" si="133"/>
        <v>0</v>
      </c>
      <c r="AH303" s="8">
        <f t="shared" si="113"/>
        <v>9675.4874511847211</v>
      </c>
      <c r="AI303" s="8">
        <f t="shared" si="114"/>
        <v>72478.013048661989</v>
      </c>
      <c r="AJ303" s="8">
        <f t="shared" si="134"/>
        <v>1214.7775699071435</v>
      </c>
      <c r="AK303" s="8">
        <f t="shared" si="135"/>
        <v>0</v>
      </c>
      <c r="AL303" s="8">
        <f t="shared" si="136"/>
        <v>2.5609779067368534E-2</v>
      </c>
      <c r="AM303" s="8">
        <f t="shared" si="137"/>
        <v>46535.558404672418</v>
      </c>
      <c r="AN303" s="8">
        <f t="shared" si="138"/>
        <v>1204.3498147156101</v>
      </c>
      <c r="AO303" s="8">
        <f t="shared" si="139"/>
        <v>0</v>
      </c>
    </row>
    <row r="304" spans="1:41">
      <c r="A304" s="1">
        <v>42031</v>
      </c>
      <c r="B304" s="5">
        <v>302</v>
      </c>
      <c r="C304" s="3">
        <f>B304/365+input!$K$3</f>
        <v>0.82739726027397265</v>
      </c>
      <c r="D304" s="4">
        <f t="shared" si="115"/>
        <v>5.4675213081166447</v>
      </c>
      <c r="E304" s="12">
        <f t="shared" si="116"/>
        <v>2.2228510443344303</v>
      </c>
      <c r="F304" s="20">
        <f>input!E303</f>
        <v>59138.66</v>
      </c>
      <c r="G304" s="19">
        <f t="shared" si="117"/>
        <v>8.4559340271444072E-2</v>
      </c>
      <c r="H304" s="19">
        <f t="shared" si="118"/>
        <v>2.9147779097880056E-6</v>
      </c>
      <c r="I304" s="5">
        <v>667</v>
      </c>
      <c r="J304" s="3">
        <f>I304/365+input!$K$3</f>
        <v>1.8273972602739725</v>
      </c>
      <c r="K304" s="4">
        <f t="shared" si="119"/>
        <v>10.372326248019284</v>
      </c>
      <c r="L304" s="12">
        <f t="shared" si="120"/>
        <v>15.176352796551022</v>
      </c>
      <c r="M304" s="20">
        <f>input!F303</f>
        <v>5039.37</v>
      </c>
      <c r="N304" s="19">
        <f t="shared" si="121"/>
        <v>0.9387848263044688</v>
      </c>
      <c r="O304" s="19">
        <f t="shared" si="122"/>
        <v>0.64517502095284507</v>
      </c>
      <c r="P304" s="21">
        <v>1032</v>
      </c>
      <c r="Q304" s="3">
        <f>P304/365+input!$K$3</f>
        <v>2.8273972602739725</v>
      </c>
      <c r="R304" s="4">
        <f t="shared" si="123"/>
        <v>12.386512612718427</v>
      </c>
      <c r="S304" s="12">
        <f t="shared" si="124"/>
        <v>25.845566515074044</v>
      </c>
      <c r="T304" s="20">
        <f>input!G303</f>
        <v>47.1</v>
      </c>
      <c r="U304" s="19">
        <f t="shared" si="125"/>
        <v>0.97984269018528225</v>
      </c>
      <c r="V304" s="19">
        <f t="shared" si="112"/>
        <v>0.9914954880417608</v>
      </c>
      <c r="W304" s="21">
        <v>1397</v>
      </c>
      <c r="X304" s="3">
        <f>W304/365+input!$K$3</f>
        <v>3.8273972602739725</v>
      </c>
      <c r="Y304" s="4">
        <f t="shared" si="126"/>
        <v>12.589299260865312</v>
      </c>
      <c r="Z304" s="12">
        <f t="shared" si="127"/>
        <v>27.135859395209948</v>
      </c>
      <c r="AA304" s="20">
        <f>input!H303</f>
        <v>0</v>
      </c>
      <c r="AB304" s="19">
        <f t="shared" si="128"/>
        <v>0.98197554006092014</v>
      </c>
      <c r="AC304" s="19">
        <f t="shared" si="129"/>
        <v>0.99519142618801715</v>
      </c>
      <c r="AD304" s="8">
        <f t="shared" si="130"/>
        <v>131456.4321415388</v>
      </c>
      <c r="AE304" s="8">
        <f t="shared" si="131"/>
        <v>76479.256992355324</v>
      </c>
      <c r="AF304" s="8">
        <f t="shared" si="132"/>
        <v>1217.3261828599875</v>
      </c>
      <c r="AG304" s="8">
        <f t="shared" si="133"/>
        <v>0</v>
      </c>
      <c r="AH304" s="8">
        <f t="shared" si="113"/>
        <v>11115.869176326376</v>
      </c>
      <c r="AI304" s="8">
        <f t="shared" si="114"/>
        <v>71797.565991463125</v>
      </c>
      <c r="AJ304" s="8">
        <f t="shared" si="134"/>
        <v>1192.788161846511</v>
      </c>
      <c r="AK304" s="8">
        <f t="shared" si="135"/>
        <v>0</v>
      </c>
      <c r="AL304" s="8">
        <f t="shared" si="136"/>
        <v>3.240028992324951E-2</v>
      </c>
      <c r="AM304" s="8">
        <f t="shared" si="137"/>
        <v>46321.996142905497</v>
      </c>
      <c r="AN304" s="8">
        <f t="shared" si="138"/>
        <v>1182.6440806604412</v>
      </c>
      <c r="AO304" s="8">
        <f t="shared" si="139"/>
        <v>0</v>
      </c>
    </row>
    <row r="305" spans="1:41">
      <c r="A305" s="1">
        <v>42032</v>
      </c>
      <c r="B305" s="5">
        <v>303</v>
      </c>
      <c r="C305" s="3">
        <f>B305/365+input!$K$3</f>
        <v>0.83013698630136989</v>
      </c>
      <c r="D305" s="4">
        <f t="shared" si="115"/>
        <v>5.4877897544501142</v>
      </c>
      <c r="E305" s="12">
        <f t="shared" si="116"/>
        <v>2.2476635460021575</v>
      </c>
      <c r="F305" s="20">
        <f>input!E304</f>
        <v>58991.56</v>
      </c>
      <c r="G305" s="19">
        <f t="shared" si="117"/>
        <v>9.4735240335802384E-2</v>
      </c>
      <c r="H305" s="19">
        <f t="shared" si="118"/>
        <v>3.2077772954355574E-6</v>
      </c>
      <c r="I305" s="5">
        <v>668</v>
      </c>
      <c r="J305" s="3">
        <f>I305/365+input!$K$3</f>
        <v>1.8301369863013699</v>
      </c>
      <c r="K305" s="4">
        <f t="shared" si="119"/>
        <v>10.380649602105477</v>
      </c>
      <c r="L305" s="12">
        <f t="shared" si="120"/>
        <v>15.21291727027018</v>
      </c>
      <c r="M305" s="20">
        <f>input!F304</f>
        <v>5026.84</v>
      </c>
      <c r="N305" s="19">
        <f t="shared" si="121"/>
        <v>0.9390651812768831</v>
      </c>
      <c r="O305" s="19">
        <f t="shared" si="122"/>
        <v>0.64826836499323337</v>
      </c>
      <c r="P305" s="21">
        <v>1033</v>
      </c>
      <c r="Q305" s="3">
        <f>P305/365+input!$K$3</f>
        <v>2.8301369863013699</v>
      </c>
      <c r="R305" s="4">
        <f t="shared" si="123"/>
        <v>12.389930645956115</v>
      </c>
      <c r="S305" s="12">
        <f t="shared" si="124"/>
        <v>25.86696851608675</v>
      </c>
      <c r="T305" s="20">
        <f>input!G304</f>
        <v>46.98</v>
      </c>
      <c r="U305" s="19">
        <f t="shared" si="125"/>
        <v>0.97988065198463947</v>
      </c>
      <c r="V305" s="19">
        <f t="shared" si="112"/>
        <v>0.99157422267057371</v>
      </c>
      <c r="W305" s="21">
        <v>1398</v>
      </c>
      <c r="X305" s="3">
        <f>W305/365+input!$K$3</f>
        <v>3.8301369863013699</v>
      </c>
      <c r="Y305" s="4">
        <f t="shared" si="126"/>
        <v>12.589299260865312</v>
      </c>
      <c r="Z305" s="12">
        <f t="shared" si="127"/>
        <v>27.135859395209948</v>
      </c>
      <c r="AA305" s="20">
        <f>input!H304</f>
        <v>0</v>
      </c>
      <c r="AB305" s="19">
        <f t="shared" si="128"/>
        <v>0.98197554006092014</v>
      </c>
      <c r="AC305" s="19">
        <f t="shared" si="129"/>
        <v>0.99519142618801715</v>
      </c>
      <c r="AD305" s="8">
        <f t="shared" si="130"/>
        <v>132593.17893379903</v>
      </c>
      <c r="AE305" s="8">
        <f t="shared" si="131"/>
        <v>76472.901050884961</v>
      </c>
      <c r="AF305" s="8">
        <f t="shared" si="132"/>
        <v>1215.2301808857555</v>
      </c>
      <c r="AG305" s="8">
        <f t="shared" si="133"/>
        <v>0</v>
      </c>
      <c r="AH305" s="8">
        <f t="shared" si="113"/>
        <v>12561.246673181502</v>
      </c>
      <c r="AI305" s="8">
        <f t="shared" si="114"/>
        <v>71813.038688118424</v>
      </c>
      <c r="AJ305" s="8">
        <f t="shared" si="134"/>
        <v>1190.7805419577455</v>
      </c>
      <c r="AK305" s="8">
        <f t="shared" si="135"/>
        <v>0</v>
      </c>
      <c r="AL305" s="8">
        <f t="shared" si="136"/>
        <v>4.0293681880597051E-2</v>
      </c>
      <c r="AM305" s="8">
        <f t="shared" si="137"/>
        <v>46554.121175542343</v>
      </c>
      <c r="AN305" s="8">
        <f t="shared" si="138"/>
        <v>1180.7472902629961</v>
      </c>
      <c r="AO305" s="8">
        <f t="shared" si="139"/>
        <v>0</v>
      </c>
    </row>
    <row r="306" spans="1:41">
      <c r="A306" s="1">
        <v>42033</v>
      </c>
      <c r="B306" s="5">
        <v>304</v>
      </c>
      <c r="C306" s="3">
        <f>B306/365+input!$K$3</f>
        <v>0.83287671232876714</v>
      </c>
      <c r="D306" s="4">
        <f t="shared" si="115"/>
        <v>5.5080088392974211</v>
      </c>
      <c r="E306" s="12">
        <f t="shared" si="116"/>
        <v>2.2725989098013306</v>
      </c>
      <c r="F306" s="20">
        <f>input!E305</f>
        <v>58844.83</v>
      </c>
      <c r="G306" s="19">
        <f t="shared" si="117"/>
        <v>0.10477365624827817</v>
      </c>
      <c r="H306" s="19">
        <f t="shared" si="118"/>
        <v>3.5280176434797045E-6</v>
      </c>
      <c r="I306" s="5">
        <v>669</v>
      </c>
      <c r="J306" s="3">
        <f>I306/365+input!$K$3</f>
        <v>1.832876712328767</v>
      </c>
      <c r="K306" s="4">
        <f t="shared" si="119"/>
        <v>10.388952685613411</v>
      </c>
      <c r="L306" s="12">
        <f t="shared" si="120"/>
        <v>15.249451164034024</v>
      </c>
      <c r="M306" s="20">
        <f>input!F305</f>
        <v>4966.25</v>
      </c>
      <c r="N306" s="19">
        <f t="shared" si="121"/>
        <v>0.93934357418110381</v>
      </c>
      <c r="O306" s="19">
        <f t="shared" si="122"/>
        <v>0.65134442639259515</v>
      </c>
      <c r="P306" s="21">
        <v>1034</v>
      </c>
      <c r="Q306" s="3">
        <f>P306/365+input!$K$3</f>
        <v>2.8328767123287673</v>
      </c>
      <c r="R306" s="4">
        <f t="shared" si="123"/>
        <v>12.393340354964232</v>
      </c>
      <c r="S306" s="12">
        <f t="shared" si="124"/>
        <v>25.888330163531709</v>
      </c>
      <c r="T306" s="20">
        <f>input!G305</f>
        <v>46.27</v>
      </c>
      <c r="U306" s="19">
        <f t="shared" si="125"/>
        <v>0.97991845010063083</v>
      </c>
      <c r="V306" s="19">
        <f t="shared" si="112"/>
        <v>0.99165212733291841</v>
      </c>
      <c r="W306" s="21">
        <v>1399</v>
      </c>
      <c r="X306" s="3">
        <f>W306/365+input!$K$3</f>
        <v>3.8328767123287673</v>
      </c>
      <c r="Y306" s="4">
        <f t="shared" si="126"/>
        <v>12.589299260865312</v>
      </c>
      <c r="Z306" s="12">
        <f t="shared" si="127"/>
        <v>27.135859395209948</v>
      </c>
      <c r="AA306" s="20">
        <f>input!H305</f>
        <v>0</v>
      </c>
      <c r="AB306" s="19">
        <f t="shared" si="128"/>
        <v>0.98197554006092014</v>
      </c>
      <c r="AC306" s="19">
        <f t="shared" si="129"/>
        <v>0.99519142618801715</v>
      </c>
      <c r="AD306" s="8">
        <f t="shared" si="130"/>
        <v>133730.69650544465</v>
      </c>
      <c r="AE306" s="8">
        <f t="shared" si="131"/>
        <v>75732.586843383979</v>
      </c>
      <c r="AF306" s="8">
        <f t="shared" si="132"/>
        <v>1197.8530366666123</v>
      </c>
      <c r="AG306" s="8">
        <f t="shared" si="133"/>
        <v>0</v>
      </c>
      <c r="AH306" s="8">
        <f t="shared" si="113"/>
        <v>14011.454025504272</v>
      </c>
      <c r="AI306" s="8">
        <f t="shared" si="114"/>
        <v>71138.918807445152</v>
      </c>
      <c r="AJ306" s="8">
        <f t="shared" si="134"/>
        <v>1173.798291138681</v>
      </c>
      <c r="AK306" s="8">
        <f t="shared" si="135"/>
        <v>0</v>
      </c>
      <c r="AL306" s="8">
        <f t="shared" si="136"/>
        <v>4.94326570127838E-2</v>
      </c>
      <c r="AM306" s="8">
        <f t="shared" si="137"/>
        <v>46335.938264824763</v>
      </c>
      <c r="AN306" s="8">
        <f t="shared" si="138"/>
        <v>1163.9995724674172</v>
      </c>
      <c r="AO306" s="8">
        <f t="shared" si="139"/>
        <v>0</v>
      </c>
    </row>
    <row r="307" spans="1:41">
      <c r="A307" s="1">
        <v>42034</v>
      </c>
      <c r="B307" s="5">
        <v>305</v>
      </c>
      <c r="C307" s="3">
        <f>B307/365+input!$K$3</f>
        <v>0.83561643835616439</v>
      </c>
      <c r="D307" s="4">
        <f t="shared" si="115"/>
        <v>5.5281786828728308</v>
      </c>
      <c r="E307" s="12">
        <f t="shared" si="116"/>
        <v>2.2976566168659636</v>
      </c>
      <c r="F307" s="20">
        <f>input!E306</f>
        <v>58698.47</v>
      </c>
      <c r="G307" s="19">
        <f t="shared" si="117"/>
        <v>0.11467671478426633</v>
      </c>
      <c r="H307" s="19">
        <f t="shared" si="118"/>
        <v>3.8778109325312792E-6</v>
      </c>
      <c r="I307" s="5">
        <v>670</v>
      </c>
      <c r="J307" s="3">
        <f>I307/365+input!$K$3</f>
        <v>1.8356164383561644</v>
      </c>
      <c r="K307" s="4">
        <f t="shared" si="119"/>
        <v>10.397235547909768</v>
      </c>
      <c r="L307" s="12">
        <f t="shared" si="120"/>
        <v>15.285954314415369</v>
      </c>
      <c r="M307" s="20">
        <f>input!F306</f>
        <v>4953.8999999999996</v>
      </c>
      <c r="N307" s="19">
        <f t="shared" si="121"/>
        <v>0.93962002183540005</v>
      </c>
      <c r="O307" s="19">
        <f t="shared" si="122"/>
        <v>0.65440311466297341</v>
      </c>
      <c r="P307" s="21">
        <v>1035</v>
      </c>
      <c r="Q307" s="3">
        <f>P307/365+input!$K$3</f>
        <v>2.8356164383561642</v>
      </c>
      <c r="R307" s="4">
        <f t="shared" si="123"/>
        <v>12.396741760015486</v>
      </c>
      <c r="S307" s="12">
        <f t="shared" si="124"/>
        <v>25.909651501656178</v>
      </c>
      <c r="T307" s="20">
        <f>input!G306</f>
        <v>46.15</v>
      </c>
      <c r="U307" s="19">
        <f t="shared" si="125"/>
        <v>0.97995608541159163</v>
      </c>
      <c r="V307" s="19">
        <f t="shared" si="112"/>
        <v>0.99172921141429604</v>
      </c>
      <c r="W307" s="21">
        <v>1400</v>
      </c>
      <c r="X307" s="3">
        <f>W307/365+input!$K$3</f>
        <v>3.8356164383561642</v>
      </c>
      <c r="Y307" s="4">
        <f t="shared" si="126"/>
        <v>12.589299260865312</v>
      </c>
      <c r="Z307" s="12">
        <f t="shared" si="127"/>
        <v>27.135859395209948</v>
      </c>
      <c r="AA307" s="20">
        <f>input!H306</f>
        <v>0</v>
      </c>
      <c r="AB307" s="19">
        <f t="shared" si="128"/>
        <v>0.98197554006092014</v>
      </c>
      <c r="AC307" s="19">
        <f t="shared" si="129"/>
        <v>0.99519142618801715</v>
      </c>
      <c r="AD307" s="8">
        <f t="shared" si="130"/>
        <v>134868.92799540824</v>
      </c>
      <c r="AE307" s="8">
        <f t="shared" si="131"/>
        <v>75725.089078182296</v>
      </c>
      <c r="AF307" s="8">
        <f t="shared" si="132"/>
        <v>1195.7304168014325</v>
      </c>
      <c r="AG307" s="8">
        <f t="shared" si="133"/>
        <v>0</v>
      </c>
      <c r="AH307" s="8">
        <f t="shared" si="113"/>
        <v>15466.325588989184</v>
      </c>
      <c r="AI307" s="8">
        <f t="shared" si="114"/>
        <v>71152.809853129264</v>
      </c>
      <c r="AJ307" s="8">
        <f t="shared" si="134"/>
        <v>1171.7632984563027</v>
      </c>
      <c r="AK307" s="8">
        <f t="shared" si="135"/>
        <v>0</v>
      </c>
      <c r="AL307" s="8">
        <f t="shared" si="136"/>
        <v>5.9975486455070531E-2</v>
      </c>
      <c r="AM307" s="8">
        <f t="shared" si="137"/>
        <v>46562.620384910093</v>
      </c>
      <c r="AN307" s="8">
        <f t="shared" si="138"/>
        <v>1162.0718919422834</v>
      </c>
      <c r="AO307" s="8">
        <f t="shared" si="139"/>
        <v>0</v>
      </c>
    </row>
    <row r="308" spans="1:41">
      <c r="A308" s="1">
        <v>42035</v>
      </c>
      <c r="B308" s="5">
        <v>306</v>
      </c>
      <c r="C308" s="3">
        <f>B308/365+input!$K$3</f>
        <v>0.83835616438356164</v>
      </c>
      <c r="D308" s="4">
        <f t="shared" si="115"/>
        <v>5.5482994050978354</v>
      </c>
      <c r="E308" s="12">
        <f t="shared" si="116"/>
        <v>2.3228361457642697</v>
      </c>
      <c r="F308" s="20">
        <f>input!E307</f>
        <v>58552.46</v>
      </c>
      <c r="G308" s="19">
        <f t="shared" si="117"/>
        <v>0.12444650608372332</v>
      </c>
      <c r="H308" s="19">
        <f t="shared" si="118"/>
        <v>4.2596448570463008E-6</v>
      </c>
      <c r="I308" s="5">
        <v>671</v>
      </c>
      <c r="J308" s="3">
        <f>I308/365+input!$K$3</f>
        <v>1.8383561643835618</v>
      </c>
      <c r="K308" s="4">
        <f t="shared" si="119"/>
        <v>10.405498238240998</v>
      </c>
      <c r="L308" s="12">
        <f t="shared" si="120"/>
        <v>15.322426559203167</v>
      </c>
      <c r="M308" s="20">
        <f>input!F307</f>
        <v>4893.47</v>
      </c>
      <c r="N308" s="19">
        <f t="shared" si="121"/>
        <v>0.93989454088977131</v>
      </c>
      <c r="O308" s="19">
        <f t="shared" si="122"/>
        <v>0.65744434341781777</v>
      </c>
      <c r="P308" s="21">
        <v>1036</v>
      </c>
      <c r="Q308" s="3">
        <f>P308/365+input!$K$3</f>
        <v>2.8383561643835615</v>
      </c>
      <c r="R308" s="4">
        <f t="shared" si="123"/>
        <v>12.400134881333218</v>
      </c>
      <c r="S308" s="12">
        <f t="shared" si="124"/>
        <v>25.93093257483908</v>
      </c>
      <c r="T308" s="20">
        <f>input!G307</f>
        <v>45.44</v>
      </c>
      <c r="U308" s="19">
        <f t="shared" si="125"/>
        <v>0.97999355879016559</v>
      </c>
      <c r="V308" s="19">
        <f t="shared" si="112"/>
        <v>0.99180548419064274</v>
      </c>
      <c r="W308" s="21">
        <v>1401</v>
      </c>
      <c r="X308" s="3">
        <f>W308/365+input!$K$3</f>
        <v>3.8383561643835615</v>
      </c>
      <c r="Y308" s="4">
        <f t="shared" si="126"/>
        <v>12.589299260865312</v>
      </c>
      <c r="Z308" s="12">
        <f t="shared" si="127"/>
        <v>27.135859395209948</v>
      </c>
      <c r="AA308" s="20">
        <f>input!H307</f>
        <v>0</v>
      </c>
      <c r="AB308" s="19">
        <f t="shared" si="128"/>
        <v>0.98197554006092014</v>
      </c>
      <c r="AC308" s="19">
        <f t="shared" si="129"/>
        <v>0.99519142618801715</v>
      </c>
      <c r="AD308" s="8">
        <f t="shared" si="130"/>
        <v>136007.77051141657</v>
      </c>
      <c r="AE308" s="8">
        <f t="shared" si="131"/>
        <v>74979.834694663921</v>
      </c>
      <c r="AF308" s="8">
        <f t="shared" si="132"/>
        <v>1178.3015762006878</v>
      </c>
      <c r="AG308" s="8">
        <f t="shared" si="133"/>
        <v>0</v>
      </c>
      <c r="AH308" s="8">
        <f t="shared" si="113"/>
        <v>16925.691840382646</v>
      </c>
      <c r="AI308" s="8">
        <f t="shared" si="114"/>
        <v>70473.137306332093</v>
      </c>
      <c r="AJ308" s="8">
        <f t="shared" si="134"/>
        <v>1154.7279549889736</v>
      </c>
      <c r="AK308" s="8">
        <f t="shared" si="135"/>
        <v>0</v>
      </c>
      <c r="AL308" s="8">
        <f t="shared" si="136"/>
        <v>7.2097436199836468E-2</v>
      </c>
      <c r="AM308" s="8">
        <f t="shared" si="137"/>
        <v>46332.165484955221</v>
      </c>
      <c r="AN308" s="8">
        <f t="shared" si="138"/>
        <v>1145.2655185063097</v>
      </c>
      <c r="AO308" s="8">
        <f t="shared" si="139"/>
        <v>0</v>
      </c>
    </row>
    <row r="309" spans="1:41">
      <c r="A309" s="1">
        <v>42036</v>
      </c>
      <c r="B309" s="5">
        <v>307</v>
      </c>
      <c r="C309" s="3">
        <f>B309/365+input!$K$3</f>
        <v>0.84109589041095889</v>
      </c>
      <c r="D309" s="4">
        <f t="shared" si="115"/>
        <v>5.5683711256018711</v>
      </c>
      <c r="E309" s="12">
        <f t="shared" si="116"/>
        <v>2.3481369725592387</v>
      </c>
      <c r="F309" s="20">
        <f>input!E308</f>
        <v>58406.83</v>
      </c>
      <c r="G309" s="19">
        <f t="shared" si="117"/>
        <v>0.13408508434166155</v>
      </c>
      <c r="H309" s="19">
        <f t="shared" si="118"/>
        <v>4.676194421880856E-6</v>
      </c>
      <c r="I309" s="5">
        <v>672</v>
      </c>
      <c r="J309" s="3">
        <f>I309/365+input!$K$3</f>
        <v>1.8410958904109589</v>
      </c>
      <c r="K309" s="4">
        <f t="shared" si="119"/>
        <v>10.413740805733617</v>
      </c>
      <c r="L309" s="12">
        <f t="shared" si="120"/>
        <v>15.358867737398066</v>
      </c>
      <c r="M309" s="20">
        <f>input!F308</f>
        <v>4881.3</v>
      </c>
      <c r="N309" s="19">
        <f t="shared" si="121"/>
        <v>0.94016714782785171</v>
      </c>
      <c r="O309" s="19">
        <f t="shared" si="122"/>
        <v>0.66046803033067247</v>
      </c>
      <c r="P309" s="21">
        <v>1037</v>
      </c>
      <c r="Q309" s="3">
        <f>P309/365+input!$K$3</f>
        <v>2.8410958904109589</v>
      </c>
      <c r="R309" s="4">
        <f t="shared" si="123"/>
        <v>12.403519739091511</v>
      </c>
      <c r="S309" s="12">
        <f t="shared" si="124"/>
        <v>25.952173427589546</v>
      </c>
      <c r="T309" s="20">
        <f>input!G308</f>
        <v>45.33</v>
      </c>
      <c r="U309" s="19">
        <f t="shared" si="125"/>
        <v>0.98003087110334797</v>
      </c>
      <c r="V309" s="19">
        <f t="shared" si="112"/>
        <v>0.9918809548295956</v>
      </c>
      <c r="W309" s="21">
        <v>1402</v>
      </c>
      <c r="X309" s="3">
        <f>W309/365+input!$K$3</f>
        <v>3.8410958904109589</v>
      </c>
      <c r="Y309" s="4">
        <f t="shared" si="126"/>
        <v>12.589299260865312</v>
      </c>
      <c r="Z309" s="12">
        <f t="shared" si="127"/>
        <v>27.135859395209948</v>
      </c>
      <c r="AA309" s="20">
        <f>input!H308</f>
        <v>0</v>
      </c>
      <c r="AB309" s="19">
        <f t="shared" si="128"/>
        <v>0.98197554006092014</v>
      </c>
      <c r="AC309" s="19">
        <f t="shared" si="129"/>
        <v>0.99519142618801715</v>
      </c>
      <c r="AD309" s="8">
        <f t="shared" si="130"/>
        <v>137147.23697298212</v>
      </c>
      <c r="AE309" s="8">
        <f t="shared" si="131"/>
        <v>74971.241086561189</v>
      </c>
      <c r="AF309" s="8">
        <f t="shared" si="132"/>
        <v>1176.412021472634</v>
      </c>
      <c r="AG309" s="8">
        <f t="shared" si="133"/>
        <v>0</v>
      </c>
      <c r="AH309" s="8">
        <f t="shared" si="113"/>
        <v>18389.398836748151</v>
      </c>
      <c r="AI309" s="8">
        <f t="shared" si="114"/>
        <v>70485.497901466486</v>
      </c>
      <c r="AJ309" s="8">
        <f t="shared" si="134"/>
        <v>1152.920098180276</v>
      </c>
      <c r="AK309" s="8">
        <f t="shared" si="135"/>
        <v>0</v>
      </c>
      <c r="AL309" s="8">
        <f t="shared" si="136"/>
        <v>8.5992404262144009E-2</v>
      </c>
      <c r="AM309" s="8">
        <f t="shared" si="137"/>
        <v>46553.417965858316</v>
      </c>
      <c r="AN309" s="8">
        <f t="shared" si="138"/>
        <v>1143.5594878252832</v>
      </c>
      <c r="AO309" s="8">
        <f t="shared" si="139"/>
        <v>0</v>
      </c>
    </row>
    <row r="310" spans="1:41">
      <c r="A310" s="1">
        <v>42037</v>
      </c>
      <c r="B310" s="5">
        <v>308</v>
      </c>
      <c r="C310" s="3">
        <f>B310/365+input!$K$3</f>
        <v>0.84383561643835614</v>
      </c>
      <c r="D310" s="4">
        <f t="shared" si="115"/>
        <v>5.5883939637230382</v>
      </c>
      <c r="E310" s="12">
        <f t="shared" si="116"/>
        <v>2.3735585708685556</v>
      </c>
      <c r="F310" s="20">
        <f>input!E309</f>
        <v>58261.55</v>
      </c>
      <c r="G310" s="19">
        <f t="shared" si="117"/>
        <v>0.14359446848457624</v>
      </c>
      <c r="H310" s="19">
        <f t="shared" si="118"/>
        <v>5.1303341634510859E-6</v>
      </c>
      <c r="I310" s="5">
        <v>673</v>
      </c>
      <c r="J310" s="3">
        <f>I310/365+input!$K$3</f>
        <v>1.8438356164383563</v>
      </c>
      <c r="K310" s="4">
        <f t="shared" si="119"/>
        <v>10.421963299394504</v>
      </c>
      <c r="L310" s="12">
        <f t="shared" si="120"/>
        <v>15.395277689207953</v>
      </c>
      <c r="M310" s="20">
        <f>input!F309</f>
        <v>4826.62</v>
      </c>
      <c r="N310" s="19">
        <f t="shared" si="121"/>
        <v>0.94043785896879128</v>
      </c>
      <c r="O310" s="19">
        <f t="shared" si="122"/>
        <v>0.66347409709312588</v>
      </c>
      <c r="P310" s="21">
        <v>1038</v>
      </c>
      <c r="Q310" s="3">
        <f>P310/365+input!$K$3</f>
        <v>2.8438356164383563</v>
      </c>
      <c r="R310" s="4">
        <f t="shared" si="123"/>
        <v>12.406896353415323</v>
      </c>
      <c r="S310" s="12">
        <f t="shared" si="124"/>
        <v>25.973374104545737</v>
      </c>
      <c r="T310" s="20">
        <f>input!G309</f>
        <v>44.51</v>
      </c>
      <c r="U310" s="19">
        <f t="shared" si="125"/>
        <v>0.98006802321252806</v>
      </c>
      <c r="V310" s="19">
        <f t="shared" si="112"/>
        <v>0.99195563239174744</v>
      </c>
      <c r="W310" s="21">
        <v>1403</v>
      </c>
      <c r="X310" s="3">
        <f>W310/365+input!$K$3</f>
        <v>3.8438356164383563</v>
      </c>
      <c r="Y310" s="4">
        <f t="shared" si="126"/>
        <v>12.589299260865312</v>
      </c>
      <c r="Z310" s="12">
        <f t="shared" si="127"/>
        <v>27.135859395209948</v>
      </c>
      <c r="AA310" s="20">
        <f>input!H309</f>
        <v>0</v>
      </c>
      <c r="AB310" s="19">
        <f t="shared" si="128"/>
        <v>0.98197554006092014</v>
      </c>
      <c r="AC310" s="19">
        <f t="shared" si="129"/>
        <v>0.99519142618801715</v>
      </c>
      <c r="AD310" s="8">
        <f t="shared" si="130"/>
        <v>138287.2013545869</v>
      </c>
      <c r="AE310" s="8">
        <f t="shared" si="131"/>
        <v>74307.155200284891</v>
      </c>
      <c r="AF310" s="8">
        <f t="shared" si="132"/>
        <v>1156.0748813933308</v>
      </c>
      <c r="AG310" s="8">
        <f t="shared" si="133"/>
        <v>0</v>
      </c>
      <c r="AH310" s="8">
        <f t="shared" si="113"/>
        <v>19857.277176731477</v>
      </c>
      <c r="AI310" s="8">
        <f t="shared" si="114"/>
        <v>69881.26194261761</v>
      </c>
      <c r="AJ310" s="8">
        <f t="shared" si="134"/>
        <v>1133.0320236928196</v>
      </c>
      <c r="AK310" s="8">
        <f t="shared" si="135"/>
        <v>0</v>
      </c>
      <c r="AL310" s="8">
        <f t="shared" si="136"/>
        <v>0.10187446749290302</v>
      </c>
      <c r="AM310" s="8">
        <f t="shared" si="137"/>
        <v>46364.407171106439</v>
      </c>
      <c r="AN310" s="8">
        <f t="shared" si="138"/>
        <v>1123.9174975823123</v>
      </c>
      <c r="AO310" s="8">
        <f t="shared" si="139"/>
        <v>0</v>
      </c>
    </row>
    <row r="311" spans="1:41">
      <c r="A311" s="1">
        <v>42038</v>
      </c>
      <c r="B311" s="5">
        <v>309</v>
      </c>
      <c r="C311" s="3">
        <f>B311/365+input!$K$3</f>
        <v>0.84657534246575339</v>
      </c>
      <c r="D311" s="4">
        <f t="shared" si="115"/>
        <v>5.608368038508794</v>
      </c>
      <c r="E311" s="12">
        <f t="shared" si="116"/>
        <v>2.3991004119238188</v>
      </c>
      <c r="F311" s="20">
        <f>input!E310</f>
        <v>58116.639999999999</v>
      </c>
      <c r="G311" s="19">
        <f t="shared" si="117"/>
        <v>0.15297664283311074</v>
      </c>
      <c r="H311" s="19">
        <f t="shared" si="118"/>
        <v>5.6251510214313312E-6</v>
      </c>
      <c r="I311" s="5">
        <v>674</v>
      </c>
      <c r="J311" s="3">
        <f>I311/365+input!$K$3</f>
        <v>1.8465753424657534</v>
      </c>
      <c r="K311" s="4">
        <f t="shared" si="119"/>
        <v>10.430165768111179</v>
      </c>
      <c r="L311" s="12">
        <f t="shared" si="120"/>
        <v>15.431656256043441</v>
      </c>
      <c r="M311" s="20">
        <f>input!F310</f>
        <v>4814.62</v>
      </c>
      <c r="N311" s="19">
        <f t="shared" si="121"/>
        <v>0.94070669046911304</v>
      </c>
      <c r="O311" s="19">
        <f t="shared" si="122"/>
        <v>0.66646246937204157</v>
      </c>
      <c r="P311" s="21">
        <v>1039</v>
      </c>
      <c r="Q311" s="3">
        <f>P311/365+input!$K$3</f>
        <v>2.8465753424657536</v>
      </c>
      <c r="R311" s="4">
        <f t="shared" si="123"/>
        <v>12.410264744380598</v>
      </c>
      <c r="S311" s="12">
        <f t="shared" si="124"/>
        <v>25.994534650473469</v>
      </c>
      <c r="T311" s="20">
        <f>input!G310</f>
        <v>44.4</v>
      </c>
      <c r="U311" s="19">
        <f t="shared" si="125"/>
        <v>0.98010501597353117</v>
      </c>
      <c r="V311" s="19">
        <f t="shared" si="112"/>
        <v>0.99202952583188631</v>
      </c>
      <c r="W311" s="21">
        <v>1404</v>
      </c>
      <c r="X311" s="3">
        <f>W311/365+input!$K$3</f>
        <v>3.8465753424657536</v>
      </c>
      <c r="Y311" s="4">
        <f t="shared" si="126"/>
        <v>12.589299260865312</v>
      </c>
      <c r="Z311" s="12">
        <f t="shared" si="127"/>
        <v>27.135859395209948</v>
      </c>
      <c r="AA311" s="20">
        <f>input!H310</f>
        <v>0</v>
      </c>
      <c r="AB311" s="19">
        <f t="shared" si="128"/>
        <v>0.98197554006092014</v>
      </c>
      <c r="AC311" s="19">
        <f t="shared" si="129"/>
        <v>0.99519142618801715</v>
      </c>
      <c r="AD311" s="8">
        <f t="shared" si="130"/>
        <v>139427.65496362827</v>
      </c>
      <c r="AE311" s="8">
        <f t="shared" si="131"/>
        <v>74297.560843471874</v>
      </c>
      <c r="AF311" s="8">
        <f t="shared" si="132"/>
        <v>1154.157338481022</v>
      </c>
      <c r="AG311" s="8">
        <f t="shared" si="133"/>
        <v>0</v>
      </c>
      <c r="AH311" s="8">
        <f t="shared" si="113"/>
        <v>21329.174574429162</v>
      </c>
      <c r="AI311" s="8">
        <f t="shared" si="114"/>
        <v>69892.212570989985</v>
      </c>
      <c r="AJ311" s="8">
        <f t="shared" si="134"/>
        <v>1131.1953966679102</v>
      </c>
      <c r="AK311" s="8">
        <f t="shared" si="135"/>
        <v>0</v>
      </c>
      <c r="AL311" s="8">
        <f t="shared" si="136"/>
        <v>0.11997982814363738</v>
      </c>
      <c r="AM311" s="8">
        <f t="shared" si="137"/>
        <v>46580.53657993763</v>
      </c>
      <c r="AN311" s="8">
        <f t="shared" si="138"/>
        <v>1122.1792329796795</v>
      </c>
      <c r="AO311" s="8">
        <f t="shared" si="139"/>
        <v>0</v>
      </c>
    </row>
    <row r="312" spans="1:41">
      <c r="A312" s="1">
        <v>42039</v>
      </c>
      <c r="B312" s="5">
        <v>310</v>
      </c>
      <c r="C312" s="3">
        <f>B312/365+input!$K$3</f>
        <v>0.84931506849315064</v>
      </c>
      <c r="D312" s="4">
        <f t="shared" si="115"/>
        <v>5.628293468716671</v>
      </c>
      <c r="E312" s="12">
        <f t="shared" si="116"/>
        <v>2.4247619646291292</v>
      </c>
      <c r="F312" s="20">
        <f>input!E311</f>
        <v>57972.08</v>
      </c>
      <c r="G312" s="19">
        <f t="shared" si="117"/>
        <v>0.16223355775126447</v>
      </c>
      <c r="H312" s="19">
        <f t="shared" si="118"/>
        <v>6.1639578851795373E-6</v>
      </c>
      <c r="I312" s="5">
        <v>675</v>
      </c>
      <c r="J312" s="3">
        <f>I312/365+input!$K$3</f>
        <v>1.8493150684931507</v>
      </c>
      <c r="K312" s="4">
        <f t="shared" si="119"/>
        <v>10.438348260652111</v>
      </c>
      <c r="L312" s="12">
        <f t="shared" si="120"/>
        <v>15.468003280513468</v>
      </c>
      <c r="M312" s="20">
        <f>input!F311</f>
        <v>4764.07</v>
      </c>
      <c r="N312" s="19">
        <f t="shared" si="121"/>
        <v>0.94097365832454727</v>
      </c>
      <c r="O312" s="19">
        <f t="shared" si="122"/>
        <v>0.66943307676612751</v>
      </c>
      <c r="P312" s="21">
        <v>1040</v>
      </c>
      <c r="Q312" s="3">
        <f>P312/365+input!$K$3</f>
        <v>2.8493150684931505</v>
      </c>
      <c r="R312" s="4">
        <f t="shared" si="123"/>
        <v>12.413624932014383</v>
      </c>
      <c r="S312" s="12">
        <f t="shared" si="124"/>
        <v>26.015655110264902</v>
      </c>
      <c r="T312" s="20">
        <f>input!G311</f>
        <v>43.82</v>
      </c>
      <c r="U312" s="19">
        <f t="shared" si="125"/>
        <v>0.98014185023666067</v>
      </c>
      <c r="V312" s="19">
        <f t="shared" si="112"/>
        <v>0.99210264400022219</v>
      </c>
      <c r="W312" s="21">
        <v>1405</v>
      </c>
      <c r="X312" s="3">
        <f>W312/365+input!$K$3</f>
        <v>3.8493150684931505</v>
      </c>
      <c r="Y312" s="4">
        <f t="shared" si="126"/>
        <v>12.589299260865312</v>
      </c>
      <c r="Z312" s="12">
        <f t="shared" si="127"/>
        <v>27.135859395209948</v>
      </c>
      <c r="AA312" s="20">
        <f>input!H311</f>
        <v>0</v>
      </c>
      <c r="AB312" s="19">
        <f t="shared" si="128"/>
        <v>0.98197554006092014</v>
      </c>
      <c r="AC312" s="19">
        <f t="shared" si="129"/>
        <v>0.99519142618801715</v>
      </c>
      <c r="AD312" s="8">
        <f t="shared" si="130"/>
        <v>140568.49459443704</v>
      </c>
      <c r="AE312" s="8">
        <f t="shared" si="131"/>
        <v>73690.650388595794</v>
      </c>
      <c r="AF312" s="8">
        <f t="shared" si="132"/>
        <v>1140.0060069318081</v>
      </c>
      <c r="AG312" s="8">
        <f t="shared" si="133"/>
        <v>0</v>
      </c>
      <c r="AH312" s="8">
        <f t="shared" si="113"/>
        <v>22804.926985794908</v>
      </c>
      <c r="AI312" s="8">
        <f t="shared" si="114"/>
        <v>69340.960880472208</v>
      </c>
      <c r="AJ312" s="8">
        <f t="shared" si="134"/>
        <v>1117.3675969150497</v>
      </c>
      <c r="AK312" s="8">
        <f t="shared" si="135"/>
        <v>0</v>
      </c>
      <c r="AL312" s="8">
        <f t="shared" si="136"/>
        <v>0.14056860951503414</v>
      </c>
      <c r="AM312" s="8">
        <f t="shared" si="137"/>
        <v>46419.132788134193</v>
      </c>
      <c r="AN312" s="8">
        <f t="shared" si="138"/>
        <v>1108.5433472195953</v>
      </c>
      <c r="AO312" s="8">
        <f t="shared" si="139"/>
        <v>0</v>
      </c>
    </row>
    <row r="313" spans="1:41">
      <c r="A313" s="1">
        <v>42040</v>
      </c>
      <c r="B313" s="5">
        <v>311</v>
      </c>
      <c r="C313" s="3">
        <f>B313/365+input!$K$3</f>
        <v>0.852054794520548</v>
      </c>
      <c r="D313" s="4">
        <f t="shared" si="115"/>
        <v>5.6481703728149872</v>
      </c>
      <c r="E313" s="12">
        <f t="shared" si="116"/>
        <v>2.4505426956190246</v>
      </c>
      <c r="F313" s="20">
        <f>input!E312</f>
        <v>57827.89</v>
      </c>
      <c r="G313" s="19">
        <f t="shared" si="117"/>
        <v>0.17136713028244066</v>
      </c>
      <c r="H313" s="19">
        <f t="shared" si="118"/>
        <v>6.7503078392869067E-6</v>
      </c>
      <c r="I313" s="5">
        <v>676</v>
      </c>
      <c r="J313" s="3">
        <f>I313/365+input!$K$3</f>
        <v>1.8520547945205479</v>
      </c>
      <c r="K313" s="4">
        <f t="shared" si="119"/>
        <v>10.446510825666989</v>
      </c>
      <c r="L313" s="12">
        <f t="shared" si="120"/>
        <v>15.504318606420735</v>
      </c>
      <c r="M313" s="20">
        <f>input!F312</f>
        <v>4752.22</v>
      </c>
      <c r="N313" s="19">
        <f t="shared" si="121"/>
        <v>0.94123877837184233</v>
      </c>
      <c r="O313" s="19">
        <f t="shared" si="122"/>
        <v>0.67238585276185758</v>
      </c>
      <c r="P313" s="21">
        <v>1041</v>
      </c>
      <c r="Q313" s="3">
        <f>P313/365+input!$K$3</f>
        <v>2.8520547945205479</v>
      </c>
      <c r="R313" s="4">
        <f t="shared" si="123"/>
        <v>12.416976936294958</v>
      </c>
      <c r="S313" s="12">
        <f t="shared" si="124"/>
        <v>26.036735528937363</v>
      </c>
      <c r="T313" s="20">
        <f>input!G312</f>
        <v>43.71</v>
      </c>
      <c r="U313" s="19">
        <f t="shared" si="125"/>
        <v>0.98017852684673934</v>
      </c>
      <c r="V313" s="19">
        <f t="shared" si="112"/>
        <v>0.99217499564360068</v>
      </c>
      <c r="W313" s="21">
        <v>1406</v>
      </c>
      <c r="X313" s="3">
        <f>W313/365+input!$K$3</f>
        <v>3.8520547945205479</v>
      </c>
      <c r="Y313" s="4">
        <f t="shared" si="126"/>
        <v>12.589299260865312</v>
      </c>
      <c r="Z313" s="12">
        <f t="shared" si="127"/>
        <v>27.135859395209948</v>
      </c>
      <c r="AA313" s="20">
        <f>input!H312</f>
        <v>0</v>
      </c>
      <c r="AB313" s="19">
        <f t="shared" si="128"/>
        <v>0.98197554006092014</v>
      </c>
      <c r="AC313" s="19">
        <f t="shared" si="129"/>
        <v>0.99519142618801715</v>
      </c>
      <c r="AD313" s="8">
        <f t="shared" si="130"/>
        <v>141709.71344256043</v>
      </c>
      <c r="AE313" s="8">
        <f t="shared" si="131"/>
        <v>73679.932967804751</v>
      </c>
      <c r="AF313" s="8">
        <f t="shared" si="132"/>
        <v>1138.0657099698522</v>
      </c>
      <c r="AG313" s="8">
        <f t="shared" si="133"/>
        <v>0</v>
      </c>
      <c r="AH313" s="8">
        <f t="shared" si="113"/>
        <v>24284.386925798586</v>
      </c>
      <c r="AI313" s="8">
        <f t="shared" si="114"/>
        <v>69350.410097135769</v>
      </c>
      <c r="AJ313" s="8">
        <f t="shared" si="134"/>
        <v>1115.5075710530382</v>
      </c>
      <c r="AK313" s="8">
        <f t="shared" si="135"/>
        <v>0</v>
      </c>
      <c r="AL313" s="8">
        <f t="shared" si="136"/>
        <v>0.16392708743749465</v>
      </c>
      <c r="AM313" s="8">
        <f t="shared" si="137"/>
        <v>46630.234632547174</v>
      </c>
      <c r="AN313" s="8">
        <f t="shared" si="138"/>
        <v>1106.7787194499517</v>
      </c>
      <c r="AO313" s="8">
        <f t="shared" si="139"/>
        <v>0</v>
      </c>
    </row>
    <row r="314" spans="1:41">
      <c r="A314" s="1">
        <v>42041</v>
      </c>
      <c r="B314" s="5">
        <v>312</v>
      </c>
      <c r="C314" s="3">
        <f>B314/365+input!$K$3</f>
        <v>0.85479452054794525</v>
      </c>
      <c r="D314" s="4">
        <f t="shared" si="115"/>
        <v>5.6679988689835366</v>
      </c>
      <c r="E314" s="12">
        <f t="shared" si="116"/>
        <v>2.476442069315735</v>
      </c>
      <c r="F314" s="20">
        <f>input!E313</f>
        <v>57684.05</v>
      </c>
      <c r="G314" s="19">
        <f t="shared" si="117"/>
        <v>0.1803792447725977</v>
      </c>
      <c r="H314" s="19">
        <f t="shared" si="118"/>
        <v>7.3880091328120809E-6</v>
      </c>
      <c r="I314" s="5">
        <v>677</v>
      </c>
      <c r="J314" s="3">
        <f>I314/365+input!$K$3</f>
        <v>1.8547945205479452</v>
      </c>
      <c r="K314" s="4">
        <f t="shared" si="119"/>
        <v>10.454653511687033</v>
      </c>
      <c r="L314" s="12">
        <f t="shared" si="120"/>
        <v>15.540602078757356</v>
      </c>
      <c r="M314" s="20">
        <f>input!F313</f>
        <v>4700.2700000000004</v>
      </c>
      <c r="N314" s="19">
        <f t="shared" si="121"/>
        <v>0.94150206629055355</v>
      </c>
      <c r="O314" s="19">
        <f t="shared" si="122"/>
        <v>0.67532073468880727</v>
      </c>
      <c r="P314" s="21">
        <v>1042</v>
      </c>
      <c r="Q314" s="3">
        <f>P314/365+input!$K$3</f>
        <v>2.8547945205479452</v>
      </c>
      <c r="R314" s="4">
        <f t="shared" si="123"/>
        <v>12.420320777151947</v>
      </c>
      <c r="S314" s="12">
        <f t="shared" si="124"/>
        <v>26.05777595163195</v>
      </c>
      <c r="T314" s="20">
        <f>input!G313</f>
        <v>43.05</v>
      </c>
      <c r="U314" s="19">
        <f t="shared" si="125"/>
        <v>0.98021504664315029</v>
      </c>
      <c r="V314" s="19">
        <f t="shared" si="112"/>
        <v>0.99224658940670363</v>
      </c>
      <c r="W314" s="21">
        <v>1407</v>
      </c>
      <c r="X314" s="3">
        <f>W314/365+input!$K$3</f>
        <v>3.8547945205479452</v>
      </c>
      <c r="Y314" s="4">
        <f t="shared" si="126"/>
        <v>12.589299260865312</v>
      </c>
      <c r="Z314" s="12">
        <f t="shared" si="127"/>
        <v>27.135859395209948</v>
      </c>
      <c r="AA314" s="20">
        <f>input!H313</f>
        <v>0</v>
      </c>
      <c r="AB314" s="19">
        <f t="shared" si="128"/>
        <v>0.98197554006092014</v>
      </c>
      <c r="AC314" s="19">
        <f t="shared" si="129"/>
        <v>0.99519142618801715</v>
      </c>
      <c r="AD314" s="8">
        <f t="shared" si="130"/>
        <v>142851.20814851232</v>
      </c>
      <c r="AE314" s="8">
        <f t="shared" si="131"/>
        <v>73045.025732720838</v>
      </c>
      <c r="AF314" s="8">
        <f t="shared" si="132"/>
        <v>1121.7872547177553</v>
      </c>
      <c r="AG314" s="8">
        <f t="shared" si="133"/>
        <v>0</v>
      </c>
      <c r="AH314" s="8">
        <f t="shared" si="113"/>
        <v>25767.393040681807</v>
      </c>
      <c r="AI314" s="8">
        <f t="shared" si="114"/>
        <v>68772.042659603321</v>
      </c>
      <c r="AJ314" s="8">
        <f t="shared" si="134"/>
        <v>1099.592746206856</v>
      </c>
      <c r="AK314" s="8">
        <f t="shared" si="135"/>
        <v>0</v>
      </c>
      <c r="AL314" s="8">
        <f t="shared" si="136"/>
        <v>0.19036973511331565</v>
      </c>
      <c r="AM314" s="8">
        <f t="shared" si="137"/>
        <v>46443.186374933313</v>
      </c>
      <c r="AN314" s="8">
        <f t="shared" si="138"/>
        <v>1091.0671521601039</v>
      </c>
      <c r="AO314" s="8">
        <f t="shared" si="139"/>
        <v>0</v>
      </c>
    </row>
    <row r="315" spans="1:41">
      <c r="A315" s="1">
        <v>42042</v>
      </c>
      <c r="B315" s="5">
        <v>313</v>
      </c>
      <c r="C315" s="3">
        <f>B315/365+input!$K$3</f>
        <v>0.8575342465753425</v>
      </c>
      <c r="D315" s="4">
        <f t="shared" si="115"/>
        <v>5.6877790751143049</v>
      </c>
      <c r="E315" s="12">
        <f t="shared" si="116"/>
        <v>2.502459547985838</v>
      </c>
      <c r="F315" s="20">
        <f>input!E314</f>
        <v>57540.57</v>
      </c>
      <c r="G315" s="19">
        <f t="shared" si="117"/>
        <v>0.18927175348081982</v>
      </c>
      <c r="H315" s="19">
        <f t="shared" si="118"/>
        <v>8.0811408968740928E-6</v>
      </c>
      <c r="I315" s="5">
        <v>678</v>
      </c>
      <c r="J315" s="3">
        <f>I315/365+input!$K$3</f>
        <v>1.8575342465753424</v>
      </c>
      <c r="K315" s="4">
        <f t="shared" si="119"/>
        <v>10.46277636712526</v>
      </c>
      <c r="L315" s="12">
        <f t="shared" si="120"/>
        <v>15.576853543700272</v>
      </c>
      <c r="M315" s="20">
        <f>input!F314</f>
        <v>4688.58</v>
      </c>
      <c r="N315" s="19">
        <f t="shared" si="121"/>
        <v>0.94176353760480902</v>
      </c>
      <c r="O315" s="19">
        <f t="shared" si="122"/>
        <v>0.67823766367440652</v>
      </c>
      <c r="P315" s="21">
        <v>1043</v>
      </c>
      <c r="Q315" s="3">
        <f>P315/365+input!$K$3</f>
        <v>2.8575342465753426</v>
      </c>
      <c r="R315" s="4">
        <f t="shared" si="123"/>
        <v>12.42365647446643</v>
      </c>
      <c r="S315" s="12">
        <f t="shared" si="124"/>
        <v>26.078776423612268</v>
      </c>
      <c r="T315" s="20">
        <f>input!G314</f>
        <v>42.94</v>
      </c>
      <c r="U315" s="19">
        <f t="shared" si="125"/>
        <v>0.98025141045987818</v>
      </c>
      <c r="V315" s="19">
        <f t="shared" si="112"/>
        <v>0.99231743383323567</v>
      </c>
      <c r="W315" s="21">
        <v>1408</v>
      </c>
      <c r="X315" s="3">
        <f>W315/365+input!$K$3</f>
        <v>3.8575342465753426</v>
      </c>
      <c r="Y315" s="4">
        <f t="shared" si="126"/>
        <v>12.589299260865312</v>
      </c>
      <c r="Z315" s="12">
        <f t="shared" si="127"/>
        <v>27.135859395209948</v>
      </c>
      <c r="AA315" s="20">
        <f>input!H314</f>
        <v>0</v>
      </c>
      <c r="AB315" s="19">
        <f t="shared" si="128"/>
        <v>0.98197554006092014</v>
      </c>
      <c r="AC315" s="19">
        <f t="shared" si="129"/>
        <v>0.99519142618801715</v>
      </c>
      <c r="AD315" s="8">
        <f t="shared" si="130"/>
        <v>143992.94879304746</v>
      </c>
      <c r="AE315" s="8">
        <f t="shared" si="131"/>
        <v>73033.323987922224</v>
      </c>
      <c r="AF315" s="8">
        <f t="shared" si="132"/>
        <v>1119.8226596299107</v>
      </c>
      <c r="AG315" s="8">
        <f t="shared" si="133"/>
        <v>0</v>
      </c>
      <c r="AH315" s="8">
        <f t="shared" si="113"/>
        <v>27253.797906933989</v>
      </c>
      <c r="AI315" s="8">
        <f t="shared" si="114"/>
        <v>68780.121561903798</v>
      </c>
      <c r="AJ315" s="8">
        <f t="shared" si="134"/>
        <v>1097.707741567152</v>
      </c>
      <c r="AK315" s="8">
        <f t="shared" si="135"/>
        <v>0</v>
      </c>
      <c r="AL315" s="8">
        <f t="shared" si="136"/>
        <v>0.22024178086086582</v>
      </c>
      <c r="AM315" s="8">
        <f t="shared" si="137"/>
        <v>46649.268955387306</v>
      </c>
      <c r="AN315" s="8">
        <f t="shared" si="138"/>
        <v>1089.2745292107929</v>
      </c>
      <c r="AO315" s="8">
        <f t="shared" si="139"/>
        <v>0</v>
      </c>
    </row>
    <row r="316" spans="1:41">
      <c r="A316" s="1">
        <v>42043</v>
      </c>
      <c r="B316" s="5">
        <v>314</v>
      </c>
      <c r="C316" s="3">
        <f>B316/365+input!$K$3</f>
        <v>0.86027397260273974</v>
      </c>
      <c r="D316" s="4">
        <f t="shared" si="115"/>
        <v>5.7075111088121639</v>
      </c>
      <c r="E316" s="12">
        <f t="shared" si="116"/>
        <v>2.5285945917962458</v>
      </c>
      <c r="F316" s="20">
        <f>input!E315</f>
        <v>57397.45</v>
      </c>
      <c r="G316" s="19">
        <f t="shared" si="117"/>
        <v>0.19804647717754043</v>
      </c>
      <c r="H316" s="19">
        <f t="shared" si="118"/>
        <v>8.8340696353336953E-6</v>
      </c>
      <c r="I316" s="5">
        <v>679</v>
      </c>
      <c r="J316" s="3">
        <f>I316/365+input!$K$3</f>
        <v>1.8602739726027397</v>
      </c>
      <c r="K316" s="4">
        <f t="shared" si="119"/>
        <v>10.470879440276789</v>
      </c>
      <c r="L316" s="12">
        <f t="shared" si="120"/>
        <v>15.613072848606889</v>
      </c>
      <c r="M316" s="20">
        <f>input!F315</f>
        <v>4638.3599999999997</v>
      </c>
      <c r="N316" s="19">
        <f t="shared" si="121"/>
        <v>0.94202320768505399</v>
      </c>
      <c r="O316" s="19">
        <f t="shared" si="122"/>
        <v>0.68113658459817661</v>
      </c>
      <c r="P316" s="21">
        <v>1044</v>
      </c>
      <c r="Q316" s="3">
        <f>P316/365+input!$K$3</f>
        <v>2.8602739726027395</v>
      </c>
      <c r="R316" s="4">
        <f t="shared" si="123"/>
        <v>12.426984048071077</v>
      </c>
      <c r="S316" s="12">
        <f t="shared" si="124"/>
        <v>26.099736990263239</v>
      </c>
      <c r="T316" s="20">
        <f>input!G315</f>
        <v>42.29</v>
      </c>
      <c r="U316" s="19">
        <f t="shared" si="125"/>
        <v>0.98028761912554907</v>
      </c>
      <c r="V316" s="19">
        <f t="shared" si="112"/>
        <v>0.99238753736709973</v>
      </c>
      <c r="W316" s="21">
        <v>1409</v>
      </c>
      <c r="X316" s="3">
        <f>W316/365+input!$K$3</f>
        <v>3.8602739726027395</v>
      </c>
      <c r="Y316" s="4">
        <f t="shared" si="126"/>
        <v>12.589299260865312</v>
      </c>
      <c r="Z316" s="12">
        <f t="shared" si="127"/>
        <v>27.135859395209948</v>
      </c>
      <c r="AA316" s="20">
        <f>input!H315</f>
        <v>0</v>
      </c>
      <c r="AB316" s="19">
        <f t="shared" si="128"/>
        <v>0.98197554006092014</v>
      </c>
      <c r="AC316" s="19">
        <f t="shared" si="129"/>
        <v>0.99519142618801715</v>
      </c>
      <c r="AD316" s="8">
        <f t="shared" si="130"/>
        <v>145134.88165289542</v>
      </c>
      <c r="AE316" s="8">
        <f t="shared" si="131"/>
        <v>72419.052578064249</v>
      </c>
      <c r="AF316" s="8">
        <f t="shared" si="132"/>
        <v>1103.7578773182324</v>
      </c>
      <c r="AG316" s="8">
        <f t="shared" si="133"/>
        <v>0</v>
      </c>
      <c r="AH316" s="8">
        <f t="shared" si="113"/>
        <v>28743.452026935181</v>
      </c>
      <c r="AI316" s="8">
        <f t="shared" si="114"/>
        <v>68220.42820710066</v>
      </c>
      <c r="AJ316" s="8">
        <f t="shared" si="134"/>
        <v>1082.00018164736</v>
      </c>
      <c r="AK316" s="8">
        <f t="shared" si="135"/>
        <v>0</v>
      </c>
      <c r="AL316" s="8">
        <f t="shared" si="136"/>
        <v>0.25392165676581885</v>
      </c>
      <c r="AM316" s="8">
        <f t="shared" si="137"/>
        <v>46467.429468809656</v>
      </c>
      <c r="AN316" s="8">
        <f t="shared" si="138"/>
        <v>1073.7634956957781</v>
      </c>
      <c r="AO316" s="8">
        <f t="shared" si="139"/>
        <v>0</v>
      </c>
    </row>
    <row r="317" spans="1:41">
      <c r="A317" s="1">
        <v>42044</v>
      </c>
      <c r="B317" s="5">
        <v>315</v>
      </c>
      <c r="C317" s="3">
        <f>B317/365+input!$K$3</f>
        <v>0.86301369863013699</v>
      </c>
      <c r="D317" s="4">
        <f t="shared" si="115"/>
        <v>5.7271950873955708</v>
      </c>
      <c r="E317" s="12">
        <f t="shared" si="116"/>
        <v>2.5548466588695766</v>
      </c>
      <c r="F317" s="20">
        <f>input!E316</f>
        <v>57254.69</v>
      </c>
      <c r="G317" s="19">
        <f t="shared" si="117"/>
        <v>0.20670520573071571</v>
      </c>
      <c r="H317" s="19">
        <f t="shared" si="118"/>
        <v>9.6514665132979199E-6</v>
      </c>
      <c r="I317" s="5">
        <v>680</v>
      </c>
      <c r="J317" s="3">
        <f>I317/365+input!$K$3</f>
        <v>1.8630136986301369</v>
      </c>
      <c r="K317" s="4">
        <f t="shared" si="119"/>
        <v>10.478962779319119</v>
      </c>
      <c r="L317" s="12">
        <f t="shared" si="120"/>
        <v>15.649259842010531</v>
      </c>
      <c r="M317" s="20">
        <f>input!F316</f>
        <v>4626.82</v>
      </c>
      <c r="N317" s="19">
        <f t="shared" si="121"/>
        <v>0.94228109174977315</v>
      </c>
      <c r="O317" s="19">
        <f t="shared" si="122"/>
        <v>0.68401744604545844</v>
      </c>
      <c r="P317" s="21">
        <v>1045</v>
      </c>
      <c r="Q317" s="3">
        <f>P317/365+input!$K$3</f>
        <v>2.8630136986301369</v>
      </c>
      <c r="R317" s="4">
        <f t="shared" si="123"/>
        <v>12.430303517750259</v>
      </c>
      <c r="S317" s="12">
        <f t="shared" si="124"/>
        <v>26.120657697089818</v>
      </c>
      <c r="T317" s="20">
        <f>input!G316</f>
        <v>42.18</v>
      </c>
      <c r="U317" s="19">
        <f t="shared" si="125"/>
        <v>0.98032367346347082</v>
      </c>
      <c r="V317" s="19">
        <f t="shared" si="112"/>
        <v>0.99245690835355771</v>
      </c>
      <c r="W317" s="21">
        <v>1410</v>
      </c>
      <c r="X317" s="3">
        <f>W317/365+input!$K$3</f>
        <v>3.8630136986301369</v>
      </c>
      <c r="Y317" s="4">
        <f t="shared" si="126"/>
        <v>12.589299260865312</v>
      </c>
      <c r="Z317" s="12">
        <f t="shared" si="127"/>
        <v>27.135859395209948</v>
      </c>
      <c r="AA317" s="20">
        <f>input!H316</f>
        <v>0</v>
      </c>
      <c r="AB317" s="19">
        <f t="shared" si="128"/>
        <v>0.98197554006092014</v>
      </c>
      <c r="AC317" s="19">
        <f t="shared" si="129"/>
        <v>0.99519142618801715</v>
      </c>
      <c r="AD317" s="8">
        <f t="shared" si="130"/>
        <v>146276.95345111337</v>
      </c>
      <c r="AE317" s="8">
        <f t="shared" si="131"/>
        <v>72406.308422211165</v>
      </c>
      <c r="AF317" s="8">
        <f t="shared" si="132"/>
        <v>1101.7693416632485</v>
      </c>
      <c r="AG317" s="8">
        <f t="shared" si="133"/>
        <v>0</v>
      </c>
      <c r="AH317" s="8">
        <f t="shared" si="113"/>
        <v>30236.207756774715</v>
      </c>
      <c r="AI317" s="8">
        <f t="shared" si="114"/>
        <v>68227.095349651936</v>
      </c>
      <c r="AJ317" s="8">
        <f t="shared" si="134"/>
        <v>1080.0905683287456</v>
      </c>
      <c r="AK317" s="8">
        <f t="shared" si="135"/>
        <v>0</v>
      </c>
      <c r="AL317" s="8">
        <f t="shared" si="136"/>
        <v>0.29182374665362998</v>
      </c>
      <c r="AM317" s="8">
        <f t="shared" si="137"/>
        <v>46668.523512168889</v>
      </c>
      <c r="AN317" s="8">
        <f t="shared" si="138"/>
        <v>1071.9433461853839</v>
      </c>
      <c r="AO317" s="8">
        <f t="shared" si="139"/>
        <v>0</v>
      </c>
    </row>
    <row r="318" spans="1:41">
      <c r="A318" s="1">
        <v>42045</v>
      </c>
      <c r="B318" s="5">
        <v>316</v>
      </c>
      <c r="C318" s="3">
        <f>B318/365+input!$K$3</f>
        <v>0.86575342465753424</v>
      </c>
      <c r="D318" s="4">
        <f t="shared" si="115"/>
        <v>5.7468311278972708</v>
      </c>
      <c r="E318" s="12">
        <f t="shared" si="116"/>
        <v>2.5812152053389026</v>
      </c>
      <c r="F318" s="20">
        <f>input!E317</f>
        <v>57112.28</v>
      </c>
      <c r="G318" s="19">
        <f t="shared" si="117"/>
        <v>0.21524969868019828</v>
      </c>
      <c r="H318" s="19">
        <f t="shared" si="118"/>
        <v>1.0538325468121731E-5</v>
      </c>
      <c r="I318" s="5">
        <v>681</v>
      </c>
      <c r="J318" s="3">
        <f>I318/365+input!$K$3</f>
        <v>1.8657534246575342</v>
      </c>
      <c r="K318" s="4">
        <f t="shared" si="119"/>
        <v>10.487026432312421</v>
      </c>
      <c r="L318" s="12">
        <f t="shared" si="120"/>
        <v>15.685414373616057</v>
      </c>
      <c r="M318" s="20">
        <f>input!F317</f>
        <v>4576.71</v>
      </c>
      <c r="N318" s="19">
        <f t="shared" si="121"/>
        <v>0.94253720486719206</v>
      </c>
      <c r="O318" s="19">
        <f t="shared" si="122"/>
        <v>0.6868802002606853</v>
      </c>
      <c r="P318" s="21">
        <v>1046</v>
      </c>
      <c r="Q318" s="3">
        <f>P318/365+input!$K$3</f>
        <v>2.8657534246575342</v>
      </c>
      <c r="R318" s="4">
        <f t="shared" si="123"/>
        <v>12.433614903240155</v>
      </c>
      <c r="S318" s="12">
        <f t="shared" si="124"/>
        <v>26.141538589715651</v>
      </c>
      <c r="T318" s="20">
        <f>input!G317</f>
        <v>41.58</v>
      </c>
      <c r="U318" s="19">
        <f t="shared" si="125"/>
        <v>0.98035957429167286</v>
      </c>
      <c r="V318" s="19">
        <f t="shared" si="112"/>
        <v>0.99252555504037976</v>
      </c>
      <c r="W318" s="21">
        <v>1411</v>
      </c>
      <c r="X318" s="3">
        <f>W318/365+input!$K$3</f>
        <v>3.8657534246575342</v>
      </c>
      <c r="Y318" s="4">
        <f t="shared" si="126"/>
        <v>12.589299260865312</v>
      </c>
      <c r="Z318" s="12">
        <f t="shared" si="127"/>
        <v>27.135859395209948</v>
      </c>
      <c r="AA318" s="20">
        <f>input!H317</f>
        <v>0</v>
      </c>
      <c r="AB318" s="19">
        <f t="shared" si="128"/>
        <v>0.98197554006092014</v>
      </c>
      <c r="AC318" s="19">
        <f t="shared" si="129"/>
        <v>0.99519142618801715</v>
      </c>
      <c r="AD318" s="8">
        <f t="shared" si="130"/>
        <v>147419.0855475729</v>
      </c>
      <c r="AE318" s="8">
        <f t="shared" si="131"/>
        <v>71787.592817872341</v>
      </c>
      <c r="AF318" s="8">
        <f t="shared" si="132"/>
        <v>1086.9651745603767</v>
      </c>
      <c r="AG318" s="8">
        <f t="shared" si="133"/>
        <v>0</v>
      </c>
      <c r="AH318" s="8">
        <f t="shared" si="113"/>
        <v>31731.91374382544</v>
      </c>
      <c r="AI318" s="8">
        <f t="shared" si="114"/>
        <v>67662.4770787015</v>
      </c>
      <c r="AJ318" s="8">
        <f t="shared" si="134"/>
        <v>1065.6167158018848</v>
      </c>
      <c r="AK318" s="8">
        <f t="shared" si="135"/>
        <v>0</v>
      </c>
      <c r="AL318" s="8">
        <f t="shared" si="136"/>
        <v>0.33440123475879763</v>
      </c>
      <c r="AM318" s="8">
        <f t="shared" si="137"/>
        <v>46476.015805952513</v>
      </c>
      <c r="AN318" s="8">
        <f t="shared" si="138"/>
        <v>1057.6518223115722</v>
      </c>
      <c r="AO318" s="8">
        <f t="shared" si="139"/>
        <v>0</v>
      </c>
    </row>
    <row r="319" spans="1:41">
      <c r="A319" s="1">
        <v>42046</v>
      </c>
      <c r="B319" s="5">
        <v>317</v>
      </c>
      <c r="C319" s="3">
        <f>B319/365+input!$K$3</f>
        <v>0.86849315068493149</v>
      </c>
      <c r="D319" s="4">
        <f t="shared" si="115"/>
        <v>5.7664193470649838</v>
      </c>
      <c r="E319" s="12">
        <f t="shared" si="116"/>
        <v>2.6076996854018617</v>
      </c>
      <c r="F319" s="20">
        <f>input!E318</f>
        <v>56970.22</v>
      </c>
      <c r="G319" s="19">
        <f t="shared" si="117"/>
        <v>0.22368168580055381</v>
      </c>
      <c r="H319" s="19">
        <f t="shared" si="118"/>
        <v>1.1499982167459239E-5</v>
      </c>
      <c r="I319" s="5">
        <v>682</v>
      </c>
      <c r="J319" s="3">
        <f>I319/365+input!$K$3</f>
        <v>1.8684931506849316</v>
      </c>
      <c r="K319" s="4">
        <f t="shared" si="119"/>
        <v>10.495070447199815</v>
      </c>
      <c r="L319" s="12">
        <f t="shared" si="120"/>
        <v>15.721536294295321</v>
      </c>
      <c r="M319" s="20">
        <f>input!F318</f>
        <v>4565.33</v>
      </c>
      <c r="N319" s="19">
        <f t="shared" si="121"/>
        <v>0.94279156195695624</v>
      </c>
      <c r="O319" s="19">
        <f t="shared" si="122"/>
        <v>0.68972480310021478</v>
      </c>
      <c r="P319" s="21">
        <v>1047</v>
      </c>
      <c r="Q319" s="3">
        <f>P319/365+input!$K$3</f>
        <v>2.8684931506849316</v>
      </c>
      <c r="R319" s="4">
        <f t="shared" si="123"/>
        <v>12.43691822422889</v>
      </c>
      <c r="S319" s="12">
        <f t="shared" si="124"/>
        <v>26.162379713881961</v>
      </c>
      <c r="T319" s="20">
        <f>input!G318</f>
        <v>41.48</v>
      </c>
      <c r="U319" s="19">
        <f t="shared" si="125"/>
        <v>0.98039532242294525</v>
      </c>
      <c r="V319" s="19">
        <f t="shared" si="112"/>
        <v>0.99259348557898086</v>
      </c>
      <c r="W319" s="21">
        <v>1412</v>
      </c>
      <c r="X319" s="3">
        <f>W319/365+input!$K$3</f>
        <v>3.8684931506849316</v>
      </c>
      <c r="Y319" s="4">
        <f t="shared" si="126"/>
        <v>12.589299260865312</v>
      </c>
      <c r="Z319" s="12">
        <f t="shared" si="127"/>
        <v>27.135859395209948</v>
      </c>
      <c r="AA319" s="20">
        <f>input!H318</f>
        <v>0</v>
      </c>
      <c r="AB319" s="19">
        <f t="shared" si="128"/>
        <v>0.98197554006092014</v>
      </c>
      <c r="AC319" s="19">
        <f t="shared" si="129"/>
        <v>0.99519142618801715</v>
      </c>
      <c r="AD319" s="8">
        <f t="shared" si="130"/>
        <v>148561.22477127486</v>
      </c>
      <c r="AE319" s="8">
        <f t="shared" si="131"/>
        <v>71774.001290435262</v>
      </c>
      <c r="AF319" s="8">
        <f t="shared" si="132"/>
        <v>1085.2155105318236</v>
      </c>
      <c r="AG319" s="8">
        <f t="shared" si="133"/>
        <v>0</v>
      </c>
      <c r="AH319" s="8">
        <f t="shared" si="113"/>
        <v>33230.425201433754</v>
      </c>
      <c r="AI319" s="8">
        <f t="shared" si="114"/>
        <v>67667.922784510054</v>
      </c>
      <c r="AJ319" s="8">
        <f t="shared" si="134"/>
        <v>1063.9402103462282</v>
      </c>
      <c r="AK319" s="8">
        <f t="shared" si="135"/>
        <v>0</v>
      </c>
      <c r="AL319" s="8">
        <f t="shared" si="136"/>
        <v>0.38214929723357627</v>
      </c>
      <c r="AM319" s="8">
        <f t="shared" si="137"/>
        <v>46672.244718746733</v>
      </c>
      <c r="AN319" s="8">
        <f t="shared" si="138"/>
        <v>1056.0601218351967</v>
      </c>
      <c r="AO319" s="8">
        <f t="shared" si="139"/>
        <v>0</v>
      </c>
    </row>
    <row r="320" spans="1:41">
      <c r="A320" s="1">
        <v>42047</v>
      </c>
      <c r="B320" s="5">
        <v>318</v>
      </c>
      <c r="C320" s="3">
        <f>B320/365+input!$K$3</f>
        <v>0.87123287671232874</v>
      </c>
      <c r="D320" s="4">
        <f t="shared" si="115"/>
        <v>5.7859598613621106</v>
      </c>
      <c r="E320" s="12">
        <f t="shared" si="116"/>
        <v>2.6342995513741885</v>
      </c>
      <c r="F320" s="20">
        <f>input!E319</f>
        <v>56828.52</v>
      </c>
      <c r="G320" s="19">
        <f t="shared" si="117"/>
        <v>0.23200286765259215</v>
      </c>
      <c r="H320" s="19">
        <f t="shared" si="118"/>
        <v>1.2542133838730259E-5</v>
      </c>
      <c r="I320" s="5">
        <v>683</v>
      </c>
      <c r="J320" s="3">
        <f>I320/365+input!$K$3</f>
        <v>1.8712328767123287</v>
      </c>
      <c r="K320" s="4">
        <f t="shared" si="119"/>
        <v>10.503094871807669</v>
      </c>
      <c r="L320" s="12">
        <f t="shared" si="120"/>
        <v>15.757625456082783</v>
      </c>
      <c r="M320" s="20">
        <f>input!F319</f>
        <v>4515.33</v>
      </c>
      <c r="N320" s="19">
        <f t="shared" si="121"/>
        <v>0.9430441777917915</v>
      </c>
      <c r="O320" s="19">
        <f t="shared" si="122"/>
        <v>0.69255121398477248</v>
      </c>
      <c r="P320" s="21">
        <v>1048</v>
      </c>
      <c r="Q320" s="3">
        <f>P320/365+input!$K$3</f>
        <v>2.871232876712329</v>
      </c>
      <c r="R320" s="4">
        <f t="shared" si="123"/>
        <v>12.440213500356634</v>
      </c>
      <c r="S320" s="12">
        <f t="shared" si="124"/>
        <v>26.183181115446217</v>
      </c>
      <c r="T320" s="20">
        <f>input!G319</f>
        <v>40.82</v>
      </c>
      <c r="U320" s="19">
        <f t="shared" si="125"/>
        <v>0.98043091866487808</v>
      </c>
      <c r="V320" s="19">
        <f t="shared" si="112"/>
        <v>0.99266070802554418</v>
      </c>
      <c r="W320" s="21">
        <v>1413</v>
      </c>
      <c r="X320" s="3">
        <f>W320/365+input!$K$3</f>
        <v>3.871232876712329</v>
      </c>
      <c r="Y320" s="4">
        <f t="shared" si="126"/>
        <v>12.589299260865312</v>
      </c>
      <c r="Z320" s="12">
        <f t="shared" si="127"/>
        <v>27.135859395209948</v>
      </c>
      <c r="AA320" s="20">
        <f>input!H319</f>
        <v>0</v>
      </c>
      <c r="AB320" s="19">
        <f t="shared" si="128"/>
        <v>0.98197554006092014</v>
      </c>
      <c r="AC320" s="19">
        <f t="shared" si="129"/>
        <v>0.99519142618801715</v>
      </c>
      <c r="AD320" s="8">
        <f t="shared" si="130"/>
        <v>149703.34474125909</v>
      </c>
      <c r="AE320" s="8">
        <f t="shared" si="131"/>
        <v>71150.878950614278</v>
      </c>
      <c r="AF320" s="8">
        <f t="shared" si="132"/>
        <v>1068.7974531325146</v>
      </c>
      <c r="AG320" s="8">
        <f t="shared" si="133"/>
        <v>0</v>
      </c>
      <c r="AH320" s="8">
        <f t="shared" si="113"/>
        <v>34731.605277156712</v>
      </c>
      <c r="AI320" s="8">
        <f t="shared" si="114"/>
        <v>67098.422139145332</v>
      </c>
      <c r="AJ320" s="8">
        <f t="shared" si="134"/>
        <v>1047.8820688413932</v>
      </c>
      <c r="AK320" s="8">
        <f t="shared" si="135"/>
        <v>0</v>
      </c>
      <c r="AL320" s="8">
        <f t="shared" si="136"/>
        <v>0.43560844182004965</v>
      </c>
      <c r="AM320" s="8">
        <f t="shared" si="137"/>
        <v>46469.093708927838</v>
      </c>
      <c r="AN320" s="8">
        <f t="shared" si="138"/>
        <v>1040.1913563833693</v>
      </c>
      <c r="AO320" s="8">
        <f t="shared" si="139"/>
        <v>0</v>
      </c>
    </row>
    <row r="321" spans="1:41">
      <c r="A321" s="1">
        <v>42048</v>
      </c>
      <c r="B321" s="5">
        <v>319</v>
      </c>
      <c r="C321" s="3">
        <f>B321/365+input!$K$3</f>
        <v>0.87397260273972599</v>
      </c>
      <c r="D321" s="4">
        <f t="shared" si="115"/>
        <v>5.8054527869684112</v>
      </c>
      <c r="E321" s="12">
        <f t="shared" si="116"/>
        <v>2.6610142537425938</v>
      </c>
      <c r="F321" s="20">
        <f>input!E320</f>
        <v>56687.17</v>
      </c>
      <c r="G321" s="19">
        <f t="shared" si="117"/>
        <v>0.24021491612383616</v>
      </c>
      <c r="H321" s="19">
        <f t="shared" si="118"/>
        <v>1.3670859994105784E-5</v>
      </c>
      <c r="I321" s="5">
        <v>684</v>
      </c>
      <c r="J321" s="3">
        <f>I321/365+input!$K$3</f>
        <v>1.8739726027397261</v>
      </c>
      <c r="K321" s="4">
        <f t="shared" si="119"/>
        <v>10.511099753845871</v>
      </c>
      <c r="L321" s="12">
        <f t="shared" si="120"/>
        <v>15.79368171217102</v>
      </c>
      <c r="M321" s="20">
        <f>input!F320</f>
        <v>4504.1000000000004</v>
      </c>
      <c r="N321" s="19">
        <f t="shared" si="121"/>
        <v>0.94329506699914123</v>
      </c>
      <c r="O321" s="19">
        <f t="shared" si="122"/>
        <v>0.69535939585151851</v>
      </c>
      <c r="P321" s="21">
        <v>1049</v>
      </c>
      <c r="Q321" s="3">
        <f>P321/365+input!$K$3</f>
        <v>2.8739726027397259</v>
      </c>
      <c r="R321" s="4">
        <f t="shared" si="123"/>
        <v>12.443500751215725</v>
      </c>
      <c r="S321" s="12">
        <f t="shared" si="124"/>
        <v>26.203942840380904</v>
      </c>
      <c r="T321" s="20">
        <f>input!G320</f>
        <v>40.72</v>
      </c>
      <c r="U321" s="19">
        <f t="shared" si="125"/>
        <v>0.98046636381989993</v>
      </c>
      <c r="V321" s="19">
        <f t="shared" si="112"/>
        <v>0.99272723034213317</v>
      </c>
      <c r="W321" s="21">
        <v>1414</v>
      </c>
      <c r="X321" s="3">
        <f>W321/365+input!$K$3</f>
        <v>3.8739726027397259</v>
      </c>
      <c r="Y321" s="4">
        <f t="shared" si="126"/>
        <v>12.589299260865312</v>
      </c>
      <c r="Z321" s="12">
        <f t="shared" si="127"/>
        <v>27.135859395209948</v>
      </c>
      <c r="AA321" s="20">
        <f>input!H320</f>
        <v>0</v>
      </c>
      <c r="AB321" s="19">
        <f t="shared" si="128"/>
        <v>0.98197554006092014</v>
      </c>
      <c r="AC321" s="19">
        <f t="shared" si="129"/>
        <v>0.99519142618801715</v>
      </c>
      <c r="AD321" s="8">
        <f t="shared" si="130"/>
        <v>150845.36737432954</v>
      </c>
      <c r="AE321" s="8">
        <f t="shared" si="131"/>
        <v>71136.321799789497</v>
      </c>
      <c r="AF321" s="8">
        <f t="shared" si="132"/>
        <v>1067.0245524603104</v>
      </c>
      <c r="AG321" s="8">
        <f t="shared" si="133"/>
        <v>0</v>
      </c>
      <c r="AH321" s="8">
        <f t="shared" si="113"/>
        <v>36235.307271493824</v>
      </c>
      <c r="AI321" s="8">
        <f t="shared" si="114"/>
        <v>67102.541438204906</v>
      </c>
      <c r="AJ321" s="8">
        <f t="shared" si="134"/>
        <v>1046.1816830573166</v>
      </c>
      <c r="AK321" s="8">
        <f t="shared" si="135"/>
        <v>0</v>
      </c>
      <c r="AL321" s="8">
        <f t="shared" si="136"/>
        <v>0.49536781255199536</v>
      </c>
      <c r="AM321" s="8">
        <f t="shared" si="137"/>
        <v>46660.382674571651</v>
      </c>
      <c r="AN321" s="8">
        <f t="shared" si="138"/>
        <v>1038.5730446561613</v>
      </c>
      <c r="AO321" s="8">
        <f t="shared" si="139"/>
        <v>0</v>
      </c>
    </row>
    <row r="322" spans="1:41">
      <c r="A322" s="1">
        <v>42049</v>
      </c>
      <c r="B322" s="5">
        <v>320</v>
      </c>
      <c r="C322" s="3">
        <f>B322/365+input!$K$3</f>
        <v>0.87671232876712324</v>
      </c>
      <c r="D322" s="4">
        <f t="shared" si="115"/>
        <v>5.8248982397807101</v>
      </c>
      <c r="E322" s="12">
        <f t="shared" si="116"/>
        <v>2.6878432412170907</v>
      </c>
      <c r="F322" s="20">
        <f>input!E321</f>
        <v>56546.17</v>
      </c>
      <c r="G322" s="19">
        <f t="shared" si="117"/>
        <v>0.24831947495817885</v>
      </c>
      <c r="H322" s="19">
        <f t="shared" si="118"/>
        <v>1.4892644074791023E-5</v>
      </c>
      <c r="I322" s="5">
        <v>685</v>
      </c>
      <c r="J322" s="3">
        <f>I322/365+input!$K$3</f>
        <v>1.8767123287671232</v>
      </c>
      <c r="K322" s="4">
        <f t="shared" si="119"/>
        <v>10.519085140908116</v>
      </c>
      <c r="L322" s="12">
        <f t="shared" si="120"/>
        <v>15.829704916906268</v>
      </c>
      <c r="M322" s="20">
        <f>input!F321</f>
        <v>4455.58</v>
      </c>
      <c r="N322" s="19">
        <f t="shared" si="121"/>
        <v>0.94354424406278559</v>
      </c>
      <c r="O322" s="19">
        <f t="shared" si="122"/>
        <v>0.69814931510578049</v>
      </c>
      <c r="P322" s="21">
        <v>1050</v>
      </c>
      <c r="Q322" s="3">
        <f>P322/365+input!$K$3</f>
        <v>2.8767123287671232</v>
      </c>
      <c r="R322" s="4">
        <f t="shared" si="123"/>
        <v>12.44677999635079</v>
      </c>
      <c r="S322" s="12">
        <f t="shared" si="124"/>
        <v>26.224664934772367</v>
      </c>
      <c r="T322" s="20">
        <f>input!G321</f>
        <v>40.14</v>
      </c>
      <c r="U322" s="19">
        <f t="shared" si="125"/>
        <v>0.98050165868531658</v>
      </c>
      <c r="V322" s="19">
        <f t="shared" si="112"/>
        <v>0.99279306039779025</v>
      </c>
      <c r="W322" s="21">
        <v>1415</v>
      </c>
      <c r="X322" s="3">
        <f>W322/365+input!$K$3</f>
        <v>3.8767123287671232</v>
      </c>
      <c r="Y322" s="4">
        <f t="shared" si="126"/>
        <v>12.589299260865312</v>
      </c>
      <c r="Z322" s="12">
        <f t="shared" si="127"/>
        <v>27.135859395209948</v>
      </c>
      <c r="AA322" s="20">
        <f>input!H321</f>
        <v>0</v>
      </c>
      <c r="AB322" s="19">
        <f t="shared" si="128"/>
        <v>0.98197554006092014</v>
      </c>
      <c r="AC322" s="19">
        <f t="shared" si="129"/>
        <v>0.99519142618801715</v>
      </c>
      <c r="AD322" s="8">
        <f t="shared" si="130"/>
        <v>151987.24085121261</v>
      </c>
      <c r="AE322" s="8">
        <f t="shared" si="131"/>
        <v>70530.516633669235</v>
      </c>
      <c r="AF322" s="8">
        <f t="shared" si="132"/>
        <v>1052.6580504817628</v>
      </c>
      <c r="AG322" s="8">
        <f t="shared" si="133"/>
        <v>0</v>
      </c>
      <c r="AH322" s="8">
        <f t="shared" si="113"/>
        <v>37741.391848515392</v>
      </c>
      <c r="AI322" s="8">
        <f t="shared" si="114"/>
        <v>66548.663000473156</v>
      </c>
      <c r="AJ322" s="8">
        <f t="shared" si="134"/>
        <v>1032.1329645258202</v>
      </c>
      <c r="AK322" s="8">
        <f t="shared" si="135"/>
        <v>0</v>
      </c>
      <c r="AL322" s="8">
        <f t="shared" si="136"/>
        <v>0.562069115687159</v>
      </c>
      <c r="AM322" s="8">
        <f t="shared" si="137"/>
        <v>46460.903494985731</v>
      </c>
      <c r="AN322" s="8">
        <f t="shared" si="138"/>
        <v>1024.6944445890329</v>
      </c>
      <c r="AO322" s="8">
        <f t="shared" si="139"/>
        <v>0</v>
      </c>
    </row>
    <row r="323" spans="1:41">
      <c r="A323" s="1">
        <v>42050</v>
      </c>
      <c r="B323" s="5">
        <v>321</v>
      </c>
      <c r="C323" s="3">
        <f>B323/365+input!$K$3</f>
        <v>0.8794520547945206</v>
      </c>
      <c r="D323" s="4">
        <f t="shared" si="115"/>
        <v>5.8442963354135733</v>
      </c>
      <c r="E323" s="12">
        <f t="shared" si="116"/>
        <v>2.7147859607826765</v>
      </c>
      <c r="F323" s="20">
        <f>input!E322</f>
        <v>56405.52</v>
      </c>
      <c r="G323" s="19">
        <f t="shared" si="117"/>
        <v>0.25631816027494936</v>
      </c>
      <c r="H323" s="19">
        <f t="shared" si="118"/>
        <v>1.6214396037970604E-5</v>
      </c>
      <c r="I323" s="5">
        <v>686</v>
      </c>
      <c r="J323" s="3">
        <f>I323/365+input!$K$3</f>
        <v>1.8794520547945206</v>
      </c>
      <c r="K323" s="4">
        <f t="shared" si="119"/>
        <v>10.527051080472191</v>
      </c>
      <c r="L323" s="12">
        <f t="shared" si="120"/>
        <v>15.865694925783977</v>
      </c>
      <c r="M323" s="20">
        <f>input!F322</f>
        <v>4444.5</v>
      </c>
      <c r="N323" s="19">
        <f t="shared" si="121"/>
        <v>0.94379172332443884</v>
      </c>
      <c r="O323" s="19">
        <f t="shared" si="122"/>
        <v>0.70092094157248219</v>
      </c>
      <c r="P323" s="21">
        <v>1051</v>
      </c>
      <c r="Q323" s="3">
        <f>P323/365+input!$K$3</f>
        <v>2.8794520547945206</v>
      </c>
      <c r="R323" s="4">
        <f t="shared" si="123"/>
        <v>12.450051255258854</v>
      </c>
      <c r="S323" s="12">
        <f t="shared" si="124"/>
        <v>26.245347444819494</v>
      </c>
      <c r="T323" s="20">
        <f>input!G322</f>
        <v>40.04</v>
      </c>
      <c r="U323" s="19">
        <f t="shared" si="125"/>
        <v>0.98053680405334886</v>
      </c>
      <c r="V323" s="19">
        <f t="shared" ref="V323:V367" si="140">_xlfn.NORM.DIST(R323,10,1,TRUE)</f>
        <v>0.9928582059696246</v>
      </c>
      <c r="W323" s="21">
        <v>1416</v>
      </c>
      <c r="X323" s="3">
        <f>W323/365+input!$K$3</f>
        <v>3.8794520547945206</v>
      </c>
      <c r="Y323" s="4">
        <f t="shared" si="126"/>
        <v>12.589299260865312</v>
      </c>
      <c r="Z323" s="12">
        <f t="shared" si="127"/>
        <v>27.135859395209948</v>
      </c>
      <c r="AA323" s="20">
        <f>input!H322</f>
        <v>0</v>
      </c>
      <c r="AB323" s="19">
        <f t="shared" si="128"/>
        <v>0.98197554006092014</v>
      </c>
      <c r="AC323" s="19">
        <f t="shared" si="129"/>
        <v>0.99519142618801715</v>
      </c>
      <c r="AD323" s="8">
        <f t="shared" si="130"/>
        <v>153128.91380664648</v>
      </c>
      <c r="AE323" s="8">
        <f t="shared" si="131"/>
        <v>70515.081097646893</v>
      </c>
      <c r="AF323" s="8">
        <f t="shared" si="132"/>
        <v>1050.8637116905725</v>
      </c>
      <c r="AG323" s="8">
        <f t="shared" si="133"/>
        <v>0</v>
      </c>
      <c r="AH323" s="8">
        <f t="shared" ref="AH323:AH367" si="141">E323*F323*G323</f>
        <v>39249.721471820922</v>
      </c>
      <c r="AI323" s="8">
        <f t="shared" ref="AI323:AI367" si="142">L323*M323*N323</f>
        <v>66551.549909510723</v>
      </c>
      <c r="AJ323" s="8">
        <f t="shared" si="134"/>
        <v>1030.4105453567138</v>
      </c>
      <c r="AK323" s="8">
        <f t="shared" si="135"/>
        <v>0</v>
      </c>
      <c r="AL323" s="8">
        <f t="shared" si="136"/>
        <v>0.63641052832414291</v>
      </c>
      <c r="AM323" s="8">
        <f t="shared" si="137"/>
        <v>46647.375025682297</v>
      </c>
      <c r="AN323" s="8">
        <f t="shared" si="138"/>
        <v>1023.0515654750493</v>
      </c>
      <c r="AO323" s="8">
        <f t="shared" si="139"/>
        <v>0</v>
      </c>
    </row>
    <row r="324" spans="1:41">
      <c r="A324" s="1">
        <v>42051</v>
      </c>
      <c r="B324" s="5">
        <v>322</v>
      </c>
      <c r="C324" s="3">
        <f>B324/365+input!$K$3</f>
        <v>0.88219178082191785</v>
      </c>
      <c r="D324" s="4">
        <f t="shared" ref="D324:D367" si="143">MAX(0,13.79*(1-EXP(-0.89*(C324-0.26))))</f>
        <v>5.8636471892000044</v>
      </c>
      <c r="E324" s="12">
        <f t="shared" ref="E324:E366" si="144">0.0136*D324^3</f>
        <v>2.7418418577504635</v>
      </c>
      <c r="F324" s="20">
        <f>input!E323</f>
        <v>56265.22</v>
      </c>
      <c r="G324" s="19">
        <f t="shared" ref="G324:G367" si="145">MAX(1-EXP(2.927-1.285*(D324/2.33)),0)</f>
        <v>0.26421256107762736</v>
      </c>
      <c r="H324" s="19">
        <f t="shared" ref="H324:H367" si="146">_xlfn.NORM.DIST(D324,10,1,TRUE)</f>
        <v>1.7643475909302117E-5</v>
      </c>
      <c r="I324" s="5">
        <v>687</v>
      </c>
      <c r="J324" s="3">
        <f>I324/365+input!$K$3</f>
        <v>1.8821917808219177</v>
      </c>
      <c r="K324" s="4">
        <f t="shared" ref="K324:K367" si="147">MAX(0,13.79*(1-EXP(-0.89*(J324-0.26))))</f>
        <v>10.534997619900258</v>
      </c>
      <c r="L324" s="12">
        <f t="shared" ref="L324:L366" si="148">0.0136*K324^3</f>
        <v>15.901651595444386</v>
      </c>
      <c r="M324" s="20">
        <f>input!F323</f>
        <v>4395.92</v>
      </c>
      <c r="N324" s="19">
        <f t="shared" ref="N324:N367" si="149">MAX(1-EXP(2.927-1.285*(K324/2.33)),0)</f>
        <v>0.94403751898532917</v>
      </c>
      <c r="O324" s="19">
        <f t="shared" ref="O324:O367" si="150">_xlfn.NORM.DIST(K324,10,1,TRUE)</f>
        <v>0.70367424844729431</v>
      </c>
      <c r="P324" s="21">
        <v>1052</v>
      </c>
      <c r="Q324" s="3">
        <f>P324/365+input!$K$3</f>
        <v>2.882191780821918</v>
      </c>
      <c r="R324" s="4">
        <f t="shared" ref="R324:R367" si="151">MAX(0,13.79*(1-EXP(-0.89*(Q324-0.26))))</f>
        <v>12.453314547389464</v>
      </c>
      <c r="S324" s="12">
        <f t="shared" ref="S324:S367" si="152">0.0136*R324^3</f>
        <v>26.265990416832587</v>
      </c>
      <c r="T324" s="20">
        <f>input!G323</f>
        <v>39.43</v>
      </c>
      <c r="U324" s="19">
        <f t="shared" ref="U324:U367" si="153">MAX(1-EXP(2.927-1.285*(R324/2.33)),0)</f>
        <v>0.98057180071117012</v>
      </c>
      <c r="V324" s="19">
        <f t="shared" si="140"/>
        <v>0.99292267474388674</v>
      </c>
      <c r="W324" s="21">
        <v>1417</v>
      </c>
      <c r="X324" s="3">
        <f>W324/365+input!$K$3</f>
        <v>3.882191780821918</v>
      </c>
      <c r="Y324" s="4">
        <f t="shared" ref="Y324:Y367" si="154">MAX(0,13.79*(1-EXP(-0.89*(X$3-0.26))))</f>
        <v>12.589299260865312</v>
      </c>
      <c r="Z324" s="12">
        <f t="shared" ref="Z324:Z367" si="155">0.0136*Y324^3</f>
        <v>27.135859395209948</v>
      </c>
      <c r="AA324" s="20">
        <f>input!H323</f>
        <v>0</v>
      </c>
      <c r="AB324" s="19">
        <f t="shared" ref="AB324:AB367" si="156">MAX(1-EXP(2.927-1.285*(Y324/2.33)),0)</f>
        <v>0.98197554006092014</v>
      </c>
      <c r="AC324" s="19">
        <f t="shared" ref="AC324:AC367" si="157">_xlfn.NORM.DIST(Y324,10,1,TRUE)</f>
        <v>0.99519142618801715</v>
      </c>
      <c r="AD324" s="8">
        <f t="shared" ref="AD324:AD367" si="158">E324*F324</f>
        <v>154270.33533153855</v>
      </c>
      <c r="AE324" s="8">
        <f t="shared" ref="AE324:AE367" si="159">L324*M324</f>
        <v>69902.388281445892</v>
      </c>
      <c r="AF324" s="8">
        <f t="shared" ref="AF324:AF367" si="160">S324*T324</f>
        <v>1035.6680021357088</v>
      </c>
      <c r="AG324" s="8">
        <f t="shared" ref="AG324:AG367" si="161">Z324*AA324</f>
        <v>0</v>
      </c>
      <c r="AH324" s="8">
        <f t="shared" si="141"/>
        <v>40760.160396250183</v>
      </c>
      <c r="AI324" s="8">
        <f t="shared" si="142"/>
        <v>65990.477204365321</v>
      </c>
      <c r="AJ324" s="8">
        <f t="shared" ref="AJ324:AJ367" si="162">AF324*U324</f>
        <v>1015.5468377931519</v>
      </c>
      <c r="AK324" s="8">
        <f t="shared" ref="AK324:AK367" si="163">AG324*AB324</f>
        <v>0</v>
      </c>
      <c r="AL324" s="8">
        <f t="shared" ref="AL324:AL367" si="164">AH324*H324</f>
        <v>0.71915090801053028</v>
      </c>
      <c r="AM324" s="8">
        <f t="shared" ref="AM324:AM367" si="165">AI324*O324</f>
        <v>46435.799451460072</v>
      </c>
      <c r="AN324" s="8">
        <f t="shared" ref="AN324:AN367" si="166">AJ324*V324</f>
        <v>1008.3594825092724</v>
      </c>
      <c r="AO324" s="8">
        <f t="shared" ref="AO324:AO367" si="167">AK324*AC324</f>
        <v>0</v>
      </c>
    </row>
    <row r="325" spans="1:41">
      <c r="A325" s="1">
        <v>42052</v>
      </c>
      <c r="B325" s="5">
        <v>323</v>
      </c>
      <c r="C325" s="3">
        <f>B325/365+input!$K$3</f>
        <v>0.8849315068493151</v>
      </c>
      <c r="D325" s="4">
        <f t="shared" si="143"/>
        <v>5.8829509161921214</v>
      </c>
      <c r="E325" s="12">
        <f t="shared" si="144"/>
        <v>2.7690103758081897</v>
      </c>
      <c r="F325" s="20">
        <f>input!E324</f>
        <v>56125.27</v>
      </c>
      <c r="G325" s="19">
        <f t="shared" si="145"/>
        <v>0.2720042397524145</v>
      </c>
      <c r="H325" s="19">
        <f t="shared" si="146"/>
        <v>1.9187718323272101E-5</v>
      </c>
      <c r="I325" s="5">
        <v>688</v>
      </c>
      <c r="J325" s="3">
        <f>I325/365+input!$K$3</f>
        <v>1.8849315068493151</v>
      </c>
      <c r="K325" s="4">
        <f t="shared" si="147"/>
        <v>10.542924806439132</v>
      </c>
      <c r="L325" s="12">
        <f t="shared" si="148"/>
        <v>15.937574783668031</v>
      </c>
      <c r="M325" s="20">
        <f>input!F324</f>
        <v>4384.99</v>
      </c>
      <c r="N325" s="19">
        <f t="shared" si="149"/>
        <v>0.94428164510775603</v>
      </c>
      <c r="O325" s="19">
        <f t="shared" si="150"/>
        <v>0.70640921224753606</v>
      </c>
      <c r="P325" s="21">
        <v>1053</v>
      </c>
      <c r="Q325" s="3">
        <f>P325/365+input!$K$3</f>
        <v>2.8849315068493149</v>
      </c>
      <c r="R325" s="4">
        <f t="shared" si="151"/>
        <v>12.456569892144794</v>
      </c>
      <c r="S325" s="12">
        <f t="shared" si="152"/>
        <v>26.286593897232077</v>
      </c>
      <c r="T325" s="20">
        <f>input!G324</f>
        <v>39.340000000000003</v>
      </c>
      <c r="U325" s="19">
        <f t="shared" si="153"/>
        <v>0.98060664944094456</v>
      </c>
      <c r="V325" s="19">
        <f t="shared" si="140"/>
        <v>0.99298647431703213</v>
      </c>
      <c r="W325" s="21">
        <v>1418</v>
      </c>
      <c r="X325" s="3">
        <f>W325/365+input!$K$3</f>
        <v>3.8849315068493149</v>
      </c>
      <c r="Y325" s="4">
        <f t="shared" si="154"/>
        <v>12.589299260865312</v>
      </c>
      <c r="Z325" s="12">
        <f t="shared" si="155"/>
        <v>27.135859395209948</v>
      </c>
      <c r="AA325" s="20">
        <f>input!H324</f>
        <v>0</v>
      </c>
      <c r="AB325" s="19">
        <f t="shared" si="156"/>
        <v>0.98197554006092014</v>
      </c>
      <c r="AC325" s="19">
        <f t="shared" si="157"/>
        <v>0.99519142618801715</v>
      </c>
      <c r="AD325" s="8">
        <f t="shared" si="158"/>
        <v>155411.45497503609</v>
      </c>
      <c r="AE325" s="8">
        <f t="shared" si="159"/>
        <v>69886.106050636474</v>
      </c>
      <c r="AF325" s="8">
        <f t="shared" si="160"/>
        <v>1034.1146039171099</v>
      </c>
      <c r="AG325" s="8">
        <f t="shared" si="161"/>
        <v>0</v>
      </c>
      <c r="AH325" s="8">
        <f t="shared" si="141"/>
        <v>42272.574659301288</v>
      </c>
      <c r="AI325" s="8">
        <f t="shared" si="142"/>
        <v>65992.167191670116</v>
      </c>
      <c r="AJ325" s="8">
        <f t="shared" si="162"/>
        <v>1014.0596568851066</v>
      </c>
      <c r="AK325" s="8">
        <f t="shared" si="163"/>
        <v>0</v>
      </c>
      <c r="AL325" s="8">
        <f t="shared" si="164"/>
        <v>0.81111425536216319</v>
      </c>
      <c r="AM325" s="8">
        <f t="shared" si="165"/>
        <v>46617.474840375384</v>
      </c>
      <c r="AN325" s="8">
        <f t="shared" si="166"/>
        <v>1006.9475234374813</v>
      </c>
      <c r="AO325" s="8">
        <f t="shared" si="167"/>
        <v>0</v>
      </c>
    </row>
    <row r="326" spans="1:41">
      <c r="A326" s="1">
        <v>42053</v>
      </c>
      <c r="B326" s="5">
        <v>324</v>
      </c>
      <c r="C326" s="3">
        <f>B326/365+input!$K$3</f>
        <v>0.88767123287671235</v>
      </c>
      <c r="D326" s="4">
        <f t="shared" si="143"/>
        <v>5.9022076311618541</v>
      </c>
      <c r="E326" s="12">
        <f t="shared" si="144"/>
        <v>2.7962909570701862</v>
      </c>
      <c r="F326" s="20">
        <f>input!E325</f>
        <v>55985.67</v>
      </c>
      <c r="G326" s="19">
        <f t="shared" si="145"/>
        <v>0.27969473255689348</v>
      </c>
      <c r="H326" s="19">
        <f t="shared" si="146"/>
        <v>2.0855458073081609E-5</v>
      </c>
      <c r="I326" s="5">
        <v>689</v>
      </c>
      <c r="J326" s="3">
        <f>I326/365+input!$K$3</f>
        <v>1.8876712328767122</v>
      </c>
      <c r="K326" s="4">
        <f t="shared" si="147"/>
        <v>10.550832687220565</v>
      </c>
      <c r="L326" s="12">
        <f t="shared" si="148"/>
        <v>15.973464349371346</v>
      </c>
      <c r="M326" s="20">
        <f>input!F325</f>
        <v>4336.09</v>
      </c>
      <c r="N326" s="19">
        <f t="shared" si="149"/>
        <v>0.94452411561663185</v>
      </c>
      <c r="O326" s="19">
        <f t="shared" si="150"/>
        <v>0.70912581276286024</v>
      </c>
      <c r="P326" s="21">
        <v>1054</v>
      </c>
      <c r="Q326" s="3">
        <f>P326/365+input!$K$3</f>
        <v>2.8876712328767122</v>
      </c>
      <c r="R326" s="4">
        <f t="shared" si="151"/>
        <v>12.459817308879767</v>
      </c>
      <c r="S326" s="12">
        <f t="shared" si="152"/>
        <v>26.307157932547376</v>
      </c>
      <c r="T326" s="20">
        <f>input!G325</f>
        <v>38.799999999999997</v>
      </c>
      <c r="U326" s="19">
        <f t="shared" si="153"/>
        <v>0.98064135101986327</v>
      </c>
      <c r="V326" s="19">
        <f t="shared" si="140"/>
        <v>0.99304961219677246</v>
      </c>
      <c r="W326" s="21">
        <v>1419</v>
      </c>
      <c r="X326" s="3">
        <f>W326/365+input!$K$3</f>
        <v>3.8876712328767122</v>
      </c>
      <c r="Y326" s="4">
        <f t="shared" si="154"/>
        <v>12.589299260865312</v>
      </c>
      <c r="Z326" s="12">
        <f t="shared" si="155"/>
        <v>27.135859395209948</v>
      </c>
      <c r="AA326" s="20">
        <f>input!H325</f>
        <v>0</v>
      </c>
      <c r="AB326" s="19">
        <f t="shared" si="156"/>
        <v>0.98197554006092014</v>
      </c>
      <c r="AC326" s="19">
        <f t="shared" si="157"/>
        <v>0.99519142618801715</v>
      </c>
      <c r="AD326" s="8">
        <f t="shared" si="158"/>
        <v>156552.22274651562</v>
      </c>
      <c r="AE326" s="8">
        <f t="shared" si="159"/>
        <v>69262.379030665601</v>
      </c>
      <c r="AF326" s="8">
        <f t="shared" si="160"/>
        <v>1020.7177277828381</v>
      </c>
      <c r="AG326" s="8">
        <f t="shared" si="161"/>
        <v>0</v>
      </c>
      <c r="AH326" s="8">
        <f t="shared" si="141"/>
        <v>43786.832072273901</v>
      </c>
      <c r="AI326" s="8">
        <f t="shared" si="142"/>
        <v>65419.987299443375</v>
      </c>
      <c r="AJ326" s="8">
        <f t="shared" si="162"/>
        <v>1000.9580115828874</v>
      </c>
      <c r="AK326" s="8">
        <f t="shared" si="163"/>
        <v>0</v>
      </c>
      <c r="AL326" s="8">
        <f t="shared" si="164"/>
        <v>0.91319444043637343</v>
      </c>
      <c r="AM326" s="8">
        <f t="shared" si="165"/>
        <v>46391.001664653777</v>
      </c>
      <c r="AN326" s="8">
        <f t="shared" si="166"/>
        <v>994.00096522763874</v>
      </c>
      <c r="AO326" s="8">
        <f t="shared" si="167"/>
        <v>0</v>
      </c>
    </row>
    <row r="327" spans="1:41">
      <c r="A327" s="1">
        <v>42054</v>
      </c>
      <c r="B327" s="5">
        <v>325</v>
      </c>
      <c r="C327" s="3">
        <f>B327/365+input!$K$3</f>
        <v>0.8904109589041096</v>
      </c>
      <c r="D327" s="4">
        <f t="shared" si="143"/>
        <v>5.9214174486016109</v>
      </c>
      <c r="E327" s="12">
        <f t="shared" si="144"/>
        <v>2.8236830421267278</v>
      </c>
      <c r="F327" s="20">
        <f>input!E326</f>
        <v>55846.42</v>
      </c>
      <c r="G327" s="19">
        <f t="shared" si="145"/>
        <v>0.2872855500989675</v>
      </c>
      <c r="H327" s="19">
        <f t="shared" si="146"/>
        <v>2.2655556690986212E-5</v>
      </c>
      <c r="I327" s="5">
        <v>690</v>
      </c>
      <c r="J327" s="3">
        <f>I327/365+input!$K$3</f>
        <v>1.8904109589041096</v>
      </c>
      <c r="K327" s="4">
        <f t="shared" si="147"/>
        <v>10.558721309261523</v>
      </c>
      <c r="L327" s="12">
        <f t="shared" si="148"/>
        <v>16.009320152602193</v>
      </c>
      <c r="M327" s="20">
        <f>input!F326</f>
        <v>4325.3100000000004</v>
      </c>
      <c r="N327" s="19">
        <f t="shared" si="149"/>
        <v>0.94476494430100155</v>
      </c>
      <c r="O327" s="19">
        <f t="shared" si="150"/>
        <v>0.71182403300574582</v>
      </c>
      <c r="P327" s="21">
        <v>1055</v>
      </c>
      <c r="Q327" s="3">
        <f>P327/365+input!$K$3</f>
        <v>2.8904109589041096</v>
      </c>
      <c r="R327" s="4">
        <f t="shared" si="151"/>
        <v>12.463056816902178</v>
      </c>
      <c r="S327" s="12">
        <f t="shared" si="152"/>
        <v>26.327682569415707</v>
      </c>
      <c r="T327" s="20">
        <f>input!G326</f>
        <v>38.71</v>
      </c>
      <c r="U327" s="19">
        <f t="shared" si="153"/>
        <v>0.98067590622018197</v>
      </c>
      <c r="V327" s="19">
        <f t="shared" si="140"/>
        <v>0.9931120958031151</v>
      </c>
      <c r="W327" s="21">
        <v>1420</v>
      </c>
      <c r="X327" s="3">
        <f>W327/365+input!$K$3</f>
        <v>3.8904109589041096</v>
      </c>
      <c r="Y327" s="4">
        <f t="shared" si="154"/>
        <v>12.589299260865312</v>
      </c>
      <c r="Z327" s="12">
        <f t="shared" si="155"/>
        <v>27.135859395209948</v>
      </c>
      <c r="AA327" s="20">
        <f>input!H326</f>
        <v>0</v>
      </c>
      <c r="AB327" s="19">
        <f t="shared" si="156"/>
        <v>0.98197554006092014</v>
      </c>
      <c r="AC327" s="19">
        <f t="shared" si="157"/>
        <v>0.99519142618801715</v>
      </c>
      <c r="AD327" s="8">
        <f t="shared" si="158"/>
        <v>157692.58911748693</v>
      </c>
      <c r="AE327" s="8">
        <f t="shared" si="159"/>
        <v>69245.272549251793</v>
      </c>
      <c r="AF327" s="8">
        <f t="shared" si="160"/>
        <v>1019.144592262082</v>
      </c>
      <c r="AG327" s="8">
        <f t="shared" si="161"/>
        <v>0</v>
      </c>
      <c r="AH327" s="8">
        <f t="shared" si="141"/>
        <v>45302.802211147689</v>
      </c>
      <c r="AI327" s="8">
        <f t="shared" si="142"/>
        <v>65420.506063101544</v>
      </c>
      <c r="AJ327" s="8">
        <f t="shared" si="162"/>
        <v>999.45054658601509</v>
      </c>
      <c r="AK327" s="8">
        <f t="shared" si="163"/>
        <v>0</v>
      </c>
      <c r="AL327" s="8">
        <f t="shared" si="164"/>
        <v>1.026360203755192</v>
      </c>
      <c r="AM327" s="8">
        <f t="shared" si="165"/>
        <v>46567.888467113786</v>
      </c>
      <c r="AN327" s="8">
        <f t="shared" si="166"/>
        <v>992.56642697160635</v>
      </c>
      <c r="AO327" s="8">
        <f t="shared" si="167"/>
        <v>0</v>
      </c>
    </row>
    <row r="328" spans="1:41">
      <c r="A328" s="1">
        <v>42055</v>
      </c>
      <c r="B328" s="5">
        <v>326</v>
      </c>
      <c r="C328" s="3">
        <f>B328/365+input!$K$3</f>
        <v>0.89315068493150684</v>
      </c>
      <c r="D328" s="4">
        <f t="shared" si="143"/>
        <v>5.9405804827249673</v>
      </c>
      <c r="E328" s="12">
        <f t="shared" si="144"/>
        <v>2.8511860700928433</v>
      </c>
      <c r="F328" s="20">
        <f>input!E327</f>
        <v>55707.51</v>
      </c>
      <c r="G328" s="19">
        <f t="shared" si="145"/>
        <v>0.29477817780630966</v>
      </c>
      <c r="H328" s="19">
        <f t="shared" si="146"/>
        <v>2.459743007919475E-5</v>
      </c>
      <c r="I328" s="5">
        <v>691</v>
      </c>
      <c r="J328" s="3">
        <f>I328/365+input!$K$3</f>
        <v>1.893150684931507</v>
      </c>
      <c r="K328" s="4">
        <f t="shared" si="147"/>
        <v>10.56659071946447</v>
      </c>
      <c r="L328" s="12">
        <f t="shared" si="148"/>
        <v>16.045142054535443</v>
      </c>
      <c r="M328" s="20">
        <f>input!F327</f>
        <v>4277.7700000000004</v>
      </c>
      <c r="N328" s="19">
        <f t="shared" si="149"/>
        <v>0.94500414481554518</v>
      </c>
      <c r="O328" s="19">
        <f t="shared" si="150"/>
        <v>0.71450385916182835</v>
      </c>
      <c r="P328" s="21">
        <v>1056</v>
      </c>
      <c r="Q328" s="3">
        <f>P328/365+input!$K$3</f>
        <v>2.893150684931507</v>
      </c>
      <c r="R328" s="4">
        <f t="shared" si="151"/>
        <v>12.466288435472785</v>
      </c>
      <c r="S328" s="12">
        <f t="shared" si="152"/>
        <v>26.348167854580794</v>
      </c>
      <c r="T328" s="20">
        <f>input!G327</f>
        <v>38.11</v>
      </c>
      <c r="U328" s="19">
        <f t="shared" si="153"/>
        <v>0.98071031580925672</v>
      </c>
      <c r="V328" s="19">
        <f t="shared" si="140"/>
        <v>0.9931739324693919</v>
      </c>
      <c r="W328" s="21">
        <v>1421</v>
      </c>
      <c r="X328" s="3">
        <f>W328/365+input!$K$3</f>
        <v>3.893150684931507</v>
      </c>
      <c r="Y328" s="4">
        <f t="shared" si="154"/>
        <v>12.589299260865312</v>
      </c>
      <c r="Z328" s="12">
        <f t="shared" si="155"/>
        <v>27.135859395209948</v>
      </c>
      <c r="AA328" s="20">
        <f>input!H327</f>
        <v>0</v>
      </c>
      <c r="AB328" s="19">
        <f t="shared" si="156"/>
        <v>0.98197554006092014</v>
      </c>
      <c r="AC328" s="19">
        <f t="shared" si="157"/>
        <v>0.99519142618801715</v>
      </c>
      <c r="AD328" s="8">
        <f t="shared" si="158"/>
        <v>158832.47651155776</v>
      </c>
      <c r="AE328" s="8">
        <f t="shared" si="159"/>
        <v>68637.427326630088</v>
      </c>
      <c r="AF328" s="8">
        <f t="shared" si="160"/>
        <v>1004.128676938074</v>
      </c>
      <c r="AG328" s="8">
        <f t="shared" si="161"/>
        <v>0</v>
      </c>
      <c r="AH328" s="8">
        <f t="shared" si="141"/>
        <v>46820.348002540479</v>
      </c>
      <c r="AI328" s="8">
        <f t="shared" si="142"/>
        <v>64862.6533131412</v>
      </c>
      <c r="AJ328" s="8">
        <f t="shared" si="162"/>
        <v>984.7593518730697</v>
      </c>
      <c r="AK328" s="8">
        <f t="shared" si="163"/>
        <v>0</v>
      </c>
      <c r="AL328" s="8">
        <f t="shared" si="164"/>
        <v>1.1516602362760551</v>
      </c>
      <c r="AM328" s="8">
        <f t="shared" si="165"/>
        <v>46344.616107715141</v>
      </c>
      <c r="AN328" s="8">
        <f t="shared" si="166"/>
        <v>978.03731803578626</v>
      </c>
      <c r="AO328" s="8">
        <f t="shared" si="167"/>
        <v>0</v>
      </c>
    </row>
    <row r="329" spans="1:41">
      <c r="A329" s="1">
        <v>42056</v>
      </c>
      <c r="B329" s="5">
        <v>327</v>
      </c>
      <c r="C329" s="3">
        <f>B329/365+input!$K$3</f>
        <v>0.89589041095890409</v>
      </c>
      <c r="D329" s="4">
        <f t="shared" si="143"/>
        <v>5.9596968474673542</v>
      </c>
      <c r="E329" s="12">
        <f t="shared" si="144"/>
        <v>2.8787994786565667</v>
      </c>
      <c r="F329" s="20">
        <f>input!E328</f>
        <v>55568.95</v>
      </c>
      <c r="G329" s="19">
        <f t="shared" si="145"/>
        <v>0.30217407638650717</v>
      </c>
      <c r="H329" s="19">
        <f t="shared" si="146"/>
        <v>2.6691077210509463E-5</v>
      </c>
      <c r="I329" s="5">
        <v>692</v>
      </c>
      <c r="J329" s="3">
        <f>I329/365+input!$K$3</f>
        <v>1.8958904109589041</v>
      </c>
      <c r="K329" s="4">
        <f t="shared" si="147"/>
        <v>10.57444096461764</v>
      </c>
      <c r="L329" s="12">
        <f t="shared" si="148"/>
        <v>16.080929917468524</v>
      </c>
      <c r="M329" s="20">
        <f>input!F328</f>
        <v>4267.13</v>
      </c>
      <c r="N329" s="19">
        <f t="shared" si="149"/>
        <v>0.94524173068206219</v>
      </c>
      <c r="O329" s="19">
        <f t="shared" si="150"/>
        <v>0.71716528054009254</v>
      </c>
      <c r="P329" s="21">
        <v>1057</v>
      </c>
      <c r="Q329" s="3">
        <f>P329/365+input!$K$3</f>
        <v>2.8958904109589043</v>
      </c>
      <c r="R329" s="4">
        <f t="shared" si="151"/>
        <v>12.469512183805453</v>
      </c>
      <c r="S329" s="12">
        <f t="shared" si="152"/>
        <v>26.368613834891818</v>
      </c>
      <c r="T329" s="20">
        <f>input!G328</f>
        <v>38.020000000000003</v>
      </c>
      <c r="U329" s="19">
        <f t="shared" si="153"/>
        <v>0.9807445805495808</v>
      </c>
      <c r="V329" s="19">
        <f t="shared" si="140"/>
        <v>0.99323512944327519</v>
      </c>
      <c r="W329" s="21">
        <v>1422</v>
      </c>
      <c r="X329" s="3">
        <f>W329/365+input!$K$3</f>
        <v>3.8958904109589043</v>
      </c>
      <c r="Y329" s="4">
        <f t="shared" si="154"/>
        <v>12.589299260865312</v>
      </c>
      <c r="Z329" s="12">
        <f t="shared" si="155"/>
        <v>27.135859395209948</v>
      </c>
      <c r="AA329" s="20">
        <f>input!H328</f>
        <v>0</v>
      </c>
      <c r="AB329" s="19">
        <f t="shared" si="156"/>
        <v>0.98197554006092014</v>
      </c>
      <c r="AC329" s="19">
        <f t="shared" si="157"/>
        <v>0.99519142618801715</v>
      </c>
      <c r="AD329" s="8">
        <f t="shared" si="158"/>
        <v>159971.86428949281</v>
      </c>
      <c r="AE329" s="8">
        <f t="shared" si="159"/>
        <v>68619.418478727457</v>
      </c>
      <c r="AF329" s="8">
        <f t="shared" si="160"/>
        <v>1002.534698002587</v>
      </c>
      <c r="AG329" s="8">
        <f t="shared" si="161"/>
        <v>0</v>
      </c>
      <c r="AH329" s="8">
        <f t="shared" si="141"/>
        <v>48339.350339505159</v>
      </c>
      <c r="AI329" s="8">
        <f t="shared" si="142"/>
        <v>64861.937881229023</v>
      </c>
      <c r="AJ329" s="8">
        <f t="shared" si="162"/>
        <v>983.23047187894781</v>
      </c>
      <c r="AK329" s="8">
        <f t="shared" si="163"/>
        <v>0</v>
      </c>
      <c r="AL329" s="8">
        <f t="shared" si="164"/>
        <v>1.2902293322175991</v>
      </c>
      <c r="AM329" s="8">
        <f t="shared" si="165"/>
        <v>46516.72987696567</v>
      </c>
      <c r="AN329" s="8">
        <f t="shared" si="166"/>
        <v>976.57904500925929</v>
      </c>
      <c r="AO329" s="8">
        <f t="shared" si="167"/>
        <v>0</v>
      </c>
    </row>
    <row r="330" spans="1:41">
      <c r="A330" s="1">
        <v>42057</v>
      </c>
      <c r="B330" s="5">
        <v>328</v>
      </c>
      <c r="C330" s="3">
        <f>B330/365+input!$K$3</f>
        <v>0.89863013698630134</v>
      </c>
      <c r="D330" s="4">
        <f t="shared" si="143"/>
        <v>5.9787666564867115</v>
      </c>
      <c r="E330" s="12">
        <f t="shared" si="144"/>
        <v>2.9065227041265831</v>
      </c>
      <c r="F330" s="20">
        <f>input!E329</f>
        <v>55430.73</v>
      </c>
      <c r="G330" s="19">
        <f t="shared" si="145"/>
        <v>0.30947468227809727</v>
      </c>
      <c r="H330" s="19">
        <f t="shared" si="146"/>
        <v>2.8947109916875304E-5</v>
      </c>
      <c r="I330" s="5">
        <v>693</v>
      </c>
      <c r="J330" s="3">
        <f>I330/365+input!$K$3</f>
        <v>1.8986301369863015</v>
      </c>
      <c r="K330" s="4">
        <f t="shared" si="147"/>
        <v>10.58227209139533</v>
      </c>
      <c r="L330" s="12">
        <f t="shared" si="148"/>
        <v>16.116683604817037</v>
      </c>
      <c r="M330" s="20">
        <f>input!F329</f>
        <v>4221.72</v>
      </c>
      <c r="N330" s="19">
        <f t="shared" si="149"/>
        <v>0.94547771529093638</v>
      </c>
      <c r="O330" s="19">
        <f t="shared" si="150"/>
        <v>0.71980828952295783</v>
      </c>
      <c r="P330" s="21">
        <v>1058</v>
      </c>
      <c r="Q330" s="3">
        <f>P330/365+input!$K$3</f>
        <v>2.8986301369863012</v>
      </c>
      <c r="R330" s="4">
        <f t="shared" si="151"/>
        <v>12.472728081067242</v>
      </c>
      <c r="S330" s="12">
        <f t="shared" si="152"/>
        <v>26.38902055730216</v>
      </c>
      <c r="T330" s="20">
        <f>input!G329</f>
        <v>37.56</v>
      </c>
      <c r="U330" s="19">
        <f t="shared" si="153"/>
        <v>0.98077870119882027</v>
      </c>
      <c r="V330" s="19">
        <f t="shared" si="140"/>
        <v>0.9932956938877836</v>
      </c>
      <c r="W330" s="21">
        <v>1423</v>
      </c>
      <c r="X330" s="3">
        <f>W330/365+input!$K$3</f>
        <v>3.8986301369863012</v>
      </c>
      <c r="Y330" s="4">
        <f t="shared" si="154"/>
        <v>12.589299260865312</v>
      </c>
      <c r="Z330" s="12">
        <f t="shared" si="155"/>
        <v>27.135859395209948</v>
      </c>
      <c r="AA330" s="20">
        <f>input!H329</f>
        <v>0</v>
      </c>
      <c r="AB330" s="19">
        <f t="shared" si="156"/>
        <v>0.98197554006092014</v>
      </c>
      <c r="AC330" s="19">
        <f t="shared" si="157"/>
        <v>0.99519142618801715</v>
      </c>
      <c r="AD330" s="8">
        <f t="shared" si="158"/>
        <v>161110.67525131052</v>
      </c>
      <c r="AE330" s="8">
        <f t="shared" si="159"/>
        <v>68040.125508128185</v>
      </c>
      <c r="AF330" s="8">
        <f t="shared" si="160"/>
        <v>991.17161213226916</v>
      </c>
      <c r="AG330" s="8">
        <f t="shared" si="161"/>
        <v>0</v>
      </c>
      <c r="AH330" s="8">
        <f t="shared" si="141"/>
        <v>49859.67503500903</v>
      </c>
      <c r="AI330" s="8">
        <f t="shared" si="142"/>
        <v>64330.422413533597</v>
      </c>
      <c r="AJ330" s="8">
        <f t="shared" si="162"/>
        <v>972.12000641222778</v>
      </c>
      <c r="AK330" s="8">
        <f t="shared" si="163"/>
        <v>0</v>
      </c>
      <c r="AL330" s="8">
        <f t="shared" si="164"/>
        <v>1.4432934936580899</v>
      </c>
      <c r="AM330" s="8">
        <f t="shared" si="165"/>
        <v>46305.571321774965</v>
      </c>
      <c r="AN330" s="8">
        <f t="shared" si="166"/>
        <v>965.60261631143044</v>
      </c>
      <c r="AO330" s="8">
        <f t="shared" si="167"/>
        <v>0</v>
      </c>
    </row>
    <row r="331" spans="1:41">
      <c r="A331" s="1">
        <v>42058</v>
      </c>
      <c r="B331" s="5">
        <v>329</v>
      </c>
      <c r="C331" s="3">
        <f>B331/365+input!$K$3</f>
        <v>0.90136986301369859</v>
      </c>
      <c r="D331" s="4">
        <f t="shared" si="143"/>
        <v>5.9977900231641907</v>
      </c>
      <c r="E331" s="12">
        <f t="shared" si="144"/>
        <v>2.9343551814793871</v>
      </c>
      <c r="F331" s="20">
        <f>input!E330</f>
        <v>55292.86</v>
      </c>
      <c r="G331" s="19">
        <f t="shared" si="145"/>
        <v>0.31668140809271172</v>
      </c>
      <c r="H331" s="19">
        <f t="shared" si="146"/>
        <v>3.1376783782913699E-5</v>
      </c>
      <c r="I331" s="5">
        <v>694</v>
      </c>
      <c r="J331" s="3">
        <f>I331/365+input!$K$3</f>
        <v>1.9013698630136986</v>
      </c>
      <c r="K331" s="4">
        <f t="shared" si="147"/>
        <v>10.590084146358153</v>
      </c>
      <c r="L331" s="12">
        <f t="shared" si="148"/>
        <v>16.152402981110242</v>
      </c>
      <c r="M331" s="20">
        <f>input!F330</f>
        <v>4211.21</v>
      </c>
      <c r="N331" s="19">
        <f t="shared" si="149"/>
        <v>0.94571211190258375</v>
      </c>
      <c r="O331" s="19">
        <f t="shared" si="150"/>
        <v>0.72243288151626861</v>
      </c>
      <c r="P331" s="21">
        <v>1059</v>
      </c>
      <c r="Q331" s="3">
        <f>P331/365+input!$K$3</f>
        <v>2.9013698630136986</v>
      </c>
      <c r="R331" s="4">
        <f t="shared" si="151"/>
        <v>12.475936146378544</v>
      </c>
      <c r="S331" s="12">
        <f t="shared" si="152"/>
        <v>26.409388068868275</v>
      </c>
      <c r="T331" s="20">
        <f>input!G330</f>
        <v>37.47</v>
      </c>
      <c r="U331" s="19">
        <f t="shared" si="153"/>
        <v>0.98081267850984966</v>
      </c>
      <c r="V331" s="19">
        <f t="shared" si="140"/>
        <v>0.99335563288227591</v>
      </c>
      <c r="W331" s="21">
        <v>1424</v>
      </c>
      <c r="X331" s="3">
        <f>W331/365+input!$K$3</f>
        <v>3.9013698630136986</v>
      </c>
      <c r="Y331" s="4">
        <f t="shared" si="154"/>
        <v>12.589299260865312</v>
      </c>
      <c r="Z331" s="12">
        <f t="shared" si="155"/>
        <v>27.135859395209948</v>
      </c>
      <c r="AA331" s="20">
        <f>input!H330</f>
        <v>0</v>
      </c>
      <c r="AB331" s="19">
        <f t="shared" si="156"/>
        <v>0.98197554006092014</v>
      </c>
      <c r="AC331" s="19">
        <f t="shared" si="157"/>
        <v>0.99519142618801715</v>
      </c>
      <c r="AD331" s="8">
        <f t="shared" si="158"/>
        <v>162248.89023981435</v>
      </c>
      <c r="AE331" s="8">
        <f t="shared" si="159"/>
        <v>68021.160958081266</v>
      </c>
      <c r="AF331" s="8">
        <f t="shared" si="160"/>
        <v>989.55977094049422</v>
      </c>
      <c r="AG331" s="8">
        <f t="shared" si="161"/>
        <v>0</v>
      </c>
      <c r="AH331" s="8">
        <f t="shared" si="141"/>
        <v>51381.207022624243</v>
      </c>
      <c r="AI331" s="8">
        <f t="shared" si="142"/>
        <v>64328.43578373261</v>
      </c>
      <c r="AJ331" s="8">
        <f t="shared" si="162"/>
        <v>970.57276948173944</v>
      </c>
      <c r="AK331" s="8">
        <f t="shared" si="163"/>
        <v>0</v>
      </c>
      <c r="AL331" s="8">
        <f t="shared" si="164"/>
        <v>1.6121770232540078</v>
      </c>
      <c r="AM331" s="8">
        <f t="shared" si="165"/>
        <v>46472.977226676194</v>
      </c>
      <c r="AN331" s="8">
        <f t="shared" si="166"/>
        <v>964.12392768683662</v>
      </c>
      <c r="AO331" s="8">
        <f t="shared" si="167"/>
        <v>0</v>
      </c>
    </row>
    <row r="332" spans="1:41">
      <c r="A332" s="1">
        <v>42059</v>
      </c>
      <c r="B332" s="5">
        <v>330</v>
      </c>
      <c r="C332" s="3">
        <f>B332/365+input!$K$3</f>
        <v>0.90410958904109584</v>
      </c>
      <c r="D332" s="4">
        <f t="shared" si="143"/>
        <v>6.0167670606048089</v>
      </c>
      <c r="E332" s="12">
        <f t="shared" si="144"/>
        <v>2.9622963444058317</v>
      </c>
      <c r="F332" s="20">
        <f>input!E331</f>
        <v>55155.33</v>
      </c>
      <c r="G332" s="19">
        <f t="shared" si="145"/>
        <v>0.3237956430484783</v>
      </c>
      <c r="H332" s="19">
        <f t="shared" si="146"/>
        <v>3.3992030160294139E-5</v>
      </c>
      <c r="I332" s="5">
        <v>695</v>
      </c>
      <c r="J332" s="3">
        <f>I332/365+input!$K$3</f>
        <v>1.904109589041096</v>
      </c>
      <c r="K332" s="4">
        <f t="shared" si="147"/>
        <v>10.597877175953339</v>
      </c>
      <c r="L332" s="12">
        <f t="shared" si="148"/>
        <v>16.188087911986738</v>
      </c>
      <c r="M332" s="20">
        <f>input!F331</f>
        <v>4166.22</v>
      </c>
      <c r="N332" s="19">
        <f t="shared" si="149"/>
        <v>0.94594493364888266</v>
      </c>
      <c r="O332" s="19">
        <f t="shared" si="150"/>
        <v>0.72503905489923892</v>
      </c>
      <c r="P332" s="21">
        <v>1060</v>
      </c>
      <c r="Q332" s="3">
        <f>P332/365+input!$K$3</f>
        <v>2.904109589041096</v>
      </c>
      <c r="R332" s="4">
        <f t="shared" si="151"/>
        <v>12.479136398813177</v>
      </c>
      <c r="S332" s="12">
        <f t="shared" si="152"/>
        <v>26.429716416748477</v>
      </c>
      <c r="T332" s="20">
        <f>input!G331</f>
        <v>37.020000000000003</v>
      </c>
      <c r="U332" s="19">
        <f t="shared" si="153"/>
        <v>0.98084651323078687</v>
      </c>
      <c r="V332" s="19">
        <f t="shared" si="140"/>
        <v>0.99341495342343378</v>
      </c>
      <c r="W332" s="21">
        <v>1425</v>
      </c>
      <c r="X332" s="3">
        <f>W332/365+input!$K$3</f>
        <v>3.904109589041096</v>
      </c>
      <c r="Y332" s="4">
        <f t="shared" si="154"/>
        <v>12.589299260865312</v>
      </c>
      <c r="Z332" s="12">
        <f t="shared" si="155"/>
        <v>27.135859395209948</v>
      </c>
      <c r="AA332" s="20">
        <f>input!H331</f>
        <v>0</v>
      </c>
      <c r="AB332" s="19">
        <f t="shared" si="156"/>
        <v>0.98197554006092014</v>
      </c>
      <c r="AC332" s="19">
        <f t="shared" si="157"/>
        <v>0.99519142618801715</v>
      </c>
      <c r="AD332" s="8">
        <f t="shared" si="158"/>
        <v>163386.43243349731</v>
      </c>
      <c r="AE332" s="8">
        <f t="shared" si="159"/>
        <v>67443.135620677393</v>
      </c>
      <c r="AF332" s="8">
        <f t="shared" si="160"/>
        <v>978.42810174802867</v>
      </c>
      <c r="AG332" s="8">
        <f t="shared" si="161"/>
        <v>0</v>
      </c>
      <c r="AH332" s="8">
        <f t="shared" si="141"/>
        <v>52903.814955201015</v>
      </c>
      <c r="AI332" s="8">
        <f t="shared" si="142"/>
        <v>63797.492449774269</v>
      </c>
      <c r="AJ332" s="8">
        <f t="shared" si="162"/>
        <v>959.68779204657153</v>
      </c>
      <c r="AK332" s="8">
        <f t="shared" si="163"/>
        <v>0</v>
      </c>
      <c r="AL332" s="8">
        <f t="shared" si="164"/>
        <v>1.7983080735518131</v>
      </c>
      <c r="AM332" s="8">
        <f t="shared" si="165"/>
        <v>46255.673630725665</v>
      </c>
      <c r="AN332" s="8">
        <f t="shared" si="166"/>
        <v>953.36820323698282</v>
      </c>
      <c r="AO332" s="8">
        <f t="shared" si="167"/>
        <v>0</v>
      </c>
    </row>
    <row r="333" spans="1:41">
      <c r="A333" s="1">
        <v>42060</v>
      </c>
      <c r="B333" s="5">
        <v>331</v>
      </c>
      <c r="C333" s="3">
        <f>B333/365+input!$K$3</f>
        <v>0.9068493150684932</v>
      </c>
      <c r="D333" s="4">
        <f t="shared" si="143"/>
        <v>6.0356978816381313</v>
      </c>
      <c r="E333" s="12">
        <f t="shared" si="144"/>
        <v>2.9903456253571696</v>
      </c>
      <c r="F333" s="20">
        <f>input!E332</f>
        <v>55018.14</v>
      </c>
      <c r="G333" s="19">
        <f t="shared" si="145"/>
        <v>0.3308187533949063</v>
      </c>
      <c r="H333" s="19">
        <f t="shared" si="146"/>
        <v>3.6805489317513609E-5</v>
      </c>
      <c r="I333" s="5">
        <v>696</v>
      </c>
      <c r="J333" s="3">
        <f>I333/365+input!$K$3</f>
        <v>1.9068493150684931</v>
      </c>
      <c r="K333" s="4">
        <f t="shared" si="147"/>
        <v>10.605651226515</v>
      </c>
      <c r="L333" s="12">
        <f t="shared" si="148"/>
        <v>16.223738264189979</v>
      </c>
      <c r="M333" s="20">
        <f>input!F332</f>
        <v>4155.8500000000004</v>
      </c>
      <c r="N333" s="19">
        <f t="shared" si="149"/>
        <v>0.94617619353458626</v>
      </c>
      <c r="O333" s="19">
        <f t="shared" si="150"/>
        <v>0.72762681097435</v>
      </c>
      <c r="P333" s="21">
        <v>1061</v>
      </c>
      <c r="Q333" s="3">
        <f>P333/365+input!$K$3</f>
        <v>2.9068493150684933</v>
      </c>
      <c r="R333" s="4">
        <f t="shared" si="151"/>
        <v>12.482328857398509</v>
      </c>
      <c r="S333" s="12">
        <f t="shared" si="152"/>
        <v>26.450005648201813</v>
      </c>
      <c r="T333" s="20">
        <f>input!G332</f>
        <v>36.93</v>
      </c>
      <c r="U333" s="19">
        <f t="shared" si="153"/>
        <v>0.98088020610502891</v>
      </c>
      <c r="V333" s="19">
        <f t="shared" si="140"/>
        <v>0.99347366242623403</v>
      </c>
      <c r="W333" s="21">
        <v>1426</v>
      </c>
      <c r="X333" s="3">
        <f>W333/365+input!$K$3</f>
        <v>3.9068493150684933</v>
      </c>
      <c r="Y333" s="4">
        <f t="shared" si="154"/>
        <v>12.589299260865312</v>
      </c>
      <c r="Z333" s="12">
        <f t="shared" si="155"/>
        <v>27.135859395209948</v>
      </c>
      <c r="AA333" s="20">
        <f>input!H332</f>
        <v>0</v>
      </c>
      <c r="AB333" s="19">
        <f t="shared" si="156"/>
        <v>0.98197554006092014</v>
      </c>
      <c r="AC333" s="19">
        <f t="shared" si="157"/>
        <v>0.99519142618801715</v>
      </c>
      <c r="AD333" s="8">
        <f t="shared" si="158"/>
        <v>164523.25426428832</v>
      </c>
      <c r="AE333" s="8">
        <f t="shared" si="159"/>
        <v>67423.422665233928</v>
      </c>
      <c r="AF333" s="8">
        <f t="shared" si="160"/>
        <v>976.79870858809295</v>
      </c>
      <c r="AG333" s="8">
        <f t="shared" si="161"/>
        <v>0</v>
      </c>
      <c r="AH333" s="8">
        <f t="shared" si="141"/>
        <v>54427.377880185064</v>
      </c>
      <c r="AI333" s="8">
        <f t="shared" si="142"/>
        <v>63794.437412464584</v>
      </c>
      <c r="AJ333" s="8">
        <f t="shared" si="162"/>
        <v>958.12251860301467</v>
      </c>
      <c r="AK333" s="8">
        <f t="shared" si="163"/>
        <v>0</v>
      </c>
      <c r="AL333" s="8">
        <f t="shared" si="164"/>
        <v>2.0032262751494279</v>
      </c>
      <c r="AM333" s="8">
        <f t="shared" si="165"/>
        <v>46418.543052334368</v>
      </c>
      <c r="AN333" s="8">
        <f t="shared" si="166"/>
        <v>951.86948760958455</v>
      </c>
      <c r="AO333" s="8">
        <f t="shared" si="167"/>
        <v>0</v>
      </c>
    </row>
    <row r="334" spans="1:41">
      <c r="A334" s="1">
        <v>42061</v>
      </c>
      <c r="B334" s="5">
        <v>332</v>
      </c>
      <c r="C334" s="3">
        <f>B334/365+input!$K$3</f>
        <v>0.90958904109589045</v>
      </c>
      <c r="D334" s="4">
        <f t="shared" si="143"/>
        <v>6.0545825988189401</v>
      </c>
      <c r="E334" s="12">
        <f t="shared" si="144"/>
        <v>3.0185024555905433</v>
      </c>
      <c r="F334" s="20">
        <f>input!E333</f>
        <v>54881.29</v>
      </c>
      <c r="G334" s="19">
        <f t="shared" si="145"/>
        <v>0.33775208282940383</v>
      </c>
      <c r="H334" s="19">
        <f t="shared" si="146"/>
        <v>3.9830544738243611E-5</v>
      </c>
      <c r="I334" s="5">
        <v>697</v>
      </c>
      <c r="J334" s="3">
        <f>I334/365+input!$K$3</f>
        <v>1.9095890410958904</v>
      </c>
      <c r="K334" s="4">
        <f t="shared" si="147"/>
        <v>10.6134063442644</v>
      </c>
      <c r="L334" s="12">
        <f t="shared" si="148"/>
        <v>16.259353905563845</v>
      </c>
      <c r="M334" s="20">
        <f>input!F333</f>
        <v>4109.7299999999996</v>
      </c>
      <c r="N334" s="19">
        <f t="shared" si="149"/>
        <v>0.94640590443871719</v>
      </c>
      <c r="O334" s="19">
        <f t="shared" si="150"/>
        <v>0.73019615391723769</v>
      </c>
      <c r="P334" s="21">
        <v>1062</v>
      </c>
      <c r="Q334" s="3">
        <f>P334/365+input!$K$3</f>
        <v>2.9095890410958902</v>
      </c>
      <c r="R334" s="4">
        <f t="shared" si="151"/>
        <v>12.485513541115569</v>
      </c>
      <c r="S334" s="12">
        <f t="shared" si="152"/>
        <v>26.470255810586917</v>
      </c>
      <c r="T334" s="20">
        <f>input!G333</f>
        <v>36.409999999999997</v>
      </c>
      <c r="U334" s="19">
        <f t="shared" si="153"/>
        <v>0.9809137578712861</v>
      </c>
      <c r="V334" s="19">
        <f t="shared" si="140"/>
        <v>0.99353176672490939</v>
      </c>
      <c r="W334" s="21">
        <v>1427</v>
      </c>
      <c r="X334" s="3">
        <f>W334/365+input!$K$3</f>
        <v>3.9095890410958902</v>
      </c>
      <c r="Y334" s="4">
        <f t="shared" si="154"/>
        <v>12.589299260865312</v>
      </c>
      <c r="Z334" s="12">
        <f t="shared" si="155"/>
        <v>27.135859395209948</v>
      </c>
      <c r="AA334" s="20">
        <f>input!H333</f>
        <v>0</v>
      </c>
      <c r="AB334" s="19">
        <f t="shared" si="156"/>
        <v>0.98197554006092014</v>
      </c>
      <c r="AC334" s="19">
        <f t="shared" si="157"/>
        <v>0.99519142618801715</v>
      </c>
      <c r="AD334" s="8">
        <f t="shared" si="158"/>
        <v>165659.30863097674</v>
      </c>
      <c r="AE334" s="8">
        <f t="shared" si="159"/>
        <v>66821.554526312888</v>
      </c>
      <c r="AF334" s="8">
        <f t="shared" si="160"/>
        <v>963.78201406346955</v>
      </c>
      <c r="AG334" s="8">
        <f t="shared" si="161"/>
        <v>0</v>
      </c>
      <c r="AH334" s="8">
        <f t="shared" si="141"/>
        <v>55951.776530191426</v>
      </c>
      <c r="AI334" s="8">
        <f t="shared" si="142"/>
        <v>63240.313747476204</v>
      </c>
      <c r="AJ334" s="8">
        <f t="shared" si="162"/>
        <v>945.38703718375461</v>
      </c>
      <c r="AK334" s="8">
        <f t="shared" si="163"/>
        <v>0</v>
      </c>
      <c r="AL334" s="8">
        <f t="shared" si="164"/>
        <v>2.2285897382699984</v>
      </c>
      <c r="AM334" s="8">
        <f t="shared" si="165"/>
        <v>46177.833870926537</v>
      </c>
      <c r="AN334" s="8">
        <f t="shared" si="166"/>
        <v>939.27205329200331</v>
      </c>
      <c r="AO334" s="8">
        <f t="shared" si="167"/>
        <v>0</v>
      </c>
    </row>
    <row r="335" spans="1:41">
      <c r="A335" s="1">
        <v>42062</v>
      </c>
      <c r="B335" s="5">
        <v>333</v>
      </c>
      <c r="C335" s="3">
        <f>B335/365+input!$K$3</f>
        <v>0.9123287671232877</v>
      </c>
      <c r="D335" s="4">
        <f t="shared" si="143"/>
        <v>6.0734213244279012</v>
      </c>
      <c r="E335" s="12">
        <f t="shared" si="144"/>
        <v>3.0467662652139387</v>
      </c>
      <c r="F335" s="20">
        <f>input!E334</f>
        <v>54744.78</v>
      </c>
      <c r="G335" s="19">
        <f t="shared" si="145"/>
        <v>0.34459695290562131</v>
      </c>
      <c r="H335" s="19">
        <f t="shared" si="146"/>
        <v>4.3081358579907225E-5</v>
      </c>
      <c r="I335" s="5">
        <v>698</v>
      </c>
      <c r="J335" s="3">
        <f>I335/365+input!$K$3</f>
        <v>1.9123287671232876</v>
      </c>
      <c r="K335" s="4">
        <f t="shared" si="147"/>
        <v>10.621142575310241</v>
      </c>
      <c r="L335" s="12">
        <f t="shared" si="148"/>
        <v>16.294934705048298</v>
      </c>
      <c r="M335" s="20">
        <f>input!F334</f>
        <v>4099.51</v>
      </c>
      <c r="N335" s="19">
        <f t="shared" si="149"/>
        <v>0.94663407911594677</v>
      </c>
      <c r="O335" s="19">
        <f t="shared" si="150"/>
        <v>0.7327470907265965</v>
      </c>
      <c r="P335" s="21">
        <v>1063</v>
      </c>
      <c r="Q335" s="3">
        <f>P335/365+input!$K$3</f>
        <v>2.9123287671232876</v>
      </c>
      <c r="R335" s="4">
        <f t="shared" si="151"/>
        <v>12.488690468899167</v>
      </c>
      <c r="S335" s="12">
        <f t="shared" si="152"/>
        <v>26.49046695136089</v>
      </c>
      <c r="T335" s="20">
        <f>input!G334</f>
        <v>36.32</v>
      </c>
      <c r="U335" s="19">
        <f t="shared" si="153"/>
        <v>0.98094716926361669</v>
      </c>
      <c r="V335" s="19">
        <f t="shared" si="140"/>
        <v>0.99358927307389844</v>
      </c>
      <c r="W335" s="21">
        <v>1428</v>
      </c>
      <c r="X335" s="3">
        <f>W335/365+input!$K$3</f>
        <v>3.9123287671232876</v>
      </c>
      <c r="Y335" s="4">
        <f t="shared" si="154"/>
        <v>12.589299260865312</v>
      </c>
      <c r="Z335" s="12">
        <f t="shared" si="155"/>
        <v>27.135859395209948</v>
      </c>
      <c r="AA335" s="20">
        <f>input!H334</f>
        <v>0</v>
      </c>
      <c r="AB335" s="19">
        <f t="shared" si="156"/>
        <v>0.98197554006092014</v>
      </c>
      <c r="AC335" s="19">
        <f t="shared" si="157"/>
        <v>0.99519142618801715</v>
      </c>
      <c r="AD335" s="8">
        <f t="shared" si="158"/>
        <v>166794.54890055873</v>
      </c>
      <c r="AE335" s="8">
        <f t="shared" si="159"/>
        <v>66801.247772692557</v>
      </c>
      <c r="AF335" s="8">
        <f t="shared" si="160"/>
        <v>962.13375967342756</v>
      </c>
      <c r="AG335" s="8">
        <f t="shared" si="161"/>
        <v>0</v>
      </c>
      <c r="AH335" s="8">
        <f t="shared" si="141"/>
        <v>57476.893312400185</v>
      </c>
      <c r="AI335" s="8">
        <f t="shared" si="142"/>
        <v>63236.337669099012</v>
      </c>
      <c r="AJ335" s="8">
        <f t="shared" si="162"/>
        <v>943.80238800460961</v>
      </c>
      <c r="AK335" s="8">
        <f t="shared" si="163"/>
        <v>0</v>
      </c>
      <c r="AL335" s="8">
        <f t="shared" si="164"/>
        <v>2.4761826508505838</v>
      </c>
      <c r="AM335" s="8">
        <f t="shared" si="165"/>
        <v>46336.242455236985</v>
      </c>
      <c r="AN335" s="8">
        <f t="shared" si="166"/>
        <v>937.75192862290953</v>
      </c>
      <c r="AO335" s="8">
        <f t="shared" si="167"/>
        <v>0</v>
      </c>
    </row>
    <row r="336" spans="1:41">
      <c r="A336" s="1">
        <v>42063</v>
      </c>
      <c r="B336" s="5">
        <v>334</v>
      </c>
      <c r="C336" s="3">
        <f>B336/365+input!$K$3</f>
        <v>0.91506849315068495</v>
      </c>
      <c r="D336" s="4">
        <f t="shared" si="143"/>
        <v>6.0922141704722357</v>
      </c>
      <c r="E336" s="12">
        <f t="shared" si="144"/>
        <v>3.0751364832306174</v>
      </c>
      <c r="F336" s="20">
        <f>input!E335</f>
        <v>54608.62</v>
      </c>
      <c r="G336" s="19">
        <f t="shared" si="145"/>
        <v>0.35135466343378763</v>
      </c>
      <c r="H336" s="19">
        <f t="shared" si="146"/>
        <v>4.6572908302548925E-5</v>
      </c>
      <c r="I336" s="5">
        <v>699</v>
      </c>
      <c r="J336" s="3">
        <f>I336/365+input!$K$3</f>
        <v>1.9150684931506849</v>
      </c>
      <c r="K336" s="4">
        <f t="shared" si="147"/>
        <v>10.628859965648939</v>
      </c>
      <c r="L336" s="12">
        <f t="shared" si="148"/>
        <v>16.330480532674947</v>
      </c>
      <c r="M336" s="20">
        <f>input!F335</f>
        <v>4054.39</v>
      </c>
      <c r="N336" s="19">
        <f t="shared" si="149"/>
        <v>0.94686073019795602</v>
      </c>
      <c r="O336" s="19">
        <f t="shared" si="150"/>
        <v>0.73527963117411133</v>
      </c>
      <c r="P336" s="21">
        <v>1064</v>
      </c>
      <c r="Q336" s="3">
        <f>P336/365+input!$K$3</f>
        <v>2.9150684931506849</v>
      </c>
      <c r="R336" s="4">
        <f t="shared" si="151"/>
        <v>12.491859659637988</v>
      </c>
      <c r="S336" s="12">
        <f t="shared" si="152"/>
        <v>26.510639118078068</v>
      </c>
      <c r="T336" s="20">
        <f>input!G335</f>
        <v>35.86</v>
      </c>
      <c r="U336" s="19">
        <f t="shared" si="153"/>
        <v>0.98098044101146065</v>
      </c>
      <c r="V336" s="19">
        <f t="shared" si="140"/>
        <v>0.99364618814878514</v>
      </c>
      <c r="W336" s="21">
        <v>1429</v>
      </c>
      <c r="X336" s="3">
        <f>W336/365+input!$K$3</f>
        <v>3.9150684931506849</v>
      </c>
      <c r="Y336" s="4">
        <f t="shared" si="154"/>
        <v>12.589299260865312</v>
      </c>
      <c r="Z336" s="12">
        <f t="shared" si="155"/>
        <v>27.135859395209948</v>
      </c>
      <c r="AA336" s="20">
        <f>input!H335</f>
        <v>0</v>
      </c>
      <c r="AB336" s="19">
        <f t="shared" si="156"/>
        <v>0.98197554006092014</v>
      </c>
      <c r="AC336" s="19">
        <f t="shared" si="157"/>
        <v>0.99519142618801715</v>
      </c>
      <c r="AD336" s="8">
        <f t="shared" si="158"/>
        <v>167928.95966087715</v>
      </c>
      <c r="AE336" s="8">
        <f t="shared" si="159"/>
        <v>66210.136966871971</v>
      </c>
      <c r="AF336" s="8">
        <f t="shared" si="160"/>
        <v>950.67151877427943</v>
      </c>
      <c r="AG336" s="8">
        <f t="shared" si="161"/>
        <v>0</v>
      </c>
      <c r="AH336" s="8">
        <f t="shared" si="141"/>
        <v>59002.623102433594</v>
      </c>
      <c r="AI336" s="8">
        <f t="shared" si="142"/>
        <v>62691.778634959075</v>
      </c>
      <c r="AJ336" s="8">
        <f t="shared" si="162"/>
        <v>932.59016574422776</v>
      </c>
      <c r="AK336" s="8">
        <f t="shared" si="163"/>
        <v>0</v>
      </c>
      <c r="AL336" s="8">
        <f t="shared" si="164"/>
        <v>2.7479237553594946</v>
      </c>
      <c r="AM336" s="8">
        <f t="shared" si="165"/>
        <v>46095.987872361744</v>
      </c>
      <c r="AN336" s="8">
        <f t="shared" si="166"/>
        <v>926.66466329679565</v>
      </c>
      <c r="AO336" s="8">
        <f t="shared" si="167"/>
        <v>0</v>
      </c>
    </row>
    <row r="337" spans="1:41">
      <c r="A337" s="1">
        <v>42064</v>
      </c>
      <c r="B337" s="5">
        <v>335</v>
      </c>
      <c r="C337" s="3">
        <f>B337/365+input!$K$3</f>
        <v>0.9178082191780822</v>
      </c>
      <c r="D337" s="4">
        <f t="shared" si="143"/>
        <v>6.1109612486863849</v>
      </c>
      <c r="E337" s="12">
        <f t="shared" si="144"/>
        <v>3.103612537583019</v>
      </c>
      <c r="F337" s="20">
        <f>input!E336</f>
        <v>54472.79</v>
      </c>
      <c r="G337" s="19">
        <f t="shared" si="145"/>
        <v>0.35802649287320609</v>
      </c>
      <c r="H337" s="19">
        <f t="shared" si="146"/>
        <v>5.032102447635729E-5</v>
      </c>
      <c r="I337" s="5">
        <v>700</v>
      </c>
      <c r="J337" s="3">
        <f>I337/365+input!$K$3</f>
        <v>1.9178082191780821</v>
      </c>
      <c r="K337" s="4">
        <f t="shared" si="147"/>
        <v>10.636558561164875</v>
      </c>
      <c r="L337" s="12">
        <f t="shared" si="148"/>
        <v>16.365991259562584</v>
      </c>
      <c r="M337" s="20">
        <f>input!F336</f>
        <v>4044.3</v>
      </c>
      <c r="N337" s="19">
        <f t="shared" si="149"/>
        <v>0.94708587019477997</v>
      </c>
      <c r="O337" s="19">
        <f t="shared" si="150"/>
        <v>0.7377937877544406</v>
      </c>
      <c r="P337" s="21">
        <v>1065</v>
      </c>
      <c r="Q337" s="3">
        <f>P337/365+input!$K$3</f>
        <v>2.9178082191780823</v>
      </c>
      <c r="R337" s="4">
        <f t="shared" si="151"/>
        <v>12.495021132174722</v>
      </c>
      <c r="S337" s="12">
        <f t="shared" si="152"/>
        <v>26.530772358388976</v>
      </c>
      <c r="T337" s="20">
        <f>input!G336</f>
        <v>35.770000000000003</v>
      </c>
      <c r="U337" s="19">
        <f t="shared" si="153"/>
        <v>0.98101357383967425</v>
      </c>
      <c r="V337" s="19">
        <f t="shared" si="140"/>
        <v>0.9937025185472278</v>
      </c>
      <c r="W337" s="21">
        <v>1430</v>
      </c>
      <c r="X337" s="3">
        <f>W337/365+input!$K$3</f>
        <v>3.9178082191780823</v>
      </c>
      <c r="Y337" s="4">
        <f t="shared" si="154"/>
        <v>12.589299260865312</v>
      </c>
      <c r="Z337" s="12">
        <f t="shared" si="155"/>
        <v>27.135859395209948</v>
      </c>
      <c r="AA337" s="20">
        <f>input!H336</f>
        <v>0</v>
      </c>
      <c r="AB337" s="19">
        <f t="shared" si="156"/>
        <v>0.98197554006092014</v>
      </c>
      <c r="AC337" s="19">
        <f t="shared" si="157"/>
        <v>0.99519142618801715</v>
      </c>
      <c r="AD337" s="8">
        <f t="shared" si="158"/>
        <v>169062.43400112691</v>
      </c>
      <c r="AE337" s="8">
        <f t="shared" si="159"/>
        <v>66188.978451048955</v>
      </c>
      <c r="AF337" s="8">
        <f t="shared" si="160"/>
        <v>949.00572725957375</v>
      </c>
      <c r="AG337" s="8">
        <f t="shared" si="161"/>
        <v>0</v>
      </c>
      <c r="AH337" s="8">
        <f t="shared" si="141"/>
        <v>60528.830322031339</v>
      </c>
      <c r="AI337" s="8">
        <f t="shared" si="142"/>
        <v>62686.646253615239</v>
      </c>
      <c r="AJ337" s="8">
        <f t="shared" si="162"/>
        <v>930.98750009323362</v>
      </c>
      <c r="AK337" s="8">
        <f t="shared" si="163"/>
        <v>0</v>
      </c>
      <c r="AL337" s="8">
        <f t="shared" si="164"/>
        <v>3.0458727521602165</v>
      </c>
      <c r="AM337" s="8">
        <f t="shared" si="165"/>
        <v>46249.818181077499</v>
      </c>
      <c r="AN337" s="8">
        <f t="shared" si="166"/>
        <v>925.12462357863376</v>
      </c>
      <c r="AO337" s="8">
        <f t="shared" si="167"/>
        <v>0</v>
      </c>
    </row>
    <row r="338" spans="1:41">
      <c r="A338" s="1">
        <v>42065</v>
      </c>
      <c r="B338" s="5">
        <v>336</v>
      </c>
      <c r="C338" s="3">
        <f>B338/365+input!$K$3</f>
        <v>0.92054794520547945</v>
      </c>
      <c r="D338" s="4">
        <f t="shared" si="143"/>
        <v>6.1296626705326673</v>
      </c>
      <c r="E338" s="12">
        <f t="shared" si="144"/>
        <v>3.1321938551961352</v>
      </c>
      <c r="F338" s="20">
        <f>input!E337</f>
        <v>54337.3</v>
      </c>
      <c r="G338" s="19">
        <f t="shared" si="145"/>
        <v>0.36461369871707561</v>
      </c>
      <c r="H338" s="19">
        <f t="shared" si="146"/>
        <v>5.434242977439484E-5</v>
      </c>
      <c r="I338" s="5">
        <v>701</v>
      </c>
      <c r="J338" s="3">
        <f>I338/365+input!$K$3</f>
        <v>1.9205479452054794</v>
      </c>
      <c r="K338" s="4">
        <f t="shared" si="147"/>
        <v>10.6442384076307</v>
      </c>
      <c r="L338" s="12">
        <f t="shared" si="148"/>
        <v>16.401466757912893</v>
      </c>
      <c r="M338" s="20">
        <f>input!F337</f>
        <v>3961.75</v>
      </c>
      <c r="N338" s="19">
        <f t="shared" si="149"/>
        <v>0.94730951149613729</v>
      </c>
      <c r="O338" s="19">
        <f t="shared" si="150"/>
        <v>0.74028957563528952</v>
      </c>
      <c r="P338" s="21">
        <v>1066</v>
      </c>
      <c r="Q338" s="3">
        <f>P338/365+input!$K$3</f>
        <v>2.9205479452054797</v>
      </c>
      <c r="R338" s="4">
        <f t="shared" si="151"/>
        <v>12.498174905306168</v>
      </c>
      <c r="S338" s="12">
        <f t="shared" si="152"/>
        <v>26.550866720039167</v>
      </c>
      <c r="T338" s="20">
        <f>input!G337</f>
        <v>35.18</v>
      </c>
      <c r="U338" s="19">
        <f t="shared" si="153"/>
        <v>0.98104656846856264</v>
      </c>
      <c r="V338" s="19">
        <f t="shared" si="140"/>
        <v>0.993758270789877</v>
      </c>
      <c r="W338" s="21">
        <v>1431</v>
      </c>
      <c r="X338" s="3">
        <f>W338/365+input!$K$3</f>
        <v>3.9205479452054797</v>
      </c>
      <c r="Y338" s="4">
        <f t="shared" si="154"/>
        <v>12.589299260865312</v>
      </c>
      <c r="Z338" s="12">
        <f t="shared" si="155"/>
        <v>27.135859395209948</v>
      </c>
      <c r="AA338" s="20">
        <f>input!H337</f>
        <v>0</v>
      </c>
      <c r="AB338" s="19">
        <f t="shared" si="156"/>
        <v>0.98197554006092014</v>
      </c>
      <c r="AC338" s="19">
        <f t="shared" si="157"/>
        <v>0.99519142618801715</v>
      </c>
      <c r="AD338" s="8">
        <f t="shared" si="158"/>
        <v>170194.95716794897</v>
      </c>
      <c r="AE338" s="8">
        <f t="shared" si="159"/>
        <v>64978.510928161399</v>
      </c>
      <c r="AF338" s="8">
        <f t="shared" si="160"/>
        <v>934.05949121097785</v>
      </c>
      <c r="AG338" s="8">
        <f t="shared" si="161"/>
        <v>0</v>
      </c>
      <c r="AH338" s="8">
        <f t="shared" si="141"/>
        <v>62055.412836000134</v>
      </c>
      <c r="AI338" s="8">
        <f t="shared" si="142"/>
        <v>61554.761445102995</v>
      </c>
      <c r="AJ338" s="8">
        <f t="shared" si="162"/>
        <v>916.35585859802131</v>
      </c>
      <c r="AK338" s="8">
        <f t="shared" si="163"/>
        <v>0</v>
      </c>
      <c r="AL338" s="8">
        <f t="shared" si="164"/>
        <v>3.3722419141614175</v>
      </c>
      <c r="AM338" s="8">
        <f t="shared" si="165"/>
        <v>45568.348228526775</v>
      </c>
      <c r="AN338" s="8">
        <f t="shared" si="166"/>
        <v>910.63621346854268</v>
      </c>
      <c r="AO338" s="8">
        <f t="shared" si="167"/>
        <v>0</v>
      </c>
    </row>
    <row r="339" spans="1:41">
      <c r="A339" s="1">
        <v>42066</v>
      </c>
      <c r="B339" s="5">
        <v>337</v>
      </c>
      <c r="C339" s="3">
        <f>B339/365+input!$K$3</f>
        <v>0.92328767123287669</v>
      </c>
      <c r="D339" s="4">
        <f t="shared" si="143"/>
        <v>6.1483185472019599</v>
      </c>
      <c r="E339" s="12">
        <f t="shared" si="144"/>
        <v>3.1608798620204075</v>
      </c>
      <c r="F339" s="20">
        <f>input!E338</f>
        <v>54202.14</v>
      </c>
      <c r="G339" s="19">
        <f t="shared" si="145"/>
        <v>0.37111751786980529</v>
      </c>
      <c r="H339" s="19">
        <f t="shared" si="146"/>
        <v>5.8654779155196631E-5</v>
      </c>
      <c r="I339" s="5">
        <v>702</v>
      </c>
      <c r="J339" s="3">
        <f>I339/365+input!$K$3</f>
        <v>1.9232876712328768</v>
      </c>
      <c r="K339" s="4">
        <f t="shared" si="147"/>
        <v>10.651899550707585</v>
      </c>
      <c r="L339" s="12">
        <f t="shared" si="148"/>
        <v>16.436906901005987</v>
      </c>
      <c r="M339" s="20">
        <f>input!F338</f>
        <v>3951.89</v>
      </c>
      <c r="N339" s="19">
        <f t="shared" si="149"/>
        <v>0.94753166637274211</v>
      </c>
      <c r="O339" s="19">
        <f t="shared" si="150"/>
        <v>0.74276701260756561</v>
      </c>
      <c r="P339" s="21">
        <v>1067</v>
      </c>
      <c r="Q339" s="3">
        <f>P339/365+input!$K$3</f>
        <v>2.9232876712328766</v>
      </c>
      <c r="R339" s="4">
        <f t="shared" si="151"/>
        <v>12.501320997783349</v>
      </c>
      <c r="S339" s="12">
        <f t="shared" si="152"/>
        <v>26.570922250868122</v>
      </c>
      <c r="T339" s="20">
        <f>input!G338</f>
        <v>35.090000000000003</v>
      </c>
      <c r="U339" s="19">
        <f t="shared" si="153"/>
        <v>0.98107942561391426</v>
      </c>
      <c r="V339" s="19">
        <f t="shared" si="140"/>
        <v>0.99381345132128351</v>
      </c>
      <c r="W339" s="21">
        <v>1432</v>
      </c>
      <c r="X339" s="3">
        <f>W339/365+input!$K$3</f>
        <v>3.9232876712328766</v>
      </c>
      <c r="Y339" s="4">
        <f t="shared" si="154"/>
        <v>12.589299260865312</v>
      </c>
      <c r="Z339" s="12">
        <f t="shared" si="155"/>
        <v>27.135859395209948</v>
      </c>
      <c r="AA339" s="20">
        <f>input!H338</f>
        <v>0</v>
      </c>
      <c r="AB339" s="19">
        <f t="shared" si="156"/>
        <v>0.98197554006092014</v>
      </c>
      <c r="AC339" s="19">
        <f t="shared" si="157"/>
        <v>0.99519142618801715</v>
      </c>
      <c r="AD339" s="8">
        <f t="shared" si="158"/>
        <v>171326.4528044108</v>
      </c>
      <c r="AE339" s="8">
        <f t="shared" si="159"/>
        <v>64956.848013016548</v>
      </c>
      <c r="AF339" s="8">
        <f t="shared" si="160"/>
        <v>932.37366178296247</v>
      </c>
      <c r="AG339" s="8">
        <f t="shared" si="161"/>
        <v>0</v>
      </c>
      <c r="AH339" s="8">
        <f t="shared" si="141"/>
        <v>63582.247910211277</v>
      </c>
      <c r="AI339" s="8">
        <f t="shared" si="142"/>
        <v>61548.670440094509</v>
      </c>
      <c r="AJ339" s="8">
        <f t="shared" si="162"/>
        <v>914.73261655957083</v>
      </c>
      <c r="AK339" s="8">
        <f t="shared" si="163"/>
        <v>0</v>
      </c>
      <c r="AL339" s="8">
        <f t="shared" si="164"/>
        <v>3.7294027093644049</v>
      </c>
      <c r="AM339" s="8">
        <f t="shared" si="165"/>
        <v>45716.322072756579</v>
      </c>
      <c r="AN339" s="8">
        <f t="shared" si="166"/>
        <v>909.07357869921532</v>
      </c>
      <c r="AO339" s="8">
        <f t="shared" si="167"/>
        <v>0</v>
      </c>
    </row>
    <row r="340" spans="1:41">
      <c r="A340" s="1">
        <v>42067</v>
      </c>
      <c r="B340" s="5">
        <v>338</v>
      </c>
      <c r="C340" s="3">
        <f>B340/365+input!$K$3</f>
        <v>0.92602739726027394</v>
      </c>
      <c r="D340" s="4">
        <f t="shared" si="143"/>
        <v>6.1669289896143331</v>
      </c>
      <c r="E340" s="12">
        <f t="shared" si="144"/>
        <v>3.1896699830740447</v>
      </c>
      <c r="F340" s="20">
        <f>input!E339</f>
        <v>54067.33</v>
      </c>
      <c r="G340" s="19">
        <f t="shared" si="145"/>
        <v>0.37753916701696122</v>
      </c>
      <c r="H340" s="19">
        <f t="shared" si="146"/>
        <v>6.3276701237872005E-5</v>
      </c>
      <c r="I340" s="5">
        <v>703</v>
      </c>
      <c r="J340" s="3">
        <f>I340/365+input!$K$3</f>
        <v>1.9260273972602739</v>
      </c>
      <c r="K340" s="4">
        <f t="shared" si="147"/>
        <v>10.65954203594549</v>
      </c>
      <c r="L340" s="12">
        <f t="shared" si="148"/>
        <v>16.472311563196016</v>
      </c>
      <c r="M340" s="20">
        <f>input!F339</f>
        <v>3876.97</v>
      </c>
      <c r="N340" s="19">
        <f t="shared" si="149"/>
        <v>0.94775234697760069</v>
      </c>
      <c r="O340" s="19">
        <f t="shared" si="150"/>
        <v>0.74522611903565694</v>
      </c>
      <c r="P340" s="21">
        <v>1068</v>
      </c>
      <c r="Q340" s="3">
        <f>P340/365+input!$K$3</f>
        <v>2.9260273972602739</v>
      </c>
      <c r="R340" s="4">
        <f t="shared" si="151"/>
        <v>12.50445942831162</v>
      </c>
      <c r="S340" s="12">
        <f t="shared" si="152"/>
        <v>26.590938998808099</v>
      </c>
      <c r="T340" s="20">
        <f>input!G339</f>
        <v>34.270000000000003</v>
      </c>
      <c r="U340" s="19">
        <f t="shared" si="153"/>
        <v>0.98111214598703278</v>
      </c>
      <c r="V340" s="19">
        <f t="shared" si="140"/>
        <v>0.99386806651079584</v>
      </c>
      <c r="W340" s="21">
        <v>1433</v>
      </c>
      <c r="X340" s="3">
        <f>W340/365+input!$K$3</f>
        <v>3.9260273972602739</v>
      </c>
      <c r="Y340" s="4">
        <f t="shared" si="154"/>
        <v>12.589299260865312</v>
      </c>
      <c r="Z340" s="12">
        <f t="shared" si="155"/>
        <v>27.135859395209948</v>
      </c>
      <c r="AA340" s="20">
        <f>input!H339</f>
        <v>0</v>
      </c>
      <c r="AB340" s="19">
        <f t="shared" si="156"/>
        <v>0.98197554006092014</v>
      </c>
      <c r="AC340" s="19">
        <f t="shared" si="157"/>
        <v>0.99519142618801715</v>
      </c>
      <c r="AD340" s="8">
        <f t="shared" si="158"/>
        <v>172456.9395659588</v>
      </c>
      <c r="AE340" s="8">
        <f t="shared" si="159"/>
        <v>63862.657761164053</v>
      </c>
      <c r="AF340" s="8">
        <f t="shared" si="160"/>
        <v>911.27147948915365</v>
      </c>
      <c r="AG340" s="8">
        <f t="shared" si="161"/>
        <v>0</v>
      </c>
      <c r="AH340" s="8">
        <f t="shared" si="141"/>
        <v>65109.249310026506</v>
      </c>
      <c r="AI340" s="8">
        <f t="shared" si="142"/>
        <v>60525.983777370515</v>
      </c>
      <c r="AJ340" s="8">
        <f t="shared" si="162"/>
        <v>894.05951681838189</v>
      </c>
      <c r="AK340" s="8">
        <f t="shared" si="163"/>
        <v>0</v>
      </c>
      <c r="AL340" s="8">
        <f t="shared" si="164"/>
        <v>4.1198985164126709</v>
      </c>
      <c r="AM340" s="8">
        <f t="shared" si="165"/>
        <v>45105.543991224957</v>
      </c>
      <c r="AN340" s="8">
        <f t="shared" si="166"/>
        <v>888.57720332586155</v>
      </c>
      <c r="AO340" s="8">
        <f t="shared" si="167"/>
        <v>0</v>
      </c>
    </row>
    <row r="341" spans="1:41">
      <c r="A341" s="1">
        <v>42068</v>
      </c>
      <c r="B341" s="5">
        <v>339</v>
      </c>
      <c r="C341" s="3">
        <f>B341/365+input!$K$3</f>
        <v>0.92876712328767119</v>
      </c>
      <c r="D341" s="4">
        <f t="shared" si="143"/>
        <v>6.1854941084197321</v>
      </c>
      <c r="E341" s="12">
        <f t="shared" si="144"/>
        <v>3.2185636424849142</v>
      </c>
      <c r="F341" s="20">
        <f>input!E340</f>
        <v>53932.84</v>
      </c>
      <c r="G341" s="19">
        <f t="shared" si="145"/>
        <v>0.38387984298802635</v>
      </c>
      <c r="H341" s="19">
        <f t="shared" si="146"/>
        <v>6.8227840870274407E-5</v>
      </c>
      <c r="I341" s="5">
        <v>704</v>
      </c>
      <c r="J341" s="3">
        <f>I341/365+input!$K$3</f>
        <v>1.9287671232876713</v>
      </c>
      <c r="K341" s="4">
        <f t="shared" si="147"/>
        <v>10.667165908783458</v>
      </c>
      <c r="L341" s="12">
        <f t="shared" si="148"/>
        <v>16.507680619906832</v>
      </c>
      <c r="M341" s="20">
        <f>input!F340</f>
        <v>3867.33</v>
      </c>
      <c r="N341" s="19">
        <f t="shared" si="149"/>
        <v>0.94797156534729243</v>
      </c>
      <c r="O341" s="19">
        <f t="shared" si="150"/>
        <v>0.74766691780785288</v>
      </c>
      <c r="P341" s="21">
        <v>1069</v>
      </c>
      <c r="Q341" s="3">
        <f>P341/365+input!$K$3</f>
        <v>2.9287671232876713</v>
      </c>
      <c r="R341" s="4">
        <f t="shared" si="151"/>
        <v>12.507590215550785</v>
      </c>
      <c r="S341" s="12">
        <f t="shared" si="152"/>
        <v>26.610917011883071</v>
      </c>
      <c r="T341" s="20">
        <f>input!G340</f>
        <v>34.18</v>
      </c>
      <c r="U341" s="19">
        <f t="shared" si="153"/>
        <v>0.98114473029477067</v>
      </c>
      <c r="V341" s="19">
        <f t="shared" si="140"/>
        <v>0.99392212265344781</v>
      </c>
      <c r="W341" s="21">
        <v>1434</v>
      </c>
      <c r="X341" s="3">
        <f>W341/365+input!$K$3</f>
        <v>3.9287671232876713</v>
      </c>
      <c r="Y341" s="4">
        <f t="shared" si="154"/>
        <v>12.589299260865312</v>
      </c>
      <c r="Z341" s="12">
        <f t="shared" si="155"/>
        <v>27.135859395209948</v>
      </c>
      <c r="AA341" s="20">
        <f>input!H340</f>
        <v>0</v>
      </c>
      <c r="AB341" s="19">
        <f t="shared" si="156"/>
        <v>0.98197554006092014</v>
      </c>
      <c r="AC341" s="19">
        <f t="shared" si="157"/>
        <v>0.99519142618801715</v>
      </c>
      <c r="AD341" s="8">
        <f t="shared" si="158"/>
        <v>173586.27795995606</v>
      </c>
      <c r="AE341" s="8">
        <f t="shared" si="159"/>
        <v>63840.64849178429</v>
      </c>
      <c r="AF341" s="8">
        <f t="shared" si="160"/>
        <v>909.56114346616334</v>
      </c>
      <c r="AG341" s="8">
        <f t="shared" si="161"/>
        <v>0</v>
      </c>
      <c r="AH341" s="8">
        <f t="shared" si="141"/>
        <v>66636.273128143832</v>
      </c>
      <c r="AI341" s="8">
        <f t="shared" si="142"/>
        <v>60519.119483543014</v>
      </c>
      <c r="AJ341" s="8">
        <f t="shared" si="162"/>
        <v>892.41112279271204</v>
      </c>
      <c r="AK341" s="8">
        <f t="shared" si="163"/>
        <v>0</v>
      </c>
      <c r="AL341" s="8">
        <f t="shared" si="164"/>
        <v>4.5464490391751395</v>
      </c>
      <c r="AM341" s="8">
        <f t="shared" si="165"/>
        <v>45248.143532705784</v>
      </c>
      <c r="AN341" s="8">
        <f t="shared" si="166"/>
        <v>886.98715744567903</v>
      </c>
      <c r="AO341" s="8">
        <f t="shared" si="167"/>
        <v>0</v>
      </c>
    </row>
    <row r="342" spans="1:41">
      <c r="A342" s="1">
        <v>42069</v>
      </c>
      <c r="B342" s="5">
        <v>340</v>
      </c>
      <c r="C342" s="3">
        <f>B342/365+input!$K$3</f>
        <v>0.93150684931506844</v>
      </c>
      <c r="D342" s="4">
        <f t="shared" si="143"/>
        <v>6.2040140139986262</v>
      </c>
      <c r="E342" s="12">
        <f t="shared" si="144"/>
        <v>3.2475602635318817</v>
      </c>
      <c r="F342" s="20">
        <f>input!E341</f>
        <v>53798.7</v>
      </c>
      <c r="G342" s="19">
        <f t="shared" si="145"/>
        <v>0.39014072311209647</v>
      </c>
      <c r="H342" s="19">
        <f t="shared" si="146"/>
        <v>7.3528902888567396E-5</v>
      </c>
      <c r="I342" s="5">
        <v>705</v>
      </c>
      <c r="J342" s="3">
        <f>I342/365+input!$K$3</f>
        <v>1.9315068493150684</v>
      </c>
      <c r="K342" s="4">
        <f t="shared" si="147"/>
        <v>10.674771214549862</v>
      </c>
      <c r="L342" s="12">
        <f t="shared" si="148"/>
        <v>16.543013947627589</v>
      </c>
      <c r="M342" s="20">
        <f>input!F341</f>
        <v>3795.5</v>
      </c>
      <c r="N342" s="19">
        <f t="shared" si="149"/>
        <v>0.94818933340323519</v>
      </c>
      <c r="O342" s="19">
        <f t="shared" si="150"/>
        <v>0.75008943428690955</v>
      </c>
      <c r="P342" s="21">
        <v>1070</v>
      </c>
      <c r="Q342" s="3">
        <f>P342/365+input!$K$3</f>
        <v>2.9315068493150687</v>
      </c>
      <c r="R342" s="4">
        <f t="shared" si="151"/>
        <v>12.510713378115199</v>
      </c>
      <c r="S342" s="12">
        <f t="shared" si="152"/>
        <v>26.630856338207575</v>
      </c>
      <c r="T342" s="20">
        <f>input!G341</f>
        <v>33.61</v>
      </c>
      <c r="U342" s="19">
        <f t="shared" si="153"/>
        <v>0.98117717923956138</v>
      </c>
      <c r="V342" s="19">
        <f t="shared" si="140"/>
        <v>0.99397562597083544</v>
      </c>
      <c r="W342" s="21">
        <v>1435</v>
      </c>
      <c r="X342" s="3">
        <f>W342/365+input!$K$3</f>
        <v>3.9315068493150687</v>
      </c>
      <c r="Y342" s="4">
        <f t="shared" si="154"/>
        <v>12.589299260865312</v>
      </c>
      <c r="Z342" s="12">
        <f t="shared" si="155"/>
        <v>27.135859395209948</v>
      </c>
      <c r="AA342" s="20">
        <f>input!H341</f>
        <v>0</v>
      </c>
      <c r="AB342" s="19">
        <f t="shared" si="156"/>
        <v>0.98197554006092014</v>
      </c>
      <c r="AC342" s="19">
        <f t="shared" si="157"/>
        <v>0.99519142618801715</v>
      </c>
      <c r="AD342" s="8">
        <f t="shared" si="158"/>
        <v>174714.52034967265</v>
      </c>
      <c r="AE342" s="8">
        <f t="shared" si="159"/>
        <v>62789.009438220513</v>
      </c>
      <c r="AF342" s="8">
        <f t="shared" si="160"/>
        <v>895.06308152715656</v>
      </c>
      <c r="AG342" s="8">
        <f t="shared" si="161"/>
        <v>0</v>
      </c>
      <c r="AH342" s="8">
        <f t="shared" si="141"/>
        <v>68163.249307404374</v>
      </c>
      <c r="AI342" s="8">
        <f t="shared" si="142"/>
        <v>59535.869004275752</v>
      </c>
      <c r="AJ342" s="8">
        <f t="shared" si="162"/>
        <v>878.21546957428507</v>
      </c>
      <c r="AK342" s="8">
        <f t="shared" si="163"/>
        <v>0</v>
      </c>
      <c r="AL342" s="8">
        <f t="shared" si="164"/>
        <v>5.0119689388933448</v>
      </c>
      <c r="AM342" s="8">
        <f t="shared" si="165"/>
        <v>44657.226301196752</v>
      </c>
      <c r="AN342" s="8">
        <f t="shared" si="166"/>
        <v>872.92477110737116</v>
      </c>
      <c r="AO342" s="8">
        <f t="shared" si="167"/>
        <v>0</v>
      </c>
    </row>
    <row r="343" spans="1:41">
      <c r="A343" s="1">
        <v>42070</v>
      </c>
      <c r="B343" s="5">
        <v>341</v>
      </c>
      <c r="C343" s="3">
        <f>B343/365+input!$K$3</f>
        <v>0.9342465753424658</v>
      </c>
      <c r="D343" s="4">
        <f t="shared" si="143"/>
        <v>6.2224888164626666</v>
      </c>
      <c r="E343" s="12">
        <f t="shared" si="144"/>
        <v>3.2766592686856706</v>
      </c>
      <c r="F343" s="20">
        <f>input!E342</f>
        <v>53664.88</v>
      </c>
      <c r="G343" s="19">
        <f t="shared" si="145"/>
        <v>0.39632296556668101</v>
      </c>
      <c r="H343" s="19">
        <f t="shared" si="146"/>
        <v>7.9201697064242485E-5</v>
      </c>
      <c r="I343" s="5">
        <v>706</v>
      </c>
      <c r="J343" s="3">
        <f>I343/365+input!$K$3</f>
        <v>1.9342465753424658</v>
      </c>
      <c r="K343" s="4">
        <f t="shared" si="147"/>
        <v>10.682357998462683</v>
      </c>
      <c r="L343" s="12">
        <f t="shared" si="148"/>
        <v>16.578311423908325</v>
      </c>
      <c r="M343" s="20">
        <f>input!F342</f>
        <v>3786.06</v>
      </c>
      <c r="N343" s="19">
        <f t="shared" si="149"/>
        <v>0.94840566295293527</v>
      </c>
      <c r="O343" s="19">
        <f t="shared" si="150"/>
        <v>0.75249369626079465</v>
      </c>
      <c r="P343" s="21">
        <v>1071</v>
      </c>
      <c r="Q343" s="3">
        <f>P343/365+input!$K$3</f>
        <v>2.9342465753424656</v>
      </c>
      <c r="R343" s="4">
        <f t="shared" si="151"/>
        <v>12.513828934573887</v>
      </c>
      <c r="S343" s="12">
        <f t="shared" si="152"/>
        <v>26.650757025985637</v>
      </c>
      <c r="T343" s="20">
        <f>input!G342</f>
        <v>33.53</v>
      </c>
      <c r="U343" s="19">
        <f t="shared" si="153"/>
        <v>0.98120949351945119</v>
      </c>
      <c r="V343" s="19">
        <f t="shared" si="140"/>
        <v>0.99402858261198412</v>
      </c>
      <c r="W343" s="21">
        <v>1436</v>
      </c>
      <c r="X343" s="3">
        <f>W343/365+input!$K$3</f>
        <v>3.9342465753424656</v>
      </c>
      <c r="Y343" s="4">
        <f t="shared" si="154"/>
        <v>12.589299260865312</v>
      </c>
      <c r="Z343" s="12">
        <f t="shared" si="155"/>
        <v>27.135859395209948</v>
      </c>
      <c r="AA343" s="20">
        <f>input!H342</f>
        <v>0</v>
      </c>
      <c r="AB343" s="19">
        <f t="shared" si="156"/>
        <v>0.98197554006092014</v>
      </c>
      <c r="AC343" s="19">
        <f t="shared" si="157"/>
        <v>0.99519142618801715</v>
      </c>
      <c r="AD343" s="8">
        <f t="shared" si="158"/>
        <v>175841.52645490426</v>
      </c>
      <c r="AE343" s="8">
        <f t="shared" si="159"/>
        <v>62766.481749602353</v>
      </c>
      <c r="AF343" s="8">
        <f t="shared" si="160"/>
        <v>893.59988308129846</v>
      </c>
      <c r="AG343" s="8">
        <f t="shared" si="161"/>
        <v>0</v>
      </c>
      <c r="AH343" s="8">
        <f t="shared" si="141"/>
        <v>69690.035234379655</v>
      </c>
      <c r="AI343" s="8">
        <f t="shared" si="142"/>
        <v>59528.08673495493</v>
      </c>
      <c r="AJ343" s="8">
        <f t="shared" si="162"/>
        <v>876.80868868724167</v>
      </c>
      <c r="AK343" s="8">
        <f t="shared" si="163"/>
        <v>0</v>
      </c>
      <c r="AL343" s="8">
        <f t="shared" si="164"/>
        <v>5.5195690590297222</v>
      </c>
      <c r="AM343" s="8">
        <f t="shared" si="165"/>
        <v>44794.510018519417</v>
      </c>
      <c r="AN343" s="8">
        <f t="shared" si="166"/>
        <v>871.57289803765127</v>
      </c>
      <c r="AO343" s="8">
        <f t="shared" si="167"/>
        <v>0</v>
      </c>
    </row>
    <row r="344" spans="1:41">
      <c r="A344" s="1">
        <v>42071</v>
      </c>
      <c r="B344" s="5">
        <v>342</v>
      </c>
      <c r="C344" s="3">
        <f>B344/365+input!$K$3</f>
        <v>0.93698630136986305</v>
      </c>
      <c r="D344" s="4">
        <f t="shared" si="143"/>
        <v>6.2409186256553326</v>
      </c>
      <c r="E344" s="12">
        <f t="shared" si="144"/>
        <v>3.3058600796492179</v>
      </c>
      <c r="F344" s="20">
        <f>input!E343</f>
        <v>53531.4</v>
      </c>
      <c r="G344" s="19">
        <f t="shared" si="145"/>
        <v>0.40242770971973341</v>
      </c>
      <c r="H344" s="19">
        <f t="shared" si="146"/>
        <v>8.5269184232236888E-5</v>
      </c>
      <c r="I344" s="5">
        <v>707</v>
      </c>
      <c r="J344" s="3">
        <f>I344/365+input!$K$3</f>
        <v>1.9369863013698629</v>
      </c>
      <c r="K344" s="4">
        <f t="shared" si="147"/>
        <v>10.689926305629779</v>
      </c>
      <c r="L344" s="12">
        <f t="shared" si="148"/>
        <v>16.613572927355666</v>
      </c>
      <c r="M344" s="20">
        <f>input!F343</f>
        <v>3719.12</v>
      </c>
      <c r="N344" s="19">
        <f t="shared" si="149"/>
        <v>0.94862056569122244</v>
      </c>
      <c r="O344" s="19">
        <f t="shared" si="150"/>
        <v>0.7548797338936255</v>
      </c>
      <c r="P344" s="21">
        <v>1072</v>
      </c>
      <c r="Q344" s="3">
        <f>P344/365+input!$K$3</f>
        <v>2.9369863013698629</v>
      </c>
      <c r="R344" s="4">
        <f t="shared" si="151"/>
        <v>12.516936903450652</v>
      </c>
      <c r="S344" s="12">
        <f t="shared" si="152"/>
        <v>26.670619123509717</v>
      </c>
      <c r="T344" s="20">
        <f>input!G343</f>
        <v>32.92</v>
      </c>
      <c r="U344" s="19">
        <f t="shared" si="153"/>
        <v>0.98124167382813188</v>
      </c>
      <c r="V344" s="19">
        <f t="shared" si="140"/>
        <v>0.99408099865420629</v>
      </c>
      <c r="W344" s="21">
        <v>1437</v>
      </c>
      <c r="X344" s="3">
        <f>W344/365+input!$K$3</f>
        <v>3.9369863013698629</v>
      </c>
      <c r="Y344" s="4">
        <f t="shared" si="154"/>
        <v>12.589299260865312</v>
      </c>
      <c r="Z344" s="12">
        <f t="shared" si="155"/>
        <v>27.135859395209948</v>
      </c>
      <c r="AA344" s="20">
        <f>input!H343</f>
        <v>0</v>
      </c>
      <c r="AB344" s="19">
        <f t="shared" si="156"/>
        <v>0.98197554006092014</v>
      </c>
      <c r="AC344" s="19">
        <f t="shared" si="157"/>
        <v>0.99519142618801715</v>
      </c>
      <c r="AD344" s="8">
        <f t="shared" si="158"/>
        <v>176967.31826773414</v>
      </c>
      <c r="AE344" s="8">
        <f t="shared" si="159"/>
        <v>61787.871345587002</v>
      </c>
      <c r="AF344" s="8">
        <f t="shared" si="160"/>
        <v>877.99678154593994</v>
      </c>
      <c r="AG344" s="8">
        <f t="shared" si="161"/>
        <v>0</v>
      </c>
      <c r="AH344" s="8">
        <f t="shared" si="141"/>
        <v>71216.55258572739</v>
      </c>
      <c r="AI344" s="8">
        <f t="shared" si="142"/>
        <v>58613.245468707217</v>
      </c>
      <c r="AJ344" s="8">
        <f t="shared" si="162"/>
        <v>861.52703153985078</v>
      </c>
      <c r="AK344" s="8">
        <f t="shared" si="163"/>
        <v>0</v>
      </c>
      <c r="AL344" s="8">
        <f t="shared" si="164"/>
        <v>6.0725773428171754</v>
      </c>
      <c r="AM344" s="8">
        <f t="shared" si="165"/>
        <v>44245.951142059457</v>
      </c>
      <c r="AN344" s="8">
        <f t="shared" si="166"/>
        <v>856.42765188072872</v>
      </c>
      <c r="AO344" s="8">
        <f t="shared" si="167"/>
        <v>0</v>
      </c>
    </row>
    <row r="345" spans="1:41">
      <c r="A345" s="1">
        <v>42072</v>
      </c>
      <c r="B345" s="5">
        <v>343</v>
      </c>
      <c r="C345" s="3">
        <f>B345/365+input!$K$3</f>
        <v>0.9397260273972603</v>
      </c>
      <c r="D345" s="4">
        <f t="shared" si="143"/>
        <v>6.2593035511526036</v>
      </c>
      <c r="E345" s="12">
        <f t="shared" si="144"/>
        <v>3.3351621173975858</v>
      </c>
      <c r="F345" s="20">
        <f>input!E344</f>
        <v>53398.25</v>
      </c>
      <c r="G345" s="19">
        <f t="shared" si="145"/>
        <v>0.40845607646507709</v>
      </c>
      <c r="H345" s="19">
        <f t="shared" si="146"/>
        <v>9.1755523591330481E-5</v>
      </c>
      <c r="I345" s="5">
        <v>708</v>
      </c>
      <c r="J345" s="3">
        <f>I345/365+input!$K$3</f>
        <v>1.9397260273972603</v>
      </c>
      <c r="K345" s="4">
        <f t="shared" si="147"/>
        <v>10.697476181049158</v>
      </c>
      <c r="L345" s="12">
        <f t="shared" si="148"/>
        <v>16.648798337628431</v>
      </c>
      <c r="M345" s="20">
        <f>input!F344</f>
        <v>3709.87</v>
      </c>
      <c r="N345" s="19">
        <f t="shared" si="149"/>
        <v>0.94883405320147052</v>
      </c>
      <c r="O345" s="19">
        <f t="shared" si="150"/>
        <v>0.75724757967681211</v>
      </c>
      <c r="P345" s="21">
        <v>1073</v>
      </c>
      <c r="Q345" s="3">
        <f>P345/365+input!$K$3</f>
        <v>2.9397260273972603</v>
      </c>
      <c r="R345" s="4">
        <f t="shared" si="151"/>
        <v>12.520037303224182</v>
      </c>
      <c r="S345" s="12">
        <f t="shared" si="152"/>
        <v>26.690442679159538</v>
      </c>
      <c r="T345" s="20">
        <f>input!G344</f>
        <v>32.840000000000003</v>
      </c>
      <c r="U345" s="19">
        <f t="shared" si="153"/>
        <v>0.98127372085497166</v>
      </c>
      <c r="V345" s="19">
        <f t="shared" si="140"/>
        <v>0.99413288010394874</v>
      </c>
      <c r="W345" s="21">
        <v>1438</v>
      </c>
      <c r="X345" s="3">
        <f>W345/365+input!$K$3</f>
        <v>3.9397260273972603</v>
      </c>
      <c r="Y345" s="4">
        <f t="shared" si="154"/>
        <v>12.589299260865312</v>
      </c>
      <c r="Z345" s="12">
        <f t="shared" si="155"/>
        <v>27.135859395209948</v>
      </c>
      <c r="AA345" s="20">
        <f>input!H344</f>
        <v>0</v>
      </c>
      <c r="AB345" s="19">
        <f t="shared" si="156"/>
        <v>0.98197554006092014</v>
      </c>
      <c r="AC345" s="19">
        <f t="shared" si="157"/>
        <v>0.99519142618801715</v>
      </c>
      <c r="AD345" s="8">
        <f t="shared" si="158"/>
        <v>178091.82053532565</v>
      </c>
      <c r="AE345" s="8">
        <f t="shared" si="159"/>
        <v>61764.877488817583</v>
      </c>
      <c r="AF345" s="8">
        <f t="shared" si="160"/>
        <v>876.51413758359934</v>
      </c>
      <c r="AG345" s="8">
        <f t="shared" si="161"/>
        <v>0</v>
      </c>
      <c r="AH345" s="8">
        <f t="shared" si="141"/>
        <v>72742.686266381759</v>
      </c>
      <c r="AI345" s="8">
        <f t="shared" si="142"/>
        <v>58604.619053207054</v>
      </c>
      <c r="AJ345" s="8">
        <f t="shared" si="162"/>
        <v>860.10028916864508</v>
      </c>
      <c r="AK345" s="8">
        <f t="shared" si="163"/>
        <v>0</v>
      </c>
      <c r="AL345" s="8">
        <f t="shared" si="164"/>
        <v>6.6745432658117432</v>
      </c>
      <c r="AM345" s="8">
        <f t="shared" si="165"/>
        <v>44378.205935922633</v>
      </c>
      <c r="AN345" s="8">
        <f t="shared" si="166"/>
        <v>855.05397764946429</v>
      </c>
      <c r="AO345" s="8">
        <f t="shared" si="167"/>
        <v>0</v>
      </c>
    </row>
    <row r="346" spans="1:41">
      <c r="A346" s="1">
        <v>42073</v>
      </c>
      <c r="B346" s="5">
        <v>344</v>
      </c>
      <c r="C346" s="3">
        <f>B346/365+input!$K$3</f>
        <v>0.94246575342465755</v>
      </c>
      <c r="D346" s="4">
        <f t="shared" si="143"/>
        <v>6.2776437022635898</v>
      </c>
      <c r="E346" s="12">
        <f t="shared" si="144"/>
        <v>3.3645648022173233</v>
      </c>
      <c r="F346" s="20">
        <f>input!E345</f>
        <v>53265.43</v>
      </c>
      <c r="G346" s="19">
        <f t="shared" si="145"/>
        <v>0.41440916855133014</v>
      </c>
      <c r="H346" s="19">
        <f t="shared" si="146"/>
        <v>9.8686121165395652E-5</v>
      </c>
      <c r="I346" s="5">
        <v>709</v>
      </c>
      <c r="J346" s="3">
        <f>I346/365+input!$K$3</f>
        <v>1.9424657534246574</v>
      </c>
      <c r="K346" s="4">
        <f t="shared" si="147"/>
        <v>10.70500766960923</v>
      </c>
      <c r="L346" s="12">
        <f t="shared" si="148"/>
        <v>16.683987535433239</v>
      </c>
      <c r="M346" s="20">
        <f>input!F345</f>
        <v>3641.64</v>
      </c>
      <c r="N346" s="19">
        <f t="shared" si="149"/>
        <v>0.94904613695680218</v>
      </c>
      <c r="O346" s="19">
        <f t="shared" si="150"/>
        <v>0.75959726838042374</v>
      </c>
      <c r="P346" s="21">
        <v>1074</v>
      </c>
      <c r="Q346" s="3">
        <f>P346/365+input!$K$3</f>
        <v>2.9424657534246577</v>
      </c>
      <c r="R346" s="4">
        <f t="shared" si="151"/>
        <v>12.523130152328164</v>
      </c>
      <c r="S346" s="12">
        <f t="shared" si="152"/>
        <v>26.710227741401106</v>
      </c>
      <c r="T346" s="20">
        <f>input!G345</f>
        <v>32.159999999999997</v>
      </c>
      <c r="U346" s="19">
        <f t="shared" si="153"/>
        <v>0.98130563528504711</v>
      </c>
      <c r="V346" s="19">
        <f t="shared" si="140"/>
        <v>0.99418423289763025</v>
      </c>
      <c r="W346" s="21">
        <v>1439</v>
      </c>
      <c r="X346" s="3">
        <f>W346/365+input!$K$3</f>
        <v>3.9424657534246577</v>
      </c>
      <c r="Y346" s="4">
        <f t="shared" si="154"/>
        <v>12.589299260865312</v>
      </c>
      <c r="Z346" s="12">
        <f t="shared" si="155"/>
        <v>27.135859395209948</v>
      </c>
      <c r="AA346" s="20">
        <f>input!H345</f>
        <v>0</v>
      </c>
      <c r="AB346" s="19">
        <f t="shared" si="156"/>
        <v>0.98197554006092014</v>
      </c>
      <c r="AC346" s="19">
        <f t="shared" si="157"/>
        <v>0.99519142618801715</v>
      </c>
      <c r="AD346" s="8">
        <f t="shared" si="158"/>
        <v>179214.99095297069</v>
      </c>
      <c r="AE346" s="8">
        <f t="shared" si="159"/>
        <v>60757.076368535098</v>
      </c>
      <c r="AF346" s="8">
        <f t="shared" si="160"/>
        <v>859.00092416345944</v>
      </c>
      <c r="AG346" s="8">
        <f t="shared" si="161"/>
        <v>0</v>
      </c>
      <c r="AH346" s="8">
        <f t="shared" si="141"/>
        <v>74268.335392754743</v>
      </c>
      <c r="AI346" s="8">
        <f t="shared" si="142"/>
        <v>57661.268620347648</v>
      </c>
      <c r="AJ346" s="8">
        <f t="shared" si="162"/>
        <v>842.94244759666617</v>
      </c>
      <c r="AK346" s="8">
        <f t="shared" si="163"/>
        <v>0</v>
      </c>
      <c r="AL346" s="8">
        <f t="shared" si="164"/>
        <v>7.3292539453216365</v>
      </c>
      <c r="AM346" s="8">
        <f t="shared" si="165"/>
        <v>43799.342135365921</v>
      </c>
      <c r="AN346" s="8">
        <f t="shared" si="166"/>
        <v>838.04009064074239</v>
      </c>
      <c r="AO346" s="8">
        <f t="shared" si="167"/>
        <v>0</v>
      </c>
    </row>
    <row r="347" spans="1:41">
      <c r="A347" s="1">
        <v>42074</v>
      </c>
      <c r="B347" s="5">
        <v>345</v>
      </c>
      <c r="C347" s="3">
        <f>B347/365+input!$K$3</f>
        <v>0.9452054794520548</v>
      </c>
      <c r="D347" s="4">
        <f t="shared" si="143"/>
        <v>6.2959391880311966</v>
      </c>
      <c r="E347" s="12">
        <f t="shared" si="144"/>
        <v>3.3940675537454155</v>
      </c>
      <c r="F347" s="20">
        <f>input!E346</f>
        <v>53132.94</v>
      </c>
      <c r="G347" s="19">
        <f t="shared" si="145"/>
        <v>0.42028807090449938</v>
      </c>
      <c r="H347" s="19">
        <f t="shared" si="146"/>
        <v>1.0608767941145639E-4</v>
      </c>
      <c r="I347" s="5">
        <v>710</v>
      </c>
      <c r="J347" s="3">
        <f>I347/365+input!$K$3</f>
        <v>1.9452054794520548</v>
      </c>
      <c r="K347" s="4">
        <f t="shared" si="147"/>
        <v>10.712520816089096</v>
      </c>
      <c r="L347" s="12">
        <f t="shared" si="148"/>
        <v>16.719140402520242</v>
      </c>
      <c r="M347" s="20">
        <f>input!F346</f>
        <v>3632.58</v>
      </c>
      <c r="N347" s="19">
        <f t="shared" si="149"/>
        <v>0.94925682832128033</v>
      </c>
      <c r="O347" s="19">
        <f t="shared" si="150"/>
        <v>0.76192883700480385</v>
      </c>
      <c r="P347" s="21">
        <v>1075</v>
      </c>
      <c r="Q347" s="3">
        <f>P347/365+input!$K$3</f>
        <v>2.9452054794520546</v>
      </c>
      <c r="R347" s="4">
        <f t="shared" si="151"/>
        <v>12.526215469151394</v>
      </c>
      <c r="S347" s="12">
        <f t="shared" si="152"/>
        <v>26.729974358785572</v>
      </c>
      <c r="T347" s="20">
        <f>input!G346</f>
        <v>32.08</v>
      </c>
      <c r="U347" s="19">
        <f t="shared" si="153"/>
        <v>0.98133741779917438</v>
      </c>
      <c r="V347" s="19">
        <f t="shared" si="140"/>
        <v>0.9942350629024701</v>
      </c>
      <c r="W347" s="21">
        <v>1440</v>
      </c>
      <c r="X347" s="3">
        <f>W347/365+input!$K$3</f>
        <v>3.9452054794520546</v>
      </c>
      <c r="Y347" s="4">
        <f t="shared" si="154"/>
        <v>12.589299260865312</v>
      </c>
      <c r="Z347" s="12">
        <f t="shared" si="155"/>
        <v>27.135859395209948</v>
      </c>
      <c r="AA347" s="20">
        <f>input!H346</f>
        <v>0</v>
      </c>
      <c r="AB347" s="19">
        <f t="shared" si="156"/>
        <v>0.98197554006092014</v>
      </c>
      <c r="AC347" s="19">
        <f t="shared" si="157"/>
        <v>0.99519142618801715</v>
      </c>
      <c r="AD347" s="8">
        <f t="shared" si="158"/>
        <v>180336.78768910194</v>
      </c>
      <c r="AE347" s="8">
        <f t="shared" si="159"/>
        <v>60733.615043386984</v>
      </c>
      <c r="AF347" s="8">
        <f t="shared" si="160"/>
        <v>857.49757742984116</v>
      </c>
      <c r="AG347" s="8">
        <f t="shared" si="161"/>
        <v>0</v>
      </c>
      <c r="AH347" s="8">
        <f t="shared" si="141"/>
        <v>75793.400610966928</v>
      </c>
      <c r="AI347" s="8">
        <f t="shared" si="142"/>
        <v>57651.798788571126</v>
      </c>
      <c r="AJ347" s="8">
        <f t="shared" si="162"/>
        <v>841.49445840404792</v>
      </c>
      <c r="AK347" s="8">
        <f t="shared" si="163"/>
        <v>0</v>
      </c>
      <c r="AL347" s="8">
        <f t="shared" si="164"/>
        <v>8.040745985520342</v>
      </c>
      <c r="AM347" s="8">
        <f t="shared" si="165"/>
        <v>43926.568002210959</v>
      </c>
      <c r="AN347" s="8">
        <f t="shared" si="166"/>
        <v>836.64329578342858</v>
      </c>
      <c r="AO347" s="8">
        <f t="shared" si="167"/>
        <v>0</v>
      </c>
    </row>
    <row r="348" spans="1:41">
      <c r="A348" s="1">
        <v>42075</v>
      </c>
      <c r="B348" s="5">
        <v>346</v>
      </c>
      <c r="C348" s="3">
        <f>B348/365+input!$K$3</f>
        <v>0.94794520547945205</v>
      </c>
      <c r="D348" s="4">
        <f t="shared" si="143"/>
        <v>6.3141901172327675</v>
      </c>
      <c r="E348" s="12">
        <f t="shared" si="144"/>
        <v>3.4236697910077218</v>
      </c>
      <c r="F348" s="20">
        <f>input!E347</f>
        <v>53000.79</v>
      </c>
      <c r="G348" s="19">
        <f t="shared" si="145"/>
        <v>0.42609385094434704</v>
      </c>
      <c r="H348" s="19">
        <f t="shared" si="146"/>
        <v>1.139882479577231E-4</v>
      </c>
      <c r="I348" s="5">
        <v>711</v>
      </c>
      <c r="J348" s="3">
        <f>I348/365+input!$K$3</f>
        <v>1.9479452054794522</v>
      </c>
      <c r="K348" s="4">
        <f t="shared" si="147"/>
        <v>10.720015665158797</v>
      </c>
      <c r="L348" s="12">
        <f t="shared" si="148"/>
        <v>16.754256821678709</v>
      </c>
      <c r="M348" s="20">
        <f>input!F347</f>
        <v>3568.45</v>
      </c>
      <c r="N348" s="19">
        <f t="shared" si="149"/>
        <v>0.94946613855108508</v>
      </c>
      <c r="O348" s="19">
        <f t="shared" si="150"/>
        <v>0.76424232473243348</v>
      </c>
      <c r="P348" s="21">
        <v>1076</v>
      </c>
      <c r="Q348" s="3">
        <f>P348/365+input!$K$3</f>
        <v>2.9479452054794519</v>
      </c>
      <c r="R348" s="4">
        <f t="shared" si="151"/>
        <v>12.529293272037876</v>
      </c>
      <c r="S348" s="12">
        <f t="shared" si="152"/>
        <v>26.749682579948161</v>
      </c>
      <c r="T348" s="20">
        <f>input!G347</f>
        <v>31.48</v>
      </c>
      <c r="U348" s="19">
        <f t="shared" si="153"/>
        <v>0.98136906907393928</v>
      </c>
      <c r="V348" s="19">
        <f t="shared" si="140"/>
        <v>0.99428537591730648</v>
      </c>
      <c r="W348" s="21">
        <v>1441</v>
      </c>
      <c r="X348" s="3">
        <f>W348/365+input!$K$3</f>
        <v>3.9479452054794519</v>
      </c>
      <c r="Y348" s="4">
        <f t="shared" si="154"/>
        <v>12.589299260865312</v>
      </c>
      <c r="Z348" s="12">
        <f t="shared" si="155"/>
        <v>27.135859395209948</v>
      </c>
      <c r="AA348" s="20">
        <f>input!H347</f>
        <v>0</v>
      </c>
      <c r="AB348" s="19">
        <f t="shared" si="156"/>
        <v>0.98197554006092014</v>
      </c>
      <c r="AC348" s="19">
        <f t="shared" si="157"/>
        <v>0.99519142618801715</v>
      </c>
      <c r="AD348" s="8">
        <f t="shared" si="158"/>
        <v>181457.20362254416</v>
      </c>
      <c r="AE348" s="8">
        <f t="shared" si="159"/>
        <v>59786.727755319385</v>
      </c>
      <c r="AF348" s="8">
        <f t="shared" si="160"/>
        <v>842.08000761676806</v>
      </c>
      <c r="AG348" s="8">
        <f t="shared" si="161"/>
        <v>0</v>
      </c>
      <c r="AH348" s="8">
        <f t="shared" si="141"/>
        <v>77317.798673122365</v>
      </c>
      <c r="AI348" s="8">
        <f t="shared" si="142"/>
        <v>56765.473538448081</v>
      </c>
      <c r="AJ348" s="8">
        <f t="shared" si="162"/>
        <v>826.39127316064332</v>
      </c>
      <c r="AK348" s="8">
        <f t="shared" si="163"/>
        <v>0</v>
      </c>
      <c r="AL348" s="8">
        <f t="shared" si="164"/>
        <v>8.8133204066971871</v>
      </c>
      <c r="AM348" s="8">
        <f t="shared" si="165"/>
        <v>43382.577461560999</v>
      </c>
      <c r="AN348" s="8">
        <f t="shared" si="166"/>
        <v>821.66875768931175</v>
      </c>
      <c r="AO348" s="8">
        <f t="shared" si="167"/>
        <v>0</v>
      </c>
    </row>
    <row r="349" spans="1:41">
      <c r="A349" s="1">
        <v>42076</v>
      </c>
      <c r="B349" s="5">
        <v>347</v>
      </c>
      <c r="C349" s="3">
        <f>B349/365+input!$K$3</f>
        <v>0.9506849315068493</v>
      </c>
      <c r="D349" s="4">
        <f t="shared" si="143"/>
        <v>6.3323965983807273</v>
      </c>
      <c r="E349" s="12">
        <f t="shared" si="144"/>
        <v>3.4533709324569473</v>
      </c>
      <c r="F349" s="20">
        <f>input!E348</f>
        <v>52868.959999999999</v>
      </c>
      <c r="G349" s="19">
        <f t="shared" si="145"/>
        <v>0.4318275588946735</v>
      </c>
      <c r="H349" s="19">
        <f t="shared" si="146"/>
        <v>1.2241727545197426E-4</v>
      </c>
      <c r="I349" s="5">
        <v>712</v>
      </c>
      <c r="J349" s="3">
        <f>I349/365+input!$K$3</f>
        <v>1.9506849315068493</v>
      </c>
      <c r="K349" s="4">
        <f t="shared" si="147"/>
        <v>10.727492261379586</v>
      </c>
      <c r="L349" s="12">
        <f t="shared" si="148"/>
        <v>16.789336676732702</v>
      </c>
      <c r="M349" s="20">
        <f>input!F348</f>
        <v>3559.57</v>
      </c>
      <c r="N349" s="19">
        <f t="shared" si="149"/>
        <v>0.94967407879567556</v>
      </c>
      <c r="O349" s="19">
        <f t="shared" si="150"/>
        <v>0.76653777288006975</v>
      </c>
      <c r="P349" s="21">
        <v>1077</v>
      </c>
      <c r="Q349" s="3">
        <f>P349/365+input!$K$3</f>
        <v>2.9506849315068493</v>
      </c>
      <c r="R349" s="4">
        <f t="shared" si="151"/>
        <v>12.532363579286951</v>
      </c>
      <c r="S349" s="12">
        <f t="shared" si="152"/>
        <v>26.76935245360718</v>
      </c>
      <c r="T349" s="20">
        <f>input!G348</f>
        <v>31.41</v>
      </c>
      <c r="U349" s="19">
        <f t="shared" si="153"/>
        <v>0.98140058978172917</v>
      </c>
      <c r="V349" s="19">
        <f t="shared" si="140"/>
        <v>0.99433517767340618</v>
      </c>
      <c r="W349" s="21">
        <v>1442</v>
      </c>
      <c r="X349" s="3">
        <f>W349/365+input!$K$3</f>
        <v>3.9506849315068493</v>
      </c>
      <c r="Y349" s="4">
        <f t="shared" si="154"/>
        <v>12.589299260865312</v>
      </c>
      <c r="Z349" s="12">
        <f t="shared" si="155"/>
        <v>27.135859395209948</v>
      </c>
      <c r="AA349" s="20">
        <f>input!H348</f>
        <v>0</v>
      </c>
      <c r="AB349" s="19">
        <f t="shared" si="156"/>
        <v>0.98197554006092014</v>
      </c>
      <c r="AC349" s="19">
        <f t="shared" si="157"/>
        <v>0.99519142618801715</v>
      </c>
      <c r="AD349" s="8">
        <f t="shared" si="158"/>
        <v>182576.12969322904</v>
      </c>
      <c r="AE349" s="8">
        <f t="shared" si="159"/>
        <v>59762.819154397432</v>
      </c>
      <c r="AF349" s="8">
        <f t="shared" si="160"/>
        <v>840.82536056780157</v>
      </c>
      <c r="AG349" s="8">
        <f t="shared" si="161"/>
        <v>0</v>
      </c>
      <c r="AH349" s="8">
        <f t="shared" si="141"/>
        <v>78841.404397864419</v>
      </c>
      <c r="AI349" s="8">
        <f t="shared" si="142"/>
        <v>56755.200226684938</v>
      </c>
      <c r="AJ349" s="8">
        <f t="shared" si="162"/>
        <v>825.18650476467553</v>
      </c>
      <c r="AK349" s="8">
        <f t="shared" si="163"/>
        <v>0</v>
      </c>
      <c r="AL349" s="8">
        <f t="shared" si="164"/>
        <v>9.6515499191938634</v>
      </c>
      <c r="AM349" s="8">
        <f t="shared" si="165"/>
        <v>43505.004781125499</v>
      </c>
      <c r="AN349" s="8">
        <f t="shared" si="166"/>
        <v>820.51196982888064</v>
      </c>
      <c r="AO349" s="8">
        <f t="shared" si="167"/>
        <v>0</v>
      </c>
    </row>
    <row r="350" spans="1:41">
      <c r="A350" s="1">
        <v>42077</v>
      </c>
      <c r="B350" s="5">
        <v>348</v>
      </c>
      <c r="C350" s="3">
        <f>B350/365+input!$K$3</f>
        <v>0.95342465753424654</v>
      </c>
      <c r="D350" s="4">
        <f t="shared" si="143"/>
        <v>6.3505587397232377</v>
      </c>
      <c r="E350" s="12">
        <f t="shared" si="144"/>
        <v>3.4831703960101805</v>
      </c>
      <c r="F350" s="20">
        <f>input!E349</f>
        <v>52737.45</v>
      </c>
      <c r="G350" s="19">
        <f t="shared" si="145"/>
        <v>0.43749022808764093</v>
      </c>
      <c r="H350" s="19">
        <f t="shared" si="146"/>
        <v>1.3140566249775324E-4</v>
      </c>
      <c r="I350" s="5">
        <v>713</v>
      </c>
      <c r="J350" s="3">
        <f>I350/365+input!$K$3</f>
        <v>1.9534246575342467</v>
      </c>
      <c r="K350" s="4">
        <f t="shared" si="147"/>
        <v>10.734950649204189</v>
      </c>
      <c r="L350" s="12">
        <f t="shared" si="148"/>
        <v>16.824379852536737</v>
      </c>
      <c r="M350" s="20">
        <f>input!F349</f>
        <v>3493.5</v>
      </c>
      <c r="N350" s="19">
        <f t="shared" si="149"/>
        <v>0.94988066009893901</v>
      </c>
      <c r="O350" s="19">
        <f t="shared" si="150"/>
        <v>0.76881522485116915</v>
      </c>
      <c r="P350" s="21">
        <v>1078</v>
      </c>
      <c r="Q350" s="3">
        <f>P350/365+input!$K$3</f>
        <v>2.9534246575342467</v>
      </c>
      <c r="R350" s="4">
        <f t="shared" si="151"/>
        <v>12.535426409153381</v>
      </c>
      <c r="S350" s="12">
        <f t="shared" si="152"/>
        <v>26.788984028562837</v>
      </c>
      <c r="T350" s="20">
        <f>input!G349</f>
        <v>30.83</v>
      </c>
      <c r="U350" s="19">
        <f t="shared" si="153"/>
        <v>0.9814319805907622</v>
      </c>
      <c r="V350" s="19">
        <f t="shared" si="140"/>
        <v>0.99438447383526407</v>
      </c>
      <c r="W350" s="21">
        <v>1443</v>
      </c>
      <c r="X350" s="3">
        <f>W350/365+input!$K$3</f>
        <v>3.9534246575342467</v>
      </c>
      <c r="Y350" s="4">
        <f t="shared" si="154"/>
        <v>12.589299260865312</v>
      </c>
      <c r="Z350" s="12">
        <f t="shared" si="155"/>
        <v>27.135859395209948</v>
      </c>
      <c r="AA350" s="20">
        <f>input!H349</f>
        <v>0</v>
      </c>
      <c r="AB350" s="19">
        <f t="shared" si="156"/>
        <v>0.98197554006092014</v>
      </c>
      <c r="AC350" s="19">
        <f t="shared" si="157"/>
        <v>0.99519142618801715</v>
      </c>
      <c r="AD350" s="8">
        <f t="shared" si="158"/>
        <v>183693.5246010671</v>
      </c>
      <c r="AE350" s="8">
        <f t="shared" si="159"/>
        <v>58775.971014837087</v>
      </c>
      <c r="AF350" s="8">
        <f t="shared" si="160"/>
        <v>825.90437760059217</v>
      </c>
      <c r="AG350" s="8">
        <f t="shared" si="161"/>
        <v>0</v>
      </c>
      <c r="AH350" s="8">
        <f t="shared" si="141"/>
        <v>80364.121975943519</v>
      </c>
      <c r="AI350" s="8">
        <f t="shared" si="142"/>
        <v>55830.15814552956</v>
      </c>
      <c r="AJ350" s="8">
        <f t="shared" si="162"/>
        <v>810.56896908712986</v>
      </c>
      <c r="AK350" s="8">
        <f t="shared" si="163"/>
        <v>0</v>
      </c>
      <c r="AL350" s="8">
        <f t="shared" si="164"/>
        <v>10.560300689299108</v>
      </c>
      <c r="AM350" s="8">
        <f t="shared" si="165"/>
        <v>42923.075588131644</v>
      </c>
      <c r="AN350" s="8">
        <f t="shared" si="166"/>
        <v>806.01719783289809</v>
      </c>
      <c r="AO350" s="8">
        <f t="shared" si="167"/>
        <v>0</v>
      </c>
    </row>
    <row r="351" spans="1:41">
      <c r="A351" s="1">
        <v>42078</v>
      </c>
      <c r="B351" s="5">
        <v>349</v>
      </c>
      <c r="C351" s="3">
        <f>B351/365+input!$K$3</f>
        <v>0.95616438356164379</v>
      </c>
      <c r="D351" s="4">
        <f t="shared" si="143"/>
        <v>6.3686766492448292</v>
      </c>
      <c r="E351" s="12">
        <f t="shared" si="144"/>
        <v>3.5130675990859226</v>
      </c>
      <c r="F351" s="20">
        <f>input!E350</f>
        <v>52606.28</v>
      </c>
      <c r="G351" s="19">
        <f t="shared" si="145"/>
        <v>0.44308287526224976</v>
      </c>
      <c r="H351" s="19">
        <f t="shared" si="146"/>
        <v>1.4098581565284983E-4</v>
      </c>
      <c r="I351" s="5">
        <v>714</v>
      </c>
      <c r="J351" s="3">
        <f>I351/365+input!$K$3</f>
        <v>1.9561643835616438</v>
      </c>
      <c r="K351" s="4">
        <f t="shared" si="147"/>
        <v>10.742390872977076</v>
      </c>
      <c r="L351" s="12">
        <f t="shared" si="148"/>
        <v>16.859386234971499</v>
      </c>
      <c r="M351" s="20">
        <f>input!F350</f>
        <v>3484.81</v>
      </c>
      <c r="N351" s="19">
        <f t="shared" si="149"/>
        <v>0.95008589340032601</v>
      </c>
      <c r="O351" s="19">
        <f t="shared" si="150"/>
        <v>0.77107472608861305</v>
      </c>
      <c r="P351" s="21">
        <v>1079</v>
      </c>
      <c r="Q351" s="3">
        <f>P351/365+input!$K$3</f>
        <v>2.956164383561644</v>
      </c>
      <c r="R351" s="4">
        <f t="shared" si="151"/>
        <v>12.538481779847482</v>
      </c>
      <c r="S351" s="12">
        <f t="shared" si="152"/>
        <v>26.808577353696357</v>
      </c>
      <c r="T351" s="20">
        <f>input!G350</f>
        <v>30.75</v>
      </c>
      <c r="U351" s="19">
        <f t="shared" si="153"/>
        <v>0.98146324216511815</v>
      </c>
      <c r="V351" s="19">
        <f t="shared" si="140"/>
        <v>0.99443327000139403</v>
      </c>
      <c r="W351" s="21">
        <v>1444</v>
      </c>
      <c r="X351" s="3">
        <f>W351/365+input!$K$3</f>
        <v>3.956164383561644</v>
      </c>
      <c r="Y351" s="4">
        <f t="shared" si="154"/>
        <v>12.589299260865312</v>
      </c>
      <c r="Z351" s="12">
        <f t="shared" si="155"/>
        <v>27.135859395209948</v>
      </c>
      <c r="AA351" s="20">
        <f>input!H350</f>
        <v>0</v>
      </c>
      <c r="AB351" s="19">
        <f t="shared" si="156"/>
        <v>0.98197554006092014</v>
      </c>
      <c r="AC351" s="19">
        <f t="shared" si="157"/>
        <v>0.99519142618801715</v>
      </c>
      <c r="AD351" s="8">
        <f t="shared" si="158"/>
        <v>184809.41777644178</v>
      </c>
      <c r="AE351" s="8">
        <f t="shared" si="159"/>
        <v>58751.757745491028</v>
      </c>
      <c r="AF351" s="8">
        <f t="shared" si="160"/>
        <v>824.36375362616297</v>
      </c>
      <c r="AG351" s="8">
        <f t="shared" si="161"/>
        <v>0</v>
      </c>
      <c r="AH351" s="8">
        <f t="shared" si="141"/>
        <v>81885.88820392816</v>
      </c>
      <c r="AI351" s="8">
        <f t="shared" si="142"/>
        <v>55819.21624646437</v>
      </c>
      <c r="AJ351" s="8">
        <f t="shared" si="162"/>
        <v>809.08272235734057</v>
      </c>
      <c r="AK351" s="8">
        <f t="shared" si="163"/>
        <v>0</v>
      </c>
      <c r="AL351" s="8">
        <f t="shared" si="164"/>
        <v>11.544748738888886</v>
      </c>
      <c r="AM351" s="8">
        <f t="shared" si="165"/>
        <v>43040.786877723571</v>
      </c>
      <c r="AN351" s="8">
        <f t="shared" si="166"/>
        <v>804.5787772954402</v>
      </c>
      <c r="AO351" s="8">
        <f t="shared" si="167"/>
        <v>0</v>
      </c>
    </row>
    <row r="352" spans="1:41">
      <c r="A352" s="1">
        <v>42079</v>
      </c>
      <c r="B352" s="5">
        <v>350</v>
      </c>
      <c r="C352" s="3">
        <f>B352/365+input!$K$3</f>
        <v>0.95890410958904104</v>
      </c>
      <c r="D352" s="4">
        <f t="shared" si="143"/>
        <v>6.3867504346670492</v>
      </c>
      <c r="E352" s="12">
        <f t="shared" si="144"/>
        <v>3.5430619586407062</v>
      </c>
      <c r="F352" s="20">
        <f>input!E351</f>
        <v>52475.43</v>
      </c>
      <c r="G352" s="19">
        <f t="shared" si="145"/>
        <v>0.44860650085710718</v>
      </c>
      <c r="H352" s="19">
        <f t="shared" si="146"/>
        <v>1.5119170246154302E-4</v>
      </c>
      <c r="I352" s="5">
        <v>715</v>
      </c>
      <c r="J352" s="3">
        <f>I352/365+input!$K$3</f>
        <v>1.9589041095890412</v>
      </c>
      <c r="K352" s="4">
        <f t="shared" si="147"/>
        <v>10.749812976934722</v>
      </c>
      <c r="L352" s="12">
        <f t="shared" si="148"/>
        <v>16.894355710939465</v>
      </c>
      <c r="M352" s="20">
        <f>input!F351</f>
        <v>3421.04</v>
      </c>
      <c r="N352" s="19">
        <f t="shared" si="149"/>
        <v>0.95028978953597121</v>
      </c>
      <c r="O352" s="19">
        <f t="shared" si="150"/>
        <v>0.77331632402774164</v>
      </c>
      <c r="P352" s="21">
        <v>1080</v>
      </c>
      <c r="Q352" s="3">
        <f>P352/365+input!$K$3</f>
        <v>2.9589041095890409</v>
      </c>
      <c r="R352" s="4">
        <f t="shared" si="151"/>
        <v>12.541529709535215</v>
      </c>
      <c r="S352" s="12">
        <f t="shared" si="152"/>
        <v>26.828132477968794</v>
      </c>
      <c r="T352" s="20">
        <f>input!G351</f>
        <v>30.08</v>
      </c>
      <c r="U352" s="19">
        <f t="shared" si="153"/>
        <v>0.98149437516476823</v>
      </c>
      <c r="V352" s="19">
        <f t="shared" si="140"/>
        <v>0.99448157170511098</v>
      </c>
      <c r="W352" s="21">
        <v>1445</v>
      </c>
      <c r="X352" s="3">
        <f>W352/365+input!$K$3</f>
        <v>3.9589041095890409</v>
      </c>
      <c r="Y352" s="4">
        <f t="shared" si="154"/>
        <v>12.589299260865312</v>
      </c>
      <c r="Z352" s="12">
        <f t="shared" si="155"/>
        <v>27.135859395209948</v>
      </c>
      <c r="AA352" s="20">
        <f>input!H351</f>
        <v>0</v>
      </c>
      <c r="AB352" s="19">
        <f t="shared" si="156"/>
        <v>0.98197554006092014</v>
      </c>
      <c r="AC352" s="19">
        <f t="shared" si="157"/>
        <v>0.99519142618801715</v>
      </c>
      <c r="AD352" s="8">
        <f t="shared" si="158"/>
        <v>185923.69979631327</v>
      </c>
      <c r="AE352" s="8">
        <f t="shared" si="159"/>
        <v>57796.266661352347</v>
      </c>
      <c r="AF352" s="8">
        <f t="shared" si="160"/>
        <v>806.99022493730126</v>
      </c>
      <c r="AG352" s="8">
        <f t="shared" si="161"/>
        <v>0</v>
      </c>
      <c r="AH352" s="8">
        <f t="shared" si="141"/>
        <v>83406.580392031348</v>
      </c>
      <c r="AI352" s="8">
        <f t="shared" si="142"/>
        <v>54923.202081581388</v>
      </c>
      <c r="AJ352" s="8">
        <f t="shared" si="162"/>
        <v>792.05636658891228</v>
      </c>
      <c r="AK352" s="8">
        <f t="shared" si="163"/>
        <v>0</v>
      </c>
      <c r="AL352" s="8">
        <f t="shared" si="164"/>
        <v>12.610382885966771</v>
      </c>
      <c r="AM352" s="8">
        <f t="shared" si="165"/>
        <v>42473.008737561329</v>
      </c>
      <c r="AN352" s="8">
        <f t="shared" si="166"/>
        <v>787.68546032438098</v>
      </c>
      <c r="AO352" s="8">
        <f t="shared" si="167"/>
        <v>0</v>
      </c>
    </row>
    <row r="353" spans="1:41">
      <c r="A353" s="1">
        <v>42080</v>
      </c>
      <c r="B353" s="5">
        <v>351</v>
      </c>
      <c r="C353" s="3">
        <f>B353/365+input!$K$3</f>
        <v>0.9616438356164384</v>
      </c>
      <c r="D353" s="4">
        <f t="shared" si="143"/>
        <v>6.4047802034491035</v>
      </c>
      <c r="E353" s="12">
        <f t="shared" si="144"/>
        <v>3.5731528912052397</v>
      </c>
      <c r="F353" s="20">
        <f>input!E352</f>
        <v>52344.91</v>
      </c>
      <c r="G353" s="19">
        <f t="shared" si="145"/>
        <v>0.45406208929758596</v>
      </c>
      <c r="H353" s="19">
        <f t="shared" si="146"/>
        <v>1.6205890748893946E-4</v>
      </c>
      <c r="I353" s="5">
        <v>716</v>
      </c>
      <c r="J353" s="3">
        <f>I353/365+input!$K$3</f>
        <v>1.9616438356164383</v>
      </c>
      <c r="K353" s="4">
        <f t="shared" si="147"/>
        <v>10.757217005205867</v>
      </c>
      <c r="L353" s="12">
        <f t="shared" si="148"/>
        <v>16.929288168360618</v>
      </c>
      <c r="M353" s="20">
        <f>input!F352</f>
        <v>3412.53</v>
      </c>
      <c r="N353" s="19">
        <f t="shared" si="149"/>
        <v>0.95049235923980158</v>
      </c>
      <c r="O353" s="19">
        <f t="shared" si="150"/>
        <v>0.77554006804971598</v>
      </c>
      <c r="P353" s="21">
        <v>1081</v>
      </c>
      <c r="Q353" s="3">
        <f>P353/365+input!$K$3</f>
        <v>2.9616438356164383</v>
      </c>
      <c r="R353" s="4">
        <f t="shared" si="151"/>
        <v>12.544570216338302</v>
      </c>
      <c r="S353" s="12">
        <f t="shared" si="152"/>
        <v>26.847649450420072</v>
      </c>
      <c r="T353" s="20">
        <f>input!G352</f>
        <v>30</v>
      </c>
      <c r="U353" s="19">
        <f t="shared" si="153"/>
        <v>0.98152538024560454</v>
      </c>
      <c r="V353" s="19">
        <f t="shared" si="140"/>
        <v>0.99452938441530281</v>
      </c>
      <c r="W353" s="21">
        <v>1446</v>
      </c>
      <c r="X353" s="3">
        <f>W353/365+input!$K$3</f>
        <v>3.9616438356164383</v>
      </c>
      <c r="Y353" s="4">
        <f t="shared" si="154"/>
        <v>12.589299260865312</v>
      </c>
      <c r="Z353" s="12">
        <f t="shared" si="155"/>
        <v>27.135859395209948</v>
      </c>
      <c r="AA353" s="20">
        <f>input!H352</f>
        <v>0</v>
      </c>
      <c r="AB353" s="19">
        <f t="shared" si="156"/>
        <v>0.98197554006092014</v>
      </c>
      <c r="AC353" s="19">
        <f t="shared" si="157"/>
        <v>0.99519142618801715</v>
      </c>
      <c r="AD353" s="8">
        <f t="shared" si="158"/>
        <v>187036.36650637808</v>
      </c>
      <c r="AE353" s="8">
        <f t="shared" si="159"/>
        <v>57771.703753175665</v>
      </c>
      <c r="AF353" s="8">
        <f t="shared" si="160"/>
        <v>805.42948351260213</v>
      </c>
      <c r="AG353" s="8">
        <f t="shared" si="161"/>
        <v>0</v>
      </c>
      <c r="AH353" s="8">
        <f t="shared" si="141"/>
        <v>84926.123350515059</v>
      </c>
      <c r="AI353" s="8">
        <f t="shared" si="142"/>
        <v>54911.562997658839</v>
      </c>
      <c r="AJ353" s="8">
        <f t="shared" si="162"/>
        <v>790.54948006572772</v>
      </c>
      <c r="AK353" s="8">
        <f t="shared" si="163"/>
        <v>0</v>
      </c>
      <c r="AL353" s="8">
        <f t="shared" si="164"/>
        <v>13.763034767455382</v>
      </c>
      <c r="AM353" s="8">
        <f t="shared" si="165"/>
        <v>42586.117303920604</v>
      </c>
      <c r="AN353" s="8">
        <f t="shared" si="166"/>
        <v>786.2246877596059</v>
      </c>
      <c r="AO353" s="8">
        <f t="shared" si="167"/>
        <v>0</v>
      </c>
    </row>
    <row r="354" spans="1:41">
      <c r="A354" s="1">
        <v>42081</v>
      </c>
      <c r="B354" s="5">
        <v>352</v>
      </c>
      <c r="C354" s="3">
        <f>B354/365+input!$K$3</f>
        <v>0.96438356164383565</v>
      </c>
      <c r="D354" s="4">
        <f t="shared" si="143"/>
        <v>6.422766062788491</v>
      </c>
      <c r="E354" s="12">
        <f t="shared" si="144"/>
        <v>3.6033398129201046</v>
      </c>
      <c r="F354" s="20">
        <f>input!E353</f>
        <v>52214.71</v>
      </c>
      <c r="G354" s="19">
        <f t="shared" si="145"/>
        <v>0.45945060927750125</v>
      </c>
      <c r="H354" s="19">
        <f t="shared" si="146"/>
        <v>1.7362468932261271E-4</v>
      </c>
      <c r="I354" s="5">
        <v>717</v>
      </c>
      <c r="J354" s="3">
        <f>I354/365+input!$K$3</f>
        <v>1.9643835616438357</v>
      </c>
      <c r="K354" s="4">
        <f t="shared" si="147"/>
        <v>10.764603001811782</v>
      </c>
      <c r="L354" s="12">
        <f t="shared" si="148"/>
        <v>16.96418349616814</v>
      </c>
      <c r="M354" s="20">
        <f>input!F353</f>
        <v>3350.32</v>
      </c>
      <c r="N354" s="19">
        <f t="shared" si="149"/>
        <v>0.9506936131446313</v>
      </c>
      <c r="O354" s="19">
        <f t="shared" si="150"/>
        <v>0.77774600943521821</v>
      </c>
      <c r="P354" s="21">
        <v>1082</v>
      </c>
      <c r="Q354" s="3">
        <f>P354/365+input!$K$3</f>
        <v>2.9643835616438357</v>
      </c>
      <c r="R354" s="4">
        <f t="shared" si="151"/>
        <v>12.54760331833433</v>
      </c>
      <c r="S354" s="12">
        <f t="shared" si="152"/>
        <v>26.867128320167907</v>
      </c>
      <c r="T354" s="20">
        <f>input!G353</f>
        <v>29.49</v>
      </c>
      <c r="U354" s="19">
        <f t="shared" si="153"/>
        <v>0.98155625805946944</v>
      </c>
      <c r="V354" s="19">
        <f t="shared" si="140"/>
        <v>0.99457671353719446</v>
      </c>
      <c r="W354" s="21">
        <v>1447</v>
      </c>
      <c r="X354" s="3">
        <f>W354/365+input!$K$3</f>
        <v>3.9643835616438357</v>
      </c>
      <c r="Y354" s="4">
        <f t="shared" si="154"/>
        <v>12.589299260865312</v>
      </c>
      <c r="Z354" s="12">
        <f t="shared" si="155"/>
        <v>27.135859395209948</v>
      </c>
      <c r="AA354" s="20">
        <f>input!H353</f>
        <v>0</v>
      </c>
      <c r="AB354" s="19">
        <f t="shared" si="156"/>
        <v>0.98197554006092014</v>
      </c>
      <c r="AC354" s="19">
        <f t="shared" si="157"/>
        <v>0.99519142618801715</v>
      </c>
      <c r="AD354" s="8">
        <f t="shared" si="158"/>
        <v>188147.34336307753</v>
      </c>
      <c r="AE354" s="8">
        <f t="shared" si="159"/>
        <v>56835.443250882046</v>
      </c>
      <c r="AF354" s="8">
        <f t="shared" si="160"/>
        <v>792.31161416175155</v>
      </c>
      <c r="AG354" s="8">
        <f t="shared" si="161"/>
        <v>0</v>
      </c>
      <c r="AH354" s="8">
        <f t="shared" si="141"/>
        <v>86444.411542109199</v>
      </c>
      <c r="AI354" s="8">
        <f t="shared" si="142"/>
        <v>54033.0928988577</v>
      </c>
      <c r="AJ354" s="8">
        <f t="shared" si="162"/>
        <v>777.69842321366696</v>
      </c>
      <c r="AK354" s="8">
        <f t="shared" si="163"/>
        <v>0</v>
      </c>
      <c r="AL354" s="8">
        <f t="shared" si="164"/>
        <v>15.008884097674786</v>
      </c>
      <c r="AM354" s="8">
        <f t="shared" si="165"/>
        <v>42024.022379529</v>
      </c>
      <c r="AN354" s="8">
        <f t="shared" si="166"/>
        <v>773.48074188290707</v>
      </c>
      <c r="AO354" s="8">
        <f t="shared" si="167"/>
        <v>0</v>
      </c>
    </row>
    <row r="355" spans="1:41">
      <c r="A355" s="1">
        <v>42082</v>
      </c>
      <c r="B355" s="5">
        <v>353</v>
      </c>
      <c r="C355" s="3">
        <f>B355/365+input!$K$3</f>
        <v>0.9671232876712329</v>
      </c>
      <c r="D355" s="4">
        <f t="shared" si="143"/>
        <v>6.4407081196216449</v>
      </c>
      <c r="E355" s="12">
        <f t="shared" si="144"/>
        <v>3.6336221395710195</v>
      </c>
      <c r="F355" s="20">
        <f>input!E354</f>
        <v>52084.84</v>
      </c>
      <c r="G355" s="19">
        <f t="shared" si="145"/>
        <v>0.4647730140354136</v>
      </c>
      <c r="H355" s="19">
        <f t="shared" si="146"/>
        <v>1.8592803850353554E-4</v>
      </c>
      <c r="I355" s="5">
        <v>718</v>
      </c>
      <c r="J355" s="3">
        <f>I355/365+input!$K$3</f>
        <v>1.9671232876712328</v>
      </c>
      <c r="K355" s="4">
        <f t="shared" si="147"/>
        <v>10.771971010666526</v>
      </c>
      <c r="L355" s="12">
        <f t="shared" si="148"/>
        <v>16.99904158430407</v>
      </c>
      <c r="M355" s="20">
        <f>input!F354</f>
        <v>3341.99</v>
      </c>
      <c r="N355" s="19">
        <f t="shared" si="149"/>
        <v>0.95089356178324325</v>
      </c>
      <c r="O355" s="19">
        <f t="shared" si="150"/>
        <v>0.77993420131849733</v>
      </c>
      <c r="P355" s="21">
        <v>1083</v>
      </c>
      <c r="Q355" s="3">
        <f>P355/365+input!$K$3</f>
        <v>2.967123287671233</v>
      </c>
      <c r="R355" s="4">
        <f t="shared" si="151"/>
        <v>12.550629033556861</v>
      </c>
      <c r="S355" s="12">
        <f t="shared" si="152"/>
        <v>26.88656913640683</v>
      </c>
      <c r="T355" s="20">
        <f>input!G354</f>
        <v>29.42</v>
      </c>
      <c r="U355" s="19">
        <f t="shared" si="153"/>
        <v>0.98158700925418518</v>
      </c>
      <c r="V355" s="19">
        <f t="shared" si="140"/>
        <v>0.99462356441310262</v>
      </c>
      <c r="W355" s="21">
        <v>1448</v>
      </c>
      <c r="X355" s="3">
        <f>W355/365+input!$K$3</f>
        <v>3.967123287671233</v>
      </c>
      <c r="Y355" s="4">
        <f t="shared" si="154"/>
        <v>12.589299260865312</v>
      </c>
      <c r="Z355" s="12">
        <f t="shared" si="155"/>
        <v>27.135859395209948</v>
      </c>
      <c r="AA355" s="20">
        <f>input!H354</f>
        <v>0</v>
      </c>
      <c r="AB355" s="19">
        <f t="shared" si="156"/>
        <v>0.98197554006092014</v>
      </c>
      <c r="AC355" s="19">
        <f t="shared" si="157"/>
        <v>0.99519142618801715</v>
      </c>
      <c r="AD355" s="8">
        <f t="shared" si="158"/>
        <v>189256.62776001421</v>
      </c>
      <c r="AE355" s="8">
        <f t="shared" si="159"/>
        <v>56810.626984328359</v>
      </c>
      <c r="AF355" s="8">
        <f t="shared" si="160"/>
        <v>791.00286399308902</v>
      </c>
      <c r="AG355" s="8">
        <f t="shared" si="161"/>
        <v>0</v>
      </c>
      <c r="AH355" s="8">
        <f t="shared" si="141"/>
        <v>87961.373310200128</v>
      </c>
      <c r="AI355" s="8">
        <f t="shared" si="142"/>
        <v>54020.859440267224</v>
      </c>
      <c r="AJ355" s="8">
        <f t="shared" si="162"/>
        <v>776.43813557847125</v>
      </c>
      <c r="AK355" s="8">
        <f t="shared" si="163"/>
        <v>0</v>
      </c>
      <c r="AL355" s="8">
        <f t="shared" si="164"/>
        <v>16.354485603642754</v>
      </c>
      <c r="AM355" s="8">
        <f t="shared" si="165"/>
        <v>42132.715862083627</v>
      </c>
      <c r="AN355" s="8">
        <f t="shared" si="166"/>
        <v>772.26366595532295</v>
      </c>
      <c r="AO355" s="8">
        <f t="shared" si="167"/>
        <v>0</v>
      </c>
    </row>
    <row r="356" spans="1:41">
      <c r="A356" s="1">
        <v>42083</v>
      </c>
      <c r="B356" s="5">
        <v>354</v>
      </c>
      <c r="C356" s="3">
        <f>B356/365+input!$K$3</f>
        <v>0.96986301369863015</v>
      </c>
      <c r="D356" s="4">
        <f t="shared" si="143"/>
        <v>6.4586064806245655</v>
      </c>
      <c r="E356" s="12">
        <f t="shared" si="144"/>
        <v>3.6639992866236586</v>
      </c>
      <c r="F356" s="20">
        <f>input!E355</f>
        <v>51955.29</v>
      </c>
      <c r="G356" s="19">
        <f t="shared" si="145"/>
        <v>0.47003024162566831</v>
      </c>
      <c r="H356" s="19">
        <f t="shared" si="146"/>
        <v>1.9900973634504759E-4</v>
      </c>
      <c r="I356" s="5">
        <v>719</v>
      </c>
      <c r="J356" s="3">
        <f>I356/365+input!$K$3</f>
        <v>1.9698630136986301</v>
      </c>
      <c r="K356" s="4">
        <f t="shared" si="147"/>
        <v>10.779321075577213</v>
      </c>
      <c r="L356" s="12">
        <f t="shared" si="148"/>
        <v>17.033862323715066</v>
      </c>
      <c r="M356" s="20">
        <f>input!F355</f>
        <v>3281.12</v>
      </c>
      <c r="N356" s="19">
        <f t="shared" si="149"/>
        <v>0.95109221558945789</v>
      </c>
      <c r="O356" s="19">
        <f t="shared" si="150"/>
        <v>0.78210469864178289</v>
      </c>
      <c r="P356" s="21">
        <v>1084</v>
      </c>
      <c r="Q356" s="3">
        <f>P356/365+input!$K$3</f>
        <v>2.9698630136986299</v>
      </c>
      <c r="R356" s="4">
        <f t="shared" si="151"/>
        <v>12.553647379995537</v>
      </c>
      <c r="S356" s="12">
        <f t="shared" si="152"/>
        <v>26.905971948407107</v>
      </c>
      <c r="T356" s="20">
        <f>input!G355</f>
        <v>28.88</v>
      </c>
      <c r="U356" s="19">
        <f t="shared" si="153"/>
        <v>0.9816176344735823</v>
      </c>
      <c r="V356" s="19">
        <f t="shared" si="140"/>
        <v>0.99466994232318207</v>
      </c>
      <c r="W356" s="21">
        <v>1449</v>
      </c>
      <c r="X356" s="3">
        <f>W356/365+input!$K$3</f>
        <v>3.9698630136986299</v>
      </c>
      <c r="Y356" s="4">
        <f t="shared" si="154"/>
        <v>12.589299260865312</v>
      </c>
      <c r="Z356" s="12">
        <f t="shared" si="155"/>
        <v>27.135859395209948</v>
      </c>
      <c r="AA356" s="20">
        <f>input!H355</f>
        <v>0</v>
      </c>
      <c r="AB356" s="19">
        <f t="shared" si="156"/>
        <v>0.98197554006092014</v>
      </c>
      <c r="AC356" s="19">
        <f t="shared" si="157"/>
        <v>0.99519142618801715</v>
      </c>
      <c r="AD356" s="8">
        <f t="shared" si="158"/>
        <v>190364.14549632531</v>
      </c>
      <c r="AE356" s="8">
        <f t="shared" si="159"/>
        <v>55890.146347587979</v>
      </c>
      <c r="AF356" s="8">
        <f t="shared" si="160"/>
        <v>777.04446986999722</v>
      </c>
      <c r="AG356" s="8">
        <f t="shared" si="161"/>
        <v>0</v>
      </c>
      <c r="AH356" s="8">
        <f t="shared" si="141"/>
        <v>89476.905304501663</v>
      </c>
      <c r="AI356" s="8">
        <f t="shared" si="142"/>
        <v>53156.683119346497</v>
      </c>
      <c r="AJ356" s="8">
        <f t="shared" si="162"/>
        <v>762.76055439456547</v>
      </c>
      <c r="AK356" s="8">
        <f t="shared" si="163"/>
        <v>0</v>
      </c>
      <c r="AL356" s="8">
        <f t="shared" si="164"/>
        <v>17.806775333619665</v>
      </c>
      <c r="AM356" s="8">
        <f t="shared" si="165"/>
        <v>41574.09163185324</v>
      </c>
      <c r="AN356" s="8">
        <f t="shared" si="166"/>
        <v>758.69499664604086</v>
      </c>
      <c r="AO356" s="8">
        <f t="shared" si="167"/>
        <v>0</v>
      </c>
    </row>
    <row r="357" spans="1:41">
      <c r="A357" s="1">
        <v>42084</v>
      </c>
      <c r="B357" s="5">
        <v>355</v>
      </c>
      <c r="C357" s="3">
        <f>B357/365+input!$K$3</f>
        <v>0.9726027397260274</v>
      </c>
      <c r="D357" s="4">
        <f t="shared" si="143"/>
        <v>6.4764612522134577</v>
      </c>
      <c r="E357" s="12">
        <f t="shared" si="144"/>
        <v>3.69447066925804</v>
      </c>
      <c r="F357" s="20">
        <f>input!E356</f>
        <v>51826.06</v>
      </c>
      <c r="G357" s="19">
        <f t="shared" si="145"/>
        <v>0.47522321518427912</v>
      </c>
      <c r="H357" s="19">
        <f t="shared" si="146"/>
        <v>2.1291241459531543E-4</v>
      </c>
      <c r="I357" s="5">
        <v>720</v>
      </c>
      <c r="J357" s="3">
        <f>I357/365+input!$K$3</f>
        <v>1.9726027397260273</v>
      </c>
      <c r="K357" s="4">
        <f t="shared" si="147"/>
        <v>10.78665324024427</v>
      </c>
      <c r="L357" s="12">
        <f t="shared" si="148"/>
        <v>17.068645606348085</v>
      </c>
      <c r="M357" s="20">
        <f>input!F356</f>
        <v>3272.95</v>
      </c>
      <c r="N357" s="19">
        <f t="shared" si="149"/>
        <v>0.95128958489918958</v>
      </c>
      <c r="O357" s="19">
        <f t="shared" si="150"/>
        <v>0.78425755811006315</v>
      </c>
      <c r="P357" s="21">
        <v>1085</v>
      </c>
      <c r="Q357" s="3">
        <f>P357/365+input!$K$3</f>
        <v>2.9726027397260273</v>
      </c>
      <c r="R357" s="4">
        <f t="shared" si="151"/>
        <v>12.556658375596193</v>
      </c>
      <c r="S357" s="12">
        <f t="shared" si="152"/>
        <v>26.925336805513794</v>
      </c>
      <c r="T357" s="20">
        <f>input!G356</f>
        <v>28.81</v>
      </c>
      <c r="U357" s="19">
        <f t="shared" si="153"/>
        <v>0.9816481343575284</v>
      </c>
      <c r="V357" s="19">
        <f t="shared" si="140"/>
        <v>0.99471585248616268</v>
      </c>
      <c r="W357" s="21">
        <v>1450</v>
      </c>
      <c r="X357" s="3">
        <f>W357/365+input!$K$3</f>
        <v>3.9726027397260273</v>
      </c>
      <c r="Y357" s="4">
        <f t="shared" si="154"/>
        <v>12.589299260865312</v>
      </c>
      <c r="Z357" s="12">
        <f t="shared" si="155"/>
        <v>27.135859395209948</v>
      </c>
      <c r="AA357" s="20">
        <f>input!H356</f>
        <v>0</v>
      </c>
      <c r="AB357" s="19">
        <f t="shared" si="156"/>
        <v>0.98197554006092014</v>
      </c>
      <c r="AC357" s="19">
        <f t="shared" si="157"/>
        <v>0.99519142618801715</v>
      </c>
      <c r="AD357" s="8">
        <f t="shared" si="158"/>
        <v>191469.85857320734</v>
      </c>
      <c r="AE357" s="8">
        <f t="shared" si="159"/>
        <v>55864.823637296962</v>
      </c>
      <c r="AF357" s="8">
        <f t="shared" si="160"/>
        <v>775.71895336685236</v>
      </c>
      <c r="AG357" s="8">
        <f t="shared" si="161"/>
        <v>0</v>
      </c>
      <c r="AH357" s="8">
        <f t="shared" si="141"/>
        <v>90990.921802038807</v>
      </c>
      <c r="AI357" s="8">
        <f t="shared" si="142"/>
        <v>53143.624888390659</v>
      </c>
      <c r="AJ357" s="8">
        <f t="shared" si="162"/>
        <v>761.48306335834525</v>
      </c>
      <c r="AK357" s="8">
        <f t="shared" si="163"/>
        <v>0</v>
      </c>
      <c r="AL357" s="8">
        <f t="shared" si="164"/>
        <v>19.373096867125614</v>
      </c>
      <c r="AM357" s="8">
        <f t="shared" si="165"/>
        <v>41678.289484086432</v>
      </c>
      <c r="AN357" s="8">
        <f t="shared" si="166"/>
        <v>757.45927452227102</v>
      </c>
      <c r="AO357" s="8">
        <f t="shared" si="167"/>
        <v>0</v>
      </c>
    </row>
    <row r="358" spans="1:41">
      <c r="A358" s="1">
        <v>42085</v>
      </c>
      <c r="B358" s="5">
        <v>356</v>
      </c>
      <c r="C358" s="3">
        <f>B358/365+input!$K$3</f>
        <v>0.97534246575342465</v>
      </c>
      <c r="D358" s="4">
        <f t="shared" si="143"/>
        <v>6.494272540545361</v>
      </c>
      <c r="E358" s="12">
        <f t="shared" si="144"/>
        <v>3.7250357024024794</v>
      </c>
      <c r="F358" s="20">
        <f>input!E357</f>
        <v>51697.15</v>
      </c>
      <c r="G358" s="19">
        <f t="shared" si="145"/>
        <v>0.48035284318976113</v>
      </c>
      <c r="H358" s="19">
        <f t="shared" si="146"/>
        <v>2.2768061589542718E-4</v>
      </c>
      <c r="I358" s="5">
        <v>721</v>
      </c>
      <c r="J358" s="3">
        <f>I358/365+input!$K$3</f>
        <v>1.9753424657534246</v>
      </c>
      <c r="K358" s="4">
        <f t="shared" si="147"/>
        <v>10.793967548261698</v>
      </c>
      <c r="L358" s="12">
        <f t="shared" si="148"/>
        <v>17.103391325146102</v>
      </c>
      <c r="M358" s="20">
        <f>input!F357</f>
        <v>3211.23</v>
      </c>
      <c r="N358" s="19">
        <f t="shared" si="149"/>
        <v>0.95148567995149003</v>
      </c>
      <c r="O358" s="19">
        <f t="shared" si="150"/>
        <v>0.78639283814624927</v>
      </c>
      <c r="P358" s="21">
        <v>1086</v>
      </c>
      <c r="Q358" s="3">
        <f>P358/365+input!$K$3</f>
        <v>2.9753424657534246</v>
      </c>
      <c r="R358" s="4">
        <f t="shared" si="151"/>
        <v>12.559662038260953</v>
      </c>
      <c r="S358" s="12">
        <f t="shared" si="152"/>
        <v>26.944663757145655</v>
      </c>
      <c r="T358" s="20">
        <f>input!G357</f>
        <v>28.22</v>
      </c>
      <c r="U358" s="19">
        <f t="shared" si="153"/>
        <v>0.98167850954195712</v>
      </c>
      <c r="V358" s="19">
        <f t="shared" si="140"/>
        <v>0.99476130006007857</v>
      </c>
      <c r="W358" s="21">
        <v>1451</v>
      </c>
      <c r="X358" s="3">
        <f>W358/365+input!$K$3</f>
        <v>3.9753424657534246</v>
      </c>
      <c r="Y358" s="4">
        <f t="shared" si="154"/>
        <v>12.589299260865312</v>
      </c>
      <c r="Z358" s="12">
        <f t="shared" si="155"/>
        <v>27.135859395209948</v>
      </c>
      <c r="AA358" s="20">
        <f>input!H357</f>
        <v>0</v>
      </c>
      <c r="AB358" s="19">
        <f t="shared" si="156"/>
        <v>0.98197554006092014</v>
      </c>
      <c r="AC358" s="19">
        <f t="shared" si="157"/>
        <v>0.99519142618801715</v>
      </c>
      <c r="AD358" s="8">
        <f t="shared" si="158"/>
        <v>192573.72946245634</v>
      </c>
      <c r="AE358" s="8">
        <f t="shared" si="159"/>
        <v>54922.92332504892</v>
      </c>
      <c r="AF358" s="8">
        <f t="shared" si="160"/>
        <v>760.37841122665031</v>
      </c>
      <c r="AG358" s="8">
        <f t="shared" si="161"/>
        <v>0</v>
      </c>
      <c r="AH358" s="8">
        <f t="shared" si="141"/>
        <v>92503.338470946765</v>
      </c>
      <c r="AI358" s="8">
        <f t="shared" si="142"/>
        <v>52258.375044857719</v>
      </c>
      <c r="AJ358" s="8">
        <f t="shared" si="162"/>
        <v>746.44714542085944</v>
      </c>
      <c r="AK358" s="8">
        <f t="shared" si="163"/>
        <v>0</v>
      </c>
      <c r="AL358" s="8">
        <f t="shared" si="164"/>
        <v>21.061217075448322</v>
      </c>
      <c r="AM358" s="8">
        <f t="shared" si="165"/>
        <v>41095.61186843679</v>
      </c>
      <c r="AN358" s="8">
        <f t="shared" si="166"/>
        <v>742.53673280498867</v>
      </c>
      <c r="AO358" s="8">
        <f t="shared" si="167"/>
        <v>0</v>
      </c>
    </row>
    <row r="359" spans="1:41">
      <c r="A359" s="1">
        <v>42086</v>
      </c>
      <c r="B359" s="5">
        <v>357</v>
      </c>
      <c r="C359" s="3">
        <f>B359/365+input!$K$3</f>
        <v>0.9780821917808219</v>
      </c>
      <c r="D359" s="4">
        <f t="shared" si="143"/>
        <v>6.5120404515187804</v>
      </c>
      <c r="E359" s="12">
        <f t="shared" si="144"/>
        <v>3.7556938007671161</v>
      </c>
      <c r="F359" s="20">
        <f>input!E358</f>
        <v>51568.56</v>
      </c>
      <c r="G359" s="19">
        <f t="shared" si="145"/>
        <v>0.48542001971901716</v>
      </c>
      <c r="H359" s="19">
        <f t="shared" si="146"/>
        <v>2.4336085498192242E-4</v>
      </c>
      <c r="I359" s="5">
        <v>722</v>
      </c>
      <c r="J359" s="3">
        <f>I359/365+input!$K$3</f>
        <v>1.978082191780822</v>
      </c>
      <c r="K359" s="4">
        <f t="shared" si="147"/>
        <v>10.801264043117325</v>
      </c>
      <c r="L359" s="12">
        <f t="shared" si="148"/>
        <v>17.138099374043819</v>
      </c>
      <c r="M359" s="20">
        <f>input!F358</f>
        <v>3203.25</v>
      </c>
      <c r="N359" s="19">
        <f t="shared" si="149"/>
        <v>0.95168051088957961</v>
      </c>
      <c r="O359" s="19">
        <f t="shared" si="150"/>
        <v>0.78851059884672658</v>
      </c>
      <c r="P359" s="21">
        <v>1087</v>
      </c>
      <c r="Q359" s="3">
        <f>P359/365+input!$K$3</f>
        <v>2.978082191780822</v>
      </c>
      <c r="R359" s="4">
        <f t="shared" si="151"/>
        <v>12.562658385848342</v>
      </c>
      <c r="S359" s="12">
        <f t="shared" si="152"/>
        <v>26.963952852794183</v>
      </c>
      <c r="T359" s="20">
        <f>input!G358</f>
        <v>28.15</v>
      </c>
      <c r="U359" s="19">
        <f t="shared" si="153"/>
        <v>0.98170876065889567</v>
      </c>
      <c r="V359" s="19">
        <f t="shared" si="140"/>
        <v>0.99480629014298849</v>
      </c>
      <c r="W359" s="21">
        <v>1452</v>
      </c>
      <c r="X359" s="3">
        <f>W359/365+input!$K$3</f>
        <v>3.978082191780822</v>
      </c>
      <c r="Y359" s="4">
        <f t="shared" si="154"/>
        <v>12.589299260865312</v>
      </c>
      <c r="Z359" s="12">
        <f t="shared" si="155"/>
        <v>27.135859395209948</v>
      </c>
      <c r="AA359" s="20">
        <f>input!H358</f>
        <v>0</v>
      </c>
      <c r="AB359" s="19">
        <f t="shared" si="156"/>
        <v>0.98197554006092014</v>
      </c>
      <c r="AC359" s="19">
        <f t="shared" si="157"/>
        <v>0.99519142618801715</v>
      </c>
      <c r="AD359" s="8">
        <f t="shared" si="158"/>
        <v>193675.72110648706</v>
      </c>
      <c r="AE359" s="8">
        <f t="shared" si="159"/>
        <v>54897.616819905859</v>
      </c>
      <c r="AF359" s="8">
        <f t="shared" si="160"/>
        <v>759.03527280615617</v>
      </c>
      <c r="AG359" s="8">
        <f t="shared" si="161"/>
        <v>0</v>
      </c>
      <c r="AH359" s="8">
        <f t="shared" si="141"/>
        <v>94014.072358605816</v>
      </c>
      <c r="AI359" s="8">
        <f t="shared" si="142"/>
        <v>52244.992021788385</v>
      </c>
      <c r="AJ359" s="8">
        <f t="shared" si="162"/>
        <v>745.1515769629184</v>
      </c>
      <c r="AK359" s="8">
        <f t="shared" si="163"/>
        <v>0</v>
      </c>
      <c r="AL359" s="8">
        <f t="shared" si="164"/>
        <v>22.879345029522632</v>
      </c>
      <c r="AM359" s="8">
        <f t="shared" si="165"/>
        <v>41195.72994584281</v>
      </c>
      <c r="AN359" s="8">
        <f t="shared" si="166"/>
        <v>741.28147587267847</v>
      </c>
      <c r="AO359" s="8">
        <f t="shared" si="167"/>
        <v>0</v>
      </c>
    </row>
    <row r="360" spans="1:41">
      <c r="A360" s="1">
        <v>42087</v>
      </c>
      <c r="B360" s="5">
        <v>358</v>
      </c>
      <c r="C360" s="3">
        <f>B360/365+input!$K$3</f>
        <v>0.98082191780821915</v>
      </c>
      <c r="D360" s="4">
        <f t="shared" si="143"/>
        <v>6.5297650907743199</v>
      </c>
      <c r="E360" s="12">
        <f t="shared" si="144"/>
        <v>3.786444378877031</v>
      </c>
      <c r="F360" s="20">
        <f>input!E359</f>
        <v>51440.29</v>
      </c>
      <c r="G360" s="19">
        <f t="shared" si="145"/>
        <v>0.4904256246983788</v>
      </c>
      <c r="H360" s="19">
        <f t="shared" si="146"/>
        <v>2.6000168057920562E-4</v>
      </c>
      <c r="I360" s="5">
        <v>723</v>
      </c>
      <c r="J360" s="3">
        <f>I360/365+input!$K$3</f>
        <v>1.9808219178082191</v>
      </c>
      <c r="K360" s="4">
        <f t="shared" si="147"/>
        <v>10.808542768193071</v>
      </c>
      <c r="L360" s="12">
        <f t="shared" si="148"/>
        <v>17.172769647963417</v>
      </c>
      <c r="M360" s="20">
        <f>input!F359</f>
        <v>3144.57</v>
      </c>
      <c r="N360" s="19">
        <f t="shared" si="149"/>
        <v>0.95187408776186644</v>
      </c>
      <c r="O360" s="19">
        <f t="shared" si="150"/>
        <v>0.79061090193731187</v>
      </c>
      <c r="P360" s="21">
        <v>1088</v>
      </c>
      <c r="Q360" s="3">
        <f>P360/365+input!$K$3</f>
        <v>2.9808219178082194</v>
      </c>
      <c r="R360" s="4">
        <f t="shared" si="151"/>
        <v>12.565647436173402</v>
      </c>
      <c r="S360" s="12">
        <f t="shared" si="152"/>
        <v>26.98320414202265</v>
      </c>
      <c r="T360" s="20">
        <f>input!G359</f>
        <v>27.66</v>
      </c>
      <c r="U360" s="19">
        <f t="shared" si="153"/>
        <v>0.98173888833649325</v>
      </c>
      <c r="V360" s="19">
        <f t="shared" si="140"/>
        <v>0.99485082777368761</v>
      </c>
      <c r="W360" s="21">
        <v>1453</v>
      </c>
      <c r="X360" s="3">
        <f>W360/365+input!$K$3</f>
        <v>3.9808219178082194</v>
      </c>
      <c r="Y360" s="4">
        <f t="shared" si="154"/>
        <v>12.589299260865312</v>
      </c>
      <c r="Z360" s="12">
        <f t="shared" si="155"/>
        <v>27.135859395209948</v>
      </c>
      <c r="AA360" s="20">
        <f>input!H359</f>
        <v>0</v>
      </c>
      <c r="AB360" s="19">
        <f t="shared" si="156"/>
        <v>0.98197554006092014</v>
      </c>
      <c r="AC360" s="19">
        <f t="shared" si="157"/>
        <v>0.99519142618801715</v>
      </c>
      <c r="AD360" s="8">
        <f t="shared" si="158"/>
        <v>194775.79691830435</v>
      </c>
      <c r="AE360" s="8">
        <f t="shared" si="159"/>
        <v>54000.976251896325</v>
      </c>
      <c r="AF360" s="8">
        <f t="shared" si="160"/>
        <v>746.3554265683465</v>
      </c>
      <c r="AG360" s="8">
        <f t="shared" si="161"/>
        <v>0</v>
      </c>
      <c r="AH360" s="8">
        <f t="shared" si="141"/>
        <v>95523.041879783981</v>
      </c>
      <c r="AI360" s="8">
        <f t="shared" si="142"/>
        <v>51402.130008024025</v>
      </c>
      <c r="AJ360" s="8">
        <f t="shared" si="162"/>
        <v>732.72614678311777</v>
      </c>
      <c r="AK360" s="8">
        <f t="shared" si="163"/>
        <v>0</v>
      </c>
      <c r="AL360" s="8">
        <f t="shared" si="164"/>
        <v>24.836151422781676</v>
      </c>
      <c r="AM360" s="8">
        <f t="shared" si="165"/>
        <v>40639.084367142837</v>
      </c>
      <c r="AN360" s="8">
        <f t="shared" si="166"/>
        <v>728.95321365860923</v>
      </c>
      <c r="AO360" s="8">
        <f t="shared" si="167"/>
        <v>0</v>
      </c>
    </row>
    <row r="361" spans="1:41">
      <c r="A361" s="1">
        <v>42088</v>
      </c>
      <c r="B361" s="5">
        <v>359</v>
      </c>
      <c r="C361" s="3">
        <f>B361/365+input!$K$3</f>
        <v>0.98356164383561639</v>
      </c>
      <c r="D361" s="4">
        <f t="shared" si="143"/>
        <v>6.5474465636953063</v>
      </c>
      <c r="E361" s="12">
        <f t="shared" si="144"/>
        <v>3.8172868511049236</v>
      </c>
      <c r="F361" s="20">
        <f>input!E360</f>
        <v>51312.35</v>
      </c>
      <c r="G361" s="19">
        <f t="shared" si="145"/>
        <v>0.49537052414989546</v>
      </c>
      <c r="H361" s="19">
        <f t="shared" si="146"/>
        <v>2.7765373792391505E-4</v>
      </c>
      <c r="I361" s="5">
        <v>724</v>
      </c>
      <c r="J361" s="3">
        <f>I361/365+input!$K$3</f>
        <v>1.9835616438356165</v>
      </c>
      <c r="K361" s="4">
        <f t="shared" si="147"/>
        <v>10.815803766765208</v>
      </c>
      <c r="L361" s="12">
        <f t="shared" si="148"/>
        <v>17.207402042810305</v>
      </c>
      <c r="M361" s="20">
        <f>input!F360</f>
        <v>3136.75</v>
      </c>
      <c r="N361" s="19">
        <f t="shared" si="149"/>
        <v>0.95206642052295343</v>
      </c>
      <c r="O361" s="19">
        <f t="shared" si="150"/>
        <v>0.79269381072961753</v>
      </c>
      <c r="P361" s="21">
        <v>1089</v>
      </c>
      <c r="Q361" s="3">
        <f>P361/365+input!$K$3</f>
        <v>2.9835616438356163</v>
      </c>
      <c r="R361" s="4">
        <f t="shared" si="151"/>
        <v>12.568629207007776</v>
      </c>
      <c r="S361" s="12">
        <f t="shared" si="152"/>
        <v>27.00241767446504</v>
      </c>
      <c r="T361" s="20">
        <f>input!G360</f>
        <v>27.6</v>
      </c>
      <c r="U361" s="19">
        <f t="shared" si="153"/>
        <v>0.98176889319904881</v>
      </c>
      <c r="V361" s="19">
        <f t="shared" si="140"/>
        <v>0.99489491793241158</v>
      </c>
      <c r="W361" s="21">
        <v>1454</v>
      </c>
      <c r="X361" s="3">
        <f>W361/365+input!$K$3</f>
        <v>3.9835616438356163</v>
      </c>
      <c r="Y361" s="4">
        <f t="shared" si="154"/>
        <v>12.589299260865312</v>
      </c>
      <c r="Z361" s="12">
        <f t="shared" si="155"/>
        <v>27.135859395209948</v>
      </c>
      <c r="AA361" s="20">
        <f>input!H360</f>
        <v>0</v>
      </c>
      <c r="AB361" s="19">
        <f t="shared" si="156"/>
        <v>0.98197554006092014</v>
      </c>
      <c r="AC361" s="19">
        <f t="shared" si="157"/>
        <v>0.99519142618801715</v>
      </c>
      <c r="AD361" s="8">
        <f t="shared" si="158"/>
        <v>195873.95895429372</v>
      </c>
      <c r="AE361" s="8">
        <f t="shared" si="159"/>
        <v>53975.318357785225</v>
      </c>
      <c r="AF361" s="8">
        <f t="shared" si="160"/>
        <v>745.26672781523519</v>
      </c>
      <c r="AG361" s="8">
        <f t="shared" si="161"/>
        <v>0</v>
      </c>
      <c r="AH361" s="8">
        <f t="shared" si="141"/>
        <v>97030.18571450359</v>
      </c>
      <c r="AI361" s="8">
        <f t="shared" si="142"/>
        <v>51388.088145483438</v>
      </c>
      <c r="AJ361" s="8">
        <f t="shared" si="162"/>
        <v>731.67969050524016</v>
      </c>
      <c r="AK361" s="8">
        <f t="shared" si="163"/>
        <v>0</v>
      </c>
      <c r="AL361" s="8">
        <f t="shared" si="164"/>
        <v>26.940793755083586</v>
      </c>
      <c r="AM361" s="8">
        <f t="shared" si="165"/>
        <v>40735.019418152748</v>
      </c>
      <c r="AN361" s="8">
        <f t="shared" si="166"/>
        <v>727.94440563802323</v>
      </c>
      <c r="AO361" s="8">
        <f t="shared" si="167"/>
        <v>0</v>
      </c>
    </row>
    <row r="362" spans="1:41">
      <c r="A362" s="1">
        <v>42089</v>
      </c>
      <c r="B362" s="5">
        <v>360</v>
      </c>
      <c r="C362" s="3">
        <f>B362/365+input!$K$3</f>
        <v>0.98630136986301364</v>
      </c>
      <c r="D362" s="4">
        <f t="shared" si="143"/>
        <v>6.5650849754084151</v>
      </c>
      <c r="E362" s="12">
        <f t="shared" si="144"/>
        <v>3.8482206317033865</v>
      </c>
      <c r="F362" s="20">
        <f>input!E361</f>
        <v>51184.72</v>
      </c>
      <c r="G362" s="19">
        <f t="shared" si="145"/>
        <v>0.50025557043297719</v>
      </c>
      <c r="H362" s="19">
        <f t="shared" si="146"/>
        <v>2.9636983185996789E-4</v>
      </c>
      <c r="I362" s="5">
        <v>725</v>
      </c>
      <c r="J362" s="3">
        <f>I362/365+input!$K$3</f>
        <v>1.9863013698630136</v>
      </c>
      <c r="K362" s="4">
        <f t="shared" si="147"/>
        <v>10.823047082004612</v>
      </c>
      <c r="L362" s="12">
        <f t="shared" si="148"/>
        <v>17.241996455468833</v>
      </c>
      <c r="M362" s="20">
        <f>input!F361</f>
        <v>3078.38</v>
      </c>
      <c r="N362" s="19">
        <f t="shared" si="149"/>
        <v>0.95225751903463307</v>
      </c>
      <c r="O362" s="19">
        <f t="shared" si="150"/>
        <v>0.79475939007783247</v>
      </c>
      <c r="P362" s="21">
        <v>1090</v>
      </c>
      <c r="Q362" s="3">
        <f>P362/365+input!$K$3</f>
        <v>2.9863013698630136</v>
      </c>
      <c r="R362" s="4">
        <f t="shared" si="151"/>
        <v>12.571603716079835</v>
      </c>
      <c r="S362" s="12">
        <f t="shared" si="152"/>
        <v>27.021593499825105</v>
      </c>
      <c r="T362" s="20">
        <f>input!G361</f>
        <v>27.02</v>
      </c>
      <c r="U362" s="19">
        <f t="shared" si="153"/>
        <v>0.98179877586703834</v>
      </c>
      <c r="V362" s="19">
        <f t="shared" si="140"/>
        <v>0.99493856554153159</v>
      </c>
      <c r="W362" s="21">
        <v>1455</v>
      </c>
      <c r="X362" s="3">
        <f>W362/365+input!$K$3</f>
        <v>3.9863013698630136</v>
      </c>
      <c r="Y362" s="4">
        <f t="shared" si="154"/>
        <v>12.589299260865312</v>
      </c>
      <c r="Z362" s="12">
        <f t="shared" si="155"/>
        <v>27.135859395209948</v>
      </c>
      <c r="AA362" s="20">
        <f>input!H361</f>
        <v>0</v>
      </c>
      <c r="AB362" s="19">
        <f t="shared" si="156"/>
        <v>0.98197554006092014</v>
      </c>
      <c r="AC362" s="19">
        <f t="shared" si="157"/>
        <v>0.99519142618801715</v>
      </c>
      <c r="AD362" s="8">
        <f t="shared" si="158"/>
        <v>196970.09553196095</v>
      </c>
      <c r="AE362" s="8">
        <f t="shared" si="159"/>
        <v>53077.417048586147</v>
      </c>
      <c r="AF362" s="8">
        <f t="shared" si="160"/>
        <v>730.12345636527436</v>
      </c>
      <c r="AG362" s="8">
        <f t="shared" si="161"/>
        <v>0</v>
      </c>
      <c r="AH362" s="8">
        <f t="shared" si="141"/>
        <v>98535.387498579134</v>
      </c>
      <c r="AI362" s="8">
        <f t="shared" si="142"/>
        <v>50543.369475453183</v>
      </c>
      <c r="AJ362" s="8">
        <f t="shared" si="162"/>
        <v>716.83431569123741</v>
      </c>
      <c r="AK362" s="8">
        <f t="shared" si="163"/>
        <v>0</v>
      </c>
      <c r="AL362" s="8">
        <f t="shared" si="164"/>
        <v>29.202916225210679</v>
      </c>
      <c r="AM362" s="8">
        <f t="shared" si="165"/>
        <v>40169.817496789707</v>
      </c>
      <c r="AN362" s="8">
        <f t="shared" si="166"/>
        <v>713.20610578478511</v>
      </c>
      <c r="AO362" s="8">
        <f t="shared" si="167"/>
        <v>0</v>
      </c>
    </row>
    <row r="363" spans="1:41">
      <c r="A363" s="1">
        <v>42090</v>
      </c>
      <c r="B363" s="5">
        <v>361</v>
      </c>
      <c r="C363" s="3">
        <f>B363/365+input!$K$3</f>
        <v>0.989041095890411</v>
      </c>
      <c r="D363" s="4">
        <f t="shared" si="143"/>
        <v>6.5826804307843032</v>
      </c>
      <c r="E363" s="12">
        <f t="shared" si="144"/>
        <v>3.8792451348367862</v>
      </c>
      <c r="F363" s="20">
        <f>input!E362</f>
        <v>51057.4</v>
      </c>
      <c r="G363" s="19">
        <f t="shared" si="145"/>
        <v>0.50508160248147838</v>
      </c>
      <c r="H363" s="19">
        <f t="shared" si="146"/>
        <v>3.1620499043965179E-4</v>
      </c>
      <c r="I363" s="5">
        <v>726</v>
      </c>
      <c r="J363" s="3">
        <f>I363/365+input!$K$3</f>
        <v>1.989041095890411</v>
      </c>
      <c r="K363" s="4">
        <f t="shared" si="147"/>
        <v>10.830272756977017</v>
      </c>
      <c r="L363" s="12">
        <f t="shared" si="148"/>
        <v>17.276552783798056</v>
      </c>
      <c r="M363" s="20">
        <f>input!F362</f>
        <v>3070.72</v>
      </c>
      <c r="N363" s="19">
        <f t="shared" si="149"/>
        <v>0.9524473930668711</v>
      </c>
      <c r="O363" s="19">
        <f t="shared" si="150"/>
        <v>0.79680770633593012</v>
      </c>
      <c r="P363" s="21">
        <v>1091</v>
      </c>
      <c r="Q363" s="3">
        <f>P363/365+input!$K$3</f>
        <v>2.989041095890411</v>
      </c>
      <c r="R363" s="4">
        <f t="shared" si="151"/>
        <v>12.574570981074773</v>
      </c>
      <c r="S363" s="12">
        <f t="shared" si="152"/>
        <v>27.040731667875384</v>
      </c>
      <c r="T363" s="20">
        <f>input!G362</f>
        <v>26.95</v>
      </c>
      <c r="U363" s="19">
        <f t="shared" si="153"/>
        <v>0.98182853695714256</v>
      </c>
      <c r="V363" s="19">
        <f t="shared" si="140"/>
        <v>0.99498177546624222</v>
      </c>
      <c r="W363" s="21">
        <v>1456</v>
      </c>
      <c r="X363" s="3">
        <f>W363/365+input!$K$3</f>
        <v>3.989041095890411</v>
      </c>
      <c r="Y363" s="4">
        <f t="shared" si="154"/>
        <v>12.589299260865312</v>
      </c>
      <c r="Z363" s="12">
        <f t="shared" si="155"/>
        <v>27.135859395209948</v>
      </c>
      <c r="AA363" s="20">
        <f>input!H362</f>
        <v>0</v>
      </c>
      <c r="AB363" s="19">
        <f t="shared" si="156"/>
        <v>0.98197554006092014</v>
      </c>
      <c r="AC363" s="19">
        <f t="shared" si="157"/>
        <v>0.99519142618801715</v>
      </c>
      <c r="AD363" s="8">
        <f t="shared" si="158"/>
        <v>198064.17054741574</v>
      </c>
      <c r="AE363" s="8">
        <f t="shared" si="159"/>
        <v>53051.456164264368</v>
      </c>
      <c r="AF363" s="8">
        <f t="shared" si="160"/>
        <v>728.74771844924157</v>
      </c>
      <c r="AG363" s="8">
        <f t="shared" si="161"/>
        <v>0</v>
      </c>
      <c r="AH363" s="8">
        <f t="shared" si="141"/>
        <v>100038.56865425357</v>
      </c>
      <c r="AI363" s="8">
        <f t="shared" si="142"/>
        <v>50528.721122054987</v>
      </c>
      <c r="AJ363" s="8">
        <f t="shared" si="162"/>
        <v>715.5053062158745</v>
      </c>
      <c r="AK363" s="8">
        <f t="shared" si="163"/>
        <v>0</v>
      </c>
      <c r="AL363" s="8">
        <f t="shared" si="164"/>
        <v>31.6326946449147</v>
      </c>
      <c r="AM363" s="8">
        <f t="shared" si="165"/>
        <v>40261.674381352503</v>
      </c>
      <c r="AN363" s="8">
        <f t="shared" si="166"/>
        <v>711.91473993418811</v>
      </c>
      <c r="AO363" s="8">
        <f t="shared" si="167"/>
        <v>0</v>
      </c>
    </row>
    <row r="364" spans="1:41">
      <c r="A364" s="1">
        <v>42091</v>
      </c>
      <c r="B364" s="5">
        <v>362</v>
      </c>
      <c r="C364" s="3">
        <f>B364/365+input!$K$3</f>
        <v>0.99178082191780825</v>
      </c>
      <c r="D364" s="4">
        <f t="shared" si="143"/>
        <v>6.6002330344382205</v>
      </c>
      <c r="E364" s="12">
        <f t="shared" si="144"/>
        <v>3.9103597746126941</v>
      </c>
      <c r="F364" s="20">
        <f>input!E363</f>
        <v>50930.41</v>
      </c>
      <c r="G364" s="19">
        <f t="shared" si="145"/>
        <v>0.50984944603631299</v>
      </c>
      <c r="H364" s="19">
        <f t="shared" si="146"/>
        <v>3.3721652896274816E-4</v>
      </c>
      <c r="I364" s="5">
        <v>727</v>
      </c>
      <c r="J364" s="3">
        <f>I364/365+input!$K$3</f>
        <v>1.9917808219178081</v>
      </c>
      <c r="K364" s="4">
        <f t="shared" si="147"/>
        <v>10.83748083464328</v>
      </c>
      <c r="L364" s="12">
        <f t="shared" si="148"/>
        <v>17.311070926627512</v>
      </c>
      <c r="M364" s="20">
        <f>input!F363</f>
        <v>3012.25</v>
      </c>
      <c r="N364" s="19">
        <f t="shared" si="149"/>
        <v>0.95263605229877812</v>
      </c>
      <c r="O364" s="19">
        <f t="shared" si="150"/>
        <v>0.79883882731531108</v>
      </c>
      <c r="P364" s="21">
        <v>1092</v>
      </c>
      <c r="Q364" s="3">
        <f>P364/365+input!$K$3</f>
        <v>2.9917808219178084</v>
      </c>
      <c r="R364" s="4">
        <f t="shared" si="151"/>
        <v>12.57753101963471</v>
      </c>
      <c r="S364" s="12">
        <f t="shared" si="152"/>
        <v>27.059832228456195</v>
      </c>
      <c r="T364" s="20">
        <f>input!G363</f>
        <v>26.46</v>
      </c>
      <c r="U364" s="19">
        <f t="shared" si="153"/>
        <v>0.98185817708227385</v>
      </c>
      <c r="V364" s="19">
        <f t="shared" si="140"/>
        <v>0.99502455251524047</v>
      </c>
      <c r="W364" s="21">
        <v>1457</v>
      </c>
      <c r="X364" s="3">
        <f>W364/365+input!$K$3</f>
        <v>3.9917808219178084</v>
      </c>
      <c r="Y364" s="4">
        <f t="shared" si="154"/>
        <v>12.589299260865312</v>
      </c>
      <c r="Z364" s="12">
        <f t="shared" si="155"/>
        <v>27.135859395209948</v>
      </c>
      <c r="AA364" s="20">
        <f>input!H363</f>
        <v>0</v>
      </c>
      <c r="AB364" s="19">
        <f t="shared" si="156"/>
        <v>0.98197554006092014</v>
      </c>
      <c r="AC364" s="19">
        <f t="shared" si="157"/>
        <v>0.99519142618801715</v>
      </c>
      <c r="AD364" s="8">
        <f t="shared" si="158"/>
        <v>199156.22656853212</v>
      </c>
      <c r="AE364" s="8">
        <f t="shared" si="159"/>
        <v>52145.27339873372</v>
      </c>
      <c r="AF364" s="8">
        <f t="shared" si="160"/>
        <v>716.00316076495096</v>
      </c>
      <c r="AG364" s="8">
        <f t="shared" si="161"/>
        <v>0</v>
      </c>
      <c r="AH364" s="8">
        <f t="shared" si="141"/>
        <v>101539.69179064855</v>
      </c>
      <c r="AI364" s="8">
        <f t="shared" si="142"/>
        <v>49675.467396610176</v>
      </c>
      <c r="AJ364" s="8">
        <f t="shared" si="162"/>
        <v>703.01355821382106</v>
      </c>
      <c r="AK364" s="8">
        <f t="shared" si="163"/>
        <v>0</v>
      </c>
      <c r="AL364" s="8">
        <f t="shared" si="164"/>
        <v>34.24086241758976</v>
      </c>
      <c r="AM364" s="8">
        <f t="shared" si="165"/>
        <v>39682.692121448039</v>
      </c>
      <c r="AN364" s="8">
        <f t="shared" si="166"/>
        <v>699.51575117385426</v>
      </c>
      <c r="AO364" s="8">
        <f t="shared" si="167"/>
        <v>0</v>
      </c>
    </row>
    <row r="365" spans="1:41">
      <c r="A365" s="1">
        <v>42092</v>
      </c>
      <c r="B365" s="5">
        <v>363</v>
      </c>
      <c r="C365" s="3">
        <f>B365/365+input!$K$3</f>
        <v>0.9945205479452055</v>
      </c>
      <c r="D365" s="4">
        <f t="shared" si="143"/>
        <v>6.6177428907306446</v>
      </c>
      <c r="E365" s="12">
        <f t="shared" si="144"/>
        <v>3.9415639651129704</v>
      </c>
      <c r="F365" s="20">
        <f>input!E364</f>
        <v>50803.73</v>
      </c>
      <c r="G365" s="19">
        <f t="shared" si="145"/>
        <v>0.51455991387370426</v>
      </c>
      <c r="H365" s="19">
        <f t="shared" si="146"/>
        <v>3.5946411438243065E-4</v>
      </c>
      <c r="I365" s="5">
        <v>728</v>
      </c>
      <c r="J365" s="3">
        <f>I365/365+input!$K$3</f>
        <v>1.9945205479452055</v>
      </c>
      <c r="K365" s="4">
        <f t="shared" si="147"/>
        <v>10.844671357859632</v>
      </c>
      <c r="L365" s="12">
        <f t="shared" si="148"/>
        <v>17.345550783752962</v>
      </c>
      <c r="M365" s="20">
        <f>input!F364</f>
        <v>3004.75</v>
      </c>
      <c r="N365" s="19">
        <f t="shared" si="149"/>
        <v>0.95282350631957002</v>
      </c>
      <c r="O365" s="19">
        <f t="shared" si="150"/>
        <v>0.80085282224288423</v>
      </c>
      <c r="P365" s="21">
        <v>1093</v>
      </c>
      <c r="Q365" s="3">
        <f>P365/365+input!$K$3</f>
        <v>2.9945205479452053</v>
      </c>
      <c r="R365" s="4">
        <f t="shared" si="151"/>
        <v>12.580483849358803</v>
      </c>
      <c r="S365" s="12">
        <f t="shared" si="152"/>
        <v>27.078895231474672</v>
      </c>
      <c r="T365" s="20">
        <f>input!G364</f>
        <v>26.39</v>
      </c>
      <c r="U365" s="19">
        <f t="shared" si="153"/>
        <v>0.98188769685160271</v>
      </c>
      <c r="V365" s="19">
        <f t="shared" si="140"/>
        <v>0.9950669014413972</v>
      </c>
      <c r="W365" s="21">
        <v>1458</v>
      </c>
      <c r="X365" s="3">
        <f>W365/365+input!$K$3</f>
        <v>3.9945205479452053</v>
      </c>
      <c r="Y365" s="4">
        <f t="shared" si="154"/>
        <v>12.589299260865312</v>
      </c>
      <c r="Z365" s="12">
        <f t="shared" si="155"/>
        <v>27.135859395209948</v>
      </c>
      <c r="AA365" s="20">
        <f>input!H364</f>
        <v>0</v>
      </c>
      <c r="AB365" s="19">
        <f t="shared" si="156"/>
        <v>0.98197554006092014</v>
      </c>
      <c r="AC365" s="19">
        <f t="shared" si="157"/>
        <v>0.99519142618801715</v>
      </c>
      <c r="AD365" s="8">
        <f t="shared" si="158"/>
        <v>200246.15146132879</v>
      </c>
      <c r="AE365" s="8">
        <f t="shared" si="159"/>
        <v>52119.043717481713</v>
      </c>
      <c r="AF365" s="8">
        <f t="shared" si="160"/>
        <v>714.61204515861664</v>
      </c>
      <c r="AG365" s="8">
        <f t="shared" si="161"/>
        <v>0</v>
      </c>
      <c r="AH365" s="8">
        <f t="shared" si="141"/>
        <v>103038.64244948208</v>
      </c>
      <c r="AI365" s="8">
        <f t="shared" si="142"/>
        <v>49660.249980913883</v>
      </c>
      <c r="AJ365" s="8">
        <f t="shared" si="162"/>
        <v>701.66877516320756</v>
      </c>
      <c r="AK365" s="8">
        <f t="shared" si="163"/>
        <v>0</v>
      </c>
      <c r="AL365" s="8">
        <f t="shared" si="164"/>
        <v>37.038694355270998</v>
      </c>
      <c r="AM365" s="8">
        <f t="shared" si="165"/>
        <v>39770.551350502021</v>
      </c>
      <c r="AN365" s="8">
        <f t="shared" si="166"/>
        <v>698.20737393983336</v>
      </c>
      <c r="AO365" s="8">
        <f t="shared" si="167"/>
        <v>0</v>
      </c>
    </row>
    <row r="366" spans="1:41">
      <c r="A366" s="1">
        <v>42093</v>
      </c>
      <c r="B366" s="5">
        <v>364</v>
      </c>
      <c r="C366" s="3">
        <f>B366/365+input!$K$3</f>
        <v>0.99726027397260275</v>
      </c>
      <c r="D366" s="4">
        <f t="shared" si="143"/>
        <v>6.635210103767891</v>
      </c>
      <c r="E366" s="12">
        <f t="shared" si="144"/>
        <v>3.9728571204243956</v>
      </c>
      <c r="F366" s="20">
        <f>input!E365</f>
        <v>50677.36</v>
      </c>
      <c r="G366" s="19">
        <f t="shared" si="145"/>
        <v>0.51921380602913925</v>
      </c>
      <c r="H366" s="19">
        <f t="shared" si="146"/>
        <v>3.8300983000330829E-4</v>
      </c>
      <c r="I366" s="5">
        <v>729</v>
      </c>
      <c r="J366" s="3">
        <f>I366/365+input!$K$3</f>
        <v>1.9972602739726026</v>
      </c>
      <c r="K366" s="4">
        <f t="shared" si="147"/>
        <v>10.851844369377927</v>
      </c>
      <c r="L366" s="12">
        <f t="shared" si="148"/>
        <v>17.379992255932169</v>
      </c>
      <c r="M366" s="20">
        <f>input!F365</f>
        <v>2949.1</v>
      </c>
      <c r="N366" s="19">
        <f t="shared" si="149"/>
        <v>0.95300976462951681</v>
      </c>
      <c r="O366" s="19">
        <f t="shared" si="150"/>
        <v>0.80284976171959443</v>
      </c>
      <c r="P366" s="21">
        <v>1094</v>
      </c>
      <c r="Q366" s="3">
        <f>P366/365+input!$K$3</f>
        <v>2.9972602739726026</v>
      </c>
      <c r="R366" s="4">
        <f t="shared" si="151"/>
        <v>12.58342948780335</v>
      </c>
      <c r="S366" s="12">
        <f t="shared" si="152"/>
        <v>27.097920726903858</v>
      </c>
      <c r="T366" s="20">
        <f>input!G365</f>
        <v>25.93</v>
      </c>
      <c r="U366" s="19">
        <f t="shared" si="153"/>
        <v>0.98191709687058537</v>
      </c>
      <c r="V366" s="19">
        <f t="shared" si="140"/>
        <v>0.99510882694242098</v>
      </c>
      <c r="W366" s="21">
        <v>1459</v>
      </c>
      <c r="X366" s="3">
        <f>W366/365+input!$K$3</f>
        <v>3.9972602739726026</v>
      </c>
      <c r="Y366" s="4">
        <f t="shared" si="154"/>
        <v>12.589299260865312</v>
      </c>
      <c r="Z366" s="12">
        <f t="shared" si="155"/>
        <v>27.135859395209948</v>
      </c>
      <c r="AA366" s="20">
        <f>input!H365</f>
        <v>0</v>
      </c>
      <c r="AB366" s="19">
        <f t="shared" si="156"/>
        <v>0.98197554006092014</v>
      </c>
      <c r="AC366" s="19">
        <f t="shared" si="157"/>
        <v>0.99519142618801715</v>
      </c>
      <c r="AD366" s="8">
        <f t="shared" si="158"/>
        <v>201333.91052031046</v>
      </c>
      <c r="AE366" s="8">
        <f t="shared" si="159"/>
        <v>51255.33516196956</v>
      </c>
      <c r="AF366" s="8">
        <f t="shared" si="160"/>
        <v>702.64908444861703</v>
      </c>
      <c r="AG366" s="8">
        <f t="shared" si="161"/>
        <v>0</v>
      </c>
      <c r="AH366" s="8">
        <f t="shared" si="141"/>
        <v>104535.34596398055</v>
      </c>
      <c r="AI366" s="8">
        <f t="shared" si="142"/>
        <v>48846.834898715606</v>
      </c>
      <c r="AJ366" s="8">
        <f t="shared" si="162"/>
        <v>689.94314912056086</v>
      </c>
      <c r="AK366" s="8">
        <f t="shared" si="163"/>
        <v>0</v>
      </c>
      <c r="AL366" s="8">
        <f t="shared" si="164"/>
        <v>40.038065087001208</v>
      </c>
      <c r="AM366" s="8">
        <f t="shared" si="165"/>
        <v>39216.669759190198</v>
      </c>
      <c r="AN366" s="8">
        <f t="shared" si="166"/>
        <v>686.56851777832117</v>
      </c>
      <c r="AO366" s="8">
        <f t="shared" si="167"/>
        <v>0</v>
      </c>
    </row>
    <row r="367" spans="1:41">
      <c r="A367" s="1">
        <v>42094</v>
      </c>
      <c r="B367" s="5">
        <v>365</v>
      </c>
      <c r="C367" s="3">
        <f>B367/365+input!$K$3</f>
        <v>1</v>
      </c>
      <c r="D367" s="4">
        <f t="shared" si="143"/>
        <v>6.6526347774027368</v>
      </c>
      <c r="E367" s="12">
        <f>0.0136*D367^3</f>
        <v>4.0042386546689483</v>
      </c>
      <c r="F367" s="20">
        <f>input!E366</f>
        <v>50551.31</v>
      </c>
      <c r="G367" s="19">
        <f t="shared" si="145"/>
        <v>0.52381191001712923</v>
      </c>
      <c r="H367" s="19">
        <f t="shared" si="146"/>
        <v>4.0791824039382258E-4</v>
      </c>
      <c r="I367" s="5">
        <v>730</v>
      </c>
      <c r="J367" s="3">
        <f>I367/365+input!$K$3</f>
        <v>2</v>
      </c>
      <c r="K367" s="4">
        <f t="shared" si="147"/>
        <v>10.858999911845908</v>
      </c>
      <c r="L367" s="12">
        <f>0.0136*K367^3</f>
        <v>17.414395244880698</v>
      </c>
      <c r="M367" s="20">
        <f>input!F366</f>
        <v>2941.77</v>
      </c>
      <c r="N367" s="19">
        <f t="shared" si="149"/>
        <v>0.95319483664088078</v>
      </c>
      <c r="O367" s="19">
        <f t="shared" si="150"/>
        <v>0.8048297176794067</v>
      </c>
      <c r="P367" s="21">
        <v>1095</v>
      </c>
      <c r="Q367" s="3">
        <f>P367/365+input!$K$3</f>
        <v>3</v>
      </c>
      <c r="R367" s="4">
        <f t="shared" si="151"/>
        <v>12.58636795248189</v>
      </c>
      <c r="S367" s="12">
        <f t="shared" si="152"/>
        <v>27.116908764781655</v>
      </c>
      <c r="T367" s="20">
        <f>input!G366</f>
        <v>25.86</v>
      </c>
      <c r="U367" s="19">
        <f t="shared" si="153"/>
        <v>0.98194637774098936</v>
      </c>
      <c r="V367" s="19">
        <f t="shared" si="140"/>
        <v>0.99515033366151329</v>
      </c>
      <c r="W367" s="21">
        <v>1460</v>
      </c>
      <c r="X367" s="3">
        <f>W367/365+input!$K$3</f>
        <v>4</v>
      </c>
      <c r="Y367" s="4">
        <f t="shared" si="154"/>
        <v>12.589299260865312</v>
      </c>
      <c r="Z367" s="12">
        <f t="shared" si="155"/>
        <v>27.135859395209948</v>
      </c>
      <c r="AA367" s="20">
        <f>input!H366</f>
        <v>0</v>
      </c>
      <c r="AB367" s="19">
        <f t="shared" si="156"/>
        <v>0.98197554006092014</v>
      </c>
      <c r="AC367" s="19">
        <f t="shared" si="157"/>
        <v>0.99519142618801715</v>
      </c>
      <c r="AD367" s="8">
        <f t="shared" si="158"/>
        <v>202419.50954615296</v>
      </c>
      <c r="AE367" s="8">
        <f t="shared" si="159"/>
        <v>51229.145499532693</v>
      </c>
      <c r="AF367" s="8">
        <f t="shared" si="160"/>
        <v>701.24326065725359</v>
      </c>
      <c r="AG367" s="8">
        <f t="shared" si="161"/>
        <v>0</v>
      </c>
      <c r="AH367" s="8">
        <f t="shared" si="141"/>
        <v>106029.74992010091</v>
      </c>
      <c r="AI367" s="8">
        <f t="shared" si="142"/>
        <v>48831.35697567898</v>
      </c>
      <c r="AJ367" s="8">
        <f t="shared" si="162"/>
        <v>688.58327971767062</v>
      </c>
      <c r="AK367" s="8">
        <f t="shared" si="163"/>
        <v>0</v>
      </c>
      <c r="AL367" s="8">
        <f t="shared" si="164"/>
        <v>43.251469016804613</v>
      </c>
      <c r="AM367" s="8">
        <f t="shared" si="165"/>
        <v>39300.927248638043</v>
      </c>
      <c r="AN367" s="8">
        <f t="shared" si="166"/>
        <v>685.24388056477903</v>
      </c>
      <c r="AO367" s="8">
        <f t="shared" si="167"/>
        <v>0</v>
      </c>
    </row>
    <row r="368" spans="1:41">
      <c r="A368"/>
      <c r="B368"/>
      <c r="C368"/>
      <c r="D368"/>
      <c r="F368"/>
      <c r="G368"/>
    </row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</sheetData>
  <mergeCells count="17">
    <mergeCell ref="AF1:AF2"/>
    <mergeCell ref="AJ1:AJ2"/>
    <mergeCell ref="A1:A2"/>
    <mergeCell ref="B1:H1"/>
    <mergeCell ref="I1:O1"/>
    <mergeCell ref="AD1:AD2"/>
    <mergeCell ref="AE1:AE2"/>
    <mergeCell ref="W1:AC1"/>
    <mergeCell ref="P1:V1"/>
    <mergeCell ref="AH1:AH2"/>
    <mergeCell ref="AG1:AG2"/>
    <mergeCell ref="AK1:AK2"/>
    <mergeCell ref="AO1:AO2"/>
    <mergeCell ref="AN1:AN2"/>
    <mergeCell ref="AI1:AI2"/>
    <mergeCell ref="AL1:AL2"/>
    <mergeCell ref="AM1:AM2"/>
  </mergeCells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"/>
  <sheetViews>
    <sheetView zoomScale="80" zoomScaleNormal="80" workbookViewId="0"/>
  </sheetViews>
  <sheetFormatPr defaultRowHeight="14.5"/>
  <sheetData/>
  <phoneticPr fontId="3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"/>
  <sheetViews>
    <sheetView tabSelected="1" zoomScale="120" zoomScaleNormal="120" workbookViewId="0">
      <selection activeCell="G45" sqref="G45"/>
    </sheetView>
  </sheetViews>
  <sheetFormatPr defaultRowHeight="14.5"/>
  <sheetData/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U732"/>
  <sheetViews>
    <sheetView topLeftCell="F1" zoomScale="70" zoomScaleNormal="70" zoomScaleSheetLayoutView="106" workbookViewId="0">
      <selection activeCell="F2" sqref="F2"/>
    </sheetView>
  </sheetViews>
  <sheetFormatPr defaultRowHeight="14.5"/>
  <cols>
    <col min="1" max="1" width="9" style="7"/>
    <col min="2" max="2" width="5.26953125" style="7" bestFit="1" customWidth="1"/>
    <col min="3" max="3" width="4.90625" style="7" bestFit="1" customWidth="1"/>
    <col min="4" max="4" width="9" style="7"/>
    <col min="6" max="7" width="9" style="9"/>
    <col min="8" max="8" width="9"/>
    <col min="16" max="21" width="9"/>
  </cols>
  <sheetData>
    <row r="1" spans="1:21">
      <c r="A1" s="30" t="s">
        <v>0</v>
      </c>
      <c r="B1" s="33" t="s">
        <v>6</v>
      </c>
      <c r="C1" s="34"/>
      <c r="D1" s="34"/>
      <c r="E1" s="34"/>
      <c r="F1" s="34"/>
      <c r="G1" s="34"/>
      <c r="H1" s="35"/>
      <c r="I1" s="33" t="s">
        <v>7</v>
      </c>
      <c r="J1" s="34"/>
      <c r="K1" s="34"/>
      <c r="L1" s="34"/>
      <c r="M1" s="34"/>
      <c r="N1" s="34"/>
      <c r="O1" s="35"/>
      <c r="P1" s="31" t="s">
        <v>9</v>
      </c>
      <c r="Q1" s="31" t="s">
        <v>10</v>
      </c>
      <c r="R1" s="31" t="s">
        <v>14</v>
      </c>
      <c r="S1" s="31" t="s">
        <v>15</v>
      </c>
      <c r="T1" s="31" t="s">
        <v>12</v>
      </c>
      <c r="U1" s="31" t="s">
        <v>13</v>
      </c>
    </row>
    <row r="2" spans="1:21" ht="43.5">
      <c r="A2" s="30"/>
      <c r="B2" s="14" t="s">
        <v>1</v>
      </c>
      <c r="C2" s="14" t="s">
        <v>2</v>
      </c>
      <c r="D2" s="15" t="s">
        <v>4</v>
      </c>
      <c r="E2" s="15" t="s">
        <v>3</v>
      </c>
      <c r="F2" s="17" t="s">
        <v>5</v>
      </c>
      <c r="G2" s="16" t="s">
        <v>8</v>
      </c>
      <c r="H2" s="15" t="s">
        <v>11</v>
      </c>
      <c r="I2" s="14" t="s">
        <v>1</v>
      </c>
      <c r="J2" s="14" t="s">
        <v>2</v>
      </c>
      <c r="K2" s="23" t="s">
        <v>4</v>
      </c>
      <c r="L2" s="15" t="s">
        <v>3</v>
      </c>
      <c r="M2" s="18" t="s">
        <v>5</v>
      </c>
      <c r="N2" s="16" t="s">
        <v>8</v>
      </c>
      <c r="O2" s="15" t="s">
        <v>11</v>
      </c>
      <c r="P2" s="32"/>
      <c r="Q2" s="32"/>
      <c r="R2" s="32"/>
      <c r="S2" s="32"/>
      <c r="T2" s="32"/>
      <c r="U2" s="32"/>
    </row>
    <row r="3" spans="1:21">
      <c r="A3" s="11">
        <v>41730</v>
      </c>
      <c r="B3" s="2">
        <v>1</v>
      </c>
      <c r="C3" s="3">
        <f t="shared" ref="C3:C66" si="0">B3/365</f>
        <v>2.7397260273972603E-3</v>
      </c>
      <c r="D3" s="4">
        <f t="shared" ref="D3:D66" si="1">44.2*(1-EXP(-0.58*(C3+0.85)))</f>
        <v>17.245891142256205</v>
      </c>
      <c r="E3" s="12">
        <f>0.0007*D3^3.24</f>
        <v>7.111472175014562</v>
      </c>
      <c r="F3" s="8">
        <v>10000</v>
      </c>
      <c r="G3" s="19">
        <f>1/(1+EXP(-0.606*D3+17.3))</f>
        <v>1.0594027933278907E-3</v>
      </c>
      <c r="H3" s="21">
        <f>0.3586*D3^2.341</f>
        <v>281.63807649485705</v>
      </c>
      <c r="I3" s="5">
        <v>366</v>
      </c>
      <c r="J3" s="6">
        <f t="shared" ref="J3:J66" si="2">I3/365</f>
        <v>1.0027397260273974</v>
      </c>
      <c r="K3" s="4">
        <f t="shared" ref="K3:K66" si="3">44.2*(1-EXP(-0.58*(J3+0.85)))</f>
        <v>29.108438478323222</v>
      </c>
      <c r="L3" s="10">
        <f t="shared" ref="L3:L66" si="4">0.0007*K3^3.24</f>
        <v>38.77209811271937</v>
      </c>
      <c r="M3" s="13">
        <v>6250.9516046846356</v>
      </c>
      <c r="N3" s="19">
        <f>1/(1+EXP(-0.606*K3+17.3))</f>
        <v>0.58412097990612843</v>
      </c>
      <c r="O3" s="21">
        <f>0.3586*K3^2.341</f>
        <v>959.13237288495839</v>
      </c>
      <c r="P3" s="8">
        <f>E3*F3</f>
        <v>71114.721750145618</v>
      </c>
      <c r="Q3" s="8">
        <f>L3*M3</f>
        <v>242362.50891469329</v>
      </c>
      <c r="R3" s="8">
        <f>E3*F3*G3</f>
        <v>75.339134868839963</v>
      </c>
      <c r="S3" s="8">
        <f>L3*M3*N3</f>
        <v>141569.02619975843</v>
      </c>
      <c r="T3" s="8">
        <f>R3*H3/1000</f>
        <v>21.218369029246698</v>
      </c>
      <c r="U3" s="8">
        <f>S3*O3/1000</f>
        <v>135783.43602598715</v>
      </c>
    </row>
    <row r="4" spans="1:21">
      <c r="A4" s="1">
        <v>41731</v>
      </c>
      <c r="B4" s="5">
        <v>2</v>
      </c>
      <c r="C4" s="6">
        <f t="shared" si="0"/>
        <v>5.4794520547945206E-3</v>
      </c>
      <c r="D4" s="4">
        <f t="shared" si="1"/>
        <v>17.288688316694355</v>
      </c>
      <c r="E4" s="10">
        <f t="shared" ref="E4:E67" si="5">0.0007*D4^3.24</f>
        <v>7.1688099202228983</v>
      </c>
      <c r="F4" s="8">
        <v>9989.3420275320805</v>
      </c>
      <c r="G4" s="19">
        <f t="shared" ref="G4:G67" si="6">1/(1+EXP(-0.606*D4+17.3))</f>
        <v>1.0872076277973783E-3</v>
      </c>
      <c r="H4" s="21">
        <f t="shared" ref="H4:H67" si="7">0.3586*D4^2.341</f>
        <v>283.27694634933391</v>
      </c>
      <c r="I4" s="5">
        <v>367</v>
      </c>
      <c r="J4" s="6">
        <f t="shared" si="2"/>
        <v>1.0054794520547945</v>
      </c>
      <c r="K4" s="4">
        <f t="shared" si="3"/>
        <v>29.132400546384751</v>
      </c>
      <c r="L4" s="10">
        <f t="shared" si="4"/>
        <v>38.875605194985766</v>
      </c>
      <c r="M4" s="13">
        <v>6233.2973544722381</v>
      </c>
      <c r="N4" s="19">
        <f t="shared" ref="N4:N67" si="8">1/(1+EXP(-0.606*K4+17.3))</f>
        <v>0.58764411211126977</v>
      </c>
      <c r="O4" s="21">
        <f t="shared" ref="O4:O67" si="9">0.3586*K4^2.341</f>
        <v>960.9817480445347</v>
      </c>
      <c r="P4" s="8">
        <f t="shared" ref="P4:P67" si="10">E4*F4</f>
        <v>71611.694223471495</v>
      </c>
      <c r="Q4" s="8">
        <f t="shared" ref="Q4:Q67" si="11">L4*M4</f>
        <v>242323.20701541199</v>
      </c>
      <c r="R4" s="8">
        <f t="shared" ref="R4:R67" si="12">E4*F4*G4</f>
        <v>77.856780199251659</v>
      </c>
      <c r="S4" s="8">
        <f t="shared" ref="S4:S67" si="13">L4*M4*N4</f>
        <v>142399.80583052718</v>
      </c>
      <c r="T4" s="8">
        <f t="shared" ref="T4:T67" si="14">R4*H4/1000</f>
        <v>22.055030947435295</v>
      </c>
      <c r="U4" s="8">
        <f t="shared" ref="U4:U67" si="15">S4*O4/1000</f>
        <v>136843.61432822232</v>
      </c>
    </row>
    <row r="5" spans="1:21">
      <c r="A5" s="1">
        <v>41732</v>
      </c>
      <c r="B5" s="5">
        <v>3</v>
      </c>
      <c r="C5" s="6">
        <f t="shared" si="0"/>
        <v>8.21917808219178E-3</v>
      </c>
      <c r="D5" s="4">
        <f t="shared" si="1"/>
        <v>17.331417538667463</v>
      </c>
      <c r="E5" s="10">
        <f t="shared" si="5"/>
        <v>7.2263746868286391</v>
      </c>
      <c r="F5" s="8">
        <v>9978.7043559640988</v>
      </c>
      <c r="G5" s="19">
        <f t="shared" si="6"/>
        <v>1.115695513146629E-3</v>
      </c>
      <c r="H5" s="21">
        <f t="shared" si="7"/>
        <v>284.91865045091737</v>
      </c>
      <c r="I5" s="5">
        <v>368</v>
      </c>
      <c r="J5" s="6">
        <f t="shared" si="2"/>
        <v>1.0082191780821919</v>
      </c>
      <c r="K5" s="4">
        <f t="shared" si="3"/>
        <v>29.156324567972103</v>
      </c>
      <c r="L5" s="10">
        <f t="shared" si="4"/>
        <v>38.979138358933675</v>
      </c>
      <c r="M5" s="13">
        <v>6217.13300052054</v>
      </c>
      <c r="N5" s="19">
        <f t="shared" si="8"/>
        <v>0.59115271576332584</v>
      </c>
      <c r="O5" s="21">
        <f t="shared" si="9"/>
        <v>962.83022293827116</v>
      </c>
      <c r="P5" s="8">
        <f t="shared" si="10"/>
        <v>72109.856565285649</v>
      </c>
      <c r="Q5" s="8">
        <f t="shared" si="11"/>
        <v>242338.48742318258</v>
      </c>
      <c r="R5" s="8">
        <f t="shared" si="12"/>
        <v>80.452643423536188</v>
      </c>
      <c r="S5" s="8">
        <f t="shared" si="13"/>
        <v>143259.05497419098</v>
      </c>
      <c r="T5" s="8">
        <f t="shared" si="14"/>
        <v>22.922458589442801</v>
      </c>
      <c r="U5" s="8">
        <f t="shared" si="15"/>
        <v>137934.14783872635</v>
      </c>
    </row>
    <row r="6" spans="1:21">
      <c r="A6" s="1">
        <v>41733</v>
      </c>
      <c r="B6" s="5">
        <v>4</v>
      </c>
      <c r="C6" s="6">
        <f t="shared" si="0"/>
        <v>1.0958904109589041E-2</v>
      </c>
      <c r="D6" s="4">
        <f t="shared" si="1"/>
        <v>17.374078916069049</v>
      </c>
      <c r="E6" s="10">
        <f t="shared" si="5"/>
        <v>7.2841660771032846</v>
      </c>
      <c r="F6" s="8">
        <v>9968.0869852960568</v>
      </c>
      <c r="G6" s="19">
        <f t="shared" si="6"/>
        <v>1.1448819877809433E-3</v>
      </c>
      <c r="H6" s="21">
        <f t="shared" si="7"/>
        <v>286.56317161300814</v>
      </c>
      <c r="I6" s="5">
        <v>369</v>
      </c>
      <c r="J6" s="6">
        <f t="shared" si="2"/>
        <v>1.010958904109589</v>
      </c>
      <c r="K6" s="4">
        <f t="shared" si="3"/>
        <v>29.180210603494686</v>
      </c>
      <c r="L6" s="10">
        <f t="shared" si="4"/>
        <v>39.082697152234381</v>
      </c>
      <c r="M6" s="13">
        <v>6198.1317208121682</v>
      </c>
      <c r="N6" s="19">
        <f t="shared" si="8"/>
        <v>0.59464650971082489</v>
      </c>
      <c r="O6" s="21">
        <f t="shared" si="9"/>
        <v>964.67779310309163</v>
      </c>
      <c r="P6" s="8">
        <f t="shared" si="10"/>
        <v>72609.20107190829</v>
      </c>
      <c r="Q6" s="8">
        <f t="shared" si="11"/>
        <v>242239.7049541593</v>
      </c>
      <c r="R6" s="8">
        <f t="shared" si="12"/>
        <v>83.128966454392568</v>
      </c>
      <c r="S6" s="8">
        <f t="shared" si="13"/>
        <v>144046.99506437086</v>
      </c>
      <c r="T6" s="8">
        <f t="shared" si="14"/>
        <v>23.821700280082094</v>
      </c>
      <c r="U6" s="8">
        <f t="shared" si="15"/>
        <v>138958.93730182922</v>
      </c>
    </row>
    <row r="7" spans="1:21">
      <c r="A7" s="1">
        <v>41734</v>
      </c>
      <c r="B7" s="5">
        <v>5</v>
      </c>
      <c r="C7" s="6">
        <f t="shared" si="0"/>
        <v>1.3698630136986301E-2</v>
      </c>
      <c r="D7" s="4">
        <f t="shared" si="1"/>
        <v>17.4166725566213</v>
      </c>
      <c r="E7" s="10">
        <f t="shared" si="5"/>
        <v>7.3421836900177659</v>
      </c>
      <c r="F7" s="8">
        <v>9957.4696146280148</v>
      </c>
      <c r="G7" s="19">
        <f t="shared" si="6"/>
        <v>1.1747829120026753E-3</v>
      </c>
      <c r="H7" s="21">
        <f t="shared" si="7"/>
        <v>288.21049268747811</v>
      </c>
      <c r="I7" s="5">
        <v>370</v>
      </c>
      <c r="J7" s="6">
        <f t="shared" si="2"/>
        <v>1.0136986301369864</v>
      </c>
      <c r="K7" s="4">
        <f t="shared" si="3"/>
        <v>29.204058713265965</v>
      </c>
      <c r="L7" s="10">
        <f t="shared" si="4"/>
        <v>39.186281123699516</v>
      </c>
      <c r="M7" s="13">
        <v>6176.9874396329269</v>
      </c>
      <c r="N7" s="19">
        <f t="shared" si="8"/>
        <v>0.59812521946487596</v>
      </c>
      <c r="O7" s="21">
        <f t="shared" si="9"/>
        <v>966.52445409869131</v>
      </c>
      <c r="P7" s="8">
        <f t="shared" si="10"/>
        <v>73109.570998369294</v>
      </c>
      <c r="Q7" s="8">
        <f t="shared" si="11"/>
        <v>242053.16630701677</v>
      </c>
      <c r="R7" s="8">
        <f t="shared" si="12"/>
        <v>85.887874712730621</v>
      </c>
      <c r="S7" s="8">
        <f t="shared" si="13"/>
        <v>144778.10321955252</v>
      </c>
      <c r="T7" s="8">
        <f t="shared" si="14"/>
        <v>24.753786686836484</v>
      </c>
      <c r="U7" s="8">
        <f t="shared" si="15"/>
        <v>139931.57717972199</v>
      </c>
    </row>
    <row r="8" spans="1:21">
      <c r="A8" s="1">
        <v>41735</v>
      </c>
      <c r="B8" s="5">
        <v>6</v>
      </c>
      <c r="C8" s="6">
        <f t="shared" si="0"/>
        <v>1.643835616438356E-2</v>
      </c>
      <c r="D8" s="4">
        <f t="shared" si="1"/>
        <v>17.45919856787539</v>
      </c>
      <c r="E8" s="10">
        <f t="shared" si="5"/>
        <v>7.4004271212747872</v>
      </c>
      <c r="F8" s="8">
        <v>9946.8725448599143</v>
      </c>
      <c r="G8" s="19">
        <f t="shared" si="6"/>
        <v>1.2054144739003098E-3</v>
      </c>
      <c r="H8" s="21">
        <f t="shared" si="7"/>
        <v>289.86059656479205</v>
      </c>
      <c r="I8" s="5">
        <v>371</v>
      </c>
      <c r="J8" s="6">
        <f t="shared" si="2"/>
        <v>1.0164383561643835</v>
      </c>
      <c r="K8" s="4">
        <f t="shared" si="3"/>
        <v>29.22786895750367</v>
      </c>
      <c r="L8" s="10">
        <f t="shared" si="4"/>
        <v>39.289889823282188</v>
      </c>
      <c r="M8" s="13">
        <v>6158.6596746725418</v>
      </c>
      <c r="N8" s="19">
        <f t="shared" si="8"/>
        <v>0.60158857723476344</v>
      </c>
      <c r="O8" s="21">
        <f t="shared" si="9"/>
        <v>968.37020150747446</v>
      </c>
      <c r="P8" s="8">
        <f t="shared" si="10"/>
        <v>73611.105352844868</v>
      </c>
      <c r="Q8" s="8">
        <f t="shared" si="11"/>
        <v>241973.06007697509</v>
      </c>
      <c r="R8" s="8">
        <f t="shared" si="12"/>
        <v>88.731891832119771</v>
      </c>
      <c r="S8" s="8">
        <f t="shared" si="13"/>
        <v>145568.2289408494</v>
      </c>
      <c r="T8" s="8">
        <f t="shared" si="14"/>
        <v>25.719879100780837</v>
      </c>
      <c r="U8" s="8">
        <f t="shared" si="15"/>
        <v>140963.9351925365</v>
      </c>
    </row>
    <row r="9" spans="1:21">
      <c r="A9" s="1">
        <v>41736</v>
      </c>
      <c r="B9" s="5">
        <v>7</v>
      </c>
      <c r="C9" s="6">
        <f t="shared" si="0"/>
        <v>1.9178082191780823E-2</v>
      </c>
      <c r="D9" s="4">
        <f t="shared" si="1"/>
        <v>17.501657057211716</v>
      </c>
      <c r="E9" s="10">
        <f t="shared" si="5"/>
        <v>7.4588959633409324</v>
      </c>
      <c r="F9" s="8">
        <v>9936.2754750918102</v>
      </c>
      <c r="G9" s="19">
        <f t="shared" si="6"/>
        <v>1.2367931953259112E-3</v>
      </c>
      <c r="H9" s="21">
        <f t="shared" si="7"/>
        <v>291.51346617412025</v>
      </c>
      <c r="I9" s="5">
        <v>372</v>
      </c>
      <c r="J9" s="6">
        <f t="shared" si="2"/>
        <v>1.0191780821917809</v>
      </c>
      <c r="K9" s="4">
        <f t="shared" si="3"/>
        <v>29.251641396329909</v>
      </c>
      <c r="L9" s="10">
        <f t="shared" si="4"/>
        <v>39.393522802077619</v>
      </c>
      <c r="M9" s="13">
        <v>6138.7603753001868</v>
      </c>
      <c r="N9" s="19">
        <f t="shared" si="8"/>
        <v>0.60503632195847501</v>
      </c>
      <c r="O9" s="21">
        <f t="shared" si="9"/>
        <v>970.21503093448268</v>
      </c>
      <c r="P9" s="8">
        <f t="shared" si="10"/>
        <v>74113.645031805805</v>
      </c>
      <c r="Q9" s="8">
        <f t="shared" si="11"/>
        <v>241827.39682087846</v>
      </c>
      <c r="R9" s="8">
        <f t="shared" si="12"/>
        <v>91.66325185613745</v>
      </c>
      <c r="S9" s="8">
        <f t="shared" si="13"/>
        <v>146314.35872129691</v>
      </c>
      <c r="T9" s="8">
        <f t="shared" si="14"/>
        <v>26.721072269373991</v>
      </c>
      <c r="U9" s="8">
        <f t="shared" si="15"/>
        <v>141956.39007294207</v>
      </c>
    </row>
    <row r="10" spans="1:21">
      <c r="A10" s="1">
        <v>41737</v>
      </c>
      <c r="B10" s="5">
        <v>8</v>
      </c>
      <c r="C10" s="6">
        <f t="shared" si="0"/>
        <v>2.1917808219178082E-2</v>
      </c>
      <c r="D10" s="4">
        <f t="shared" si="1"/>
        <v>17.544048131840167</v>
      </c>
      <c r="E10" s="10">
        <f t="shared" si="5"/>
        <v>7.5175898054786501</v>
      </c>
      <c r="F10" s="8">
        <v>9925.6784053237061</v>
      </c>
      <c r="G10" s="19">
        <f t="shared" si="6"/>
        <v>1.2689359379618127E-3</v>
      </c>
      <c r="H10" s="21">
        <f t="shared" si="7"/>
        <v>293.16908448345185</v>
      </c>
      <c r="I10" s="5">
        <v>373</v>
      </c>
      <c r="J10" s="6">
        <f t="shared" si="2"/>
        <v>1.021917808219178</v>
      </c>
      <c r="K10" s="4">
        <f t="shared" si="3"/>
        <v>29.275376089771338</v>
      </c>
      <c r="L10" s="10">
        <f t="shared" si="4"/>
        <v>39.497179612323805</v>
      </c>
      <c r="M10" s="13">
        <v>6119.0039426925559</v>
      </c>
      <c r="N10" s="19">
        <f t="shared" si="8"/>
        <v>0.60846819932821639</v>
      </c>
      <c r="O10" s="21">
        <f t="shared" si="9"/>
        <v>972.05893800732395</v>
      </c>
      <c r="P10" s="8">
        <f t="shared" si="10"/>
        <v>74617.17879232108</v>
      </c>
      <c r="Q10" s="8">
        <f t="shared" si="11"/>
        <v>241683.39777304541</v>
      </c>
      <c r="R10" s="8">
        <f t="shared" si="12"/>
        <v>94.68441975889823</v>
      </c>
      <c r="S10" s="8">
        <f t="shared" si="13"/>
        <v>147056.66185049</v>
      </c>
      <c r="T10" s="8">
        <f t="shared" si="14"/>
        <v>27.75854465556305</v>
      </c>
      <c r="U10" s="8">
        <f t="shared" si="15"/>
        <v>142947.74254528945</v>
      </c>
    </row>
    <row r="11" spans="1:21">
      <c r="A11" s="1">
        <v>41738</v>
      </c>
      <c r="B11" s="5">
        <v>9</v>
      </c>
      <c r="C11" s="6">
        <f t="shared" si="0"/>
        <v>2.4657534246575342E-2</v>
      </c>
      <c r="D11" s="4">
        <f t="shared" si="1"/>
        <v>17.586371898800429</v>
      </c>
      <c r="E11" s="10">
        <f t="shared" si="5"/>
        <v>7.5765082337780472</v>
      </c>
      <c r="F11" s="8">
        <v>9915.1219373554814</v>
      </c>
      <c r="G11" s="19">
        <f t="shared" si="6"/>
        <v>1.3018599094773533E-3</v>
      </c>
      <c r="H11" s="21">
        <f t="shared" si="7"/>
        <v>294.82743449970678</v>
      </c>
      <c r="I11" s="5">
        <v>374</v>
      </c>
      <c r="J11" s="6">
        <f t="shared" si="2"/>
        <v>1.0246575342465754</v>
      </c>
      <c r="K11" s="4">
        <f t="shared" si="3"/>
        <v>29.29907309775928</v>
      </c>
      <c r="L11" s="10">
        <f t="shared" si="4"/>
        <v>39.600859807402024</v>
      </c>
      <c r="M11" s="13">
        <v>6101.7578832365143</v>
      </c>
      <c r="N11" s="19">
        <f t="shared" si="8"/>
        <v>0.61188396181099713</v>
      </c>
      <c r="O11" s="21">
        <f t="shared" si="9"/>
        <v>973.90191837610791</v>
      </c>
      <c r="P11" s="8">
        <f t="shared" si="10"/>
        <v>75122.002997287142</v>
      </c>
      <c r="Q11" s="8">
        <f t="shared" si="11"/>
        <v>241634.85851275933</v>
      </c>
      <c r="R11" s="8">
        <f t="shared" si="12"/>
        <v>97.798324021805698</v>
      </c>
      <c r="S11" s="8">
        <f t="shared" si="13"/>
        <v>147852.49453842692</v>
      </c>
      <c r="T11" s="8">
        <f t="shared" si="14"/>
        <v>28.833628969720021</v>
      </c>
      <c r="U11" s="8">
        <f t="shared" si="15"/>
        <v>143993.828067667</v>
      </c>
    </row>
    <row r="12" spans="1:21">
      <c r="A12" s="1">
        <v>41739</v>
      </c>
      <c r="B12" s="5">
        <v>10</v>
      </c>
      <c r="C12" s="6">
        <f t="shared" si="0"/>
        <v>2.7397260273972601E-2</v>
      </c>
      <c r="D12" s="4">
        <f t="shared" si="1"/>
        <v>17.628628464962212</v>
      </c>
      <c r="E12" s="10">
        <f t="shared" si="5"/>
        <v>7.6356508311884941</v>
      </c>
      <c r="F12" s="8">
        <v>9904.5654693872584</v>
      </c>
      <c r="G12" s="19">
        <f t="shared" si="6"/>
        <v>1.3355826697763833E-3</v>
      </c>
      <c r="H12" s="21">
        <f t="shared" si="7"/>
        <v>296.48849926884009</v>
      </c>
      <c r="I12" s="5">
        <v>375</v>
      </c>
      <c r="J12" s="6">
        <f t="shared" si="2"/>
        <v>1.0273972602739727</v>
      </c>
      <c r="K12" s="4">
        <f t="shared" si="3"/>
        <v>29.322732480129925</v>
      </c>
      <c r="L12" s="10">
        <f t="shared" si="4"/>
        <v>39.704562941837978</v>
      </c>
      <c r="M12" s="13">
        <v>6080.2462303765524</v>
      </c>
      <c r="N12" s="19">
        <f t="shared" si="8"/>
        <v>0.61528336866435829</v>
      </c>
      <c r="O12" s="21">
        <f t="shared" si="9"/>
        <v>975.74396771337229</v>
      </c>
      <c r="P12" s="8">
        <f t="shared" si="10"/>
        <v>75627.803558887681</v>
      </c>
      <c r="Q12" s="8">
        <f t="shared" si="11"/>
        <v>241413.51915585893</v>
      </c>
      <c r="R12" s="8">
        <f t="shared" si="12"/>
        <v>101.00718378650308</v>
      </c>
      <c r="S12" s="8">
        <f t="shared" si="13"/>
        <v>148537.72330733447</v>
      </c>
      <c r="T12" s="8">
        <f t="shared" si="14"/>
        <v>29.947468336232212</v>
      </c>
      <c r="U12" s="8">
        <f t="shared" si="15"/>
        <v>144934.7874950096</v>
      </c>
    </row>
    <row r="13" spans="1:21">
      <c r="A13" s="1">
        <v>41740</v>
      </c>
      <c r="B13" s="5">
        <v>11</v>
      </c>
      <c r="C13" s="6">
        <f t="shared" si="0"/>
        <v>3.0136986301369864E-2</v>
      </c>
      <c r="D13" s="4">
        <f t="shared" si="1"/>
        <v>17.670817937025546</v>
      </c>
      <c r="E13" s="10">
        <f t="shared" si="5"/>
        <v>7.6950171775501586</v>
      </c>
      <c r="F13" s="8">
        <v>9894.0090014190337</v>
      </c>
      <c r="G13" s="19">
        <f t="shared" si="6"/>
        <v>1.3701221373363865E-3</v>
      </c>
      <c r="H13" s="21">
        <f t="shared" si="7"/>
        <v>298.1522618759501</v>
      </c>
      <c r="I13" s="5">
        <v>376</v>
      </c>
      <c r="J13" s="6">
        <f t="shared" si="2"/>
        <v>1.0301369863013699</v>
      </c>
      <c r="K13" s="4">
        <f t="shared" si="3"/>
        <v>29.34635429662444</v>
      </c>
      <c r="L13" s="10">
        <f t="shared" si="4"/>
        <v>39.80828857130205</v>
      </c>
      <c r="M13" s="13">
        <v>6058.5917107518671</v>
      </c>
      <c r="N13" s="19">
        <f t="shared" si="8"/>
        <v>0.61866618594731437</v>
      </c>
      <c r="O13" s="21">
        <f t="shared" si="9"/>
        <v>977.58508171401775</v>
      </c>
      <c r="P13" s="8">
        <f t="shared" si="10"/>
        <v>76134.569220755351</v>
      </c>
      <c r="Q13" s="8">
        <f t="shared" si="11"/>
        <v>241182.1671573089</v>
      </c>
      <c r="R13" s="8">
        <f t="shared" si="12"/>
        <v>104.31365870592639</v>
      </c>
      <c r="S13" s="8">
        <f t="shared" si="13"/>
        <v>149211.25147371992</v>
      </c>
      <c r="T13" s="8">
        <f t="shared" si="14"/>
        <v>31.101353287727846</v>
      </c>
      <c r="U13" s="8">
        <f t="shared" si="15"/>
        <v>145866.69346458733</v>
      </c>
    </row>
    <row r="14" spans="1:21">
      <c r="A14" s="1">
        <v>41741</v>
      </c>
      <c r="B14" s="5">
        <v>12</v>
      </c>
      <c r="C14" s="6">
        <f t="shared" si="0"/>
        <v>3.287671232876712E-2</v>
      </c>
      <c r="D14" s="4">
        <f t="shared" si="1"/>
        <v>17.712940421521054</v>
      </c>
      <c r="E14" s="10">
        <f t="shared" si="5"/>
        <v>7.7546068496253024</v>
      </c>
      <c r="F14" s="8">
        <v>9883.4728343507468</v>
      </c>
      <c r="G14" s="19">
        <f t="shared" si="6"/>
        <v>1.4054965956399811E-3</v>
      </c>
      <c r="H14" s="21">
        <f t="shared" si="7"/>
        <v>299.81870544537912</v>
      </c>
      <c r="I14" s="5">
        <v>377</v>
      </c>
      <c r="J14" s="6">
        <f t="shared" si="2"/>
        <v>1.0328767123287672</v>
      </c>
      <c r="K14" s="4">
        <f t="shared" si="3"/>
        <v>29.369938606889153</v>
      </c>
      <c r="L14" s="10">
        <f t="shared" si="4"/>
        <v>39.912036252610093</v>
      </c>
      <c r="M14" s="13">
        <v>6041.427289447096</v>
      </c>
      <c r="N14" s="19">
        <f t="shared" si="8"/>
        <v>0.62203218652660641</v>
      </c>
      <c r="O14" s="21">
        <f t="shared" si="9"/>
        <v>979.42525609523773</v>
      </c>
      <c r="P14" s="8">
        <f t="shared" si="10"/>
        <v>76642.446139341904</v>
      </c>
      <c r="Q14" s="8">
        <f t="shared" si="11"/>
        <v>241125.66499392042</v>
      </c>
      <c r="R14" s="8">
        <f t="shared" si="12"/>
        <v>107.72069713036566</v>
      </c>
      <c r="S14" s="8">
        <f t="shared" si="13"/>
        <v>149987.92462385033</v>
      </c>
      <c r="T14" s="8">
        <f t="shared" si="14"/>
        <v>32.296679963300001</v>
      </c>
      <c r="U14" s="8">
        <f t="shared" si="15"/>
        <v>146901.96148590781</v>
      </c>
    </row>
    <row r="15" spans="1:21">
      <c r="A15" s="1">
        <v>41742</v>
      </c>
      <c r="B15" s="5">
        <v>13</v>
      </c>
      <c r="C15" s="6">
        <f t="shared" si="0"/>
        <v>3.5616438356164383E-2</v>
      </c>
      <c r="D15" s="4">
        <f t="shared" si="1"/>
        <v>17.754996024810204</v>
      </c>
      <c r="E15" s="10">
        <f t="shared" si="5"/>
        <v>7.8144194211294158</v>
      </c>
      <c r="F15" s="8">
        <v>9872.9366672824599</v>
      </c>
      <c r="G15" s="19">
        <f t="shared" si="6"/>
        <v>1.4417246996994955E-3</v>
      </c>
      <c r="H15" s="21">
        <f t="shared" si="7"/>
        <v>301.48781314081481</v>
      </c>
      <c r="I15" s="5">
        <v>378</v>
      </c>
      <c r="J15" s="6">
        <f t="shared" si="2"/>
        <v>1.0356164383561643</v>
      </c>
      <c r="K15" s="4">
        <f t="shared" si="3"/>
        <v>29.393485470475675</v>
      </c>
      <c r="L15" s="10">
        <f t="shared" si="4"/>
        <v>40.015805543724063</v>
      </c>
      <c r="M15" s="13">
        <v>6021.323894696563</v>
      </c>
      <c r="N15" s="19">
        <f t="shared" si="8"/>
        <v>0.62538115007833406</v>
      </c>
      <c r="O15" s="21">
        <f t="shared" si="9"/>
        <v>981.26448659645132</v>
      </c>
      <c r="P15" s="8">
        <f t="shared" si="10"/>
        <v>77151.268036392779</v>
      </c>
      <c r="Q15" s="8">
        <f t="shared" si="11"/>
        <v>240948.1260859569</v>
      </c>
      <c r="R15" s="8">
        <f t="shared" si="12"/>
        <v>111.23088874120367</v>
      </c>
      <c r="S15" s="8">
        <f t="shared" si="13"/>
        <v>150684.41620085516</v>
      </c>
      <c r="T15" s="8">
        <f t="shared" si="14"/>
        <v>33.534757400294772</v>
      </c>
      <c r="U15" s="8">
        <f t="shared" si="15"/>
        <v>147861.26630141813</v>
      </c>
    </row>
    <row r="16" spans="1:21">
      <c r="A16" s="1">
        <v>41743</v>
      </c>
      <c r="B16" s="5">
        <v>14</v>
      </c>
      <c r="C16" s="6">
        <f t="shared" si="0"/>
        <v>3.8356164383561646E-2</v>
      </c>
      <c r="D16" s="4">
        <f t="shared" si="1"/>
        <v>17.796984853085586</v>
      </c>
      <c r="E16" s="10">
        <f t="shared" si="5"/>
        <v>7.8744544627622393</v>
      </c>
      <c r="F16" s="8">
        <v>9862.4208011141127</v>
      </c>
      <c r="G16" s="19">
        <f t="shared" si="6"/>
        <v>1.4788254826754285E-3</v>
      </c>
      <c r="H16" s="21">
        <f t="shared" si="7"/>
        <v>303.15956816538647</v>
      </c>
      <c r="I16" s="5">
        <v>379</v>
      </c>
      <c r="J16" s="6">
        <f t="shared" si="2"/>
        <v>1.0383561643835617</v>
      </c>
      <c r="K16" s="4">
        <f t="shared" si="3"/>
        <v>29.416994946841058</v>
      </c>
      <c r="L16" s="10">
        <f t="shared" si="4"/>
        <v>40.119596003752299</v>
      </c>
      <c r="M16" s="13">
        <v>6001.4041857863895</v>
      </c>
      <c r="N16" s="19">
        <f t="shared" si="8"/>
        <v>0.62871286308508623</v>
      </c>
      <c r="O16" s="21">
        <f t="shared" si="9"/>
        <v>983.10276897923052</v>
      </c>
      <c r="P16" s="8">
        <f t="shared" si="10"/>
        <v>77661.183490972166</v>
      </c>
      <c r="Q16" s="8">
        <f t="shared" si="11"/>
        <v>240773.91138897795</v>
      </c>
      <c r="R16" s="8">
        <f t="shared" si="12"/>
        <v>114.84733716118193</v>
      </c>
      <c r="S16" s="8">
        <f t="shared" si="13"/>
        <v>151377.65518555918</v>
      </c>
      <c r="T16" s="8">
        <f t="shared" si="14"/>
        <v>34.817069138728456</v>
      </c>
      <c r="U16" s="8">
        <f t="shared" si="15"/>
        <v>148819.7919745064</v>
      </c>
    </row>
    <row r="17" spans="1:21">
      <c r="A17" s="1">
        <v>41744</v>
      </c>
      <c r="B17" s="5">
        <v>15</v>
      </c>
      <c r="C17" s="6">
        <f t="shared" si="0"/>
        <v>4.1095890410958902E-2</v>
      </c>
      <c r="D17" s="4">
        <f t="shared" si="1"/>
        <v>17.838907012371187</v>
      </c>
      <c r="E17" s="10">
        <f t="shared" si="5"/>
        <v>7.934711542238567</v>
      </c>
      <c r="F17" s="8">
        <v>9851.9252358457052</v>
      </c>
      <c r="G17" s="19">
        <f t="shared" si="6"/>
        <v>1.5168183625894804E-3</v>
      </c>
      <c r="H17" s="21">
        <f t="shared" si="7"/>
        <v>304.8339537617606</v>
      </c>
      <c r="I17" s="5">
        <v>380</v>
      </c>
      <c r="J17" s="6">
        <f t="shared" si="2"/>
        <v>1.0410958904109588</v>
      </c>
      <c r="K17" s="4">
        <f t="shared" si="3"/>
        <v>29.440467095347952</v>
      </c>
      <c r="L17" s="10">
        <f t="shared" si="4"/>
        <v>40.223407192950482</v>
      </c>
      <c r="M17" s="13">
        <v>5982.4029060780167</v>
      </c>
      <c r="N17" s="19">
        <f t="shared" si="8"/>
        <v>0.63202711882863516</v>
      </c>
      <c r="O17" s="21">
        <f t="shared" si="9"/>
        <v>984.9400990272394</v>
      </c>
      <c r="P17" s="8">
        <f t="shared" si="10"/>
        <v>78172.184882136338</v>
      </c>
      <c r="Q17" s="8">
        <f t="shared" si="11"/>
        <v>240632.62808346638</v>
      </c>
      <c r="R17" s="8">
        <f t="shared" si="12"/>
        <v>118.57300547296418</v>
      </c>
      <c r="S17" s="8">
        <f t="shared" si="13"/>
        <v>152086.34662375579</v>
      </c>
      <c r="T17" s="8">
        <f t="shared" si="14"/>
        <v>36.145078067738545</v>
      </c>
      <c r="U17" s="8">
        <f t="shared" si="15"/>
        <v>149795.94130429308</v>
      </c>
    </row>
    <row r="18" spans="1:21">
      <c r="A18" s="1">
        <v>41745</v>
      </c>
      <c r="B18" s="5">
        <v>16</v>
      </c>
      <c r="C18" s="6">
        <f t="shared" si="0"/>
        <v>4.3835616438356165E-2</v>
      </c>
      <c r="D18" s="4">
        <f t="shared" si="1"/>
        <v>17.880762608522637</v>
      </c>
      <c r="E18" s="10">
        <f t="shared" si="5"/>
        <v>7.9951902243189013</v>
      </c>
      <c r="F18" s="8">
        <v>9841.4296705772958</v>
      </c>
      <c r="G18" s="19">
        <f t="shared" si="6"/>
        <v>1.5557231491328581E-3</v>
      </c>
      <c r="H18" s="21">
        <f t="shared" si="7"/>
        <v>306.51095321223357</v>
      </c>
      <c r="I18" s="5">
        <v>381</v>
      </c>
      <c r="J18" s="6">
        <f t="shared" si="2"/>
        <v>1.0438356164383562</v>
      </c>
      <c r="K18" s="4">
        <f t="shared" si="3"/>
        <v>29.463901975264768</v>
      </c>
      <c r="L18" s="10">
        <f t="shared" si="4"/>
        <v>40.327238672721975</v>
      </c>
      <c r="M18" s="13">
        <v>5960.8504341424205</v>
      </c>
      <c r="N18" s="19">
        <f t="shared" si="8"/>
        <v>0.63532371737831284</v>
      </c>
      <c r="O18" s="21">
        <f t="shared" si="9"/>
        <v>986.77647254616022</v>
      </c>
      <c r="P18" s="8">
        <f t="shared" si="10"/>
        <v>78684.102295521574</v>
      </c>
      <c r="Q18" s="8">
        <f t="shared" si="11"/>
        <v>240384.63815005979</v>
      </c>
      <c r="R18" s="8">
        <f t="shared" si="12"/>
        <v>122.41067940988077</v>
      </c>
      <c r="S18" s="8">
        <f t="shared" si="13"/>
        <v>152722.06191013657</v>
      </c>
      <c r="T18" s="8">
        <f t="shared" si="14"/>
        <v>37.520214029279693</v>
      </c>
      <c r="U18" s="8">
        <f t="shared" si="15"/>
        <v>150702.53753166084</v>
      </c>
    </row>
    <row r="19" spans="1:21">
      <c r="A19" s="1">
        <v>41746</v>
      </c>
      <c r="B19" s="5">
        <v>17</v>
      </c>
      <c r="C19" s="6">
        <f t="shared" si="0"/>
        <v>4.6575342465753428E-2</v>
      </c>
      <c r="D19" s="4">
        <f t="shared" si="1"/>
        <v>17.922551747227494</v>
      </c>
      <c r="E19" s="10">
        <f t="shared" si="5"/>
        <v>8.0558900708400074</v>
      </c>
      <c r="F19" s="8">
        <v>9830.9544062088262</v>
      </c>
      <c r="G19" s="19">
        <f t="shared" si="6"/>
        <v>1.5955600505705885E-3</v>
      </c>
      <c r="H19" s="21">
        <f t="shared" si="7"/>
        <v>308.19054983882228</v>
      </c>
      <c r="I19" s="5">
        <v>382</v>
      </c>
      <c r="J19" s="6">
        <f t="shared" si="2"/>
        <v>1.0465753424657533</v>
      </c>
      <c r="K19" s="4">
        <f t="shared" si="3"/>
        <v>29.487299645765798</v>
      </c>
      <c r="L19" s="10">
        <f t="shared" si="4"/>
        <v>40.431090005618302</v>
      </c>
      <c r="M19" s="13">
        <v>5940.7878584675218</v>
      </c>
      <c r="N19" s="19">
        <f t="shared" si="8"/>
        <v>0.63860246557516298</v>
      </c>
      <c r="O19" s="21">
        <f t="shared" si="9"/>
        <v>988.61188536362715</v>
      </c>
      <c r="P19" s="8">
        <f t="shared" si="10"/>
        <v>79197.087987858511</v>
      </c>
      <c r="Q19" s="8">
        <f t="shared" si="11"/>
        <v>240192.52860998479</v>
      </c>
      <c r="R19" s="8">
        <f t="shared" si="12"/>
        <v>126.36370971495087</v>
      </c>
      <c r="S19" s="8">
        <f t="shared" si="13"/>
        <v>153387.54098306916</v>
      </c>
      <c r="T19" s="8">
        <f t="shared" si="14"/>
        <v>38.944101176724033</v>
      </c>
      <c r="U19" s="8">
        <f t="shared" si="15"/>
        <v>151640.74608256263</v>
      </c>
    </row>
    <row r="20" spans="1:21">
      <c r="A20" s="1">
        <v>41747</v>
      </c>
      <c r="B20" s="5">
        <v>18</v>
      </c>
      <c r="C20" s="6">
        <f t="shared" si="0"/>
        <v>4.9315068493150684E-2</v>
      </c>
      <c r="D20" s="4">
        <f t="shared" si="1"/>
        <v>17.964274534005522</v>
      </c>
      <c r="E20" s="10">
        <f t="shared" si="5"/>
        <v>8.1168106407452427</v>
      </c>
      <c r="F20" s="8">
        <v>9820.4791418403565</v>
      </c>
      <c r="G20" s="19">
        <f t="shared" si="6"/>
        <v>1.6363496807424991E-3</v>
      </c>
      <c r="H20" s="21">
        <f t="shared" si="7"/>
        <v>309.87272700335234</v>
      </c>
      <c r="I20" s="5">
        <v>383</v>
      </c>
      <c r="J20" s="6">
        <f t="shared" si="2"/>
        <v>1.0493150684931507</v>
      </c>
      <c r="K20" s="4">
        <f t="shared" si="3"/>
        <v>29.510660165931373</v>
      </c>
      <c r="L20" s="10">
        <f t="shared" si="4"/>
        <v>40.534960755339632</v>
      </c>
      <c r="M20" s="13">
        <v>5923.5622085492987</v>
      </c>
      <c r="N20" s="19">
        <f t="shared" si="8"/>
        <v>0.64186317701196693</v>
      </c>
      <c r="O20" s="21">
        <f t="shared" si="9"/>
        <v>990.4463333291593</v>
      </c>
      <c r="P20" s="8">
        <f t="shared" si="10"/>
        <v>79710.969595706512</v>
      </c>
      <c r="Q20" s="8">
        <f t="shared" si="11"/>
        <v>240111.36165535878</v>
      </c>
      <c r="R20" s="8">
        <f t="shared" si="12"/>
        <v>130.43501964960942</v>
      </c>
      <c r="S20" s="8">
        <f t="shared" si="13"/>
        <v>154118.64142877795</v>
      </c>
      <c r="T20" s="8">
        <f t="shared" si="14"/>
        <v>40.418255235560316</v>
      </c>
      <c r="U20" s="8">
        <f t="shared" si="15"/>
        <v>152646.24330080458</v>
      </c>
    </row>
    <row r="21" spans="1:21">
      <c r="A21" s="1">
        <v>41748</v>
      </c>
      <c r="B21" s="5">
        <v>19</v>
      </c>
      <c r="C21" s="6">
        <f t="shared" si="0"/>
        <v>5.2054794520547946E-2</v>
      </c>
      <c r="D21" s="4">
        <f t="shared" si="1"/>
        <v>18.005931074208931</v>
      </c>
      <c r="E21" s="10">
        <f t="shared" si="5"/>
        <v>8.1779514901147703</v>
      </c>
      <c r="F21" s="8">
        <v>9810.0241783718284</v>
      </c>
      <c r="G21" s="19">
        <f t="shared" si="6"/>
        <v>1.6781130661614691E-3</v>
      </c>
      <c r="H21" s="21">
        <f t="shared" si="7"/>
        <v>311.55746810754323</v>
      </c>
      <c r="I21" s="5">
        <v>384</v>
      </c>
      <c r="J21" s="6">
        <f t="shared" si="2"/>
        <v>1.0520547945205478</v>
      </c>
      <c r="K21" s="4">
        <f t="shared" si="3"/>
        <v>29.533983594748022</v>
      </c>
      <c r="L21" s="10">
        <f t="shared" si="4"/>
        <v>40.638850486735159</v>
      </c>
      <c r="M21" s="13">
        <v>5903.4384042609472</v>
      </c>
      <c r="N21" s="19">
        <f t="shared" si="8"/>
        <v>0.64510567200926372</v>
      </c>
      <c r="O21" s="21">
        <f t="shared" si="9"/>
        <v>992.27981231409001</v>
      </c>
      <c r="P21" s="8">
        <f t="shared" si="10"/>
        <v>80225.901847577814</v>
      </c>
      <c r="Q21" s="8">
        <f t="shared" si="11"/>
        <v>239908.95066841101</v>
      </c>
      <c r="R21" s="8">
        <f t="shared" si="12"/>
        <v>134.62813413500788</v>
      </c>
      <c r="S21" s="8">
        <f t="shared" si="13"/>
        <v>154766.62484198259</v>
      </c>
      <c r="T21" s="8">
        <f t="shared" si="14"/>
        <v>41.944400607145766</v>
      </c>
      <c r="U21" s="8">
        <f t="shared" si="15"/>
        <v>153571.79745068765</v>
      </c>
    </row>
    <row r="22" spans="1:21">
      <c r="A22" s="1">
        <v>41749</v>
      </c>
      <c r="B22" s="5">
        <v>20</v>
      </c>
      <c r="C22" s="6">
        <f t="shared" si="0"/>
        <v>5.4794520547945202E-2</v>
      </c>
      <c r="D22" s="4">
        <f t="shared" si="1"/>
        <v>18.047521473022648</v>
      </c>
      <c r="E22" s="10">
        <f t="shared" si="5"/>
        <v>8.2393121721955076</v>
      </c>
      <c r="F22" s="8">
        <v>9799.5692149032948</v>
      </c>
      <c r="G22" s="19">
        <f t="shared" si="6"/>
        <v>1.7208716532096445E-3</v>
      </c>
      <c r="H22" s="21">
        <f t="shared" si="7"/>
        <v>313.24475659309184</v>
      </c>
      <c r="I22" s="5">
        <v>385</v>
      </c>
      <c r="J22" s="6">
        <f t="shared" si="2"/>
        <v>1.0547945205479452</v>
      </c>
      <c r="K22" s="4">
        <f t="shared" si="3"/>
        <v>29.55726999110863</v>
      </c>
      <c r="L22" s="10">
        <f t="shared" si="4"/>
        <v>40.742758765803757</v>
      </c>
      <c r="M22" s="13">
        <v>5881.783884636262</v>
      </c>
      <c r="N22" s="19">
        <f t="shared" si="8"/>
        <v>0.64832977758746302</v>
      </c>
      <c r="O22" s="21">
        <f t="shared" si="9"/>
        <v>994.11231821150398</v>
      </c>
      <c r="P22" s="8">
        <f t="shared" si="10"/>
        <v>80741.709914625084</v>
      </c>
      <c r="Q22" s="8">
        <f t="shared" si="11"/>
        <v>239640.10192432735</v>
      </c>
      <c r="R22" s="8">
        <f t="shared" si="12"/>
        <v>138.9461198237544</v>
      </c>
      <c r="S22" s="8">
        <f t="shared" si="13"/>
        <v>155365.81398163611</v>
      </c>
      <c r="T22" s="8">
        <f t="shared" si="14"/>
        <v>43.524143483746521</v>
      </c>
      <c r="U22" s="8">
        <f t="shared" si="15"/>
        <v>154451.06950810156</v>
      </c>
    </row>
    <row r="23" spans="1:21">
      <c r="A23" s="1">
        <v>41750</v>
      </c>
      <c r="B23" s="5">
        <v>21</v>
      </c>
      <c r="C23" s="6">
        <f t="shared" si="0"/>
        <v>5.7534246575342465E-2</v>
      </c>
      <c r="D23" s="4">
        <f t="shared" si="1"/>
        <v>18.089045835464614</v>
      </c>
      <c r="E23" s="10">
        <f t="shared" si="5"/>
        <v>8.300892237431114</v>
      </c>
      <c r="F23" s="8">
        <v>9789.1345523347045</v>
      </c>
      <c r="G23" s="19">
        <f t="shared" si="6"/>
        <v>1.7646473154332774E-3</v>
      </c>
      <c r="H23" s="21">
        <f t="shared" si="7"/>
        <v>314.93457594175447</v>
      </c>
      <c r="I23" s="5">
        <v>386</v>
      </c>
      <c r="J23" s="6">
        <f t="shared" si="2"/>
        <v>1.0575342465753426</v>
      </c>
      <c r="K23" s="4">
        <f t="shared" si="3"/>
        <v>29.580519413812553</v>
      </c>
      <c r="L23" s="10">
        <f t="shared" si="4"/>
        <v>40.846685159694175</v>
      </c>
      <c r="M23" s="13">
        <v>5862.6805572388002</v>
      </c>
      <c r="N23" s="19">
        <f t="shared" si="8"/>
        <v>0.6515353274351543</v>
      </c>
      <c r="O23" s="21">
        <f t="shared" si="9"/>
        <v>995.9438469361653</v>
      </c>
      <c r="P23" s="8">
        <f t="shared" si="10"/>
        <v>81258.551016643847</v>
      </c>
      <c r="Q23" s="8">
        <f t="shared" si="11"/>
        <v>239471.06691339368</v>
      </c>
      <c r="R23" s="8">
        <f t="shared" si="12"/>
        <v>143.39268390751857</v>
      </c>
      <c r="S23" s="8">
        <f t="shared" si="13"/>
        <v>156023.8599926637</v>
      </c>
      <c r="T23" s="8">
        <f t="shared" si="14"/>
        <v>45.159314099564405</v>
      </c>
      <c r="U23" s="8">
        <f t="shared" si="15"/>
        <v>155391.00333492315</v>
      </c>
    </row>
    <row r="24" spans="1:21">
      <c r="A24" s="1">
        <v>41751</v>
      </c>
      <c r="B24" s="5">
        <v>22</v>
      </c>
      <c r="C24" s="6">
        <f t="shared" si="0"/>
        <v>6.0273972602739728E-2</v>
      </c>
      <c r="D24" s="4">
        <f t="shared" si="1"/>
        <v>18.130504266385994</v>
      </c>
      <c r="E24" s="10">
        <f t="shared" si="5"/>
        <v>8.3626912334915602</v>
      </c>
      <c r="F24" s="8">
        <v>9778.7201906660521</v>
      </c>
      <c r="G24" s="19">
        <f t="shared" si="6"/>
        <v>1.8094623609366054E-3</v>
      </c>
      <c r="H24" s="21">
        <f t="shared" si="7"/>
        <v>316.62690967542375</v>
      </c>
      <c r="I24" s="5">
        <v>387</v>
      </c>
      <c r="J24" s="6">
        <f t="shared" si="2"/>
        <v>1.0602739726027397</v>
      </c>
      <c r="K24" s="4">
        <f t="shared" si="3"/>
        <v>29.603731921565799</v>
      </c>
      <c r="L24" s="10">
        <f t="shared" si="4"/>
        <v>40.950629236705325</v>
      </c>
      <c r="M24" s="13">
        <v>5842.6996197151739</v>
      </c>
      <c r="N24" s="19">
        <f t="shared" si="8"/>
        <v>0.65472216187374643</v>
      </c>
      <c r="O24" s="21">
        <f t="shared" si="9"/>
        <v>997.77439442445325</v>
      </c>
      <c r="P24" s="8">
        <f t="shared" si="10"/>
        <v>81776.417613249912</v>
      </c>
      <c r="Q24" s="8">
        <f t="shared" si="11"/>
        <v>239262.22586839527</v>
      </c>
      <c r="R24" s="8">
        <f t="shared" si="12"/>
        <v>147.97134968340899</v>
      </c>
      <c r="S24" s="8">
        <f t="shared" si="13"/>
        <v>156650.28177528037</v>
      </c>
      <c r="T24" s="8">
        <f t="shared" si="14"/>
        <v>46.85171117075928</v>
      </c>
      <c r="U24" s="8">
        <f t="shared" si="15"/>
        <v>156301.64003475034</v>
      </c>
    </row>
    <row r="25" spans="1:21">
      <c r="A25" s="1">
        <v>41752</v>
      </c>
      <c r="B25" s="5">
        <v>23</v>
      </c>
      <c r="C25" s="6">
        <f t="shared" si="0"/>
        <v>6.3013698630136991E-2</v>
      </c>
      <c r="D25" s="4">
        <f t="shared" si="1"/>
        <v>18.171896870471496</v>
      </c>
      <c r="E25" s="10">
        <f t="shared" si="5"/>
        <v>8.4247087053028089</v>
      </c>
      <c r="F25" s="8">
        <v>9768.3058289973997</v>
      </c>
      <c r="G25" s="19">
        <f t="shared" si="6"/>
        <v>1.8553395398755764E-3</v>
      </c>
      <c r="H25" s="21">
        <f t="shared" si="7"/>
        <v>318.32174135620807</v>
      </c>
      <c r="I25" s="5">
        <v>388</v>
      </c>
      <c r="J25" s="6">
        <f t="shared" si="2"/>
        <v>1.0630136986301371</v>
      </c>
      <c r="K25" s="4">
        <f t="shared" si="3"/>
        <v>29.626907572981168</v>
      </c>
      <c r="L25" s="10">
        <f t="shared" si="4"/>
        <v>41.054590566286997</v>
      </c>
      <c r="M25" s="13">
        <v>5822.5962249646409</v>
      </c>
      <c r="N25" s="19">
        <f t="shared" si="8"/>
        <v>0.65789012781852874</v>
      </c>
      <c r="O25" s="21">
        <f t="shared" si="9"/>
        <v>999.60395663429199</v>
      </c>
      <c r="P25" s="8">
        <f t="shared" si="10"/>
        <v>82295.131153614566</v>
      </c>
      <c r="Q25" s="8">
        <f t="shared" si="11"/>
        <v>239044.30404873163</v>
      </c>
      <c r="R25" s="8">
        <f t="shared" si="12"/>
        <v>152.68541076854746</v>
      </c>
      <c r="S25" s="8">
        <f t="shared" si="13"/>
        <v>157264.88774491131</v>
      </c>
      <c r="T25" s="8">
        <f t="shared" si="14"/>
        <v>48.603085835531949</v>
      </c>
      <c r="U25" s="8">
        <f t="shared" si="15"/>
        <v>157202.6040294611</v>
      </c>
    </row>
    <row r="26" spans="1:21">
      <c r="A26" s="1">
        <v>41753</v>
      </c>
      <c r="B26" s="5">
        <v>24</v>
      </c>
      <c r="C26" s="6">
        <f t="shared" si="0"/>
        <v>6.575342465753424E-2</v>
      </c>
      <c r="D26" s="4">
        <f t="shared" si="1"/>
        <v>18.213223752239603</v>
      </c>
      <c r="E26" s="10">
        <f t="shared" si="5"/>
        <v>8.4869441950761964</v>
      </c>
      <c r="F26" s="8">
        <v>9757.8914673287472</v>
      </c>
      <c r="G26" s="19">
        <f t="shared" si="6"/>
        <v>1.9023020520517683E-3</v>
      </c>
      <c r="H26" s="21">
        <f t="shared" si="7"/>
        <v>320.01905458650458</v>
      </c>
      <c r="I26" s="5">
        <v>389</v>
      </c>
      <c r="J26" s="6">
        <f t="shared" si="2"/>
        <v>1.0657534246575342</v>
      </c>
      <c r="K26" s="4">
        <f t="shared" si="3"/>
        <v>29.650046426578363</v>
      </c>
      <c r="L26" s="10">
        <f t="shared" si="4"/>
        <v>41.158568719039927</v>
      </c>
      <c r="M26" s="13">
        <v>5805.3297559707808</v>
      </c>
      <c r="N26" s="19">
        <f t="shared" si="8"/>
        <v>0.66103907873627654</v>
      </c>
      <c r="O26" s="21">
        <f t="shared" si="9"/>
        <v>1001.4325295450882</v>
      </c>
      <c r="P26" s="8">
        <f t="shared" si="10"/>
        <v>82814.680344829263</v>
      </c>
      <c r="Q26" s="8">
        <f t="shared" si="11"/>
        <v>238939.06369781066</v>
      </c>
      <c r="R26" s="8">
        <f t="shared" si="12"/>
        <v>157.53853635997996</v>
      </c>
      <c r="S26" s="8">
        <f t="shared" si="13"/>
        <v>157948.05854090926</v>
      </c>
      <c r="T26" s="8">
        <f t="shared" si="14"/>
        <v>50.415333466862457</v>
      </c>
      <c r="U26" s="8">
        <f t="shared" si="15"/>
        <v>158174.32380135843</v>
      </c>
    </row>
    <row r="27" spans="1:21">
      <c r="A27" s="1">
        <v>41754</v>
      </c>
      <c r="B27" s="5">
        <v>25</v>
      </c>
      <c r="C27" s="6">
        <f t="shared" si="0"/>
        <v>6.8493150684931503E-2</v>
      </c>
      <c r="D27" s="4">
        <f t="shared" si="1"/>
        <v>18.254485016042842</v>
      </c>
      <c r="E27" s="10">
        <f t="shared" si="5"/>
        <v>8.5493972423375766</v>
      </c>
      <c r="F27" s="8">
        <v>9747.4974065600327</v>
      </c>
      <c r="G27" s="19">
        <f t="shared" si="6"/>
        <v>1.9503735546070986E-3</v>
      </c>
      <c r="H27" s="21">
        <f t="shared" si="7"/>
        <v>321.71883300907166</v>
      </c>
      <c r="I27" s="5">
        <v>390</v>
      </c>
      <c r="J27" s="6">
        <f t="shared" si="2"/>
        <v>1.0684931506849316</v>
      </c>
      <c r="K27" s="4">
        <f t="shared" si="3"/>
        <v>29.673148540784219</v>
      </c>
      <c r="L27" s="10">
        <f t="shared" si="4"/>
        <v>41.262563266716093</v>
      </c>
      <c r="M27" s="13">
        <v>5783.4303218922814</v>
      </c>
      <c r="N27" s="19">
        <f t="shared" si="8"/>
        <v>0.66416887459953799</v>
      </c>
      <c r="O27" s="21">
        <f t="shared" si="9"/>
        <v>1003.2601091576564</v>
      </c>
      <c r="P27" s="8">
        <f t="shared" si="10"/>
        <v>83335.22744733702</v>
      </c>
      <c r="Q27" s="8">
        <f t="shared" si="11"/>
        <v>238639.15955572447</v>
      </c>
      <c r="R27" s="8">
        <f t="shared" si="12"/>
        <v>162.53482378045373</v>
      </c>
      <c r="S27" s="8">
        <f t="shared" si="13"/>
        <v>158496.70203750511</v>
      </c>
      <c r="T27" s="8">
        <f t="shared" si="14"/>
        <v>52.290513829982686</v>
      </c>
      <c r="U27" s="8">
        <f t="shared" si="15"/>
        <v>159013.41858727593</v>
      </c>
    </row>
    <row r="28" spans="1:21">
      <c r="A28" s="1">
        <v>41755</v>
      </c>
      <c r="B28" s="5">
        <v>26</v>
      </c>
      <c r="C28" s="6">
        <f t="shared" si="0"/>
        <v>7.1232876712328766E-2</v>
      </c>
      <c r="D28" s="4">
        <f t="shared" si="1"/>
        <v>18.29568076606806</v>
      </c>
      <c r="E28" s="10">
        <f t="shared" si="5"/>
        <v>8.6120673839564734</v>
      </c>
      <c r="F28" s="8">
        <v>9737.1236466912578</v>
      </c>
      <c r="G28" s="19">
        <f t="shared" si="6"/>
        <v>1.9995781698198393E-3</v>
      </c>
      <c r="H28" s="21">
        <f t="shared" si="7"/>
        <v>323.42106030709937</v>
      </c>
      <c r="I28" s="5">
        <v>391</v>
      </c>
      <c r="J28" s="6">
        <f t="shared" si="2"/>
        <v>1.0712328767123287</v>
      </c>
      <c r="K28" s="4">
        <f t="shared" si="3"/>
        <v>29.696213973932782</v>
      </c>
      <c r="L28" s="10">
        <f t="shared" si="4"/>
        <v>41.366573782219341</v>
      </c>
      <c r="M28" s="13">
        <v>5761.7145736541424</v>
      </c>
      <c r="N28" s="19">
        <f t="shared" si="8"/>
        <v>0.66727938183767388</v>
      </c>
      <c r="O28" s="21">
        <f t="shared" si="9"/>
        <v>1005.0866914941621</v>
      </c>
      <c r="P28" s="8">
        <f t="shared" si="10"/>
        <v>83856.764971221099</v>
      </c>
      <c r="Q28" s="8">
        <f t="shared" si="11"/>
        <v>238342.39102315254</v>
      </c>
      <c r="R28" s="8">
        <f t="shared" si="12"/>
        <v>167.6781566281667</v>
      </c>
      <c r="S28" s="8">
        <f t="shared" si="13"/>
        <v>159040.96334764236</v>
      </c>
      <c r="T28" s="8">
        <f t="shared" si="14"/>
        <v>54.230647207021562</v>
      </c>
      <c r="U28" s="8">
        <f t="shared" si="15"/>
        <v>159849.95566312617</v>
      </c>
    </row>
    <row r="29" spans="1:21">
      <c r="A29" s="1">
        <v>41756</v>
      </c>
      <c r="B29" s="5">
        <v>27</v>
      </c>
      <c r="C29" s="6">
        <f t="shared" si="0"/>
        <v>7.3972602739726029E-2</v>
      </c>
      <c r="D29" s="4">
        <f t="shared" si="1"/>
        <v>18.336811106336668</v>
      </c>
      <c r="E29" s="10">
        <f t="shared" si="5"/>
        <v>8.6749541541750119</v>
      </c>
      <c r="F29" s="8">
        <v>9726.7498868224829</v>
      </c>
      <c r="G29" s="19">
        <f t="shared" si="6"/>
        <v>2.0499404930023335E-3</v>
      </c>
      <c r="H29" s="21">
        <f t="shared" si="7"/>
        <v>325.12572020427876</v>
      </c>
      <c r="I29" s="5">
        <v>392</v>
      </c>
      <c r="J29" s="6">
        <f t="shared" si="2"/>
        <v>1.0739726027397261</v>
      </c>
      <c r="K29" s="4">
        <f t="shared" si="3"/>
        <v>29.719242784265457</v>
      </c>
      <c r="L29" s="10">
        <f t="shared" si="4"/>
        <v>41.470599839604994</v>
      </c>
      <c r="M29" s="13">
        <v>5744.2440092821043</v>
      </c>
      <c r="N29" s="19">
        <f t="shared" si="8"/>
        <v>0.67037047328481447</v>
      </c>
      <c r="O29" s="21">
        <f t="shared" si="9"/>
        <v>1006.9122725980453</v>
      </c>
      <c r="P29" s="8">
        <f t="shared" si="10"/>
        <v>84379.109337312024</v>
      </c>
      <c r="Q29" s="8">
        <f t="shared" si="11"/>
        <v>238217.24468998637</v>
      </c>
      <c r="R29" s="8">
        <f t="shared" si="12"/>
        <v>172.9721529940272</v>
      </c>
      <c r="S29" s="8">
        <f t="shared" si="13"/>
        <v>159693.80706743061</v>
      </c>
      <c r="T29" s="8">
        <f t="shared" si="14"/>
        <v>56.237695817467788</v>
      </c>
      <c r="U29" s="8">
        <f t="shared" si="15"/>
        <v>160797.65419410035</v>
      </c>
    </row>
    <row r="30" spans="1:21">
      <c r="A30" s="1">
        <v>41757</v>
      </c>
      <c r="B30" s="5">
        <v>28</v>
      </c>
      <c r="C30" s="6">
        <f t="shared" si="0"/>
        <v>7.6712328767123292E-2</v>
      </c>
      <c r="D30" s="4">
        <f t="shared" si="1"/>
        <v>18.37787614070492</v>
      </c>
      <c r="E30" s="10">
        <f t="shared" si="5"/>
        <v>8.7380570846366457</v>
      </c>
      <c r="F30" s="8">
        <v>9716.3964278536459</v>
      </c>
      <c r="G30" s="19">
        <f t="shared" si="6"/>
        <v>2.1014856005008849E-3</v>
      </c>
      <c r="H30" s="21">
        <f t="shared" si="7"/>
        <v>326.83279646486596</v>
      </c>
      <c r="I30" s="5">
        <v>393</v>
      </c>
      <c r="J30" s="6">
        <f t="shared" si="2"/>
        <v>1.0767123287671232</v>
      </c>
      <c r="K30" s="4">
        <f t="shared" si="3"/>
        <v>29.742235029931191</v>
      </c>
      <c r="L30" s="10">
        <f t="shared" si="4"/>
        <v>41.574641014080683</v>
      </c>
      <c r="M30" s="13">
        <v>5724.2426622206603</v>
      </c>
      <c r="N30" s="19">
        <f t="shared" si="8"/>
        <v>0.67344202812482756</v>
      </c>
      <c r="O30" s="21">
        <f t="shared" si="9"/>
        <v>1008.7368485339599</v>
      </c>
      <c r="P30" s="8">
        <f t="shared" si="10"/>
        <v>84902.42664354475</v>
      </c>
      <c r="Q30" s="8">
        <f t="shared" si="11"/>
        <v>237983.33375930946</v>
      </c>
      <c r="R30" s="8">
        <f t="shared" si="12"/>
        <v>178.42122703899196</v>
      </c>
      <c r="S30" s="8">
        <f t="shared" si="13"/>
        <v>160267.97894677712</v>
      </c>
      <c r="T30" s="8">
        <f t="shared" si="14"/>
        <v>58.313908581846498</v>
      </c>
      <c r="U30" s="8">
        <f t="shared" si="15"/>
        <v>161668.21600367897</v>
      </c>
    </row>
    <row r="31" spans="1:21">
      <c r="A31" s="1">
        <v>41758</v>
      </c>
      <c r="B31" s="5">
        <v>29</v>
      </c>
      <c r="C31" s="6">
        <f t="shared" si="0"/>
        <v>7.9452054794520555E-2</v>
      </c>
      <c r="D31" s="4">
        <f t="shared" si="1"/>
        <v>18.418875972864175</v>
      </c>
      <c r="E31" s="10">
        <f t="shared" si="5"/>
        <v>8.8013757044147987</v>
      </c>
      <c r="F31" s="8">
        <v>9706.0429688848108</v>
      </c>
      <c r="G31" s="19">
        <f t="shared" si="6"/>
        <v>2.1542390577982229E-3</v>
      </c>
      <c r="H31" s="21">
        <f t="shared" si="7"/>
        <v>328.54227289374853</v>
      </c>
      <c r="I31" s="5">
        <v>394</v>
      </c>
      <c r="J31" s="6">
        <f t="shared" si="2"/>
        <v>1.0794520547945206</v>
      </c>
      <c r="K31" s="4">
        <f t="shared" si="3"/>
        <v>29.765190768986614</v>
      </c>
      <c r="L31" s="10">
        <f t="shared" si="4"/>
        <v>41.678696882006399</v>
      </c>
      <c r="M31" s="13">
        <v>5704.0780388566727</v>
      </c>
      <c r="N31" s="19">
        <f t="shared" si="8"/>
        <v>0.67649393183342366</v>
      </c>
      <c r="O31" s="21">
        <f t="shared" si="9"/>
        <v>1010.5604153877047</v>
      </c>
      <c r="P31" s="8">
        <f t="shared" si="10"/>
        <v>85426.530772348851</v>
      </c>
      <c r="Q31" s="8">
        <f t="shared" si="11"/>
        <v>237738.53957281678</v>
      </c>
      <c r="R31" s="8">
        <f t="shared" si="12"/>
        <v>184.02916916199567</v>
      </c>
      <c r="S31" s="8">
        <f t="shared" si="13"/>
        <v>160828.6793839508</v>
      </c>
      <c r="T31" s="8">
        <f t="shared" si="14"/>
        <v>60.461361515230195</v>
      </c>
      <c r="U31" s="8">
        <f t="shared" si="15"/>
        <v>162527.09704450131</v>
      </c>
    </row>
    <row r="32" spans="1:21">
      <c r="A32" s="1">
        <v>41759</v>
      </c>
      <c r="B32" s="5">
        <v>30</v>
      </c>
      <c r="C32" s="6">
        <f t="shared" si="0"/>
        <v>8.2191780821917804E-2</v>
      </c>
      <c r="D32" s="4">
        <f t="shared" si="1"/>
        <v>18.459810706341145</v>
      </c>
      <c r="E32" s="10">
        <f t="shared" si="5"/>
        <v>8.8649095400413422</v>
      </c>
      <c r="F32" s="8">
        <v>9695.7098108159116</v>
      </c>
      <c r="G32" s="19">
        <f t="shared" si="6"/>
        <v>2.2082269277188282E-3</v>
      </c>
      <c r="H32" s="21">
        <f t="shared" si="7"/>
        <v>330.25413333650653</v>
      </c>
      <c r="I32" s="5">
        <v>395</v>
      </c>
      <c r="J32" s="6">
        <f t="shared" si="2"/>
        <v>1.0821917808219179</v>
      </c>
      <c r="K32" s="4">
        <f t="shared" si="3"/>
        <v>29.788110059396164</v>
      </c>
      <c r="L32" s="10">
        <f t="shared" si="4"/>
        <v>41.782767020894774</v>
      </c>
      <c r="M32" s="13">
        <v>5685.0359400726657</v>
      </c>
      <c r="N32" s="19">
        <f t="shared" si="8"/>
        <v>0.67952607611751459</v>
      </c>
      <c r="O32" s="21">
        <f t="shared" si="9"/>
        <v>1012.382969266162</v>
      </c>
      <c r="P32" s="8">
        <f t="shared" si="10"/>
        <v>85951.590399374414</v>
      </c>
      <c r="Q32" s="8">
        <f t="shared" si="11"/>
        <v>237536.5321894697</v>
      </c>
      <c r="R32" s="8">
        <f t="shared" si="12"/>
        <v>189.80061640015768</v>
      </c>
      <c r="S32" s="8">
        <f t="shared" si="13"/>
        <v>161412.26765327205</v>
      </c>
      <c r="T32" s="8">
        <f t="shared" si="14"/>
        <v>62.682438075968797</v>
      </c>
      <c r="U32" s="8">
        <f t="shared" si="15"/>
        <v>163411.03080280405</v>
      </c>
    </row>
    <row r="33" spans="1:21">
      <c r="A33" s="1">
        <v>41760</v>
      </c>
      <c r="B33" s="5">
        <v>31</v>
      </c>
      <c r="C33" s="6">
        <f t="shared" si="0"/>
        <v>8.4931506849315067E-2</v>
      </c>
      <c r="D33" s="4">
        <f t="shared" si="1"/>
        <v>18.500680444498162</v>
      </c>
      <c r="E33" s="10">
        <f t="shared" si="5"/>
        <v>8.928658115534807</v>
      </c>
      <c r="F33" s="8">
        <v>9685.3766527470161</v>
      </c>
      <c r="G33" s="19">
        <f t="shared" si="6"/>
        <v>2.2634757787375771E-3</v>
      </c>
      <c r="H33" s="21">
        <f t="shared" si="7"/>
        <v>331.96836167947242</v>
      </c>
      <c r="I33" s="5">
        <v>396</v>
      </c>
      <c r="J33" s="6">
        <f t="shared" si="2"/>
        <v>1.0849315068493151</v>
      </c>
      <c r="K33" s="4">
        <f t="shared" si="3"/>
        <v>29.81099295903223</v>
      </c>
      <c r="L33" s="10">
        <f t="shared" si="4"/>
        <v>41.886851009410684</v>
      </c>
      <c r="M33" s="13">
        <v>5654.993100404864</v>
      </c>
      <c r="N33" s="19">
        <f t="shared" si="8"/>
        <v>0.68253835885193925</v>
      </c>
      <c r="O33" s="21">
        <f t="shared" si="9"/>
        <v>1014.2045062972192</v>
      </c>
      <c r="P33" s="8">
        <f t="shared" si="10"/>
        <v>86477.416852560986</v>
      </c>
      <c r="Q33" s="8">
        <f t="shared" si="11"/>
        <v>236869.85345590394</v>
      </c>
      <c r="R33" s="8">
        <f t="shared" si="12"/>
        <v>195.73953845356453</v>
      </c>
      <c r="S33" s="8">
        <f t="shared" si="13"/>
        <v>161672.76103929203</v>
      </c>
      <c r="T33" s="8">
        <f t="shared" si="14"/>
        <v>64.979333896325912</v>
      </c>
      <c r="U33" s="8">
        <f t="shared" si="15"/>
        <v>163969.24279156345</v>
      </c>
    </row>
    <row r="34" spans="1:21">
      <c r="A34" s="1">
        <v>41761</v>
      </c>
      <c r="B34" s="5">
        <v>32</v>
      </c>
      <c r="C34" s="6">
        <f t="shared" si="0"/>
        <v>8.7671232876712329E-2</v>
      </c>
      <c r="D34" s="4">
        <f t="shared" si="1"/>
        <v>18.541485290533451</v>
      </c>
      <c r="E34" s="10">
        <f t="shared" si="5"/>
        <v>8.9926209524286076</v>
      </c>
      <c r="F34" s="8">
        <v>9675.0637955780567</v>
      </c>
      <c r="G34" s="19">
        <f t="shared" si="6"/>
        <v>2.3200126933918758E-3</v>
      </c>
      <c r="H34" s="21">
        <f t="shared" si="7"/>
        <v>333.68494184978954</v>
      </c>
      <c r="I34" s="5">
        <v>397</v>
      </c>
      <c r="J34" s="6">
        <f t="shared" si="2"/>
        <v>1.0876712328767124</v>
      </c>
      <c r="K34" s="4">
        <f t="shared" si="3"/>
        <v>29.833839525675341</v>
      </c>
      <c r="L34" s="10">
        <f t="shared" si="4"/>
        <v>41.990948427372381</v>
      </c>
      <c r="M34" s="13">
        <v>5626.9503954432057</v>
      </c>
      <c r="N34" s="19">
        <f t="shared" si="8"/>
        <v>0.68553068401369976</v>
      </c>
      <c r="O34" s="21">
        <f t="shared" si="9"/>
        <v>1016.0250226297181</v>
      </c>
      <c r="P34" s="8">
        <f t="shared" si="10"/>
        <v>87004.18140419868</v>
      </c>
      <c r="Q34" s="8">
        <f t="shared" si="11"/>
        <v>236280.98385843827</v>
      </c>
      <c r="R34" s="8">
        <f t="shared" si="12"/>
        <v>201.85080523591034</v>
      </c>
      <c r="S34" s="8">
        <f t="shared" si="13"/>
        <v>161977.86448390514</v>
      </c>
      <c r="T34" s="8">
        <f t="shared" si="14"/>
        <v>67.354574207477938</v>
      </c>
      <c r="U34" s="8">
        <f t="shared" si="15"/>
        <v>164573.56342777316</v>
      </c>
    </row>
    <row r="35" spans="1:21">
      <c r="A35" s="1">
        <v>41762</v>
      </c>
      <c r="B35" s="5">
        <v>33</v>
      </c>
      <c r="C35" s="6">
        <f t="shared" si="0"/>
        <v>9.0410958904109592E-2</v>
      </c>
      <c r="D35" s="4">
        <f t="shared" si="1"/>
        <v>18.582225347481373</v>
      </c>
      <c r="E35" s="10">
        <f t="shared" si="5"/>
        <v>9.0567975697990235</v>
      </c>
      <c r="F35" s="8">
        <v>9664.7712393090387</v>
      </c>
      <c r="G35" s="19">
        <f t="shared" si="6"/>
        <v>2.3778652767976012E-3</v>
      </c>
      <c r="H35" s="21">
        <f t="shared" si="7"/>
        <v>335.40385781546894</v>
      </c>
      <c r="I35" s="5">
        <v>398</v>
      </c>
      <c r="J35" s="6">
        <f t="shared" si="2"/>
        <v>1.0904109589041096</v>
      </c>
      <c r="K35" s="4">
        <f t="shared" si="3"/>
        <v>29.856649817014262</v>
      </c>
      <c r="L35" s="10">
        <f t="shared" si="4"/>
        <v>42.095058855750878</v>
      </c>
      <c r="M35" s="13">
        <v>5602.7855026669304</v>
      </c>
      <c r="N35" s="19">
        <f t="shared" si="8"/>
        <v>0.68850296161378965</v>
      </c>
      <c r="O35" s="21">
        <f t="shared" si="9"/>
        <v>1017.844514433377</v>
      </c>
      <c r="P35" s="8">
        <f t="shared" si="10"/>
        <v>87531.876672837592</v>
      </c>
      <c r="Q35" s="8">
        <f t="shared" si="11"/>
        <v>235849.5854909122</v>
      </c>
      <c r="R35" s="8">
        <f t="shared" si="12"/>
        <v>208.13901015327045</v>
      </c>
      <c r="S35" s="8">
        <f t="shared" si="13"/>
        <v>162383.13810587773</v>
      </c>
      <c r="T35" s="8">
        <f t="shared" si="14"/>
        <v>69.810626967299967</v>
      </c>
      <c r="U35" s="8">
        <f t="shared" si="15"/>
        <v>165280.78635754512</v>
      </c>
    </row>
    <row r="36" spans="1:21">
      <c r="A36" s="1">
        <v>41763</v>
      </c>
      <c r="B36" s="5">
        <v>34</v>
      </c>
      <c r="C36" s="6">
        <f t="shared" si="0"/>
        <v>9.3150684931506855E-2</v>
      </c>
      <c r="D36" s="4">
        <f t="shared" si="1"/>
        <v>18.622900718212691</v>
      </c>
      <c r="E36" s="10">
        <f t="shared" si="5"/>
        <v>9.1211874842929959</v>
      </c>
      <c r="F36" s="8">
        <v>9654.4786830400171</v>
      </c>
      <c r="G36" s="19">
        <f t="shared" si="6"/>
        <v>2.4370616652690121E-3</v>
      </c>
      <c r="H36" s="21">
        <f t="shared" si="7"/>
        <v>337.12509358544236</v>
      </c>
      <c r="I36" s="5">
        <v>399</v>
      </c>
      <c r="J36" s="6">
        <f t="shared" si="2"/>
        <v>1.0931506849315069</v>
      </c>
      <c r="K36" s="4">
        <f t="shared" si="3"/>
        <v>29.879423890646166</v>
      </c>
      <c r="L36" s="10">
        <f t="shared" si="4"/>
        <v>42.199181876670337</v>
      </c>
      <c r="M36" s="13">
        <v>5574.5795214027303</v>
      </c>
      <c r="N36" s="19">
        <f t="shared" si="8"/>
        <v>0.69145510762675966</v>
      </c>
      <c r="O36" s="21">
        <f t="shared" si="9"/>
        <v>1019.6629778987314</v>
      </c>
      <c r="P36" s="8">
        <f t="shared" si="10"/>
        <v>88060.310131118124</v>
      </c>
      <c r="Q36" s="8">
        <f t="shared" si="11"/>
        <v>235242.69510963571</v>
      </c>
      <c r="R36" s="8">
        <f t="shared" si="12"/>
        <v>214.6084060522484</v>
      </c>
      <c r="S36" s="8">
        <f t="shared" si="13"/>
        <v>162659.76306544215</v>
      </c>
      <c r="T36" s="8">
        <f t="shared" si="14"/>
        <v>72.349878974586858</v>
      </c>
      <c r="U36" s="8">
        <f t="shared" si="15"/>
        <v>165858.13839161082</v>
      </c>
    </row>
    <row r="37" spans="1:21">
      <c r="A37" s="1">
        <v>41764</v>
      </c>
      <c r="B37" s="5">
        <v>35</v>
      </c>
      <c r="C37" s="6">
        <f t="shared" si="0"/>
        <v>9.5890410958904104E-2</v>
      </c>
      <c r="D37" s="4">
        <f t="shared" si="1"/>
        <v>18.663511505434844</v>
      </c>
      <c r="E37" s="10">
        <f t="shared" si="5"/>
        <v>9.185790210155929</v>
      </c>
      <c r="F37" s="8">
        <v>9644.1861267709992</v>
      </c>
      <c r="G37" s="19">
        <f t="shared" si="6"/>
        <v>2.4976305350428909E-3</v>
      </c>
      <c r="H37" s="21">
        <f t="shared" si="7"/>
        <v>338.84863320961745</v>
      </c>
      <c r="I37" s="5">
        <v>400</v>
      </c>
      <c r="J37" s="6">
        <f t="shared" si="2"/>
        <v>1.095890410958904</v>
      </c>
      <c r="K37" s="4">
        <f t="shared" si="3"/>
        <v>29.902161804076787</v>
      </c>
      <c r="L37" s="10">
        <f t="shared" si="4"/>
        <v>42.303317073408017</v>
      </c>
      <c r="M37" s="13">
        <v>5542.8018710204142</v>
      </c>
      <c r="N37" s="19">
        <f t="shared" si="8"/>
        <v>0.69438704391813233</v>
      </c>
      <c r="O37" s="21">
        <f t="shared" si="9"/>
        <v>1021.4804092370661</v>
      </c>
      <c r="P37" s="8">
        <f t="shared" si="10"/>
        <v>88589.470508214668</v>
      </c>
      <c r="Q37" s="8">
        <f t="shared" si="11"/>
        <v>234478.90502485578</v>
      </c>
      <c r="R37" s="8">
        <f t="shared" si="12"/>
        <v>221.26376662459862</v>
      </c>
      <c r="S37" s="8">
        <f t="shared" si="13"/>
        <v>162819.11372137011</v>
      </c>
      <c r="T37" s="8">
        <f t="shared" si="14"/>
        <v>74.97492489955701</v>
      </c>
      <c r="U37" s="8">
        <f t="shared" si="15"/>
        <v>166316.53491572154</v>
      </c>
    </row>
    <row r="38" spans="1:21">
      <c r="A38" s="1">
        <v>41765</v>
      </c>
      <c r="B38" s="5">
        <v>36</v>
      </c>
      <c r="C38" s="6">
        <f t="shared" si="0"/>
        <v>9.8630136986301367E-2</v>
      </c>
      <c r="D38" s="4">
        <f t="shared" si="1"/>
        <v>18.704057811692184</v>
      </c>
      <c r="E38" s="10">
        <f t="shared" si="5"/>
        <v>9.2506052592589896</v>
      </c>
      <c r="F38" s="8">
        <v>9633.9138714019191</v>
      </c>
      <c r="G38" s="19">
        <f t="shared" si="6"/>
        <v>2.5596011111068762E-3</v>
      </c>
      <c r="H38" s="21">
        <f t="shared" si="7"/>
        <v>340.57446077892399</v>
      </c>
      <c r="I38" s="5">
        <v>401</v>
      </c>
      <c r="J38" s="6">
        <f t="shared" si="2"/>
        <v>1.0986301369863014</v>
      </c>
      <c r="K38" s="4">
        <f t="shared" si="3"/>
        <v>29.924863614720532</v>
      </c>
      <c r="L38" s="10">
        <f t="shared" si="4"/>
        <v>42.407464030394486</v>
      </c>
      <c r="M38" s="13">
        <v>5515.4734998823806</v>
      </c>
      <c r="N38" s="19">
        <f t="shared" si="8"/>
        <v>0.69729869816976842</v>
      </c>
      <c r="O38" s="21">
        <f t="shared" si="9"/>
        <v>1023.2968046803471</v>
      </c>
      <c r="P38" s="8">
        <f t="shared" si="10"/>
        <v>89119.534326038731</v>
      </c>
      <c r="Q38" s="8">
        <f t="shared" si="11"/>
        <v>233897.24405685603</v>
      </c>
      <c r="R38" s="8">
        <f t="shared" si="12"/>
        <v>228.11045908225614</v>
      </c>
      <c r="S38" s="8">
        <f t="shared" si="13"/>
        <v>163096.2437863423</v>
      </c>
      <c r="T38" s="8">
        <f t="shared" si="14"/>
        <v>77.6885965999722</v>
      </c>
      <c r="U38" s="8">
        <f t="shared" si="15"/>
        <v>166895.86512193098</v>
      </c>
    </row>
    <row r="39" spans="1:21">
      <c r="A39" s="1">
        <v>41766</v>
      </c>
      <c r="B39" s="5">
        <v>37</v>
      </c>
      <c r="C39" s="6">
        <f t="shared" si="0"/>
        <v>0.10136986301369863</v>
      </c>
      <c r="D39" s="4">
        <f t="shared" si="1"/>
        <v>18.74453973936625</v>
      </c>
      <c r="E39" s="10">
        <f t="shared" si="5"/>
        <v>9.3156321411267982</v>
      </c>
      <c r="F39" s="8">
        <v>9623.6619169327769</v>
      </c>
      <c r="G39" s="19">
        <f t="shared" si="6"/>
        <v>2.6230031761322321E-3</v>
      </c>
      <c r="H39" s="21">
        <f t="shared" si="7"/>
        <v>342.30256042536746</v>
      </c>
      <c r="I39" s="5">
        <v>402</v>
      </c>
      <c r="J39" s="6">
        <f t="shared" si="2"/>
        <v>1.1013698630136985</v>
      </c>
      <c r="K39" s="4">
        <f t="shared" si="3"/>
        <v>29.947529379900658</v>
      </c>
      <c r="L39" s="10">
        <f t="shared" si="4"/>
        <v>42.511622333213637</v>
      </c>
      <c r="M39" s="13">
        <v>5486.8185087861884</v>
      </c>
      <c r="N39" s="19">
        <f t="shared" si="8"/>
        <v>0.70019000380332452</v>
      </c>
      <c r="O39" s="21">
        <f t="shared" si="9"/>
        <v>1025.1121604811606</v>
      </c>
      <c r="P39" s="8">
        <f t="shared" si="10"/>
        <v>89650.49426871691</v>
      </c>
      <c r="Q39" s="8">
        <f t="shared" si="11"/>
        <v>233253.55625640487</v>
      </c>
      <c r="R39" s="8">
        <f t="shared" si="12"/>
        <v>235.15353120866894</v>
      </c>
      <c r="S39" s="8">
        <f t="shared" si="13"/>
        <v>163321.8084423111</v>
      </c>
      <c r="T39" s="8">
        <f t="shared" si="14"/>
        <v>80.493655825793937</v>
      </c>
      <c r="U39" s="8">
        <f t="shared" si="15"/>
        <v>167423.17190598778</v>
      </c>
    </row>
    <row r="40" spans="1:21">
      <c r="A40" s="1">
        <v>41767</v>
      </c>
      <c r="B40" s="5">
        <v>38</v>
      </c>
      <c r="C40" s="6">
        <f t="shared" si="0"/>
        <v>0.10410958904109589</v>
      </c>
      <c r="D40" s="4">
        <f t="shared" si="1"/>
        <v>18.784957390676013</v>
      </c>
      <c r="E40" s="10">
        <f t="shared" si="5"/>
        <v>9.3808703629643535</v>
      </c>
      <c r="F40" s="8">
        <v>9613.4099624636365</v>
      </c>
      <c r="G40" s="19">
        <f t="shared" si="6"/>
        <v>2.6878670795109846E-3</v>
      </c>
      <c r="H40" s="21">
        <f t="shared" si="7"/>
        <v>344.03291632207191</v>
      </c>
      <c r="I40" s="5">
        <v>403</v>
      </c>
      <c r="J40" s="6">
        <f t="shared" si="2"/>
        <v>1.1041095890410959</v>
      </c>
      <c r="K40" s="4">
        <f t="shared" si="3"/>
        <v>29.970159156849405</v>
      </c>
      <c r="L40" s="10">
        <f t="shared" si="4"/>
        <v>42.615791568602738</v>
      </c>
      <c r="M40" s="13">
        <v>5458.4900702950818</v>
      </c>
      <c r="N40" s="19">
        <f t="shared" si="8"/>
        <v>0.70306089990189002</v>
      </c>
      <c r="O40" s="21">
        <f t="shared" si="9"/>
        <v>1026.9264729126462</v>
      </c>
      <c r="P40" s="8">
        <f t="shared" si="10"/>
        <v>90182.152603901384</v>
      </c>
      <c r="Q40" s="8">
        <f t="shared" si="11"/>
        <v>232617.87511498292</v>
      </c>
      <c r="R40" s="8">
        <f t="shared" si="12"/>
        <v>242.39763914346236</v>
      </c>
      <c r="S40" s="8">
        <f t="shared" si="13"/>
        <v>163544.53261160536</v>
      </c>
      <c r="T40" s="8">
        <f t="shared" si="14"/>
        <v>83.392766704110571</v>
      </c>
      <c r="U40" s="8">
        <f t="shared" si="15"/>
        <v>167948.21003898315</v>
      </c>
    </row>
    <row r="41" spans="1:21">
      <c r="A41" s="1">
        <v>41768</v>
      </c>
      <c r="B41" s="5">
        <v>39</v>
      </c>
      <c r="C41" s="6">
        <f t="shared" si="0"/>
        <v>0.10684931506849316</v>
      </c>
      <c r="D41" s="4">
        <f t="shared" si="1"/>
        <v>18.825310867678155</v>
      </c>
      <c r="E41" s="10">
        <f t="shared" si="5"/>
        <v>9.4463194296842836</v>
      </c>
      <c r="F41" s="8">
        <v>9603.1580079944943</v>
      </c>
      <c r="G41" s="19">
        <f t="shared" si="6"/>
        <v>2.7542237464974533E-3</v>
      </c>
      <c r="H41" s="21">
        <f t="shared" si="7"/>
        <v>345.76551268332781</v>
      </c>
      <c r="I41" s="5">
        <v>404</v>
      </c>
      <c r="J41" s="6">
        <f t="shared" si="2"/>
        <v>1.106849315068493</v>
      </c>
      <c r="K41" s="4">
        <f t="shared" si="3"/>
        <v>29.992753002708142</v>
      </c>
      <c r="L41" s="10">
        <f t="shared" si="4"/>
        <v>42.719971324452395</v>
      </c>
      <c r="M41" s="13">
        <v>5434.1823107540813</v>
      </c>
      <c r="N41" s="19">
        <f t="shared" si="8"/>
        <v>0.70591133112993831</v>
      </c>
      <c r="O41" s="21">
        <f t="shared" si="9"/>
        <v>1028.7397382684296</v>
      </c>
      <c r="P41" s="8">
        <f t="shared" si="10"/>
        <v>90714.498077246608</v>
      </c>
      <c r="Q41" s="8">
        <f t="shared" si="11"/>
        <v>232148.11248726081</v>
      </c>
      <c r="R41" s="8">
        <f t="shared" si="12"/>
        <v>249.84802475595018</v>
      </c>
      <c r="S41" s="8">
        <f t="shared" si="13"/>
        <v>163875.98310518492</v>
      </c>
      <c r="T41" s="8">
        <f t="shared" si="14"/>
        <v>86.388830372657893</v>
      </c>
      <c r="U41" s="8">
        <f t="shared" si="15"/>
        <v>168585.73596810951</v>
      </c>
    </row>
    <row r="42" spans="1:21">
      <c r="A42" s="1">
        <v>41769</v>
      </c>
      <c r="B42" s="5">
        <v>40</v>
      </c>
      <c r="C42" s="6">
        <f t="shared" si="0"/>
        <v>0.1095890410958904</v>
      </c>
      <c r="D42" s="4">
        <f t="shared" si="1"/>
        <v>18.865600272267312</v>
      </c>
      <c r="E42" s="10">
        <f t="shared" si="5"/>
        <v>9.5119788439337754</v>
      </c>
      <c r="F42" s="8">
        <v>9592.9466553252296</v>
      </c>
      <c r="G42" s="19">
        <f t="shared" si="6"/>
        <v>2.8221046874540314E-3</v>
      </c>
      <c r="H42" s="21">
        <f t="shared" si="7"/>
        <v>347.50033376463523</v>
      </c>
      <c r="I42" s="5">
        <v>405</v>
      </c>
      <c r="J42" s="6">
        <f t="shared" si="2"/>
        <v>1.1095890410958904</v>
      </c>
      <c r="K42" s="4">
        <f t="shared" si="3"/>
        <v>30.015310974527505</v>
      </c>
      <c r="L42" s="10">
        <f t="shared" si="4"/>
        <v>42.82416118980634</v>
      </c>
      <c r="M42" s="13">
        <v>5402.710803439033</v>
      </c>
      <c r="N42" s="19">
        <f t="shared" si="8"/>
        <v>0.70874124765168756</v>
      </c>
      <c r="O42" s="21">
        <f t="shared" si="9"/>
        <v>1030.5519528625589</v>
      </c>
      <c r="P42" s="8">
        <f t="shared" si="10"/>
        <v>91247.905636438853</v>
      </c>
      <c r="Q42" s="8">
        <f t="shared" si="11"/>
        <v>231366.55830838127</v>
      </c>
      <c r="R42" s="8">
        <f t="shared" si="12"/>
        <v>257.51114221695724</v>
      </c>
      <c r="S42" s="8">
        <f t="shared" si="13"/>
        <v>163979.02320035905</v>
      </c>
      <c r="T42" s="8">
        <f t="shared" si="14"/>
        <v>89.4852078685051</v>
      </c>
      <c r="U42" s="8">
        <f t="shared" si="15"/>
        <v>168988.90258762488</v>
      </c>
    </row>
    <row r="43" spans="1:21">
      <c r="A43" s="1">
        <v>41770</v>
      </c>
      <c r="B43" s="5">
        <v>41</v>
      </c>
      <c r="C43" s="6">
        <f t="shared" si="0"/>
        <v>0.11232876712328767</v>
      </c>
      <c r="D43" s="4">
        <f t="shared" si="1"/>
        <v>18.905825706176334</v>
      </c>
      <c r="E43" s="10">
        <f t="shared" si="5"/>
        <v>9.5778481061212641</v>
      </c>
      <c r="F43" s="8">
        <v>9582.715001756027</v>
      </c>
      <c r="G43" s="19">
        <f t="shared" si="6"/>
        <v>2.8915420072011737E-3</v>
      </c>
      <c r="H43" s="21">
        <f t="shared" si="7"/>
        <v>349.23736386274379</v>
      </c>
      <c r="I43" s="5">
        <v>406</v>
      </c>
      <c r="J43" s="6">
        <f t="shared" si="2"/>
        <v>1.1123287671232878</v>
      </c>
      <c r="K43" s="4">
        <f t="shared" si="3"/>
        <v>30.037833129267547</v>
      </c>
      <c r="L43" s="10">
        <f t="shared" si="4"/>
        <v>42.928360754861686</v>
      </c>
      <c r="M43" s="13">
        <v>5371.178067510531</v>
      </c>
      <c r="N43" s="19">
        <f t="shared" si="8"/>
        <v>0.71155060504798884</v>
      </c>
      <c r="O43" s="21">
        <f t="shared" si="9"/>
        <v>1032.3631130294395</v>
      </c>
      <c r="P43" s="8">
        <f t="shared" si="10"/>
        <v>91781.788731068795</v>
      </c>
      <c r="Q43" s="8">
        <f t="shared" si="11"/>
        <v>230575.86976069291</v>
      </c>
      <c r="R43" s="8">
        <f t="shared" si="12"/>
        <v>265.39089761194873</v>
      </c>
      <c r="S43" s="8">
        <f t="shared" si="13"/>
        <v>164066.39963768731</v>
      </c>
      <c r="T43" s="8">
        <f t="shared" si="14"/>
        <v>92.68441747516431</v>
      </c>
      <c r="U43" s="8">
        <f t="shared" si="15"/>
        <v>169376.09907349496</v>
      </c>
    </row>
    <row r="44" spans="1:21">
      <c r="A44" s="1">
        <v>41771</v>
      </c>
      <c r="B44" s="5">
        <v>42</v>
      </c>
      <c r="C44" s="6">
        <f t="shared" si="0"/>
        <v>0.11506849315068493</v>
      </c>
      <c r="D44" s="4">
        <f t="shared" si="1"/>
        <v>18.945987270976527</v>
      </c>
      <c r="E44" s="10">
        <f t="shared" si="5"/>
        <v>9.6439267144430758</v>
      </c>
      <c r="F44" s="8">
        <v>9572.5239499867021</v>
      </c>
      <c r="G44" s="19">
        <f t="shared" si="6"/>
        <v>2.9625684144713228E-3</v>
      </c>
      <c r="H44" s="21">
        <f t="shared" si="7"/>
        <v>350.97658731569322</v>
      </c>
      <c r="I44" s="5">
        <v>407</v>
      </c>
      <c r="J44" s="6">
        <f t="shared" si="2"/>
        <v>1.1150684931506849</v>
      </c>
      <c r="K44" s="4">
        <f t="shared" si="3"/>
        <v>30.060319523797887</v>
      </c>
      <c r="L44" s="10">
        <f t="shared" si="4"/>
        <v>43.032569610969063</v>
      </c>
      <c r="M44" s="13">
        <v>5347.2784987258865</v>
      </c>
      <c r="N44" s="19">
        <f t="shared" si="8"/>
        <v>0.71433936423185207</v>
      </c>
      <c r="O44" s="21">
        <f t="shared" si="9"/>
        <v>1034.173215123772</v>
      </c>
      <c r="P44" s="8">
        <f t="shared" si="10"/>
        <v>92316.719445922907</v>
      </c>
      <c r="Q44" s="8">
        <f t="shared" si="11"/>
        <v>230107.13422565986</v>
      </c>
      <c r="R44" s="8">
        <f t="shared" si="12"/>
        <v>273.49459715810178</v>
      </c>
      <c r="S44" s="8">
        <f t="shared" si="13"/>
        <v>164374.58396797132</v>
      </c>
      <c r="T44" s="8">
        <f t="shared" si="14"/>
        <v>95.990200359830851</v>
      </c>
      <c r="U44" s="8">
        <f t="shared" si="15"/>
        <v>169991.79198678935</v>
      </c>
    </row>
    <row r="45" spans="1:21">
      <c r="A45" s="1">
        <v>41772</v>
      </c>
      <c r="B45" s="5">
        <v>43</v>
      </c>
      <c r="C45" s="6">
        <f t="shared" si="0"/>
        <v>0.11780821917808219</v>
      </c>
      <c r="D45" s="4">
        <f t="shared" si="1"/>
        <v>18.986085068077944</v>
      </c>
      <c r="E45" s="10">
        <f t="shared" si="5"/>
        <v>9.7102141649099085</v>
      </c>
      <c r="F45" s="8">
        <v>9562.3125973174392</v>
      </c>
      <c r="G45" s="19">
        <f t="shared" si="6"/>
        <v>3.0352172314666564E-3</v>
      </c>
      <c r="H45" s="21">
        <f t="shared" si="7"/>
        <v>352.71798850285222</v>
      </c>
      <c r="I45" s="5">
        <v>408</v>
      </c>
      <c r="J45" s="6">
        <f t="shared" si="2"/>
        <v>1.1178082191780823</v>
      </c>
      <c r="K45" s="4">
        <f t="shared" si="3"/>
        <v>30.082770214897838</v>
      </c>
      <c r="L45" s="10">
        <f t="shared" si="4"/>
        <v>43.136787350631764</v>
      </c>
      <c r="M45" s="13">
        <v>5318.9704697725974</v>
      </c>
      <c r="N45" s="19">
        <f t="shared" si="8"/>
        <v>0.71710749136270846</v>
      </c>
      <c r="O45" s="21">
        <f t="shared" si="9"/>
        <v>1035.982255520481</v>
      </c>
      <c r="P45" s="8">
        <f t="shared" si="10"/>
        <v>92852.103231768255</v>
      </c>
      <c r="Q45" s="8">
        <f t="shared" si="11"/>
        <v>229443.29807887046</v>
      </c>
      <c r="R45" s="8">
        <f t="shared" si="12"/>
        <v>281.82630370698382</v>
      </c>
      <c r="S45" s="8">
        <f t="shared" si="13"/>
        <v>164535.50789532493</v>
      </c>
      <c r="T45" s="8">
        <f t="shared" si="14"/>
        <v>99.405206950721265</v>
      </c>
      <c r="U45" s="8">
        <f t="shared" si="15"/>
        <v>170455.86658260666</v>
      </c>
    </row>
    <row r="46" spans="1:21">
      <c r="A46" s="1">
        <v>41773</v>
      </c>
      <c r="B46" s="5">
        <v>44</v>
      </c>
      <c r="C46" s="6">
        <f t="shared" si="0"/>
        <v>0.12054794520547946</v>
      </c>
      <c r="D46" s="4">
        <f t="shared" si="1"/>
        <v>19.02611919872961</v>
      </c>
      <c r="E46" s="10">
        <f t="shared" si="5"/>
        <v>9.7767099513732152</v>
      </c>
      <c r="F46" s="8">
        <v>9552.1418464480521</v>
      </c>
      <c r="G46" s="19">
        <f t="shared" si="6"/>
        <v>3.1095224035201361E-3</v>
      </c>
      <c r="H46" s="21">
        <f t="shared" si="7"/>
        <v>354.4615518449553</v>
      </c>
      <c r="I46" s="5">
        <v>409</v>
      </c>
      <c r="J46" s="6">
        <f t="shared" si="2"/>
        <v>1.1205479452054794</v>
      </c>
      <c r="K46" s="4">
        <f t="shared" si="3"/>
        <v>30.105185259256572</v>
      </c>
      <c r="L46" s="10">
        <f t="shared" si="4"/>
        <v>43.241013567506542</v>
      </c>
      <c r="M46" s="13">
        <v>5291.0094029622114</v>
      </c>
      <c r="N46" s="19">
        <f t="shared" si="8"/>
        <v>0.71985495775952424</v>
      </c>
      <c r="O46" s="21">
        <f t="shared" si="9"/>
        <v>1037.7902306146564</v>
      </c>
      <c r="P46" s="8">
        <f t="shared" si="10"/>
        <v>93388.520247097185</v>
      </c>
      <c r="Q46" s="8">
        <f t="shared" si="11"/>
        <v>228788.60937929366</v>
      </c>
      <c r="R46" s="8">
        <f t="shared" si="12"/>
        <v>290.39369593994252</v>
      </c>
      <c r="S46" s="8">
        <f t="shared" si="13"/>
        <v>164694.61474059173</v>
      </c>
      <c r="T46" s="8">
        <f t="shared" si="14"/>
        <v>102.93340010886412</v>
      </c>
      <c r="U46" s="8">
        <f t="shared" si="15"/>
        <v>170918.46221263069</v>
      </c>
    </row>
    <row r="47" spans="1:21">
      <c r="A47" s="1">
        <v>41774</v>
      </c>
      <c r="B47" s="5">
        <v>45</v>
      </c>
      <c r="C47" s="6">
        <f t="shared" si="0"/>
        <v>0.12328767123287671</v>
      </c>
      <c r="D47" s="4">
        <f t="shared" si="1"/>
        <v>19.066089764019793</v>
      </c>
      <c r="E47" s="10">
        <f t="shared" si="5"/>
        <v>9.8434135655512804</v>
      </c>
      <c r="F47" s="8">
        <v>9541.9710955786668</v>
      </c>
      <c r="G47" s="19">
        <f t="shared" si="6"/>
        <v>3.1855185088597443E-3</v>
      </c>
      <c r="H47" s="21">
        <f t="shared" si="7"/>
        <v>356.20726180413646</v>
      </c>
      <c r="I47" s="5">
        <v>410</v>
      </c>
      <c r="J47" s="6">
        <f t="shared" si="2"/>
        <v>1.1232876712328768</v>
      </c>
      <c r="K47" s="4">
        <f t="shared" si="3"/>
        <v>30.127564713473248</v>
      </c>
      <c r="L47" s="10">
        <f t="shared" si="4"/>
        <v>43.345247856402949</v>
      </c>
      <c r="M47" s="13">
        <v>5263.7422604376297</v>
      </c>
      <c r="N47" s="19">
        <f t="shared" si="8"/>
        <v>0.72258173981285601</v>
      </c>
      <c r="O47" s="21">
        <f t="shared" si="9"/>
        <v>1039.5971368214882</v>
      </c>
      <c r="P47" s="8">
        <f t="shared" si="10"/>
        <v>93925.567724317269</v>
      </c>
      <c r="Q47" s="8">
        <f t="shared" si="11"/>
        <v>228158.21293089178</v>
      </c>
      <c r="R47" s="8">
        <f t="shared" si="12"/>
        <v>299.2016344409721</v>
      </c>
      <c r="S47" s="8">
        <f t="shared" si="13"/>
        <v>164862.95845219583</v>
      </c>
      <c r="T47" s="8">
        <f t="shared" si="14"/>
        <v>106.57779493154088</v>
      </c>
      <c r="U47" s="8">
        <f t="shared" si="15"/>
        <v>171391.05957482275</v>
      </c>
    </row>
    <row r="48" spans="1:21">
      <c r="A48" s="1">
        <v>41775</v>
      </c>
      <c r="B48" s="5">
        <v>46</v>
      </c>
      <c r="C48" s="6">
        <f t="shared" si="0"/>
        <v>0.12602739726027398</v>
      </c>
      <c r="D48" s="4">
        <f t="shared" si="1"/>
        <v>19.105996864876261</v>
      </c>
      <c r="E48" s="10">
        <f t="shared" si="5"/>
        <v>9.9103244970553028</v>
      </c>
      <c r="F48" s="8">
        <v>9531.8003447092797</v>
      </c>
      <c r="G48" s="19">
        <f t="shared" si="6"/>
        <v>3.2632407684752489E-3</v>
      </c>
      <c r="H48" s="21">
        <f t="shared" si="7"/>
        <v>357.95510288396224</v>
      </c>
      <c r="I48" s="5">
        <v>411</v>
      </c>
      <c r="J48" s="6">
        <f t="shared" si="2"/>
        <v>1.1260273972602739</v>
      </c>
      <c r="K48" s="4">
        <f t="shared" si="3"/>
        <v>30.149908634057134</v>
      </c>
      <c r="L48" s="10">
        <f t="shared" si="4"/>
        <v>43.449489813283122</v>
      </c>
      <c r="M48" s="13">
        <v>5232.6585343411198</v>
      </c>
      <c r="N48" s="19">
        <f t="shared" si="8"/>
        <v>0.72528781889596028</v>
      </c>
      <c r="O48" s="21">
        <f t="shared" si="9"/>
        <v>1041.4029705761941</v>
      </c>
      <c r="P48" s="8">
        <f t="shared" si="10"/>
        <v>94463.234457212558</v>
      </c>
      <c r="Q48" s="8">
        <f t="shared" si="11"/>
        <v>227356.34368424347</v>
      </c>
      <c r="R48" s="8">
        <f t="shared" si="12"/>
        <v>308.25627780281189</v>
      </c>
      <c r="S48" s="8">
        <f t="shared" si="13"/>
        <v>164898.78662290529</v>
      </c>
      <c r="T48" s="8">
        <f t="shared" si="14"/>
        <v>110.34190763553278</v>
      </c>
      <c r="U48" s="8">
        <f t="shared" si="15"/>
        <v>171726.08623350356</v>
      </c>
    </row>
    <row r="49" spans="1:21">
      <c r="A49" s="1">
        <v>41776</v>
      </c>
      <c r="B49" s="5">
        <v>47</v>
      </c>
      <c r="C49" s="6">
        <f t="shared" si="0"/>
        <v>0.12876712328767123</v>
      </c>
      <c r="D49" s="4">
        <f t="shared" si="1"/>
        <v>19.14584060206651</v>
      </c>
      <c r="E49" s="10">
        <f t="shared" si="5"/>
        <v>9.9774422334152693</v>
      </c>
      <c r="F49" s="8">
        <v>9521.6498947398322</v>
      </c>
      <c r="G49" s="19">
        <f t="shared" si="6"/>
        <v>3.3427250560870703E-3</v>
      </c>
      <c r="H49" s="21">
        <f t="shared" si="7"/>
        <v>359.70505962946459</v>
      </c>
      <c r="I49" s="5">
        <v>412</v>
      </c>
      <c r="J49" s="6">
        <f t="shared" si="2"/>
        <v>1.1287671232876713</v>
      </c>
      <c r="K49" s="4">
        <f t="shared" si="3"/>
        <v>30.17221707742782</v>
      </c>
      <c r="L49" s="10">
        <f t="shared" si="4"/>
        <v>43.553739035262254</v>
      </c>
      <c r="M49" s="13">
        <v>5204.6362389172791</v>
      </c>
      <c r="N49" s="19">
        <f t="shared" si="8"/>
        <v>0.72797318127505839</v>
      </c>
      <c r="O49" s="21">
        <f t="shared" si="9"/>
        <v>1043.207728333972</v>
      </c>
      <c r="P49" s="8">
        <f t="shared" si="10"/>
        <v>95001.711791571259</v>
      </c>
      <c r="Q49" s="8">
        <f t="shared" si="11"/>
        <v>226681.36852327202</v>
      </c>
      <c r="R49" s="8">
        <f t="shared" si="12"/>
        <v>317.56460237684774</v>
      </c>
      <c r="S49" s="8">
        <f t="shared" si="13"/>
        <v>165017.95697967021</v>
      </c>
      <c r="T49" s="8">
        <f t="shared" si="14"/>
        <v>114.22959423417123</v>
      </c>
      <c r="U49" s="8">
        <f t="shared" si="15"/>
        <v>172148.00803507489</v>
      </c>
    </row>
    <row r="50" spans="1:21">
      <c r="A50" s="1">
        <v>41777</v>
      </c>
      <c r="B50" s="5">
        <v>48</v>
      </c>
      <c r="C50" s="6">
        <f t="shared" si="0"/>
        <v>0.13150684931506848</v>
      </c>
      <c r="D50" s="4">
        <f t="shared" si="1"/>
        <v>19.185621076198064</v>
      </c>
      <c r="E50" s="10">
        <f t="shared" si="5"/>
        <v>10.044766260105678</v>
      </c>
      <c r="F50" s="8">
        <v>9511.5197456703263</v>
      </c>
      <c r="G50" s="19">
        <f t="shared" si="6"/>
        <v>3.4240079082167919E-3</v>
      </c>
      <c r="H50" s="21">
        <f t="shared" si="7"/>
        <v>361.45711662717082</v>
      </c>
      <c r="I50" s="5">
        <v>413</v>
      </c>
      <c r="J50" s="6">
        <f t="shared" si="2"/>
        <v>1.1315068493150684</v>
      </c>
      <c r="K50" s="4">
        <f t="shared" si="3"/>
        <v>30.194490099915281</v>
      </c>
      <c r="L50" s="10">
        <f t="shared" si="4"/>
        <v>43.657995120607872</v>
      </c>
      <c r="M50" s="13">
        <v>5180.9203559729958</v>
      </c>
      <c r="N50" s="19">
        <f t="shared" si="8"/>
        <v>0.73063781801882799</v>
      </c>
      <c r="O50" s="21">
        <f t="shared" si="9"/>
        <v>1045.0114065699208</v>
      </c>
      <c r="P50" s="8">
        <f t="shared" si="10"/>
        <v>95540.992623638231</v>
      </c>
      <c r="Q50" s="8">
        <f t="shared" si="11"/>
        <v>226188.59562132705</v>
      </c>
      <c r="R50" s="8">
        <f t="shared" si="12"/>
        <v>327.1331143022195</v>
      </c>
      <c r="S50" s="8">
        <f t="shared" si="13"/>
        <v>165261.94196550944</v>
      </c>
      <c r="T50" s="8">
        <f t="shared" si="14"/>
        <v>118.24459224894696</v>
      </c>
      <c r="U50" s="8">
        <f t="shared" si="15"/>
        <v>172700.61442585365</v>
      </c>
    </row>
    <row r="51" spans="1:21">
      <c r="A51" s="1">
        <v>41778</v>
      </c>
      <c r="B51" s="5">
        <v>49</v>
      </c>
      <c r="C51" s="6">
        <f t="shared" si="0"/>
        <v>0.13424657534246576</v>
      </c>
      <c r="D51" s="4">
        <f t="shared" si="1"/>
        <v>19.225338387718697</v>
      </c>
      <c r="E51" s="10">
        <f t="shared" si="5"/>
        <v>10.112296060571088</v>
      </c>
      <c r="F51" s="8">
        <v>9501.3895966008167</v>
      </c>
      <c r="G51" s="19">
        <f t="shared" si="6"/>
        <v>3.5071265343584435E-3</v>
      </c>
      <c r="H51" s="21">
        <f t="shared" si="7"/>
        <v>363.21125850513016</v>
      </c>
      <c r="I51" s="5">
        <v>414</v>
      </c>
      <c r="J51" s="6">
        <f t="shared" si="2"/>
        <v>1.1342465753424658</v>
      </c>
      <c r="K51" s="4">
        <f t="shared" si="3"/>
        <v>30.216727757760051</v>
      </c>
      <c r="L51" s="10">
        <f t="shared" si="4"/>
        <v>43.762257668739515</v>
      </c>
      <c r="M51" s="13">
        <v>5152.8572414735199</v>
      </c>
      <c r="N51" s="19">
        <f t="shared" si="8"/>
        <v>0.73328172490725396</v>
      </c>
      <c r="O51" s="21">
        <f t="shared" si="9"/>
        <v>1046.8140017789774</v>
      </c>
      <c r="P51" s="8">
        <f t="shared" si="10"/>
        <v>96080.864587657561</v>
      </c>
      <c r="Q51" s="8">
        <f t="shared" si="11"/>
        <v>225500.66633159449</v>
      </c>
      <c r="R51" s="8">
        <f t="shared" si="12"/>
        <v>336.96774963947439</v>
      </c>
      <c r="S51" s="8">
        <f t="shared" si="13"/>
        <v>165355.51757536674</v>
      </c>
      <c r="T51" s="8">
        <f t="shared" si="14"/>
        <v>122.39048042219513</v>
      </c>
      <c r="U51" s="8">
        <f t="shared" si="15"/>
        <v>173096.47106930369</v>
      </c>
    </row>
    <row r="52" spans="1:21">
      <c r="A52" s="1">
        <v>41779</v>
      </c>
      <c r="B52" s="5">
        <v>50</v>
      </c>
      <c r="C52" s="6">
        <f t="shared" si="0"/>
        <v>0.13698630136986301</v>
      </c>
      <c r="D52" s="4">
        <f t="shared" si="1"/>
        <v>19.264992636916677</v>
      </c>
      <c r="E52" s="10">
        <f t="shared" si="5"/>
        <v>10.180031116251586</v>
      </c>
      <c r="F52" s="8">
        <v>9491.259447531309</v>
      </c>
      <c r="G52" s="19">
        <f t="shared" si="6"/>
        <v>3.5921188272499361E-3</v>
      </c>
      <c r="H52" s="21">
        <f t="shared" si="7"/>
        <v>364.96746993294181</v>
      </c>
      <c r="I52" s="5">
        <v>415</v>
      </c>
      <c r="J52" s="6">
        <f t="shared" si="2"/>
        <v>1.1369863013698631</v>
      </c>
      <c r="K52" s="4">
        <f t="shared" si="3"/>
        <v>30.238930107113379</v>
      </c>
      <c r="L52" s="10">
        <f t="shared" si="4"/>
        <v>43.866526280229159</v>
      </c>
      <c r="M52" s="13">
        <v>5121.9572012173712</v>
      </c>
      <c r="N52" s="19">
        <f t="shared" si="8"/>
        <v>0.73590490233990458</v>
      </c>
      <c r="O52" s="21">
        <f t="shared" si="9"/>
        <v>1048.6155104758634</v>
      </c>
      <c r="P52" s="8">
        <f t="shared" si="10"/>
        <v>96621.316508285556</v>
      </c>
      <c r="Q52" s="8">
        <f t="shared" si="11"/>
        <v>224682.47017341081</v>
      </c>
      <c r="R52" s="8">
        <f t="shared" si="12"/>
        <v>347.0752501430876</v>
      </c>
      <c r="S52" s="8">
        <f t="shared" si="13"/>
        <v>165344.93127045239</v>
      </c>
      <c r="T52" s="8">
        <f t="shared" si="14"/>
        <v>126.67117592106558</v>
      </c>
      <c r="U52" s="8">
        <f t="shared" si="15"/>
        <v>173383.25950876198</v>
      </c>
    </row>
    <row r="53" spans="1:21">
      <c r="A53" s="1">
        <v>41780</v>
      </c>
      <c r="B53" s="5">
        <v>51</v>
      </c>
      <c r="C53" s="6">
        <f t="shared" si="0"/>
        <v>0.13972602739726028</v>
      </c>
      <c r="D53" s="4">
        <f t="shared" si="1"/>
        <v>19.304583923921069</v>
      </c>
      <c r="E53" s="10">
        <f t="shared" si="5"/>
        <v>10.247970906608147</v>
      </c>
      <c r="F53" s="8">
        <v>9481.1495993617409</v>
      </c>
      <c r="G53" s="19">
        <f t="shared" si="6"/>
        <v>3.6790233732439583E-3</v>
      </c>
      <c r="H53" s="21">
        <f t="shared" si="7"/>
        <v>366.72573562178195</v>
      </c>
      <c r="I53" s="5">
        <v>416</v>
      </c>
      <c r="J53" s="6">
        <f t="shared" si="2"/>
        <v>1.1397260273972603</v>
      </c>
      <c r="K53" s="4">
        <f t="shared" si="3"/>
        <v>30.261097204037355</v>
      </c>
      <c r="L53" s="10">
        <f t="shared" si="4"/>
        <v>43.970800556800398</v>
      </c>
      <c r="M53" s="13">
        <v>5094.4247347011569</v>
      </c>
      <c r="N53" s="19">
        <f t="shared" si="8"/>
        <v>0.73850735524372568</v>
      </c>
      <c r="O53" s="21">
        <f t="shared" si="9"/>
        <v>1050.4159291950127</v>
      </c>
      <c r="P53" s="8">
        <f t="shared" si="10"/>
        <v>97162.545255458608</v>
      </c>
      <c r="Q53" s="8">
        <f t="shared" si="11"/>
        <v>224005.93396117535</v>
      </c>
      <c r="R53" s="8">
        <f t="shared" si="12"/>
        <v>357.46327499870608</v>
      </c>
      <c r="S53" s="8">
        <f t="shared" si="13"/>
        <v>165430.02984856829</v>
      </c>
      <c r="T53" s="8">
        <f t="shared" si="14"/>
        <v>131.09098248167183</v>
      </c>
      <c r="U53" s="8">
        <f t="shared" si="15"/>
        <v>173770.33852014254</v>
      </c>
    </row>
    <row r="54" spans="1:21">
      <c r="A54" s="1">
        <v>41781</v>
      </c>
      <c r="B54" s="5">
        <v>52</v>
      </c>
      <c r="C54" s="6">
        <f t="shared" si="0"/>
        <v>0.14246575342465753</v>
      </c>
      <c r="D54" s="4">
        <f t="shared" si="1"/>
        <v>19.344112348701923</v>
      </c>
      <c r="E54" s="10">
        <f t="shared" si="5"/>
        <v>10.316114909147625</v>
      </c>
      <c r="F54" s="8">
        <v>9471.0600520921089</v>
      </c>
      <c r="G54" s="19">
        <f t="shared" si="6"/>
        <v>3.7678794627771265E-3</v>
      </c>
      <c r="H54" s="21">
        <f t="shared" si="7"/>
        <v>368.4860403244233</v>
      </c>
      <c r="I54" s="5">
        <v>417</v>
      </c>
      <c r="J54" s="6">
        <f t="shared" si="2"/>
        <v>1.1424657534246576</v>
      </c>
      <c r="K54" s="4">
        <f t="shared" si="3"/>
        <v>30.283229104505061</v>
      </c>
      <c r="L54" s="10">
        <f t="shared" si="4"/>
        <v>44.075080101328552</v>
      </c>
      <c r="M54" s="13">
        <v>5066.3003915882291</v>
      </c>
      <c r="N54" s="19">
        <f t="shared" si="8"/>
        <v>0.74108909298045134</v>
      </c>
      <c r="O54" s="21">
        <f t="shared" si="9"/>
        <v>1052.2152544905096</v>
      </c>
      <c r="P54" s="8">
        <f t="shared" si="10"/>
        <v>97704.543808819886</v>
      </c>
      <c r="Q54" s="8">
        <f t="shared" si="11"/>
        <v>223297.59557664342</v>
      </c>
      <c r="R54" s="8">
        <f t="shared" si="12"/>
        <v>368.1389440372605</v>
      </c>
      <c r="S54" s="8">
        <f t="shared" si="13"/>
        <v>165483.41257061032</v>
      </c>
      <c r="T54" s="8">
        <f t="shared" si="14"/>
        <v>135.65406177750461</v>
      </c>
      <c r="U54" s="8">
        <f t="shared" si="15"/>
        <v>174124.17107194272</v>
      </c>
    </row>
    <row r="55" spans="1:21">
      <c r="A55" s="1">
        <v>41782</v>
      </c>
      <c r="B55" s="5">
        <v>53</v>
      </c>
      <c r="C55" s="6">
        <f t="shared" si="0"/>
        <v>0.14520547945205478</v>
      </c>
      <c r="D55" s="4">
        <f t="shared" si="1"/>
        <v>19.383578011070576</v>
      </c>
      <c r="E55" s="10">
        <f t="shared" si="5"/>
        <v>10.384462599447836</v>
      </c>
      <c r="F55" s="8">
        <v>9460.9705048224787</v>
      </c>
      <c r="G55" s="19">
        <f t="shared" si="6"/>
        <v>3.858727100936786E-3</v>
      </c>
      <c r="H55" s="21">
        <f t="shared" si="7"/>
        <v>370.24836883526172</v>
      </c>
      <c r="I55" s="5">
        <v>418</v>
      </c>
      <c r="J55" s="6">
        <f t="shared" si="2"/>
        <v>1.1452054794520548</v>
      </c>
      <c r="K55" s="4">
        <f t="shared" si="3"/>
        <v>30.305325864400693</v>
      </c>
      <c r="L55" s="10">
        <f t="shared" si="4"/>
        <v>44.17936451784017</v>
      </c>
      <c r="M55" s="13">
        <v>5037.5637623407656</v>
      </c>
      <c r="N55" s="19">
        <f t="shared" si="8"/>
        <v>0.74365012925370677</v>
      </c>
      <c r="O55" s="21">
        <f t="shared" si="9"/>
        <v>1054.0134829360275</v>
      </c>
      <c r="P55" s="8">
        <f t="shared" si="10"/>
        <v>98247.094361808151</v>
      </c>
      <c r="Q55" s="8">
        <f t="shared" si="11"/>
        <v>222556.36573831504</v>
      </c>
      <c r="R55" s="8">
        <f t="shared" si="12"/>
        <v>379.10872560220281</v>
      </c>
      <c r="S55" s="8">
        <f t="shared" si="13"/>
        <v>165504.07014753323</v>
      </c>
      <c r="T55" s="8">
        <f t="shared" si="14"/>
        <v>140.36438726543042</v>
      </c>
      <c r="U55" s="8">
        <f t="shared" si="15"/>
        <v>174443.52141629011</v>
      </c>
    </row>
    <row r="56" spans="1:21">
      <c r="A56" s="1">
        <v>41783</v>
      </c>
      <c r="B56" s="5">
        <v>54</v>
      </c>
      <c r="C56" s="6">
        <f t="shared" si="0"/>
        <v>0.14794520547945206</v>
      </c>
      <c r="D56" s="4">
        <f t="shared" si="1"/>
        <v>19.422981010679891</v>
      </c>
      <c r="E56" s="10">
        <f t="shared" si="5"/>
        <v>10.453013451182478</v>
      </c>
      <c r="F56" s="8">
        <v>9450.9012584527864</v>
      </c>
      <c r="G56" s="19">
        <f t="shared" si="6"/>
        <v>3.9516070181241153E-3</v>
      </c>
      <c r="H56" s="21">
        <f t="shared" si="7"/>
        <v>372.01270599033472</v>
      </c>
      <c r="I56" s="5">
        <v>419</v>
      </c>
      <c r="J56" s="6">
        <f t="shared" si="2"/>
        <v>1.1479452054794521</v>
      </c>
      <c r="K56" s="4">
        <f t="shared" si="3"/>
        <v>30.327387539519723</v>
      </c>
      <c r="L56" s="10">
        <f t="shared" si="4"/>
        <v>44.283653411512951</v>
      </c>
      <c r="M56" s="13">
        <v>5013.1335455728586</v>
      </c>
      <c r="N56" s="19">
        <f t="shared" si="8"/>
        <v>0.74619048201588833</v>
      </c>
      <c r="O56" s="21">
        <f t="shared" si="9"/>
        <v>1055.8106111247621</v>
      </c>
      <c r="P56" s="8">
        <f t="shared" si="10"/>
        <v>98790.397980404392</v>
      </c>
      <c r="Q56" s="8">
        <f t="shared" si="11"/>
        <v>221999.86843777754</v>
      </c>
      <c r="R56" s="8">
        <f t="shared" si="12"/>
        <v>390.38082998264042</v>
      </c>
      <c r="S56" s="8">
        <f t="shared" si="13"/>
        <v>165654.18883704901</v>
      </c>
      <c r="T56" s="8">
        <f t="shared" si="14"/>
        <v>145.22662892859483</v>
      </c>
      <c r="U56" s="8">
        <f t="shared" si="15"/>
        <v>174899.45035142146</v>
      </c>
    </row>
    <row r="57" spans="1:21">
      <c r="A57" s="1">
        <v>41784</v>
      </c>
      <c r="B57" s="5">
        <v>55</v>
      </c>
      <c r="C57" s="6">
        <f t="shared" si="0"/>
        <v>0.15068493150684931</v>
      </c>
      <c r="D57" s="4">
        <f t="shared" si="1"/>
        <v>19.462321447024479</v>
      </c>
      <c r="E57" s="10">
        <f t="shared" si="5"/>
        <v>10.521766936145674</v>
      </c>
      <c r="F57" s="8">
        <v>9440.832012083094</v>
      </c>
      <c r="G57" s="19">
        <f t="shared" si="6"/>
        <v>4.046560680812411E-3</v>
      </c>
      <c r="H57" s="21">
        <f t="shared" si="7"/>
        <v>373.77903666734056</v>
      </c>
      <c r="I57" s="5">
        <v>420</v>
      </c>
      <c r="J57" s="6">
        <f t="shared" si="2"/>
        <v>1.1506849315068493</v>
      </c>
      <c r="K57" s="4">
        <f t="shared" si="3"/>
        <v>30.349414185569028</v>
      </c>
      <c r="L57" s="10">
        <f t="shared" si="4"/>
        <v>44.387946388675097</v>
      </c>
      <c r="M57" s="13">
        <v>4979.9680466189329</v>
      </c>
      <c r="N57" s="19">
        <f t="shared" si="8"/>
        <v>0.74871017337490764</v>
      </c>
      <c r="O57" s="21">
        <f t="shared" si="9"/>
        <v>1057.6066356693705</v>
      </c>
      <c r="P57" s="8">
        <f t="shared" si="10"/>
        <v>99334.23411444154</v>
      </c>
      <c r="Q57" s="8">
        <f t="shared" si="11"/>
        <v>221050.55467063625</v>
      </c>
      <c r="R57" s="8">
        <f t="shared" si="12"/>
        <v>401.96200602611401</v>
      </c>
      <c r="S57" s="8">
        <f t="shared" si="13"/>
        <v>165502.79911207157</v>
      </c>
      <c r="T57" s="8">
        <f t="shared" si="14"/>
        <v>150.24497138931264</v>
      </c>
      <c r="U57" s="8">
        <f t="shared" si="15"/>
        <v>175036.85856278168</v>
      </c>
    </row>
    <row r="58" spans="1:21">
      <c r="A58" s="1">
        <v>41785</v>
      </c>
      <c r="B58" s="5">
        <v>56</v>
      </c>
      <c r="C58" s="6">
        <f t="shared" si="0"/>
        <v>0.15342465753424658</v>
      </c>
      <c r="D58" s="4">
        <f t="shared" si="1"/>
        <v>19.50159941944101</v>
      </c>
      <c r="E58" s="10">
        <f t="shared" si="5"/>
        <v>10.590722524276751</v>
      </c>
      <c r="F58" s="8">
        <v>9430.7627657134035</v>
      </c>
      <c r="G58" s="19">
        <f t="shared" si="6"/>
        <v>4.1436303023995921E-3</v>
      </c>
      <c r="H58" s="21">
        <f t="shared" si="7"/>
        <v>375.5473457856574</v>
      </c>
      <c r="I58" s="5">
        <v>421</v>
      </c>
      <c r="J58" s="6">
        <f t="shared" si="2"/>
        <v>1.1534246575342466</v>
      </c>
      <c r="K58" s="4">
        <f t="shared" si="3"/>
        <v>30.371405858167044</v>
      </c>
      <c r="L58" s="10">
        <f t="shared" si="4"/>
        <v>44.492243056805449</v>
      </c>
      <c r="M58" s="13">
        <v>4947.3536051860883</v>
      </c>
      <c r="N58" s="19">
        <f t="shared" si="8"/>
        <v>0.75120922950086999</v>
      </c>
      <c r="O58" s="21">
        <f t="shared" si="9"/>
        <v>1059.4015532019089</v>
      </c>
      <c r="P58" s="8">
        <f t="shared" si="10"/>
        <v>99878.591643951455</v>
      </c>
      <c r="Q58" s="8">
        <f t="shared" si="11"/>
        <v>220118.85908990214</v>
      </c>
      <c r="R58" s="8">
        <f t="shared" si="12"/>
        <v>413.85995889687194</v>
      </c>
      <c r="S58" s="8">
        <f t="shared" si="13"/>
        <v>165355.31853553595</v>
      </c>
      <c r="T58" s="8">
        <f t="shared" si="14"/>
        <v>155.42400909068152</v>
      </c>
      <c r="U58" s="8">
        <f t="shared" si="15"/>
        <v>175177.68128674317</v>
      </c>
    </row>
    <row r="59" spans="1:21">
      <c r="A59" s="1">
        <v>41786</v>
      </c>
      <c r="B59" s="5">
        <v>57</v>
      </c>
      <c r="C59" s="6">
        <f t="shared" si="0"/>
        <v>0.15616438356164383</v>
      </c>
      <c r="D59" s="4">
        <f t="shared" si="1"/>
        <v>19.540815027108405</v>
      </c>
      <c r="E59" s="10">
        <f t="shared" si="5"/>
        <v>10.659879683684441</v>
      </c>
      <c r="F59" s="8">
        <v>9420.7341211435905</v>
      </c>
      <c r="G59" s="19">
        <f t="shared" si="6"/>
        <v>4.2428588541530065E-3</v>
      </c>
      <c r="H59" s="21">
        <f t="shared" si="7"/>
        <v>377.3176183063589</v>
      </c>
      <c r="I59" s="5">
        <v>422</v>
      </c>
      <c r="J59" s="6">
        <f t="shared" si="2"/>
        <v>1.1561643835616437</v>
      </c>
      <c r="K59" s="4">
        <f t="shared" si="3"/>
        <v>30.393362612843887</v>
      </c>
      <c r="L59" s="10">
        <f t="shared" si="4"/>
        <v>44.596543024532714</v>
      </c>
      <c r="M59" s="13">
        <v>4921.4947207709347</v>
      </c>
      <c r="N59" s="19">
        <f t="shared" si="8"/>
        <v>0.7536876805327577</v>
      </c>
      <c r="O59" s="21">
        <f t="shared" si="9"/>
        <v>1061.1953603737679</v>
      </c>
      <c r="P59" s="8">
        <f t="shared" si="10"/>
        <v>100423.89226337135</v>
      </c>
      <c r="Q59" s="8">
        <f t="shared" si="11"/>
        <v>219481.6510598716</v>
      </c>
      <c r="R59" s="8">
        <f t="shared" si="12"/>
        <v>426.08440045815274</v>
      </c>
      <c r="S59" s="8">
        <f t="shared" si="13"/>
        <v>165420.61650681469</v>
      </c>
      <c r="T59" s="8">
        <f t="shared" si="14"/>
        <v>160.76915117836305</v>
      </c>
      <c r="U59" s="8">
        <f t="shared" si="15"/>
        <v>175543.59074720007</v>
      </c>
    </row>
    <row r="60" spans="1:21">
      <c r="A60" s="1">
        <v>41787</v>
      </c>
      <c r="B60" s="5">
        <v>58</v>
      </c>
      <c r="C60" s="6">
        <f t="shared" si="0"/>
        <v>0.15890410958904111</v>
      </c>
      <c r="D60" s="4">
        <f t="shared" si="1"/>
        <v>19.579968369048121</v>
      </c>
      <c r="E60" s="10">
        <f t="shared" si="5"/>
        <v>10.72923788067131</v>
      </c>
      <c r="F60" s="8">
        <v>9410.7054765737757</v>
      </c>
      <c r="G60" s="19">
        <f t="shared" si="6"/>
        <v>4.3442900762456519E-3</v>
      </c>
      <c r="H60" s="21">
        <f t="shared" si="7"/>
        <v>379.08983923222888</v>
      </c>
      <c r="I60" s="5">
        <v>423</v>
      </c>
      <c r="J60" s="6">
        <f t="shared" si="2"/>
        <v>1.1589041095890411</v>
      </c>
      <c r="K60" s="4">
        <f t="shared" si="3"/>
        <v>30.415284505041512</v>
      </c>
      <c r="L60" s="10">
        <f t="shared" si="4"/>
        <v>44.700845901635638</v>
      </c>
      <c r="M60" s="13">
        <v>4891.5131097165859</v>
      </c>
      <c r="N60" s="19">
        <f t="shared" si="8"/>
        <v>0.75614556048521553</v>
      </c>
      <c r="O60" s="21">
        <f t="shared" si="9"/>
        <v>1062.9880538556122</v>
      </c>
      <c r="P60" s="8">
        <f t="shared" si="10"/>
        <v>100969.69768309631</v>
      </c>
      <c r="Q60" s="8">
        <f t="shared" si="11"/>
        <v>218654.77374327165</v>
      </c>
      <c r="R60" s="8">
        <f t="shared" si="12"/>
        <v>438.6416556461989</v>
      </c>
      <c r="S60" s="8">
        <f t="shared" si="13"/>
        <v>165334.83644487412</v>
      </c>
      <c r="T60" s="8">
        <f t="shared" si="14"/>
        <v>166.28459471947625</v>
      </c>
      <c r="U60" s="8">
        <f t="shared" si="15"/>
        <v>175748.95602707268</v>
      </c>
    </row>
    <row r="61" spans="1:21">
      <c r="A61" s="1">
        <v>41788</v>
      </c>
      <c r="B61" s="5">
        <v>59</v>
      </c>
      <c r="C61" s="6">
        <f t="shared" si="0"/>
        <v>0.16164383561643836</v>
      </c>
      <c r="D61" s="4">
        <f t="shared" si="1"/>
        <v>19.619059544124379</v>
      </c>
      <c r="E61" s="10">
        <f t="shared" si="5"/>
        <v>10.798796579757836</v>
      </c>
      <c r="F61" s="8">
        <v>9400.6768320039628</v>
      </c>
      <c r="G61" s="19">
        <f t="shared" si="6"/>
        <v>4.4479684888819168E-3</v>
      </c>
      <c r="H61" s="21">
        <f t="shared" si="7"/>
        <v>380.86399360777665</v>
      </c>
      <c r="I61" s="5">
        <v>424</v>
      </c>
      <c r="J61" s="6">
        <f t="shared" si="2"/>
        <v>1.1616438356164382</v>
      </c>
      <c r="K61" s="4">
        <f t="shared" si="3"/>
        <v>30.437171590113827</v>
      </c>
      <c r="L61" s="10">
        <f t="shared" si="4"/>
        <v>44.805151299041782</v>
      </c>
      <c r="M61" s="13">
        <v>4860.3681550066231</v>
      </c>
      <c r="N61" s="19">
        <f t="shared" si="8"/>
        <v>0.75858290715547283</v>
      </c>
      <c r="O61" s="21">
        <f t="shared" si="9"/>
        <v>1064.7796303373109</v>
      </c>
      <c r="P61" s="8">
        <f t="shared" si="10"/>
        <v>101515.99682085312</v>
      </c>
      <c r="Q61" s="8">
        <f t="shared" si="11"/>
        <v>217769.5305541163</v>
      </c>
      <c r="R61" s="8">
        <f t="shared" si="12"/>
        <v>451.5399549765915</v>
      </c>
      <c r="S61" s="8">
        <f t="shared" si="13"/>
        <v>165196.24357762412</v>
      </c>
      <c r="T61" s="8">
        <f t="shared" si="14"/>
        <v>171.97531052586029</v>
      </c>
      <c r="U61" s="8">
        <f t="shared" si="15"/>
        <v>175897.59516969498</v>
      </c>
    </row>
    <row r="62" spans="1:21">
      <c r="A62" s="1">
        <v>41789</v>
      </c>
      <c r="B62" s="5">
        <v>60</v>
      </c>
      <c r="C62" s="6">
        <f t="shared" si="0"/>
        <v>0.16438356164383561</v>
      </c>
      <c r="D62" s="4">
        <f t="shared" si="1"/>
        <v>19.658088651044441</v>
      </c>
      <c r="E62" s="10">
        <f t="shared" si="5"/>
        <v>10.868555243706437</v>
      </c>
      <c r="F62" s="8">
        <v>9390.6684883340859</v>
      </c>
      <c r="G62" s="19">
        <f t="shared" si="6"/>
        <v>4.5539394035112825E-3</v>
      </c>
      <c r="H62" s="21">
        <f t="shared" si="7"/>
        <v>382.64006651924626</v>
      </c>
      <c r="I62" s="5">
        <v>425</v>
      </c>
      <c r="J62" s="6">
        <f t="shared" si="2"/>
        <v>1.1643835616438356</v>
      </c>
      <c r="K62" s="4">
        <f t="shared" si="3"/>
        <v>30.459023923326878</v>
      </c>
      <c r="L62" s="10">
        <f t="shared" si="4"/>
        <v>44.909458828828221</v>
      </c>
      <c r="M62" s="13">
        <v>4830.7335060951773</v>
      </c>
      <c r="N62" s="19">
        <f t="shared" si="8"/>
        <v>0.76099976203051067</v>
      </c>
      <c r="O62" s="21">
        <f t="shared" si="9"/>
        <v>1066.5700865278864</v>
      </c>
      <c r="P62" s="8">
        <f t="shared" si="10"/>
        <v>102062.99924079223</v>
      </c>
      <c r="Q62" s="8">
        <f t="shared" si="11"/>
        <v>216945.62750502236</v>
      </c>
      <c r="R62" s="8">
        <f t="shared" si="12"/>
        <v>464.78871388318584</v>
      </c>
      <c r="S62" s="8">
        <f t="shared" si="13"/>
        <v>165095.57090488184</v>
      </c>
      <c r="T62" s="8">
        <f t="shared" si="14"/>
        <v>177.84678439765713</v>
      </c>
      <c r="U62" s="8">
        <f t="shared" si="15"/>
        <v>176085.99734539061</v>
      </c>
    </row>
    <row r="63" spans="1:21">
      <c r="A63" s="1">
        <v>41790</v>
      </c>
      <c r="B63" s="5">
        <v>61</v>
      </c>
      <c r="C63" s="6">
        <f t="shared" si="0"/>
        <v>0.16712328767123288</v>
      </c>
      <c r="D63" s="4">
        <f t="shared" si="1"/>
        <v>19.697055788358842</v>
      </c>
      <c r="E63" s="10">
        <f t="shared" si="5"/>
        <v>10.938513333545306</v>
      </c>
      <c r="F63" s="8">
        <v>9380.6601446642144</v>
      </c>
      <c r="G63" s="19">
        <f t="shared" si="6"/>
        <v>4.662248934128174E-3</v>
      </c>
      <c r="H63" s="21">
        <f t="shared" si="7"/>
        <v>384.41804309463163</v>
      </c>
      <c r="I63" s="5">
        <v>426</v>
      </c>
      <c r="J63" s="6">
        <f t="shared" si="2"/>
        <v>1.167123287671233</v>
      </c>
      <c r="K63" s="4">
        <f t="shared" si="3"/>
        <v>30.480841559858941</v>
      </c>
      <c r="L63" s="10">
        <f t="shared" si="4"/>
        <v>45.01376810422002</v>
      </c>
      <c r="M63" s="13">
        <v>4796.4046634856359</v>
      </c>
      <c r="N63" s="19">
        <f t="shared" si="8"/>
        <v>0.76339617019449713</v>
      </c>
      <c r="O63" s="21">
        <f t="shared" si="9"/>
        <v>1068.359419155443</v>
      </c>
      <c r="P63" s="8">
        <f t="shared" si="10"/>
        <v>102610.47606986655</v>
      </c>
      <c r="Q63" s="8">
        <f t="shared" si="11"/>
        <v>215904.24725614188</v>
      </c>
      <c r="R63" s="8">
        <f t="shared" si="12"/>
        <v>478.39558268711983</v>
      </c>
      <c r="S63" s="8">
        <f t="shared" si="13"/>
        <v>164820.47548406449</v>
      </c>
      <c r="T63" s="8">
        <f t="shared" si="14"/>
        <v>183.90389372169864</v>
      </c>
      <c r="U63" s="8">
        <f t="shared" si="15"/>
        <v>176087.50745307907</v>
      </c>
    </row>
    <row r="64" spans="1:21">
      <c r="A64" s="1">
        <v>41791</v>
      </c>
      <c r="B64" s="5">
        <v>62</v>
      </c>
      <c r="C64" s="6">
        <f t="shared" si="0"/>
        <v>0.16986301369863013</v>
      </c>
      <c r="D64" s="4">
        <f t="shared" si="1"/>
        <v>19.735961054461622</v>
      </c>
      <c r="E64" s="10">
        <f t="shared" si="5"/>
        <v>11.008670308592066</v>
      </c>
      <c r="F64" s="8">
        <v>9370.6721018942771</v>
      </c>
      <c r="G64" s="19">
        <f t="shared" si="6"/>
        <v>4.7729440086559981E-3</v>
      </c>
      <c r="H64" s="21">
        <f t="shared" si="7"/>
        <v>386.19790850368099</v>
      </c>
      <c r="I64" s="5">
        <v>427</v>
      </c>
      <c r="J64" s="6">
        <f t="shared" si="2"/>
        <v>1.1698630136986301</v>
      </c>
      <c r="K64" s="4">
        <f t="shared" si="3"/>
        <v>30.502624554800679</v>
      </c>
      <c r="L64" s="10">
        <f t="shared" si="4"/>
        <v>45.118078739590658</v>
      </c>
      <c r="M64" s="13">
        <v>4765.8515853723893</v>
      </c>
      <c r="N64" s="19">
        <f t="shared" si="8"/>
        <v>0.76577218023659388</v>
      </c>
      <c r="O64" s="21">
        <f t="shared" si="9"/>
        <v>1070.147624967108</v>
      </c>
      <c r="P64" s="8">
        <f t="shared" si="10"/>
        <v>103158.63973967553</v>
      </c>
      <c r="Q64" s="8">
        <f t="shared" si="11"/>
        <v>215026.06709003443</v>
      </c>
      <c r="R64" s="8">
        <f t="shared" si="12"/>
        <v>492.37041148658687</v>
      </c>
      <c r="S64" s="8">
        <f t="shared" si="13"/>
        <v>164660.98020323578</v>
      </c>
      <c r="T64" s="8">
        <f t="shared" si="14"/>
        <v>190.15242312521664</v>
      </c>
      <c r="U64" s="8">
        <f t="shared" si="15"/>
        <v>176211.55688924875</v>
      </c>
    </row>
    <row r="65" spans="1:21">
      <c r="A65" s="1">
        <v>41792</v>
      </c>
      <c r="B65" s="5">
        <v>63</v>
      </c>
      <c r="C65" s="6">
        <f t="shared" si="0"/>
        <v>0.17260273972602741</v>
      </c>
      <c r="D65" s="4">
        <f t="shared" si="1"/>
        <v>19.774804547590616</v>
      </c>
      <c r="E65" s="10">
        <f t="shared" si="5"/>
        <v>11.079025626477472</v>
      </c>
      <c r="F65" s="8">
        <v>9360.6840591243417</v>
      </c>
      <c r="G65" s="19">
        <f t="shared" si="6"/>
        <v>4.8860723804135912E-3</v>
      </c>
      <c r="H65" s="21">
        <f t="shared" si="7"/>
        <v>387.97964795791057</v>
      </c>
      <c r="I65" s="5">
        <v>428</v>
      </c>
      <c r="J65" s="6">
        <f t="shared" si="2"/>
        <v>1.1726027397260275</v>
      </c>
      <c r="K65" s="4">
        <f t="shared" si="3"/>
        <v>30.524372963155304</v>
      </c>
      <c r="L65" s="10">
        <f t="shared" si="4"/>
        <v>45.222390350461218</v>
      </c>
      <c r="M65" s="13">
        <v>4733.1963248639086</v>
      </c>
      <c r="N65" s="19">
        <f t="shared" si="8"/>
        <v>0.76812784415916791</v>
      </c>
      <c r="O65" s="21">
        <f t="shared" si="9"/>
        <v>1071.9347007289646</v>
      </c>
      <c r="P65" s="8">
        <f t="shared" si="10"/>
        <v>103707.25857239775</v>
      </c>
      <c r="Q65" s="8">
        <f t="shared" si="11"/>
        <v>214046.45180836413</v>
      </c>
      <c r="R65" s="8">
        <f t="shared" si="12"/>
        <v>506.72117175900331</v>
      </c>
      <c r="S65" s="8">
        <f t="shared" si="13"/>
        <v>164415.03957747796</v>
      </c>
      <c r="T65" s="8">
        <f t="shared" si="14"/>
        <v>196.59750183187805</v>
      </c>
      <c r="U65" s="8">
        <f t="shared" si="15"/>
        <v>176242.1862448247</v>
      </c>
    </row>
    <row r="66" spans="1:21">
      <c r="A66" s="1">
        <v>41793</v>
      </c>
      <c r="B66" s="5">
        <v>64</v>
      </c>
      <c r="C66" s="6">
        <f t="shared" si="0"/>
        <v>0.17534246575342466</v>
      </c>
      <c r="D66" s="4">
        <f t="shared" si="1"/>
        <v>19.813586365827668</v>
      </c>
      <c r="E66" s="10">
        <f t="shared" si="5"/>
        <v>11.149578743168769</v>
      </c>
      <c r="F66" s="8">
        <v>9350.7163172543442</v>
      </c>
      <c r="G66" s="19">
        <f t="shared" si="6"/>
        <v>5.0016826396615758E-3</v>
      </c>
      <c r="H66" s="21">
        <f t="shared" si="7"/>
        <v>389.76324671060632</v>
      </c>
      <c r="I66" s="5">
        <v>429</v>
      </c>
      <c r="J66" s="6">
        <f t="shared" si="2"/>
        <v>1.1753424657534246</v>
      </c>
      <c r="K66" s="4">
        <f t="shared" si="3"/>
        <v>30.546086839838662</v>
      </c>
      <c r="L66" s="10">
        <f t="shared" si="4"/>
        <v>45.326702553499821</v>
      </c>
      <c r="M66" s="13">
        <v>4695.9897374220582</v>
      </c>
      <c r="N66" s="19">
        <f t="shared" si="8"/>
        <v>0.77046321728647094</v>
      </c>
      <c r="O66" s="21">
        <f t="shared" si="9"/>
        <v>1073.7206432260029</v>
      </c>
      <c r="P66" s="8">
        <f t="shared" si="10"/>
        <v>104256.54788426039</v>
      </c>
      <c r="Q66" s="8">
        <f t="shared" si="11"/>
        <v>212853.73002241735</v>
      </c>
      <c r="R66" s="8">
        <f t="shared" si="12"/>
        <v>521.45816562375103</v>
      </c>
      <c r="S66" s="8">
        <f t="shared" si="13"/>
        <v>163995.96964449756</v>
      </c>
      <c r="T66" s="8">
        <f t="shared" si="14"/>
        <v>203.24522765727031</v>
      </c>
      <c r="U66" s="8">
        <f t="shared" si="15"/>
        <v>176085.85801316195</v>
      </c>
    </row>
    <row r="67" spans="1:21">
      <c r="A67" s="1">
        <v>41794</v>
      </c>
      <c r="B67" s="5">
        <v>65</v>
      </c>
      <c r="C67" s="6">
        <f t="shared" ref="C67:C130" si="16">B67/365</f>
        <v>0.17808219178082191</v>
      </c>
      <c r="D67" s="4">
        <f t="shared" ref="D67:D130" si="17">44.2*(1-EXP(-0.58*(C67+0.85)))</f>
        <v>19.852306607098889</v>
      </c>
      <c r="E67" s="10">
        <f t="shared" si="5"/>
        <v>11.220329112992923</v>
      </c>
      <c r="F67" s="8">
        <v>9340.7688762842845</v>
      </c>
      <c r="G67" s="19">
        <f t="shared" si="6"/>
        <v>5.1198242252266362E-3</v>
      </c>
      <c r="H67" s="21">
        <f t="shared" si="7"/>
        <v>391.54869005683361</v>
      </c>
      <c r="I67" s="5">
        <v>430</v>
      </c>
      <c r="J67" s="6">
        <f t="shared" ref="J67:J130" si="18">I67/365</f>
        <v>1.178082191780822</v>
      </c>
      <c r="K67" s="4">
        <f t="shared" ref="K67:K130" si="19">44.2*(1-EXP(-0.58*(J67+0.85)))</f>
        <v>30.567766239679433</v>
      </c>
      <c r="L67" s="10">
        <f t="shared" ref="L67:L130" si="20">0.0007*K67^3.24</f>
        <v>45.431014966521346</v>
      </c>
      <c r="M67" s="13">
        <v>4654.0277276686611</v>
      </c>
      <c r="N67" s="19">
        <f t="shared" si="8"/>
        <v>0.77277835817386054</v>
      </c>
      <c r="O67" s="21">
        <f t="shared" si="9"/>
        <v>1075.5054492620411</v>
      </c>
      <c r="P67" s="8">
        <f t="shared" si="10"/>
        <v>104806.50096031075</v>
      </c>
      <c r="Q67" s="8">
        <f t="shared" si="11"/>
        <v>211437.20335032028</v>
      </c>
      <c r="R67" s="8">
        <f t="shared" si="12"/>
        <v>536.5908625778377</v>
      </c>
      <c r="S67" s="8">
        <f t="shared" si="13"/>
        <v>163394.0948619332</v>
      </c>
      <c r="T67" s="8">
        <f t="shared" si="14"/>
        <v>210.10144933881875</v>
      </c>
      <c r="U67" s="8">
        <f t="shared" si="15"/>
        <v>175731.23940124805</v>
      </c>
    </row>
    <row r="68" spans="1:21">
      <c r="A68" s="1">
        <v>41795</v>
      </c>
      <c r="B68" s="5">
        <v>66</v>
      </c>
      <c r="C68" s="6">
        <f t="shared" si="16"/>
        <v>0.18082191780821918</v>
      </c>
      <c r="D68" s="4">
        <f t="shared" si="17"/>
        <v>19.890965369174904</v>
      </c>
      <c r="E68" s="10">
        <f t="shared" ref="E68:E131" si="21">0.0007*D68^3.24</f>
        <v>11.29127618865985</v>
      </c>
      <c r="F68" s="8">
        <v>9330.8214353142266</v>
      </c>
      <c r="G68" s="19">
        <f t="shared" ref="G68:G131" si="22">1/(1+EXP(-0.606*D68+17.3))</f>
        <v>5.2405474362011845E-3</v>
      </c>
      <c r="H68" s="21">
        <f t="shared" ref="H68:H131" si="23">0.3586*D68^2.341</f>
        <v>393.33596333343854</v>
      </c>
      <c r="I68" s="5">
        <v>431</v>
      </c>
      <c r="J68" s="6">
        <f t="shared" si="18"/>
        <v>1.1808219178082191</v>
      </c>
      <c r="K68" s="4">
        <f t="shared" si="19"/>
        <v>30.58941121741924</v>
      </c>
      <c r="L68" s="10">
        <f t="shared" si="20"/>
        <v>45.535327208487161</v>
      </c>
      <c r="M68" s="13">
        <v>4617.9232552689718</v>
      </c>
      <c r="N68" s="19">
        <f t="shared" ref="N68:N131" si="24">1/(1+EXP(-0.606*K68+17.3))</f>
        <v>0.77507332851758726</v>
      </c>
      <c r="O68" s="21">
        <f t="shared" ref="O68:O131" si="25">0.3586*K68^2.341</f>
        <v>1077.2891156596811</v>
      </c>
      <c r="P68" s="8">
        <f t="shared" ref="P68:P131" si="26">E68*F68</f>
        <v>105356.88189320045</v>
      </c>
      <c r="Q68" s="8">
        <f t="shared" ref="Q68:Q131" si="27">L68*M68</f>
        <v>210278.64645235482</v>
      </c>
      <c r="R68" s="8">
        <f t="shared" ref="R68:R131" si="28">E68*F68*G68</f>
        <v>552.12773729156265</v>
      </c>
      <c r="S68" s="8">
        <f t="shared" ref="S68:S131" si="29">L68*M68*N68</f>
        <v>162981.3704219996</v>
      </c>
      <c r="T68" s="8">
        <f t="shared" ref="T68:T131" si="30">R68*H68/1000</f>
        <v>217.17169543068846</v>
      </c>
      <c r="U68" s="8">
        <f t="shared" ref="U68:U131" si="31">S68*O68/1000</f>
        <v>175578.05641091886</v>
      </c>
    </row>
    <row r="69" spans="1:21">
      <c r="A69" s="1">
        <v>41796</v>
      </c>
      <c r="B69" s="5">
        <v>67</v>
      </c>
      <c r="C69" s="6">
        <f t="shared" si="16"/>
        <v>0.18356164383561643</v>
      </c>
      <c r="D69" s="4">
        <f t="shared" si="17"/>
        <v>19.92956274967111</v>
      </c>
      <c r="E69" s="10">
        <f t="shared" si="21"/>
        <v>11.362419421285491</v>
      </c>
      <c r="F69" s="8">
        <v>9320.8739943441669</v>
      </c>
      <c r="G69" s="19">
        <f t="shared" si="22"/>
        <v>5.3639034437159543E-3</v>
      </c>
      <c r="H69" s="21">
        <f t="shared" si="23"/>
        <v>395.12505191905365</v>
      </c>
      <c r="I69" s="5">
        <v>432</v>
      </c>
      <c r="J69" s="6">
        <f t="shared" si="18"/>
        <v>1.1835616438356165</v>
      </c>
      <c r="K69" s="4">
        <f t="shared" si="19"/>
        <v>30.611021827712765</v>
      </c>
      <c r="L69" s="10">
        <f t="shared" si="20"/>
        <v>45.639638899503765</v>
      </c>
      <c r="M69" s="13">
        <v>4580.8595345918457</v>
      </c>
      <c r="N69" s="19">
        <f t="shared" si="24"/>
        <v>0.77734819306522041</v>
      </c>
      <c r="O69" s="21">
        <f t="shared" si="25"/>
        <v>1079.0716392602253</v>
      </c>
      <c r="P69" s="8">
        <f t="shared" si="26"/>
        <v>105907.67969669103</v>
      </c>
      <c r="Q69" s="8">
        <f t="shared" si="27"/>
        <v>209068.77500812072</v>
      </c>
      <c r="R69" s="8">
        <f t="shared" si="28"/>
        <v>568.07856784104729</v>
      </c>
      <c r="S69" s="8">
        <f t="shared" si="29"/>
        <v>162519.23447892175</v>
      </c>
      <c r="T69" s="8">
        <f t="shared" si="30"/>
        <v>224.46207361229543</v>
      </c>
      <c r="U69" s="8">
        <f t="shared" si="31"/>
        <v>175369.89676048703</v>
      </c>
    </row>
    <row r="70" spans="1:21">
      <c r="A70" s="1">
        <v>41797</v>
      </c>
      <c r="B70" s="5">
        <v>68</v>
      </c>
      <c r="C70" s="6">
        <f t="shared" si="16"/>
        <v>0.18630136986301371</v>
      </c>
      <c r="D70" s="4">
        <f t="shared" si="17"/>
        <v>19.968098846047901</v>
      </c>
      <c r="E70" s="10">
        <f t="shared" si="21"/>
        <v>11.433758260414537</v>
      </c>
      <c r="F70" s="8">
        <v>9310.9468542740506</v>
      </c>
      <c r="G70" s="19">
        <f t="shared" si="22"/>
        <v>5.4899443027827078E-3</v>
      </c>
      <c r="H70" s="21">
        <f t="shared" si="23"/>
        <v>396.91594123409857</v>
      </c>
      <c r="I70" s="5">
        <v>433</v>
      </c>
      <c r="J70" s="6">
        <f t="shared" si="18"/>
        <v>1.1863013698630136</v>
      </c>
      <c r="K70" s="4">
        <f t="shared" si="19"/>
        <v>30.632598125127938</v>
      </c>
      <c r="L70" s="10">
        <f t="shared" si="20"/>
        <v>45.74394966082334</v>
      </c>
      <c r="M70" s="13">
        <v>4544.5917858896146</v>
      </c>
      <c r="N70" s="19">
        <f t="shared" si="24"/>
        <v>0.77960301952675615</v>
      </c>
      <c r="O70" s="21">
        <f t="shared" si="25"/>
        <v>1080.853016923639</v>
      </c>
      <c r="P70" s="8">
        <f t="shared" si="26"/>
        <v>106459.11550733667</v>
      </c>
      <c r="Q70" s="8">
        <f t="shared" si="27"/>
        <v>207887.57788272577</v>
      </c>
      <c r="R70" s="8">
        <f t="shared" si="28"/>
        <v>584.45461465878918</v>
      </c>
      <c r="S70" s="8">
        <f t="shared" si="29"/>
        <v>162069.78343947671</v>
      </c>
      <c r="T70" s="8">
        <f t="shared" si="30"/>
        <v>231.97935348590568</v>
      </c>
      <c r="U70" s="8">
        <f t="shared" si="31"/>
        <v>175173.61438271921</v>
      </c>
    </row>
    <row r="71" spans="1:21">
      <c r="A71" s="1">
        <v>41798</v>
      </c>
      <c r="B71" s="5">
        <v>69</v>
      </c>
      <c r="C71" s="6">
        <f t="shared" si="16"/>
        <v>0.18904109589041096</v>
      </c>
      <c r="D71" s="4">
        <f t="shared" si="17"/>
        <v>20.00657375561093</v>
      </c>
      <c r="E71" s="10">
        <f t="shared" si="21"/>
        <v>11.50529215404327</v>
      </c>
      <c r="F71" s="8">
        <v>9301.0400151038702</v>
      </c>
      <c r="G71" s="19">
        <f t="shared" si="22"/>
        <v>5.6187229642043696E-3</v>
      </c>
      <c r="H71" s="21">
        <f t="shared" si="23"/>
        <v>398.70861674077867</v>
      </c>
      <c r="I71" s="5">
        <v>434</v>
      </c>
      <c r="J71" s="6">
        <f t="shared" si="18"/>
        <v>1.189041095890411</v>
      </c>
      <c r="K71" s="4">
        <f t="shared" si="19"/>
        <v>30.654140164146028</v>
      </c>
      <c r="L71" s="10">
        <f t="shared" si="20"/>
        <v>45.848259114842413</v>
      </c>
      <c r="M71" s="13">
        <v>4512.4263542887611</v>
      </c>
      <c r="N71" s="19">
        <f t="shared" si="24"/>
        <v>0.78183787848644815</v>
      </c>
      <c r="O71" s="21">
        <f t="shared" si="25"/>
        <v>1082.6332455284739</v>
      </c>
      <c r="P71" s="8">
        <f t="shared" si="26"/>
        <v>107011.18271021705</v>
      </c>
      <c r="Q71" s="8">
        <f t="shared" si="27"/>
        <v>206886.8927280748</v>
      </c>
      <c r="R71" s="8">
        <f t="shared" si="28"/>
        <v>601.2661897205661</v>
      </c>
      <c r="S71" s="8">
        <f t="shared" si="29"/>
        <v>161752.00929717137</v>
      </c>
      <c r="T71" s="8">
        <f t="shared" si="30"/>
        <v>239.73001079648549</v>
      </c>
      <c r="U71" s="8">
        <f t="shared" si="31"/>
        <v>175118.10279614854</v>
      </c>
    </row>
    <row r="72" spans="1:21">
      <c r="A72" s="1">
        <v>41799</v>
      </c>
      <c r="B72" s="5">
        <v>70</v>
      </c>
      <c r="C72" s="6">
        <f t="shared" si="16"/>
        <v>0.19178082191780821</v>
      </c>
      <c r="D72" s="4">
        <f t="shared" si="17"/>
        <v>20.044987575511346</v>
      </c>
      <c r="E72" s="10">
        <f t="shared" si="21"/>
        <v>11.577020548642141</v>
      </c>
      <c r="F72" s="8">
        <v>9291.1331759336899</v>
      </c>
      <c r="G72" s="19">
        <f t="shared" si="22"/>
        <v>5.7502932865495975E-3</v>
      </c>
      <c r="H72" s="21">
        <f t="shared" si="23"/>
        <v>400.50306394308808</v>
      </c>
      <c r="I72" s="5">
        <v>435</v>
      </c>
      <c r="J72" s="6">
        <f t="shared" si="18"/>
        <v>1.1917808219178083</v>
      </c>
      <c r="K72" s="4">
        <f t="shared" si="19"/>
        <v>30.675647999161811</v>
      </c>
      <c r="L72" s="10">
        <f t="shared" si="20"/>
        <v>45.952566885101646</v>
      </c>
      <c r="M72" s="13">
        <v>4470.9541734429913</v>
      </c>
      <c r="N72" s="19">
        <f t="shared" si="24"/>
        <v>0.78405284331541014</v>
      </c>
      <c r="O72" s="21">
        <f t="shared" si="25"/>
        <v>1084.4123219718115</v>
      </c>
      <c r="P72" s="8">
        <f t="shared" si="26"/>
        <v>107563.63969795505</v>
      </c>
      <c r="Q72" s="8">
        <f t="shared" si="27"/>
        <v>205451.82069536339</v>
      </c>
      <c r="R72" s="8">
        <f t="shared" si="28"/>
        <v>618.52247523199071</v>
      </c>
      <c r="S72" s="8">
        <f t="shared" si="29"/>
        <v>161085.08418052748</v>
      </c>
      <c r="T72" s="8">
        <f t="shared" si="30"/>
        <v>247.7201464480751</v>
      </c>
      <c r="U72" s="8">
        <f t="shared" si="31"/>
        <v>174682.65017123052</v>
      </c>
    </row>
    <row r="73" spans="1:21">
      <c r="A73" s="1">
        <v>41800</v>
      </c>
      <c r="B73" s="5">
        <v>71</v>
      </c>
      <c r="C73" s="6">
        <f t="shared" si="16"/>
        <v>0.19452054794520549</v>
      </c>
      <c r="D73" s="4">
        <f t="shared" si="17"/>
        <v>20.08334040274606</v>
      </c>
      <c r="E73" s="10">
        <f t="shared" si="21"/>
        <v>11.648942889178306</v>
      </c>
      <c r="F73" s="8">
        <v>9281.2263367635078</v>
      </c>
      <c r="G73" s="19">
        <f t="shared" si="22"/>
        <v>5.8847100481886471E-3</v>
      </c>
      <c r="H73" s="21">
        <f t="shared" si="23"/>
        <v>402.29926838680706</v>
      </c>
      <c r="I73" s="5">
        <v>436</v>
      </c>
      <c r="J73" s="6">
        <f t="shared" si="18"/>
        <v>1.1945205479452055</v>
      </c>
      <c r="K73" s="4">
        <f t="shared" si="19"/>
        <v>30.697121684483694</v>
      </c>
      <c r="L73" s="10">
        <f t="shared" si="20"/>
        <v>46.056872596285011</v>
      </c>
      <c r="M73" s="13">
        <v>4429.4003544459501</v>
      </c>
      <c r="N73" s="19">
        <f t="shared" si="24"/>
        <v>0.7862479900850321</v>
      </c>
      <c r="O73" s="21">
        <f t="shared" si="25"/>
        <v>1086.1902431691949</v>
      </c>
      <c r="P73" s="8">
        <f t="shared" si="26"/>
        <v>108116.47553849568</v>
      </c>
      <c r="Q73" s="8">
        <f t="shared" si="27"/>
        <v>204004.3278026568</v>
      </c>
      <c r="R73" s="8">
        <f t="shared" si="28"/>
        <v>636.23410997612757</v>
      </c>
      <c r="S73" s="8">
        <f t="shared" si="29"/>
        <v>160397.99270348693</v>
      </c>
      <c r="T73" s="8">
        <f t="shared" si="30"/>
        <v>255.95651696612748</v>
      </c>
      <c r="U73" s="8">
        <f t="shared" si="31"/>
        <v>174222.73469845121</v>
      </c>
    </row>
    <row r="74" spans="1:21">
      <c r="A74" s="1">
        <v>41801</v>
      </c>
      <c r="B74" s="5">
        <v>72</v>
      </c>
      <c r="C74" s="6">
        <f t="shared" si="16"/>
        <v>0.19726027397260273</v>
      </c>
      <c r="D74" s="4">
        <f t="shared" si="17"/>
        <v>20.121632334157944</v>
      </c>
      <c r="E74" s="10">
        <f t="shared" si="21"/>
        <v>11.721058619137748</v>
      </c>
      <c r="F74" s="8">
        <v>9271.3397984932672</v>
      </c>
      <c r="G74" s="19">
        <f t="shared" si="22"/>
        <v>6.0220289593870364E-3</v>
      </c>
      <c r="H74" s="21">
        <f t="shared" si="23"/>
        <v>404.09721565949582</v>
      </c>
      <c r="I74" s="5">
        <v>437</v>
      </c>
      <c r="J74" s="6">
        <f t="shared" si="18"/>
        <v>1.1972602739726028</v>
      </c>
      <c r="K74" s="4">
        <f t="shared" si="19"/>
        <v>30.71856127433384</v>
      </c>
      <c r="L74" s="10">
        <f t="shared" si="20"/>
        <v>46.16117587421968</v>
      </c>
      <c r="M74" s="13">
        <v>4397.7859803661768</v>
      </c>
      <c r="N74" s="19">
        <f t="shared" si="24"/>
        <v>0.78842339748124246</v>
      </c>
      <c r="O74" s="21">
        <f t="shared" si="25"/>
        <v>1087.9670060545859</v>
      </c>
      <c r="P74" s="8">
        <f t="shared" si="26"/>
        <v>108669.91725608434</v>
      </c>
      <c r="Q74" s="8">
        <f t="shared" si="27"/>
        <v>203006.9720968607</v>
      </c>
      <c r="R74" s="8">
        <f t="shared" si="28"/>
        <v>654.41338873033294</v>
      </c>
      <c r="S74" s="8">
        <f t="shared" si="29"/>
        <v>160055.44665298669</v>
      </c>
      <c r="T74" s="8">
        <f t="shared" si="30"/>
        <v>264.44662827622278</v>
      </c>
      <c r="U74" s="8">
        <f t="shared" si="31"/>
        <v>174135.04509777942</v>
      </c>
    </row>
    <row r="75" spans="1:21">
      <c r="A75" s="1">
        <v>41802</v>
      </c>
      <c r="B75" s="5">
        <v>73</v>
      </c>
      <c r="C75" s="6">
        <f t="shared" si="16"/>
        <v>0.2</v>
      </c>
      <c r="D75" s="4">
        <f t="shared" si="17"/>
        <v>20.159863466436128</v>
      </c>
      <c r="E75" s="10">
        <f t="shared" si="21"/>
        <v>11.793367180547749</v>
      </c>
      <c r="F75" s="8">
        <v>9261.4735611229644</v>
      </c>
      <c r="G75" s="19">
        <f t="shared" si="22"/>
        <v>6.1623066744541048E-3</v>
      </c>
      <c r="H75" s="21">
        <f t="shared" si="23"/>
        <v>405.89689139049392</v>
      </c>
      <c r="I75" s="5">
        <v>438</v>
      </c>
      <c r="J75" s="6">
        <f t="shared" si="18"/>
        <v>1.2</v>
      </c>
      <c r="K75" s="4">
        <f t="shared" si="19"/>
        <v>30.739966822848341</v>
      </c>
      <c r="L75" s="10">
        <f t="shared" si="20"/>
        <v>46.265476345874667</v>
      </c>
      <c r="M75" s="13">
        <v>4359.7017827981617</v>
      </c>
      <c r="N75" s="19">
        <f t="shared" si="24"/>
        <v>0.790579146719669</v>
      </c>
      <c r="O75" s="21">
        <f t="shared" si="25"/>
        <v>1089.7426075802807</v>
      </c>
      <c r="P75" s="8">
        <f t="shared" si="26"/>
        <v>109223.95833925826</v>
      </c>
      <c r="Q75" s="8">
        <f t="shared" si="27"/>
        <v>201703.67970711598</v>
      </c>
      <c r="R75" s="8">
        <f t="shared" si="28"/>
        <v>673.07152748430826</v>
      </c>
      <c r="S75" s="8">
        <f t="shared" si="29"/>
        <v>159462.72299306918</v>
      </c>
      <c r="T75" s="8">
        <f t="shared" si="30"/>
        <v>273.1976406893321</v>
      </c>
      <c r="U75" s="8">
        <f t="shared" si="31"/>
        <v>173773.32356631919</v>
      </c>
    </row>
    <row r="76" spans="1:21">
      <c r="A76" s="1">
        <v>41803</v>
      </c>
      <c r="B76" s="5">
        <v>74</v>
      </c>
      <c r="C76" s="6">
        <f t="shared" si="16"/>
        <v>0.20273972602739726</v>
      </c>
      <c r="D76" s="4">
        <f t="shared" si="17"/>
        <v>20.198033896116211</v>
      </c>
      <c r="E76" s="10">
        <f t="shared" si="21"/>
        <v>11.865868013998695</v>
      </c>
      <c r="F76" s="8">
        <v>9251.6073237526616</v>
      </c>
      <c r="G76" s="19">
        <f t="shared" si="22"/>
        <v>6.3056008039422433E-3</v>
      </c>
      <c r="H76" s="21">
        <f t="shared" si="23"/>
        <v>407.69828125091345</v>
      </c>
      <c r="I76" s="5">
        <v>439</v>
      </c>
      <c r="J76" s="6">
        <f t="shared" si="18"/>
        <v>1.2027397260273973</v>
      </c>
      <c r="K76" s="4">
        <f t="shared" si="19"/>
        <v>30.76133838407732</v>
      </c>
      <c r="L76" s="10">
        <f t="shared" si="20"/>
        <v>46.369773639360979</v>
      </c>
      <c r="M76" s="13">
        <v>4321.3318517006965</v>
      </c>
      <c r="N76" s="19">
        <f t="shared" si="24"/>
        <v>0.7927153214617132</v>
      </c>
      <c r="O76" s="21">
        <f t="shared" si="25"/>
        <v>1091.5170447168689</v>
      </c>
      <c r="P76" s="8">
        <f t="shared" si="26"/>
        <v>109778.35142099277</v>
      </c>
      <c r="Q76" s="8">
        <f t="shared" si="27"/>
        <v>200379.17978392192</v>
      </c>
      <c r="R76" s="8">
        <f t="shared" si="28"/>
        <v>692.21846097566606</v>
      </c>
      <c r="S76" s="8">
        <f t="shared" si="29"/>
        <v>158843.64591664608</v>
      </c>
      <c r="T76" s="8">
        <f t="shared" si="30"/>
        <v>282.21627678993156</v>
      </c>
      <c r="U76" s="8">
        <f t="shared" si="31"/>
        <v>173380.54696299028</v>
      </c>
    </row>
    <row r="77" spans="1:21">
      <c r="A77" s="1">
        <v>41804</v>
      </c>
      <c r="B77" s="5">
        <v>75</v>
      </c>
      <c r="C77" s="6">
        <f t="shared" si="16"/>
        <v>0.20547945205479451</v>
      </c>
      <c r="D77" s="4">
        <f t="shared" si="17"/>
        <v>20.236143719580529</v>
      </c>
      <c r="E77" s="10">
        <f t="shared" si="21"/>
        <v>11.938560558666289</v>
      </c>
      <c r="F77" s="8">
        <v>9241.7613872822985</v>
      </c>
      <c r="G77" s="19">
        <f t="shared" si="22"/>
        <v>6.4519699268934718E-3</v>
      </c>
      <c r="H77" s="21">
        <f t="shared" si="23"/>
        <v>409.50137095363442</v>
      </c>
      <c r="I77" s="5">
        <v>440</v>
      </c>
      <c r="J77" s="6">
        <f t="shared" si="18"/>
        <v>1.2054794520547945</v>
      </c>
      <c r="K77" s="4">
        <f t="shared" si="19"/>
        <v>30.782676011985085</v>
      </c>
      <c r="L77" s="10">
        <f t="shared" si="20"/>
        <v>46.474067383930645</v>
      </c>
      <c r="M77" s="13">
        <v>4282.1047200148842</v>
      </c>
      <c r="N77" s="19">
        <f t="shared" si="24"/>
        <v>0.79483200773158413</v>
      </c>
      <c r="O77" s="21">
        <f t="shared" si="25"/>
        <v>1093.2903144531633</v>
      </c>
      <c r="P77" s="8">
        <f t="shared" si="26"/>
        <v>110333.3279908135</v>
      </c>
      <c r="Q77" s="8">
        <f t="shared" si="27"/>
        <v>199006.82330301919</v>
      </c>
      <c r="R77" s="8">
        <f t="shared" si="28"/>
        <v>711.86731413080247</v>
      </c>
      <c r="S77" s="8">
        <f t="shared" si="29"/>
        <v>158176.99291822335</v>
      </c>
      <c r="T77" s="8">
        <f t="shared" si="30"/>
        <v>291.51064107364516</v>
      </c>
      <c r="U77" s="8">
        <f t="shared" si="31"/>
        <v>172933.37432682019</v>
      </c>
    </row>
    <row r="78" spans="1:21">
      <c r="A78" s="1">
        <v>41805</v>
      </c>
      <c r="B78" s="5">
        <v>76</v>
      </c>
      <c r="C78" s="6">
        <f t="shared" si="16"/>
        <v>0.20821917808219179</v>
      </c>
      <c r="D78" s="4">
        <f t="shared" si="17"/>
        <v>20.274193033058353</v>
      </c>
      <c r="E78" s="10">
        <f t="shared" si="21"/>
        <v>12.01144425233292</v>
      </c>
      <c r="F78" s="8">
        <v>9231.9154508119336</v>
      </c>
      <c r="G78" s="19">
        <f t="shared" si="22"/>
        <v>6.6014736031289522E-3</v>
      </c>
      <c r="H78" s="21">
        <f t="shared" si="23"/>
        <v>411.30614625329201</v>
      </c>
      <c r="I78" s="5">
        <v>441</v>
      </c>
      <c r="J78" s="6">
        <f t="shared" si="18"/>
        <v>1.2082191780821918</v>
      </c>
      <c r="K78" s="4">
        <f t="shared" si="19"/>
        <v>30.803979760450261</v>
      </c>
      <c r="L78" s="10">
        <f t="shared" si="20"/>
        <v>46.578357209975515</v>
      </c>
      <c r="M78" s="13">
        <v>4238.8977284546008</v>
      </c>
      <c r="N78" s="19">
        <f t="shared" si="24"/>
        <v>0.7969292938343242</v>
      </c>
      <c r="O78" s="21">
        <f t="shared" si="25"/>
        <v>1095.0624137961381</v>
      </c>
      <c r="P78" s="8">
        <f t="shared" si="26"/>
        <v>110888.63777967848</v>
      </c>
      <c r="Q78" s="8">
        <f t="shared" si="27"/>
        <v>197440.89257251218</v>
      </c>
      <c r="R78" s="8">
        <f t="shared" si="28"/>
        <v>732.02841518947537</v>
      </c>
      <c r="S78" s="8">
        <f t="shared" si="29"/>
        <v>157346.4310918308</v>
      </c>
      <c r="T78" s="8">
        <f t="shared" si="30"/>
        <v>301.08778639948792</v>
      </c>
      <c r="U78" s="8">
        <f t="shared" si="31"/>
        <v>172304.16263362794</v>
      </c>
    </row>
    <row r="79" spans="1:21">
      <c r="A79" s="1">
        <v>41806</v>
      </c>
      <c r="B79" s="5">
        <v>77</v>
      </c>
      <c r="C79" s="6">
        <f t="shared" si="16"/>
        <v>0.21095890410958903</v>
      </c>
      <c r="D79" s="4">
        <f t="shared" si="17"/>
        <v>20.312181932626206</v>
      </c>
      <c r="E79" s="10">
        <f t="shared" si="21"/>
        <v>12.08451853140985</v>
      </c>
      <c r="F79" s="8">
        <v>9222.0898152415084</v>
      </c>
      <c r="G79" s="19">
        <f t="shared" si="22"/>
        <v>6.7541723855780444E-3</v>
      </c>
      <c r="H79" s="21">
        <f t="shared" si="23"/>
        <v>413.11259294627706</v>
      </c>
      <c r="I79" s="5">
        <v>442</v>
      </c>
      <c r="J79" s="6">
        <f t="shared" si="18"/>
        <v>1.210958904109589</v>
      </c>
      <c r="K79" s="4">
        <f t="shared" si="19"/>
        <v>30.825249683265916</v>
      </c>
      <c r="L79" s="10">
        <f t="shared" si="20"/>
        <v>46.682642749027799</v>
      </c>
      <c r="M79" s="13">
        <v>4200.7727118109487</v>
      </c>
      <c r="N79" s="19">
        <f t="shared" si="24"/>
        <v>0.79900727027484131</v>
      </c>
      <c r="O79" s="21">
        <f t="shared" si="25"/>
        <v>1096.8333397708768</v>
      </c>
      <c r="P79" s="8">
        <f t="shared" si="26"/>
        <v>111444.51527061206</v>
      </c>
      <c r="Q79" s="8">
        <f t="shared" si="27"/>
        <v>196103.17177533524</v>
      </c>
      <c r="R79" s="8">
        <f t="shared" si="28"/>
        <v>752.71546756489863</v>
      </c>
      <c r="S79" s="8">
        <f t="shared" si="29"/>
        <v>156687.8599724489</v>
      </c>
      <c r="T79" s="8">
        <f t="shared" si="30"/>
        <v>310.95623855650462</v>
      </c>
      <c r="U79" s="8">
        <f t="shared" si="31"/>
        <v>171860.46875513261</v>
      </c>
    </row>
    <row r="80" spans="1:21">
      <c r="A80" s="1">
        <v>41807</v>
      </c>
      <c r="B80" s="5">
        <v>78</v>
      </c>
      <c r="C80" s="6">
        <f t="shared" si="16"/>
        <v>0.21369863013698631</v>
      </c>
      <c r="D80" s="4">
        <f t="shared" si="17"/>
        <v>20.35011051420803</v>
      </c>
      <c r="E80" s="10">
        <f t="shared" si="21"/>
        <v>12.157782830958288</v>
      </c>
      <c r="F80" s="8">
        <v>9212.2641796710832</v>
      </c>
      <c r="G80" s="19">
        <f t="shared" si="22"/>
        <v>6.9101278326415575E-3</v>
      </c>
      <c r="H80" s="21">
        <f t="shared" si="23"/>
        <v>414.92069687071586</v>
      </c>
      <c r="I80" s="5">
        <v>443</v>
      </c>
      <c r="J80" s="6">
        <f t="shared" si="18"/>
        <v>1.2136986301369863</v>
      </c>
      <c r="K80" s="4">
        <f t="shared" si="19"/>
        <v>30.846485834139717</v>
      </c>
      <c r="L80" s="10">
        <f t="shared" si="20"/>
        <v>46.786923633758221</v>
      </c>
      <c r="M80" s="13">
        <v>4167.4031174788461</v>
      </c>
      <c r="N80" s="19">
        <f t="shared" si="24"/>
        <v>0.80106602967799478</v>
      </c>
      <c r="O80" s="21">
        <f t="shared" si="25"/>
        <v>1098.6030894205026</v>
      </c>
      <c r="P80" s="8">
        <f t="shared" si="26"/>
        <v>112000.70727785713</v>
      </c>
      <c r="Q80" s="8">
        <f t="shared" si="27"/>
        <v>194979.9714085687</v>
      </c>
      <c r="R80" s="8">
        <f t="shared" si="28"/>
        <v>773.93920463626046</v>
      </c>
      <c r="S80" s="8">
        <f t="shared" si="29"/>
        <v>156191.83156299108</v>
      </c>
      <c r="T80" s="8">
        <f t="shared" si="30"/>
        <v>321.12339412324474</v>
      </c>
      <c r="U80" s="8">
        <f t="shared" si="31"/>
        <v>171592.82869734877</v>
      </c>
    </row>
    <row r="81" spans="1:21">
      <c r="A81" s="1">
        <v>41808</v>
      </c>
      <c r="B81" s="5">
        <v>79</v>
      </c>
      <c r="C81" s="6">
        <f t="shared" si="16"/>
        <v>0.21643835616438356</v>
      </c>
      <c r="D81" s="4">
        <f t="shared" si="17"/>
        <v>20.387978873575463</v>
      </c>
      <c r="E81" s="10">
        <f t="shared" si="21"/>
        <v>12.231236584710944</v>
      </c>
      <c r="F81" s="8">
        <v>9202.4385441006598</v>
      </c>
      <c r="G81" s="19">
        <f t="shared" si="22"/>
        <v>7.0694025205855701E-3</v>
      </c>
      <c r="H81" s="21">
        <f t="shared" si="23"/>
        <v>416.73044390646669</v>
      </c>
      <c r="I81" s="5">
        <v>444</v>
      </c>
      <c r="J81" s="6">
        <f t="shared" si="18"/>
        <v>1.2164383561643837</v>
      </c>
      <c r="K81" s="4">
        <f t="shared" si="19"/>
        <v>30.86768826669406</v>
      </c>
      <c r="L81" s="10">
        <f t="shared" si="20"/>
        <v>46.891199497975876</v>
      </c>
      <c r="M81" s="13">
        <v>4126.9310039861475</v>
      </c>
      <c r="N81" s="19">
        <f t="shared" si="24"/>
        <v>0.80310566670974048</v>
      </c>
      <c r="O81" s="21">
        <f t="shared" si="25"/>
        <v>1100.3716598061226</v>
      </c>
      <c r="P81" s="8">
        <f t="shared" si="26"/>
        <v>112557.2029891581</v>
      </c>
      <c r="Q81" s="8">
        <f t="shared" si="27"/>
        <v>193516.74502229632</v>
      </c>
      <c r="R81" s="8">
        <f t="shared" si="28"/>
        <v>795.71217452161602</v>
      </c>
      <c r="S81" s="8">
        <f t="shared" si="29"/>
        <v>155414.39453063015</v>
      </c>
      <c r="T81" s="8">
        <f t="shared" si="30"/>
        <v>331.59748771017297</v>
      </c>
      <c r="U81" s="8">
        <f t="shared" si="31"/>
        <v>171013.59526743309</v>
      </c>
    </row>
    <row r="82" spans="1:21">
      <c r="A82" s="1">
        <v>41809</v>
      </c>
      <c r="B82" s="5">
        <v>80</v>
      </c>
      <c r="C82" s="6">
        <f t="shared" si="16"/>
        <v>0.21917808219178081</v>
      </c>
      <c r="D82" s="4">
        <f t="shared" si="17"/>
        <v>20.425787106348103</v>
      </c>
      <c r="E82" s="10">
        <f t="shared" si="21"/>
        <v>12.304879225093421</v>
      </c>
      <c r="F82" s="8">
        <v>9192.6535103301121</v>
      </c>
      <c r="G82" s="19">
        <f t="shared" si="22"/>
        <v>7.2320600559608464E-3</v>
      </c>
      <c r="H82" s="21">
        <f t="shared" si="23"/>
        <v>418.541819975105</v>
      </c>
      <c r="I82" s="5">
        <v>445</v>
      </c>
      <c r="J82" s="6">
        <f t="shared" si="18"/>
        <v>1.2191780821917808</v>
      </c>
      <c r="K82" s="4">
        <f t="shared" si="19"/>
        <v>30.888857034466181</v>
      </c>
      <c r="L82" s="10">
        <f t="shared" si="20"/>
        <v>46.995469976627632</v>
      </c>
      <c r="M82" s="13">
        <v>4080.88708666919</v>
      </c>
      <c r="N82" s="19">
        <f t="shared" si="24"/>
        <v>0.80512627799936498</v>
      </c>
      <c r="O82" s="21">
        <f t="shared" si="25"/>
        <v>1102.1390480067728</v>
      </c>
      <c r="P82" s="8">
        <f t="shared" si="26"/>
        <v>113114.4912027431</v>
      </c>
      <c r="Q82" s="8">
        <f t="shared" si="27"/>
        <v>191783.20655956931</v>
      </c>
      <c r="R82" s="8">
        <f t="shared" si="28"/>
        <v>818.05079357769296</v>
      </c>
      <c r="S82" s="8">
        <f t="shared" si="29"/>
        <v>154409.69928008944</v>
      </c>
      <c r="T82" s="8">
        <f t="shared" si="30"/>
        <v>342.38846797608653</v>
      </c>
      <c r="U82" s="8">
        <f t="shared" si="31"/>
        <v>170180.95896756984</v>
      </c>
    </row>
    <row r="83" spans="1:21">
      <c r="A83" s="1">
        <v>41810</v>
      </c>
      <c r="B83" s="5">
        <v>81</v>
      </c>
      <c r="C83" s="6">
        <f t="shared" si="16"/>
        <v>0.22191780821917809</v>
      </c>
      <c r="D83" s="4">
        <f t="shared" si="17"/>
        <v>20.463535307993695</v>
      </c>
      <c r="E83" s="10">
        <f t="shared" si="21"/>
        <v>12.378710183245135</v>
      </c>
      <c r="F83" s="8">
        <v>9182.8481756596266</v>
      </c>
      <c r="G83" s="19">
        <f t="shared" si="22"/>
        <v>7.3981650880424205E-3</v>
      </c>
      <c r="H83" s="21">
        <f t="shared" si="23"/>
        <v>420.35481103991179</v>
      </c>
      <c r="I83" s="5">
        <v>446</v>
      </c>
      <c r="J83" s="6">
        <f t="shared" si="18"/>
        <v>1.2219178082191782</v>
      </c>
      <c r="K83" s="4">
        <f t="shared" si="19"/>
        <v>30.909992190908333</v>
      </c>
      <c r="L83" s="10">
        <f t="shared" si="20"/>
        <v>47.099734705796834</v>
      </c>
      <c r="M83" s="13">
        <v>4040.8231639328474</v>
      </c>
      <c r="N83" s="19">
        <f t="shared" si="24"/>
        <v>0.80712796206284287</v>
      </c>
      <c r="O83" s="21">
        <f t="shared" si="25"/>
        <v>1103.9052511193518</v>
      </c>
      <c r="P83" s="8">
        <f t="shared" si="26"/>
        <v>113671.81622323183</v>
      </c>
      <c r="Q83" s="8">
        <f t="shared" si="27"/>
        <v>190321.69901427571</v>
      </c>
      <c r="R83" s="8">
        <f t="shared" si="28"/>
        <v>840.96286227708777</v>
      </c>
      <c r="S83" s="8">
        <f t="shared" si="29"/>
        <v>153613.96506173012</v>
      </c>
      <c r="T83" s="8">
        <f t="shared" si="30"/>
        <v>353.50278506406863</v>
      </c>
      <c r="U83" s="8">
        <f t="shared" si="31"/>
        <v>169575.26267690852</v>
      </c>
    </row>
    <row r="84" spans="1:21">
      <c r="A84" s="1">
        <v>41811</v>
      </c>
      <c r="B84" s="5">
        <v>82</v>
      </c>
      <c r="C84" s="6">
        <f t="shared" si="16"/>
        <v>0.22465753424657534</v>
      </c>
      <c r="D84" s="4">
        <f t="shared" si="17"/>
        <v>20.501223573828423</v>
      </c>
      <c r="E84" s="10">
        <f t="shared" si="21"/>
        <v>12.452728889040381</v>
      </c>
      <c r="F84" s="8">
        <v>9173.0834427890204</v>
      </c>
      <c r="G84" s="19">
        <f t="shared" si="22"/>
        <v>7.567783321285217E-3</v>
      </c>
      <c r="H84" s="21">
        <f t="shared" si="23"/>
        <v>422.16940310585767</v>
      </c>
      <c r="I84" s="5">
        <v>447</v>
      </c>
      <c r="J84" s="6">
        <f t="shared" si="18"/>
        <v>1.2246575342465753</v>
      </c>
      <c r="K84" s="4">
        <f t="shared" si="19"/>
        <v>30.931093789387873</v>
      </c>
      <c r="L84" s="10">
        <f t="shared" si="20"/>
        <v>47.203993322703163</v>
      </c>
      <c r="M84" s="13">
        <v>4001.2898891797686</v>
      </c>
      <c r="N84" s="19">
        <f t="shared" si="24"/>
        <v>0.80911081922730621</v>
      </c>
      <c r="O84" s="21">
        <f t="shared" si="25"/>
        <v>1105.6702662585585</v>
      </c>
      <c r="P84" s="8">
        <f t="shared" si="26"/>
        <v>114229.92118959683</v>
      </c>
      <c r="Q84" s="8">
        <f t="shared" si="27"/>
        <v>188876.86121104148</v>
      </c>
      <c r="R84" s="8">
        <f t="shared" si="28"/>
        <v>864.46729237035572</v>
      </c>
      <c r="S84" s="8">
        <f t="shared" si="29"/>
        <v>152822.31190754799</v>
      </c>
      <c r="T84" s="8">
        <f t="shared" si="30"/>
        <v>364.95164082453005</v>
      </c>
      <c r="U84" s="8">
        <f t="shared" si="31"/>
        <v>168971.08629706709</v>
      </c>
    </row>
    <row r="85" spans="1:21">
      <c r="A85" s="1">
        <v>41812</v>
      </c>
      <c r="B85" s="5">
        <v>83</v>
      </c>
      <c r="C85" s="6">
        <f t="shared" si="16"/>
        <v>0.22739726027397261</v>
      </c>
      <c r="D85" s="4">
        <f t="shared" si="17"/>
        <v>20.538851999017115</v>
      </c>
      <c r="E85" s="10">
        <f t="shared" si="21"/>
        <v>12.526934771109309</v>
      </c>
      <c r="F85" s="8">
        <v>9163.2984090184709</v>
      </c>
      <c r="G85" s="19">
        <f t="shared" si="22"/>
        <v>7.7409815277893791E-3</v>
      </c>
      <c r="H85" s="21">
        <f t="shared" si="23"/>
        <v>423.98558221958922</v>
      </c>
      <c r="I85" s="5">
        <v>448</v>
      </c>
      <c r="J85" s="6">
        <f t="shared" si="18"/>
        <v>1.2273972602739727</v>
      </c>
      <c r="K85" s="4">
        <f t="shared" si="19"/>
        <v>30.952161883187458</v>
      </c>
      <c r="L85" s="10">
        <f t="shared" si="20"/>
        <v>47.308245465701461</v>
      </c>
      <c r="M85" s="13">
        <v>3964.2261685026424</v>
      </c>
      <c r="N85" s="19">
        <f t="shared" si="24"/>
        <v>0.81107495155668252</v>
      </c>
      <c r="O85" s="21">
        <f t="shared" si="25"/>
        <v>1107.4340905568426</v>
      </c>
      <c r="P85" s="8">
        <f t="shared" si="26"/>
        <v>114788.04145798409</v>
      </c>
      <c r="Q85" s="8">
        <f t="shared" si="27"/>
        <v>187540.58466108021</v>
      </c>
      <c r="R85" s="8">
        <f t="shared" si="28"/>
        <v>888.57210853737627</v>
      </c>
      <c r="S85" s="8">
        <f t="shared" si="29"/>
        <v>152109.47061889755</v>
      </c>
      <c r="T85" s="8">
        <f t="shared" si="30"/>
        <v>376.74176278230749</v>
      </c>
      <c r="U85" s="8">
        <f t="shared" si="31"/>
        <v>168451.21325992158</v>
      </c>
    </row>
    <row r="86" spans="1:21">
      <c r="A86" s="1">
        <v>41813</v>
      </c>
      <c r="B86" s="5">
        <v>84</v>
      </c>
      <c r="C86" s="6">
        <f t="shared" si="16"/>
        <v>0.23013698630136986</v>
      </c>
      <c r="D86" s="4">
        <f t="shared" si="17"/>
        <v>20.576420678573516</v>
      </c>
      <c r="E86" s="10">
        <f t="shared" si="21"/>
        <v>12.601327256858491</v>
      </c>
      <c r="F86" s="8">
        <v>9153.5539770478008</v>
      </c>
      <c r="G86" s="19">
        <f t="shared" si="22"/>
        <v>7.9178275597705256E-3</v>
      </c>
      <c r="H86" s="21">
        <f t="shared" si="23"/>
        <v>425.80333446941387</v>
      </c>
      <c r="I86" s="5">
        <v>449</v>
      </c>
      <c r="J86" s="6">
        <f t="shared" si="18"/>
        <v>1.2301369863013698</v>
      </c>
      <c r="K86" s="4">
        <f t="shared" si="19"/>
        <v>30.973196525505106</v>
      </c>
      <c r="L86" s="10">
        <f t="shared" si="20"/>
        <v>47.41249077428126</v>
      </c>
      <c r="M86" s="13">
        <v>3933.3057187086756</v>
      </c>
      <c r="N86" s="19">
        <f t="shared" si="24"/>
        <v>0.81302046277847562</v>
      </c>
      <c r="O86" s="21">
        <f t="shared" si="25"/>
        <v>1109.1967211643357</v>
      </c>
      <c r="P86" s="8">
        <f t="shared" si="26"/>
        <v>115346.9292280979</v>
      </c>
      <c r="Q86" s="8">
        <f t="shared" si="27"/>
        <v>186487.8211007028</v>
      </c>
      <c r="R86" s="8">
        <f t="shared" si="28"/>
        <v>913.29709517713388</v>
      </c>
      <c r="S86" s="8">
        <f t="shared" si="29"/>
        <v>151618.41461384296</v>
      </c>
      <c r="T86" s="8">
        <f t="shared" si="30"/>
        <v>388.88494848765322</v>
      </c>
      <c r="U86" s="8">
        <f t="shared" si="31"/>
        <v>168174.64835780943</v>
      </c>
    </row>
    <row r="87" spans="1:21">
      <c r="A87" s="1">
        <v>41814</v>
      </c>
      <c r="B87" s="5">
        <v>85</v>
      </c>
      <c r="C87" s="6">
        <f t="shared" si="16"/>
        <v>0.23287671232876711</v>
      </c>
      <c r="D87" s="4">
        <f t="shared" si="17"/>
        <v>20.613929707360501</v>
      </c>
      <c r="E87" s="10">
        <f t="shared" si="21"/>
        <v>12.675905772491678</v>
      </c>
      <c r="F87" s="8">
        <v>9143.8095450771325</v>
      </c>
      <c r="G87" s="19">
        <f t="shared" si="22"/>
        <v>8.0983903620286211E-3</v>
      </c>
      <c r="H87" s="21">
        <f t="shared" si="23"/>
        <v>427.62264598528009</v>
      </c>
      <c r="I87" s="5">
        <v>450</v>
      </c>
      <c r="J87" s="6">
        <f t="shared" si="18"/>
        <v>1.2328767123287672</v>
      </c>
      <c r="K87" s="4">
        <f t="shared" si="19"/>
        <v>30.994197769454392</v>
      </c>
      <c r="L87" s="10">
        <f t="shared" si="20"/>
        <v>47.516728889065661</v>
      </c>
      <c r="M87" s="13">
        <v>3890.8742895854684</v>
      </c>
      <c r="N87" s="19">
        <f t="shared" si="24"/>
        <v>0.81494745821174197</v>
      </c>
      <c r="O87" s="21">
        <f t="shared" si="25"/>
        <v>1110.9581552487989</v>
      </c>
      <c r="P87" s="8">
        <f t="shared" si="26"/>
        <v>115906.06819500773</v>
      </c>
      <c r="Q87" s="8">
        <f t="shared" si="27"/>
        <v>184881.61875966867</v>
      </c>
      <c r="R87" s="8">
        <f t="shared" si="28"/>
        <v>938.65258557108268</v>
      </c>
      <c r="S87" s="8">
        <f t="shared" si="29"/>
        <v>150668.80527826428</v>
      </c>
      <c r="T87" s="8">
        <f t="shared" si="30"/>
        <v>401.38910230283091</v>
      </c>
      <c r="U87" s="8">
        <f t="shared" si="31"/>
        <v>167386.73796548098</v>
      </c>
    </row>
    <row r="88" spans="1:21">
      <c r="A88" s="1">
        <v>41815</v>
      </c>
      <c r="B88" s="5">
        <v>86</v>
      </c>
      <c r="C88" s="6">
        <f t="shared" si="16"/>
        <v>0.23561643835616439</v>
      </c>
      <c r="D88" s="4">
        <f t="shared" si="17"/>
        <v>20.651379180090316</v>
      </c>
      <c r="E88" s="10">
        <f t="shared" si="21"/>
        <v>12.750669743030111</v>
      </c>
      <c r="F88" s="8">
        <v>9134.0651131064624</v>
      </c>
      <c r="G88" s="19">
        <f t="shared" si="22"/>
        <v>8.2827399844097923E-3</v>
      </c>
      <c r="H88" s="21">
        <f t="shared" si="23"/>
        <v>429.44350293876221</v>
      </c>
      <c r="I88" s="5">
        <v>451</v>
      </c>
      <c r="J88" s="6">
        <f t="shared" si="18"/>
        <v>1.2356164383561643</v>
      </c>
      <c r="K88" s="4">
        <f t="shared" si="19"/>
        <v>31.015165668064551</v>
      </c>
      <c r="L88" s="10">
        <f t="shared" si="20"/>
        <v>47.620959451811018</v>
      </c>
      <c r="M88" s="13">
        <v>3849.1980133615202</v>
      </c>
      <c r="N88" s="19">
        <f t="shared" si="24"/>
        <v>0.81685604469624651</v>
      </c>
      <c r="O88" s="21">
        <f t="shared" si="25"/>
        <v>1112.7183899955626</v>
      </c>
      <c r="P88" s="8">
        <f t="shared" si="26"/>
        <v>116465.44766855348</v>
      </c>
      <c r="Q88" s="8">
        <f t="shared" si="27"/>
        <v>183302.50251628048</v>
      </c>
      <c r="R88" s="8">
        <f t="shared" si="28"/>
        <v>964.65302020651404</v>
      </c>
      <c r="S88" s="8">
        <f t="shared" si="29"/>
        <v>149731.75718837263</v>
      </c>
      <c r="T88" s="8">
        <f t="shared" si="30"/>
        <v>414.26397211794193</v>
      </c>
      <c r="U88" s="8">
        <f t="shared" si="31"/>
        <v>166609.2797898525</v>
      </c>
    </row>
    <row r="89" spans="1:21">
      <c r="A89" s="1">
        <v>41816</v>
      </c>
      <c r="B89" s="5">
        <v>87</v>
      </c>
      <c r="C89" s="6">
        <f t="shared" si="16"/>
        <v>0.23835616438356164</v>
      </c>
      <c r="D89" s="4">
        <f t="shared" si="17"/>
        <v>20.688769191324841</v>
      </c>
      <c r="E89" s="10">
        <f t="shared" si="21"/>
        <v>12.825618592333113</v>
      </c>
      <c r="F89" s="8">
        <v>9124.3409820357338</v>
      </c>
      <c r="G89" s="19">
        <f t="shared" si="22"/>
        <v>8.4709475942548289E-3</v>
      </c>
      <c r="H89" s="21">
        <f t="shared" si="23"/>
        <v>431.2658915430402</v>
      </c>
      <c r="I89" s="5">
        <v>452</v>
      </c>
      <c r="J89" s="6">
        <f t="shared" si="18"/>
        <v>1.2383561643835617</v>
      </c>
      <c r="K89" s="4">
        <f t="shared" si="19"/>
        <v>31.036100274280624</v>
      </c>
      <c r="L89" s="10">
        <f t="shared" si="20"/>
        <v>47.72518210540543</v>
      </c>
      <c r="M89" s="13">
        <v>3819.4000881475313</v>
      </c>
      <c r="N89" s="19">
        <f t="shared" si="24"/>
        <v>0.81874633052282231</v>
      </c>
      <c r="O89" s="21">
        <f t="shared" si="25"/>
        <v>1114.4774226074624</v>
      </c>
      <c r="P89" s="8">
        <f t="shared" si="26"/>
        <v>117025.31734198448</v>
      </c>
      <c r="Q89" s="8">
        <f t="shared" si="27"/>
        <v>182281.56474024249</v>
      </c>
      <c r="R89" s="8">
        <f t="shared" si="28"/>
        <v>991.31533040499141</v>
      </c>
      <c r="S89" s="8">
        <f t="shared" si="29"/>
        <v>149242.36225303181</v>
      </c>
      <c r="T89" s="8">
        <f t="shared" si="30"/>
        <v>427.52048976739212</v>
      </c>
      <c r="U89" s="8">
        <f t="shared" si="31"/>
        <v>166327.24322760812</v>
      </c>
    </row>
    <row r="90" spans="1:21">
      <c r="A90" s="1">
        <v>41817</v>
      </c>
      <c r="B90" s="5">
        <v>88</v>
      </c>
      <c r="C90" s="6">
        <f t="shared" si="16"/>
        <v>0.24109589041095891</v>
      </c>
      <c r="D90" s="4">
        <f t="shared" si="17"/>
        <v>20.726099835475793</v>
      </c>
      <c r="E90" s="10">
        <f t="shared" si="21"/>
        <v>12.900751743118018</v>
      </c>
      <c r="F90" s="8">
        <v>9114.6168509650033</v>
      </c>
      <c r="G90" s="19">
        <f t="shared" si="22"/>
        <v>8.6630854888276373E-3</v>
      </c>
      <c r="H90" s="21">
        <f t="shared" si="23"/>
        <v>433.08979805287879</v>
      </c>
      <c r="I90" s="5">
        <v>453</v>
      </c>
      <c r="J90" s="6">
        <f t="shared" si="18"/>
        <v>1.2410958904109588</v>
      </c>
      <c r="K90" s="4">
        <f t="shared" si="19"/>
        <v>31.057001640963577</v>
      </c>
      <c r="L90" s="10">
        <f t="shared" si="20"/>
        <v>47.82939649386843</v>
      </c>
      <c r="M90" s="13">
        <v>3784.8467406219952</v>
      </c>
      <c r="N90" s="19">
        <f t="shared" si="24"/>
        <v>0.82061842536494312</v>
      </c>
      <c r="O90" s="21">
        <f t="shared" si="25"/>
        <v>1116.2352503047828</v>
      </c>
      <c r="P90" s="8">
        <f t="shared" si="26"/>
        <v>117585.40922793963</v>
      </c>
      <c r="Q90" s="8">
        <f t="shared" si="27"/>
        <v>181026.93542573502</v>
      </c>
      <c r="R90" s="8">
        <f t="shared" si="28"/>
        <v>1018.6524523804231</v>
      </c>
      <c r="S90" s="8">
        <f t="shared" si="29"/>
        <v>148554.0386977079</v>
      </c>
      <c r="T90" s="8">
        <f t="shared" si="30"/>
        <v>441.16798488750715</v>
      </c>
      <c r="U90" s="8">
        <f t="shared" si="31"/>
        <v>165821.25456952237</v>
      </c>
    </row>
    <row r="91" spans="1:21">
      <c r="A91" s="1">
        <v>41818</v>
      </c>
      <c r="B91" s="5">
        <v>89</v>
      </c>
      <c r="C91" s="6">
        <f t="shared" si="16"/>
        <v>0.24383561643835616</v>
      </c>
      <c r="D91" s="4">
        <f t="shared" si="17"/>
        <v>20.763371206805004</v>
      </c>
      <c r="E91" s="10">
        <f t="shared" si="21"/>
        <v>12.976068616980518</v>
      </c>
      <c r="F91" s="8">
        <v>9104.9130207942108</v>
      </c>
      <c r="G91" s="19">
        <f t="shared" si="22"/>
        <v>8.8592271077174226E-3</v>
      </c>
      <c r="H91" s="21">
        <f t="shared" si="23"/>
        <v>434.91520876460805</v>
      </c>
      <c r="I91" s="5">
        <v>454</v>
      </c>
      <c r="J91" s="6">
        <f t="shared" si="18"/>
        <v>1.2438356164383562</v>
      </c>
      <c r="K91" s="4">
        <f t="shared" si="19"/>
        <v>31.077869820890456</v>
      </c>
      <c r="L91" s="10">
        <f t="shared" si="20"/>
        <v>47.933602262350206</v>
      </c>
      <c r="M91" s="13">
        <v>3750.6199457015437</v>
      </c>
      <c r="N91" s="19">
        <f t="shared" si="24"/>
        <v>0.82247244021151233</v>
      </c>
      <c r="O91" s="21">
        <f t="shared" si="25"/>
        <v>1117.9918703252019</v>
      </c>
      <c r="P91" s="8">
        <f t="shared" si="26"/>
        <v>118145.97610946505</v>
      </c>
      <c r="Q91" s="8">
        <f t="shared" si="27"/>
        <v>179780.72471449533</v>
      </c>
      <c r="R91" s="8">
        <f t="shared" si="28"/>
        <v>1046.6820342167077</v>
      </c>
      <c r="S91" s="8">
        <f t="shared" si="29"/>
        <v>147864.69135892511</v>
      </c>
      <c r="T91" s="8">
        <f t="shared" si="30"/>
        <v>455.21793542152403</v>
      </c>
      <c r="U91" s="8">
        <f t="shared" si="31"/>
        <v>165311.52284742342</v>
      </c>
    </row>
    <row r="92" spans="1:21">
      <c r="A92" s="1">
        <v>41819</v>
      </c>
      <c r="B92" s="5">
        <v>90</v>
      </c>
      <c r="C92" s="6">
        <f t="shared" si="16"/>
        <v>0.24657534246575341</v>
      </c>
      <c r="D92" s="4">
        <f t="shared" si="17"/>
        <v>20.800583399424617</v>
      </c>
      <c r="E92" s="10">
        <f t="shared" si="21"/>
        <v>13.051568634414492</v>
      </c>
      <c r="F92" s="8">
        <v>9095.2091906234182</v>
      </c>
      <c r="G92" s="19">
        <f t="shared" si="22"/>
        <v>9.0594470452069423E-3</v>
      </c>
      <c r="H92" s="21">
        <f t="shared" si="23"/>
        <v>436.74211001610149</v>
      </c>
      <c r="I92" s="5">
        <v>455</v>
      </c>
      <c r="J92" s="6">
        <f t="shared" si="18"/>
        <v>1.2465753424657535</v>
      </c>
      <c r="K92" s="4">
        <f t="shared" si="19"/>
        <v>31.098704866754495</v>
      </c>
      <c r="L92" s="10">
        <f t="shared" si="20"/>
        <v>48.037799057130172</v>
      </c>
      <c r="M92" s="13">
        <v>3715.6175883440164</v>
      </c>
      <c r="N92" s="19">
        <f t="shared" si="24"/>
        <v>0.82430848730087769</v>
      </c>
      <c r="O92" s="21">
        <f t="shared" si="25"/>
        <v>1119.7472799237312</v>
      </c>
      <c r="P92" s="8">
        <f t="shared" si="26"/>
        <v>118706.74699577903</v>
      </c>
      <c r="Q92" s="8">
        <f t="shared" si="27"/>
        <v>178490.09108200847</v>
      </c>
      <c r="R92" s="8">
        <f t="shared" si="28"/>
        <v>1075.4174883170385</v>
      </c>
      <c r="S92" s="8">
        <f t="shared" si="29"/>
        <v>147130.89697800629</v>
      </c>
      <c r="T92" s="8">
        <f t="shared" si="30"/>
        <v>469.68010299579959</v>
      </c>
      <c r="U92" s="8">
        <f t="shared" si="31"/>
        <v>164749.42168386126</v>
      </c>
    </row>
    <row r="93" spans="1:21">
      <c r="A93" s="1">
        <v>41820</v>
      </c>
      <c r="B93" s="5">
        <v>91</v>
      </c>
      <c r="C93" s="6">
        <f t="shared" si="16"/>
        <v>0.24931506849315069</v>
      </c>
      <c r="D93" s="4">
        <f t="shared" si="17"/>
        <v>20.837736507297382</v>
      </c>
      <c r="E93" s="10">
        <f t="shared" si="21"/>
        <v>13.127251214831906</v>
      </c>
      <c r="F93" s="8">
        <v>9085.5256613525689</v>
      </c>
      <c r="G93" s="19">
        <f t="shared" si="22"/>
        <v>9.2638210626005899E-3</v>
      </c>
      <c r="H93" s="21">
        <f t="shared" si="23"/>
        <v>438.57048818675287</v>
      </c>
      <c r="I93" s="5">
        <v>456</v>
      </c>
      <c r="J93" s="6">
        <f t="shared" si="18"/>
        <v>1.2493150684931507</v>
      </c>
      <c r="K93" s="4">
        <f t="shared" si="19"/>
        <v>31.119506831165278</v>
      </c>
      <c r="L93" s="10">
        <f t="shared" si="20"/>
        <v>48.141986525616815</v>
      </c>
      <c r="M93" s="13">
        <v>3668.9409753547066</v>
      </c>
      <c r="N93" s="19">
        <f t="shared" si="24"/>
        <v>0.82612668005607626</v>
      </c>
      <c r="O93" s="21">
        <f t="shared" si="25"/>
        <v>1121.5014763726554</v>
      </c>
      <c r="P93" s="8">
        <f t="shared" si="26"/>
        <v>119267.97777537697</v>
      </c>
      <c r="Q93" s="8">
        <f t="shared" si="27"/>
        <v>176630.1069988097</v>
      </c>
      <c r="R93" s="8">
        <f t="shared" si="28"/>
        <v>1104.8772046093163</v>
      </c>
      <c r="S93" s="8">
        <f t="shared" si="29"/>
        <v>145918.84389287618</v>
      </c>
      <c r="T93" s="8">
        <f t="shared" si="30"/>
        <v>484.56653501192272</v>
      </c>
      <c r="U93" s="8">
        <f t="shared" si="31"/>
        <v>163648.19885645167</v>
      </c>
    </row>
    <row r="94" spans="1:21">
      <c r="A94" s="1">
        <v>41821</v>
      </c>
      <c r="B94" s="5">
        <v>92</v>
      </c>
      <c r="C94" s="6">
        <f t="shared" si="16"/>
        <v>0.25205479452054796</v>
      </c>
      <c r="D94" s="4">
        <f t="shared" si="17"/>
        <v>20.874830624236804</v>
      </c>
      <c r="E94" s="10">
        <f t="shared" si="21"/>
        <v>13.203115776582466</v>
      </c>
      <c r="F94" s="8">
        <v>9075.8421320817142</v>
      </c>
      <c r="G94" s="19">
        <f t="shared" si="22"/>
        <v>9.4724261005033877E-3</v>
      </c>
      <c r="H94" s="21">
        <f t="shared" si="23"/>
        <v>440.40032969745135</v>
      </c>
      <c r="I94" s="5">
        <v>457</v>
      </c>
      <c r="J94" s="6">
        <f t="shared" si="18"/>
        <v>1.252054794520548</v>
      </c>
      <c r="K94" s="4">
        <f t="shared" si="19"/>
        <v>31.140275766648855</v>
      </c>
      <c r="L94" s="10">
        <f t="shared" si="20"/>
        <v>48.246164316346288</v>
      </c>
      <c r="M94" s="13">
        <v>3627.5504326602077</v>
      </c>
      <c r="N94" s="19">
        <f t="shared" si="24"/>
        <v>0.82792713302131471</v>
      </c>
      <c r="O94" s="21">
        <f t="shared" si="25"/>
        <v>1123.2544569614734</v>
      </c>
      <c r="P94" s="8">
        <f t="shared" si="26"/>
        <v>119829.39443985993</v>
      </c>
      <c r="Q94" s="8">
        <f t="shared" si="27"/>
        <v>175015.39423995744</v>
      </c>
      <c r="R94" s="8">
        <f t="shared" si="28"/>
        <v>1135.0750834996447</v>
      </c>
      <c r="S94" s="8">
        <f t="shared" si="29"/>
        <v>144899.99358768307</v>
      </c>
      <c r="T94" s="8">
        <f t="shared" si="30"/>
        <v>499.88744100460565</v>
      </c>
      <c r="U94" s="8">
        <f t="shared" si="31"/>
        <v>162759.56361105392</v>
      </c>
    </row>
    <row r="95" spans="1:21">
      <c r="A95" s="1">
        <v>41822</v>
      </c>
      <c r="B95" s="5">
        <v>93</v>
      </c>
      <c r="C95" s="6">
        <f t="shared" si="16"/>
        <v>0.25479452054794521</v>
      </c>
      <c r="D95" s="4">
        <f t="shared" si="17"/>
        <v>20.911865843907488</v>
      </c>
      <c r="E95" s="10">
        <f t="shared" si="21"/>
        <v>13.279161736973304</v>
      </c>
      <c r="F95" s="8">
        <v>9066.1789037107992</v>
      </c>
      <c r="G95" s="19">
        <f t="shared" si="22"/>
        <v>9.6853402910451782E-3</v>
      </c>
      <c r="H95" s="21">
        <f t="shared" si="23"/>
        <v>442.23162101055971</v>
      </c>
      <c r="I95" s="5">
        <v>458</v>
      </c>
      <c r="J95" s="6">
        <f t="shared" si="18"/>
        <v>1.2547945205479452</v>
      </c>
      <c r="K95" s="4">
        <f t="shared" si="19"/>
        <v>31.161011725647857</v>
      </c>
      <c r="L95" s="10">
        <f t="shared" si="20"/>
        <v>48.350332078981467</v>
      </c>
      <c r="M95" s="13">
        <v>3601.2221288752448</v>
      </c>
      <c r="N95" s="19">
        <f t="shared" si="24"/>
        <v>0.82970996179968415</v>
      </c>
      <c r="O95" s="21">
        <f t="shared" si="25"/>
        <v>1125.0062189968444</v>
      </c>
      <c r="P95" s="8">
        <f t="shared" si="26"/>
        <v>120391.25599871101</v>
      </c>
      <c r="Q95" s="8">
        <f t="shared" si="27"/>
        <v>174120.28582129467</v>
      </c>
      <c r="R95" s="8">
        <f t="shared" si="28"/>
        <v>1166.0302824138503</v>
      </c>
      <c r="S95" s="8">
        <f t="shared" si="29"/>
        <v>144469.3356973365</v>
      </c>
      <c r="T95" s="8">
        <f t="shared" si="30"/>
        <v>515.65546193927776</v>
      </c>
      <c r="U95" s="8">
        <f t="shared" si="31"/>
        <v>162528.90111384637</v>
      </c>
    </row>
    <row r="96" spans="1:21">
      <c r="A96" s="1">
        <v>41823</v>
      </c>
      <c r="B96" s="5">
        <v>94</v>
      </c>
      <c r="C96" s="6">
        <f t="shared" si="16"/>
        <v>0.25753424657534246</v>
      </c>
      <c r="D96" s="4">
        <f t="shared" si="17"/>
        <v>20.948842259825277</v>
      </c>
      <c r="E96" s="10">
        <f t="shared" si="21"/>
        <v>13.355388512288322</v>
      </c>
      <c r="F96" s="8">
        <v>9056.5359762398257</v>
      </c>
      <c r="G96" s="19">
        <f t="shared" si="22"/>
        <v>9.9026429700396126E-3</v>
      </c>
      <c r="H96" s="21">
        <f t="shared" si="23"/>
        <v>444.0643486298855</v>
      </c>
      <c r="I96" s="5">
        <v>459</v>
      </c>
      <c r="J96" s="6">
        <f t="shared" si="18"/>
        <v>1.2575342465753425</v>
      </c>
      <c r="K96" s="4">
        <f t="shared" si="19"/>
        <v>31.181714760521672</v>
      </c>
      <c r="L96" s="10">
        <f t="shared" si="20"/>
        <v>48.454489464311621</v>
      </c>
      <c r="M96" s="13">
        <v>3569.5669357198362</v>
      </c>
      <c r="N96" s="19">
        <f t="shared" si="24"/>
        <v>0.83147528299211693</v>
      </c>
      <c r="O96" s="21">
        <f t="shared" si="25"/>
        <v>1126.7567598025255</v>
      </c>
      <c r="P96" s="8">
        <f t="shared" si="26"/>
        <v>120953.55653819926</v>
      </c>
      <c r="Q96" s="8">
        <f t="shared" si="27"/>
        <v>172961.54347899192</v>
      </c>
      <c r="R96" s="8">
        <f t="shared" si="28"/>
        <v>1197.7598863542878</v>
      </c>
      <c r="S96" s="8">
        <f t="shared" si="29"/>
        <v>143813.24831094814</v>
      </c>
      <c r="T96" s="8">
        <f t="shared" si="30"/>
        <v>531.88246374892242</v>
      </c>
      <c r="U96" s="8">
        <f t="shared" si="31"/>
        <v>162042.54968351996</v>
      </c>
    </row>
    <row r="97" spans="1:21">
      <c r="A97" s="1">
        <v>41824</v>
      </c>
      <c r="B97" s="5">
        <v>95</v>
      </c>
      <c r="C97" s="6">
        <f t="shared" si="16"/>
        <v>0.26027397260273971</v>
      </c>
      <c r="D97" s="4">
        <f t="shared" si="17"/>
        <v>20.985759965357559</v>
      </c>
      <c r="E97" s="10">
        <f t="shared" si="21"/>
        <v>13.431795517807689</v>
      </c>
      <c r="F97" s="8">
        <v>9046.8727478689125</v>
      </c>
      <c r="G97" s="19">
        <f t="shared" si="22"/>
        <v>1.0124414689071876E-2</v>
      </c>
      <c r="H97" s="21">
        <f t="shared" si="23"/>
        <v>445.89849910065863</v>
      </c>
      <c r="I97" s="5">
        <v>460</v>
      </c>
      <c r="J97" s="6">
        <f t="shared" si="18"/>
        <v>1.2602739726027397</v>
      </c>
      <c r="K97" s="4">
        <f t="shared" si="19"/>
        <v>31.202384923546532</v>
      </c>
      <c r="L97" s="10">
        <f t="shared" si="20"/>
        <v>48.558636124250746</v>
      </c>
      <c r="M97" s="13">
        <v>3533.911473152139</v>
      </c>
      <c r="N97" s="19">
        <f t="shared" si="24"/>
        <v>0.8332232141375806</v>
      </c>
      <c r="O97" s="21">
        <f t="shared" si="25"/>
        <v>1128.5060767193156</v>
      </c>
      <c r="P97" s="8">
        <f t="shared" si="26"/>
        <v>121515.7448250022</v>
      </c>
      <c r="Q97" s="8">
        <f t="shared" si="27"/>
        <v>171601.92132010963</v>
      </c>
      <c r="R97" s="8">
        <f t="shared" si="28"/>
        <v>1230.275791859762</v>
      </c>
      <c r="S97" s="8">
        <f t="shared" si="29"/>
        <v>142982.70443452595</v>
      </c>
      <c r="T97" s="8">
        <f t="shared" si="30"/>
        <v>548.57812907014215</v>
      </c>
      <c r="U97" s="8">
        <f t="shared" si="31"/>
        <v>161356.85082012435</v>
      </c>
    </row>
    <row r="98" spans="1:21">
      <c r="A98" s="1">
        <v>41825</v>
      </c>
      <c r="B98" s="5">
        <v>96</v>
      </c>
      <c r="C98" s="6">
        <f t="shared" si="16"/>
        <v>0.26301369863013696</v>
      </c>
      <c r="D98" s="4">
        <f t="shared" si="17"/>
        <v>21.02261905372346</v>
      </c>
      <c r="E98" s="10">
        <f t="shared" si="21"/>
        <v>13.508382167826886</v>
      </c>
      <c r="F98" s="8">
        <v>9037.2501212978768</v>
      </c>
      <c r="G98" s="19">
        <f t="shared" si="22"/>
        <v>1.0350737227504814E-2</v>
      </c>
      <c r="H98" s="21">
        <f t="shared" si="23"/>
        <v>447.73405900949922</v>
      </c>
      <c r="I98" s="5">
        <v>461</v>
      </c>
      <c r="J98" s="6">
        <f t="shared" si="18"/>
        <v>1.263013698630137</v>
      </c>
      <c r="K98" s="4">
        <f t="shared" si="19"/>
        <v>31.223022266915695</v>
      </c>
      <c r="L98" s="10">
        <f t="shared" si="20"/>
        <v>48.662771711837344</v>
      </c>
      <c r="M98" s="13">
        <v>3504.3584623919642</v>
      </c>
      <c r="N98" s="19">
        <f t="shared" si="24"/>
        <v>0.83495387365451124</v>
      </c>
      <c r="O98" s="21">
        <f t="shared" si="25"/>
        <v>1130.254167104998</v>
      </c>
      <c r="P98" s="8">
        <f t="shared" si="26"/>
        <v>122078.62838473159</v>
      </c>
      <c r="Q98" s="8">
        <f t="shared" si="27"/>
        <v>170531.79585182547</v>
      </c>
      <c r="R98" s="8">
        <f t="shared" si="28"/>
        <v>1263.6038035045672</v>
      </c>
      <c r="S98" s="8">
        <f t="shared" si="29"/>
        <v>142386.18352774199</v>
      </c>
      <c r="T98" s="8">
        <f t="shared" si="30"/>
        <v>565.75845992294148</v>
      </c>
      <c r="U98" s="8">
        <f t="shared" si="31"/>
        <v>160932.5772704074</v>
      </c>
    </row>
    <row r="99" spans="1:21">
      <c r="A99" s="1">
        <v>41826</v>
      </c>
      <c r="B99" s="5">
        <v>97</v>
      </c>
      <c r="C99" s="6">
        <f t="shared" si="16"/>
        <v>0.26575342465753427</v>
      </c>
      <c r="D99" s="4">
        <f t="shared" si="17"/>
        <v>21.059419617994102</v>
      </c>
      <c r="E99" s="10">
        <f t="shared" si="21"/>
        <v>13.585147875675885</v>
      </c>
      <c r="F99" s="8">
        <v>9027.6274947268412</v>
      </c>
      <c r="G99" s="19">
        <f t="shared" si="22"/>
        <v>1.058169360439583E-2</v>
      </c>
      <c r="H99" s="21">
        <f t="shared" si="23"/>
        <v>449.57101498439454</v>
      </c>
      <c r="I99" s="5">
        <v>462</v>
      </c>
      <c r="J99" s="6">
        <f t="shared" si="18"/>
        <v>1.2657534246575342</v>
      </c>
      <c r="K99" s="4">
        <f t="shared" si="19"/>
        <v>31.243626842739509</v>
      </c>
      <c r="L99" s="10">
        <f t="shared" si="20"/>
        <v>48.76689588123287</v>
      </c>
      <c r="M99" s="13">
        <v>3473.0298218416406</v>
      </c>
      <c r="N99" s="19">
        <f t="shared" si="24"/>
        <v>0.83666738078347502</v>
      </c>
      <c r="O99" s="21">
        <f t="shared" si="25"/>
        <v>1132.0010283342865</v>
      </c>
      <c r="P99" s="8">
        <f t="shared" si="26"/>
        <v>122641.65448238155</v>
      </c>
      <c r="Q99" s="8">
        <f t="shared" si="27"/>
        <v>169368.88371416804</v>
      </c>
      <c r="R99" s="8">
        <f t="shared" si="28"/>
        <v>1297.75641086874</v>
      </c>
      <c r="S99" s="8">
        <f t="shared" si="29"/>
        <v>141705.42032335393</v>
      </c>
      <c r="T99" s="8">
        <f t="shared" si="30"/>
        <v>583.43366683676447</v>
      </c>
      <c r="U99" s="8">
        <f t="shared" si="31"/>
        <v>160410.68152657896</v>
      </c>
    </row>
    <row r="100" spans="1:21">
      <c r="A100" s="1">
        <v>41827</v>
      </c>
      <c r="B100" s="5">
        <v>98</v>
      </c>
      <c r="C100" s="6">
        <f t="shared" si="16"/>
        <v>0.26849315068493151</v>
      </c>
      <c r="D100" s="4">
        <f t="shared" si="17"/>
        <v>21.096161751092833</v>
      </c>
      <c r="E100" s="10">
        <f t="shared" si="21"/>
        <v>13.662092053738206</v>
      </c>
      <c r="F100" s="8">
        <v>9018.0048681558037</v>
      </c>
      <c r="G100" s="19">
        <f t="shared" si="22"/>
        <v>1.0817368090314618E-2</v>
      </c>
      <c r="H100" s="21">
        <f t="shared" si="23"/>
        <v>451.4093536946674</v>
      </c>
      <c r="I100" s="5">
        <v>463</v>
      </c>
      <c r="J100" s="6">
        <f t="shared" si="18"/>
        <v>1.2684931506849315</v>
      </c>
      <c r="K100" s="4">
        <f t="shared" si="19"/>
        <v>31.264198703045615</v>
      </c>
      <c r="L100" s="10">
        <f t="shared" si="20"/>
        <v>48.87100828772099</v>
      </c>
      <c r="M100" s="13">
        <v>3442.027733896402</v>
      </c>
      <c r="N100" s="19">
        <f t="shared" si="24"/>
        <v>0.83836385553108006</v>
      </c>
      <c r="O100" s="21">
        <f t="shared" si="25"/>
        <v>1133.7466577987559</v>
      </c>
      <c r="P100" s="8">
        <f t="shared" si="26"/>
        <v>123204.81264980386</v>
      </c>
      <c r="Q100" s="8">
        <f t="shared" si="27"/>
        <v>168215.36590981655</v>
      </c>
      <c r="R100" s="8">
        <f t="shared" si="28"/>
        <v>1332.7518089311791</v>
      </c>
      <c r="S100" s="8">
        <f t="shared" si="29"/>
        <v>141025.68272372521</v>
      </c>
      <c r="T100" s="8">
        <f t="shared" si="30"/>
        <v>601.61663270502243</v>
      </c>
      <c r="U100" s="8">
        <f t="shared" si="31"/>
        <v>159887.39645181122</v>
      </c>
    </row>
    <row r="101" spans="1:21">
      <c r="A101" s="1">
        <v>41828</v>
      </c>
      <c r="B101" s="5">
        <v>99</v>
      </c>
      <c r="C101" s="6">
        <f t="shared" si="16"/>
        <v>0.27123287671232876</v>
      </c>
      <c r="D101" s="4">
        <f t="shared" si="17"/>
        <v>21.132845545795441</v>
      </c>
      <c r="E101" s="10">
        <f t="shared" si="21"/>
        <v>13.739214113469574</v>
      </c>
      <c r="F101" s="8">
        <v>9008.4025424847077</v>
      </c>
      <c r="G101" s="19">
        <f t="shared" si="22"/>
        <v>1.1057846219052547E-2</v>
      </c>
      <c r="H101" s="21">
        <f t="shared" si="23"/>
        <v>453.24906185094665</v>
      </c>
      <c r="I101" s="5">
        <v>464</v>
      </c>
      <c r="J101" s="6">
        <f t="shared" si="18"/>
        <v>1.2712328767123289</v>
      </c>
      <c r="K101" s="4">
        <f t="shared" si="19"/>
        <v>31.284737899779032</v>
      </c>
      <c r="L101" s="10">
        <f t="shared" si="20"/>
        <v>48.975108587706714</v>
      </c>
      <c r="M101" s="13">
        <v>3415.2912393550837</v>
      </c>
      <c r="N101" s="19">
        <f t="shared" si="24"/>
        <v>0.84004341861509979</v>
      </c>
      <c r="O101" s="21">
        <f t="shared" si="25"/>
        <v>1135.4910529068</v>
      </c>
      <c r="P101" s="8">
        <f t="shared" si="26"/>
        <v>123768.37135152108</v>
      </c>
      <c r="Q101" s="8">
        <f t="shared" si="27"/>
        <v>167264.25930605867</v>
      </c>
      <c r="R101" s="8">
        <f t="shared" si="28"/>
        <v>1368.611617187709</v>
      </c>
      <c r="S101" s="8">
        <f t="shared" si="29"/>
        <v>140509.24019958405</v>
      </c>
      <c r="T101" s="8">
        <f t="shared" si="30"/>
        <v>620.32193152863601</v>
      </c>
      <c r="U101" s="8">
        <f t="shared" si="31"/>
        <v>159546.98509736016</v>
      </c>
    </row>
    <row r="102" spans="1:21">
      <c r="A102" s="1">
        <v>41829</v>
      </c>
      <c r="B102" s="5">
        <v>100</v>
      </c>
      <c r="C102" s="6">
        <f t="shared" si="16"/>
        <v>0.27397260273972601</v>
      </c>
      <c r="D102" s="4">
        <f t="shared" si="17"/>
        <v>21.169471094730429</v>
      </c>
      <c r="E102" s="10">
        <f t="shared" si="21"/>
        <v>13.816513465416781</v>
      </c>
      <c r="F102" s="8">
        <v>8998.8002168136099</v>
      </c>
      <c r="G102" s="19">
        <f t="shared" si="22"/>
        <v>1.1303214799214215E-2</v>
      </c>
      <c r="H102" s="21">
        <f t="shared" si="23"/>
        <v>455.09012620513681</v>
      </c>
      <c r="I102" s="5">
        <v>465</v>
      </c>
      <c r="J102" s="6">
        <f t="shared" si="18"/>
        <v>1.273972602739726</v>
      </c>
      <c r="K102" s="4">
        <f t="shared" si="19"/>
        <v>31.305244484802291</v>
      </c>
      <c r="L102" s="10">
        <f t="shared" si="20"/>
        <v>49.079196438715385</v>
      </c>
      <c r="M102" s="13">
        <v>3383.819732040035</v>
      </c>
      <c r="N102" s="19">
        <f t="shared" si="24"/>
        <v>0.84170619141083036</v>
      </c>
      <c r="O102" s="21">
        <f t="shared" si="25"/>
        <v>1137.2342110835609</v>
      </c>
      <c r="P102" s="8">
        <f t="shared" si="26"/>
        <v>124332.04436820069</v>
      </c>
      <c r="Q102" s="8">
        <f t="shared" si="27"/>
        <v>166075.15334199413</v>
      </c>
      <c r="R102" s="8">
        <f t="shared" si="28"/>
        <v>1405.3518039192043</v>
      </c>
      <c r="S102" s="8">
        <f t="shared" si="29"/>
        <v>139786.48480745952</v>
      </c>
      <c r="T102" s="8">
        <f t="shared" si="30"/>
        <v>639.56172980820736</v>
      </c>
      <c r="U102" s="8">
        <f t="shared" si="31"/>
        <v>158969.97277015541</v>
      </c>
    </row>
    <row r="103" spans="1:21">
      <c r="A103" s="1">
        <v>41830</v>
      </c>
      <c r="B103" s="5">
        <v>101</v>
      </c>
      <c r="C103" s="6">
        <f t="shared" si="16"/>
        <v>0.27671232876712326</v>
      </c>
      <c r="D103" s="4">
        <f t="shared" si="17"/>
        <v>21.206038490379218</v>
      </c>
      <c r="E103" s="10">
        <f t="shared" si="21"/>
        <v>13.893989519236268</v>
      </c>
      <c r="F103" s="8">
        <v>8989.2181920424518</v>
      </c>
      <c r="G103" s="19">
        <f t="shared" si="22"/>
        <v>1.155356192568038E-2</v>
      </c>
      <c r="H103" s="21">
        <f t="shared" si="23"/>
        <v>456.93253355038604</v>
      </c>
      <c r="I103" s="5">
        <v>466</v>
      </c>
      <c r="J103" s="6">
        <f t="shared" si="18"/>
        <v>1.2767123287671234</v>
      </c>
      <c r="K103" s="4">
        <f t="shared" si="19"/>
        <v>31.325718509895601</v>
      </c>
      <c r="L103" s="10">
        <f t="shared" si="20"/>
        <v>49.183271499391481</v>
      </c>
      <c r="M103" s="13">
        <v>3353.3278825402408</v>
      </c>
      <c r="N103" s="19">
        <f t="shared" si="24"/>
        <v>0.84335229589866834</v>
      </c>
      <c r="O103" s="21">
        <f t="shared" si="25"/>
        <v>1138.9761297708815</v>
      </c>
      <c r="P103" s="8">
        <f t="shared" si="26"/>
        <v>124896.10334636582</v>
      </c>
      <c r="Q103" s="8">
        <f t="shared" si="27"/>
        <v>164927.63567345621</v>
      </c>
      <c r="R103" s="8">
        <f t="shared" si="28"/>
        <v>1442.994864288414</v>
      </c>
      <c r="S103" s="8">
        <f t="shared" si="29"/>
        <v>139092.1002023484</v>
      </c>
      <c r="T103" s="8">
        <f t="shared" si="30"/>
        <v>659.35129923950046</v>
      </c>
      <c r="U103" s="8">
        <f t="shared" si="31"/>
        <v>158422.58197017442</v>
      </c>
    </row>
    <row r="104" spans="1:21">
      <c r="A104" s="1">
        <v>41831</v>
      </c>
      <c r="B104" s="5">
        <v>102</v>
      </c>
      <c r="C104" s="6">
        <f t="shared" si="16"/>
        <v>0.27945205479452057</v>
      </c>
      <c r="D104" s="4">
        <f t="shared" si="17"/>
        <v>21.242547825076393</v>
      </c>
      <c r="E104" s="10">
        <f t="shared" si="21"/>
        <v>13.971641683712608</v>
      </c>
      <c r="F104" s="8">
        <v>8979.6564681712334</v>
      </c>
      <c r="G104" s="19">
        <f t="shared" si="22"/>
        <v>1.180897699093259E-2</v>
      </c>
      <c r="H104" s="21">
        <f t="shared" si="23"/>
        <v>458.77627072105747</v>
      </c>
      <c r="I104" s="5">
        <v>467</v>
      </c>
      <c r="J104" s="6">
        <f t="shared" si="18"/>
        <v>1.2794520547945205</v>
      </c>
      <c r="K104" s="4">
        <f t="shared" si="19"/>
        <v>31.346160026756941</v>
      </c>
      <c r="L104" s="10">
        <f t="shared" si="20"/>
        <v>49.287333429497721</v>
      </c>
      <c r="M104" s="13">
        <v>3329.5099519068685</v>
      </c>
      <c r="N104" s="19">
        <f t="shared" si="24"/>
        <v>0.84498185461289643</v>
      </c>
      <c r="O104" s="21">
        <f t="shared" si="25"/>
        <v>1140.7168064272453</v>
      </c>
      <c r="P104" s="8">
        <f t="shared" si="26"/>
        <v>125460.54261612074</v>
      </c>
      <c r="Q104" s="8">
        <f t="shared" si="27"/>
        <v>164102.66715646474</v>
      </c>
      <c r="R104" s="8">
        <f t="shared" si="28"/>
        <v>1481.5606610236875</v>
      </c>
      <c r="S104" s="8">
        <f t="shared" si="29"/>
        <v>138663.77604079244</v>
      </c>
      <c r="T104" s="8">
        <f t="shared" si="30"/>
        <v>679.70487491147207</v>
      </c>
      <c r="U104" s="8">
        <f t="shared" si="31"/>
        <v>158176.09977239551</v>
      </c>
    </row>
    <row r="105" spans="1:21">
      <c r="A105" s="1">
        <v>41832</v>
      </c>
      <c r="B105" s="5">
        <v>103</v>
      </c>
      <c r="C105" s="6">
        <f t="shared" si="16"/>
        <v>0.28219178082191781</v>
      </c>
      <c r="D105" s="4">
        <f t="shared" si="17"/>
        <v>21.27899919100992</v>
      </c>
      <c r="E105" s="10">
        <f t="shared" si="21"/>
        <v>14.049469366776808</v>
      </c>
      <c r="F105" s="8">
        <v>8970.0947443000132</v>
      </c>
      <c r="G105" s="19">
        <f t="shared" si="22"/>
        <v>1.2069550696228245E-2</v>
      </c>
      <c r="H105" s="21">
        <f t="shared" si="23"/>
        <v>460.62132459269037</v>
      </c>
      <c r="I105" s="5">
        <v>468</v>
      </c>
      <c r="J105" s="6">
        <f t="shared" si="18"/>
        <v>1.2821917808219179</v>
      </c>
      <c r="K105" s="4">
        <f t="shared" si="19"/>
        <v>31.366569087002201</v>
      </c>
      <c r="L105" s="10">
        <f t="shared" si="20"/>
        <v>49.391381889913909</v>
      </c>
      <c r="M105" s="13">
        <v>3301.9366663150199</v>
      </c>
      <c r="N105" s="19">
        <f t="shared" si="24"/>
        <v>0.84659499059167431</v>
      </c>
      <c r="O105" s="21">
        <f t="shared" si="25"/>
        <v>1142.4562385277152</v>
      </c>
      <c r="P105" s="8">
        <f t="shared" si="26"/>
        <v>126025.07132712868</v>
      </c>
      <c r="Q105" s="8">
        <f t="shared" si="27"/>
        <v>163087.21486227438</v>
      </c>
      <c r="R105" s="8">
        <f t="shared" si="28"/>
        <v>1521.0659873785603</v>
      </c>
      <c r="S105" s="8">
        <f t="shared" si="29"/>
        <v>138068.81913194954</v>
      </c>
      <c r="T105" s="8">
        <f t="shared" si="30"/>
        <v>700.63542989920086</v>
      </c>
      <c r="U105" s="8">
        <f t="shared" si="31"/>
        <v>157737.5837634505</v>
      </c>
    </row>
    <row r="106" spans="1:21">
      <c r="A106" s="1">
        <v>41833</v>
      </c>
      <c r="B106" s="5">
        <v>104</v>
      </c>
      <c r="C106" s="6">
        <f t="shared" si="16"/>
        <v>0.28493150684931506</v>
      </c>
      <c r="D106" s="4">
        <f t="shared" si="17"/>
        <v>21.3153926802214</v>
      </c>
      <c r="E106" s="10">
        <f t="shared" si="21"/>
        <v>14.127471975524676</v>
      </c>
      <c r="F106" s="8">
        <v>8960.5330204287948</v>
      </c>
      <c r="G106" s="19">
        <f t="shared" si="22"/>
        <v>1.2335375062615559E-2</v>
      </c>
      <c r="H106" s="21">
        <f t="shared" si="23"/>
        <v>462.46768208197142</v>
      </c>
      <c r="I106" s="5">
        <v>469</v>
      </c>
      <c r="J106" s="6">
        <f t="shared" si="18"/>
        <v>1.284931506849315</v>
      </c>
      <c r="K106" s="4">
        <f t="shared" si="19"/>
        <v>31.386945742165313</v>
      </c>
      <c r="L106" s="10">
        <f t="shared" si="20"/>
        <v>49.495416542636498</v>
      </c>
      <c r="M106" s="13">
        <v>3272.2611983279376</v>
      </c>
      <c r="N106" s="19">
        <f t="shared" si="24"/>
        <v>0.84819182732823162</v>
      </c>
      <c r="O106" s="21">
        <f t="shared" si="25"/>
        <v>1144.1944235638884</v>
      </c>
      <c r="P106" s="8">
        <f t="shared" si="26"/>
        <v>126589.67913187128</v>
      </c>
      <c r="Q106" s="8">
        <f t="shared" si="27"/>
        <v>161961.93104754813</v>
      </c>
      <c r="R106" s="8">
        <f t="shared" si="28"/>
        <v>1561.5311711477902</v>
      </c>
      <c r="S106" s="8">
        <f t="shared" si="29"/>
        <v>137374.7862528289</v>
      </c>
      <c r="T106" s="8">
        <f t="shared" si="30"/>
        <v>722.1577012194648</v>
      </c>
      <c r="U106" s="8">
        <f t="shared" si="31"/>
        <v>157183.46436876795</v>
      </c>
    </row>
    <row r="107" spans="1:21">
      <c r="A107" s="1">
        <v>41834</v>
      </c>
      <c r="B107" s="5">
        <v>105</v>
      </c>
      <c r="C107" s="6">
        <f t="shared" si="16"/>
        <v>0.28767123287671231</v>
      </c>
      <c r="D107" s="4">
        <f t="shared" si="17"/>
        <v>21.35172838460629</v>
      </c>
      <c r="E107" s="10">
        <f t="shared" si="21"/>
        <v>14.205648916234797</v>
      </c>
      <c r="F107" s="8">
        <v>8950.9915974575142</v>
      </c>
      <c r="G107" s="19">
        <f t="shared" si="22"/>
        <v>1.2606543441776499E-2</v>
      </c>
      <c r="H107" s="21">
        <f t="shared" si="23"/>
        <v>464.31533014669714</v>
      </c>
      <c r="I107" s="5">
        <v>470</v>
      </c>
      <c r="J107" s="6">
        <f t="shared" si="18"/>
        <v>1.2876712328767124</v>
      </c>
      <c r="K107" s="4">
        <f t="shared" si="19"/>
        <v>31.407290043698428</v>
      </c>
      <c r="L107" s="10">
        <f t="shared" si="20"/>
        <v>49.599437050776586</v>
      </c>
      <c r="M107" s="13">
        <v>3249.0963729047348</v>
      </c>
      <c r="N107" s="19">
        <f t="shared" si="24"/>
        <v>0.84977248872325062</v>
      </c>
      <c r="O107" s="21">
        <f t="shared" si="25"/>
        <v>1145.931359043826</v>
      </c>
      <c r="P107" s="8">
        <f t="shared" si="26"/>
        <v>127154.64408564911</v>
      </c>
      <c r="Q107" s="8">
        <f t="shared" si="27"/>
        <v>161153.35101979494</v>
      </c>
      <c r="R107" s="8">
        <f t="shared" si="28"/>
        <v>1602.9805444893645</v>
      </c>
      <c r="S107" s="8">
        <f t="shared" si="29"/>
        <v>136943.68416218273</v>
      </c>
      <c r="T107" s="8">
        <f t="shared" si="30"/>
        <v>744.28844073331163</v>
      </c>
      <c r="U107" s="8">
        <f t="shared" si="31"/>
        <v>156928.06210443852</v>
      </c>
    </row>
    <row r="108" spans="1:21">
      <c r="A108" s="1">
        <v>41835</v>
      </c>
      <c r="B108" s="5">
        <v>106</v>
      </c>
      <c r="C108" s="6">
        <f t="shared" si="16"/>
        <v>0.29041095890410956</v>
      </c>
      <c r="D108" s="4">
        <f t="shared" si="17"/>
        <v>21.388006395914143</v>
      </c>
      <c r="E108" s="10">
        <f t="shared" si="21"/>
        <v>14.283999594386669</v>
      </c>
      <c r="F108" s="8">
        <v>8941.4501744862337</v>
      </c>
      <c r="G108" s="19">
        <f t="shared" si="22"/>
        <v>1.288315052668648E-2</v>
      </c>
      <c r="H108" s="21">
        <f t="shared" si="23"/>
        <v>466.16425578574058</v>
      </c>
      <c r="I108" s="5">
        <v>471</v>
      </c>
      <c r="J108" s="6">
        <f t="shared" si="18"/>
        <v>1.2904109589041095</v>
      </c>
      <c r="K108" s="4">
        <f t="shared" si="19"/>
        <v>31.42760204297193</v>
      </c>
      <c r="L108" s="10">
        <f t="shared" si="20"/>
        <v>49.703443078559587</v>
      </c>
      <c r="M108" s="13">
        <v>3220.7883439514458</v>
      </c>
      <c r="N108" s="19">
        <f t="shared" si="24"/>
        <v>0.85133709903841204</v>
      </c>
      <c r="O108" s="21">
        <f t="shared" si="25"/>
        <v>1147.6670424920028</v>
      </c>
      <c r="P108" s="8">
        <f t="shared" si="26"/>
        <v>127719.67066558998</v>
      </c>
      <c r="Q108" s="8">
        <f t="shared" si="27"/>
        <v>160084.27012167888</v>
      </c>
      <c r="R108" s="8">
        <f t="shared" si="28"/>
        <v>1645.4317424036194</v>
      </c>
      <c r="S108" s="8">
        <f t="shared" si="29"/>
        <v>136285.67812707165</v>
      </c>
      <c r="T108" s="8">
        <f t="shared" si="30"/>
        <v>767.04146364381768</v>
      </c>
      <c r="U108" s="8">
        <f t="shared" si="31"/>
        <v>156410.58115011334</v>
      </c>
    </row>
    <row r="109" spans="1:21">
      <c r="A109" s="1">
        <v>41836</v>
      </c>
      <c r="B109" s="5">
        <v>107</v>
      </c>
      <c r="C109" s="6">
        <f t="shared" si="16"/>
        <v>0.29315068493150687</v>
      </c>
      <c r="D109" s="4">
        <f t="shared" si="17"/>
        <v>21.424226805748823</v>
      </c>
      <c r="E109" s="10">
        <f t="shared" si="21"/>
        <v>14.36252341467851</v>
      </c>
      <c r="F109" s="8">
        <v>8931.9290524148946</v>
      </c>
      <c r="G109" s="19">
        <f t="shared" si="22"/>
        <v>1.3165292362078172E-2</v>
      </c>
      <c r="H109" s="21">
        <f t="shared" si="23"/>
        <v>468.0144460390157</v>
      </c>
      <c r="I109" s="5">
        <v>472</v>
      </c>
      <c r="J109" s="6">
        <f t="shared" si="18"/>
        <v>1.2931506849315069</v>
      </c>
      <c r="K109" s="4">
        <f t="shared" si="19"/>
        <v>31.447881791274696</v>
      </c>
      <c r="L109" s="10">
        <f t="shared" si="20"/>
        <v>49.807434291323588</v>
      </c>
      <c r="M109" s="13">
        <v>3195.6846124355507</v>
      </c>
      <c r="N109" s="19">
        <f t="shared" si="24"/>
        <v>0.85288578285113681</v>
      </c>
      <c r="O109" s="21">
        <f t="shared" si="25"/>
        <v>1149.4014714492539</v>
      </c>
      <c r="P109" s="8">
        <f t="shared" si="26"/>
        <v>128285.04015355615</v>
      </c>
      <c r="Q109" s="8">
        <f t="shared" si="27"/>
        <v>159168.85134967757</v>
      </c>
      <c r="R109" s="8">
        <f t="shared" si="28"/>
        <v>1688.9100593025044</v>
      </c>
      <c r="S109" s="8">
        <f t="shared" si="29"/>
        <v>135752.85038888597</v>
      </c>
      <c r="T109" s="8">
        <f t="shared" si="30"/>
        <v>790.43430581418272</v>
      </c>
      <c r="U109" s="8">
        <f t="shared" si="31"/>
        <v>156034.52599041595</v>
      </c>
    </row>
    <row r="110" spans="1:21">
      <c r="A110" s="1">
        <v>41837</v>
      </c>
      <c r="B110" s="5">
        <v>108</v>
      </c>
      <c r="C110" s="6">
        <f t="shared" si="16"/>
        <v>0.29589041095890412</v>
      </c>
      <c r="D110" s="4">
        <f t="shared" si="17"/>
        <v>21.460389705568751</v>
      </c>
      <c r="E110" s="10">
        <f t="shared" si="21"/>
        <v>14.441219781045032</v>
      </c>
      <c r="F110" s="8">
        <v>8922.4282312434916</v>
      </c>
      <c r="G110" s="19">
        <f t="shared" si="22"/>
        <v>1.3453066354697613E-2</v>
      </c>
      <c r="H110" s="21">
        <f t="shared" si="23"/>
        <v>469.86588798743674</v>
      </c>
      <c r="I110" s="5">
        <v>473</v>
      </c>
      <c r="J110" s="6">
        <f t="shared" si="18"/>
        <v>1.295890410958904</v>
      </c>
      <c r="K110" s="4">
        <f t="shared" si="19"/>
        <v>31.468129339814144</v>
      </c>
      <c r="L110" s="10">
        <f t="shared" si="20"/>
        <v>49.911410355519124</v>
      </c>
      <c r="M110" s="13">
        <v>3178.132409912243</v>
      </c>
      <c r="N110" s="19">
        <f t="shared" si="24"/>
        <v>0.85441866501046215</v>
      </c>
      <c r="O110" s="21">
        <f t="shared" si="25"/>
        <v>1151.1346434727186</v>
      </c>
      <c r="P110" s="8">
        <f t="shared" si="26"/>
        <v>128850.74706798814</v>
      </c>
      <c r="Q110" s="8">
        <f t="shared" si="27"/>
        <v>158625.07087530487</v>
      </c>
      <c r="R110" s="8">
        <f t="shared" si="28"/>
        <v>1733.4376501580034</v>
      </c>
      <c r="S110" s="8">
        <f t="shared" si="29"/>
        <v>135532.22129446792</v>
      </c>
      <c r="T110" s="8">
        <f t="shared" si="30"/>
        <v>814.48322076234592</v>
      </c>
      <c r="U110" s="8">
        <f t="shared" si="31"/>
        <v>156015.83523887291</v>
      </c>
    </row>
    <row r="111" spans="1:21">
      <c r="A111" s="1">
        <v>41838</v>
      </c>
      <c r="B111" s="5">
        <v>109</v>
      </c>
      <c r="C111" s="6">
        <f t="shared" si="16"/>
        <v>0.29863013698630136</v>
      </c>
      <c r="D111" s="4">
        <f t="shared" si="17"/>
        <v>21.496495186687142</v>
      </c>
      <c r="E111" s="10">
        <f t="shared" si="21"/>
        <v>14.520088096675199</v>
      </c>
      <c r="F111" s="8">
        <v>8912.9274100720886</v>
      </c>
      <c r="G111" s="19">
        <f t="shared" si="22"/>
        <v>1.3746571283339641E-2</v>
      </c>
      <c r="H111" s="21">
        <f t="shared" si="23"/>
        <v>471.71856875288648</v>
      </c>
      <c r="I111" s="5">
        <v>474</v>
      </c>
      <c r="J111" s="6">
        <f t="shared" si="18"/>
        <v>1.2986301369863014</v>
      </c>
      <c r="K111" s="4">
        <f t="shared" si="19"/>
        <v>31.488344739716389</v>
      </c>
      <c r="L111" s="10">
        <f t="shared" si="20"/>
        <v>50.015370938706951</v>
      </c>
      <c r="M111" s="13">
        <v>3153.1103165476197</v>
      </c>
      <c r="N111" s="19">
        <f t="shared" si="24"/>
        <v>0.85593587059407861</v>
      </c>
      <c r="O111" s="21">
        <f t="shared" si="25"/>
        <v>1152.8665561357716</v>
      </c>
      <c r="P111" s="8">
        <f t="shared" si="26"/>
        <v>129416.49119351784</v>
      </c>
      <c r="Q111" s="8">
        <f t="shared" si="27"/>
        <v>157703.9820927929</v>
      </c>
      <c r="R111" s="8">
        <f t="shared" si="28"/>
        <v>1779.0330214313899</v>
      </c>
      <c r="S111" s="8">
        <f t="shared" si="29"/>
        <v>134984.49520874766</v>
      </c>
      <c r="T111" s="8">
        <f t="shared" si="30"/>
        <v>839.2029106337385</v>
      </c>
      <c r="U111" s="8">
        <f t="shared" si="31"/>
        <v>155619.11012303448</v>
      </c>
    </row>
    <row r="112" spans="1:21">
      <c r="A112" s="1">
        <v>41839</v>
      </c>
      <c r="B112" s="5">
        <v>110</v>
      </c>
      <c r="C112" s="6">
        <f t="shared" si="16"/>
        <v>0.30136986301369861</v>
      </c>
      <c r="D112" s="4">
        <f t="shared" si="17"/>
        <v>21.532543340272216</v>
      </c>
      <c r="E112" s="10">
        <f t="shared" si="21"/>
        <v>14.59912776402958</v>
      </c>
      <c r="F112" s="8">
        <v>8903.4265889006856</v>
      </c>
      <c r="G112" s="19">
        <f t="shared" si="22"/>
        <v>1.4045907308649117E-2</v>
      </c>
      <c r="H112" s="21">
        <f t="shared" si="23"/>
        <v>473.57247549817345</v>
      </c>
      <c r="I112" s="5">
        <v>475</v>
      </c>
      <c r="J112" s="6">
        <f t="shared" si="18"/>
        <v>1.3013698630136987</v>
      </c>
      <c r="K112" s="4">
        <f t="shared" si="19"/>
        <v>31.50852804202637</v>
      </c>
      <c r="L112" s="10">
        <f t="shared" si="20"/>
        <v>50.119315709557952</v>
      </c>
      <c r="M112" s="13">
        <v>3125.82276448522</v>
      </c>
      <c r="N112" s="19">
        <f t="shared" si="24"/>
        <v>0.8574375248664986</v>
      </c>
      <c r="O112" s="21">
        <f t="shared" si="25"/>
        <v>1154.5972070279868</v>
      </c>
      <c r="P112" s="8">
        <f t="shared" si="26"/>
        <v>129982.26230901918</v>
      </c>
      <c r="Q112" s="8">
        <f t="shared" si="27"/>
        <v>156664.09798535795</v>
      </c>
      <c r="R112" s="8">
        <f t="shared" si="28"/>
        <v>1825.7188081609991</v>
      </c>
      <c r="S112" s="8">
        <f t="shared" si="29"/>
        <v>134329.67641200792</v>
      </c>
      <c r="T112" s="8">
        <f t="shared" si="30"/>
        <v>864.61017554437922</v>
      </c>
      <c r="U112" s="8">
        <f t="shared" si="31"/>
        <v>155096.66920627758</v>
      </c>
    </row>
    <row r="113" spans="1:21">
      <c r="A113" s="1">
        <v>41840</v>
      </c>
      <c r="B113" s="5">
        <v>111</v>
      </c>
      <c r="C113" s="6">
        <f t="shared" si="16"/>
        <v>0.30410958904109592</v>
      </c>
      <c r="D113" s="4">
        <f t="shared" si="17"/>
        <v>21.568534257347444</v>
      </c>
      <c r="E113" s="10">
        <f t="shared" si="21"/>
        <v>14.678338184857902</v>
      </c>
      <c r="F113" s="8">
        <v>8893.9460686292223</v>
      </c>
      <c r="G113" s="19">
        <f t="shared" si="22"/>
        <v>1.4351175982675083E-2</v>
      </c>
      <c r="H113" s="21">
        <f t="shared" si="23"/>
        <v>475.42759542699531</v>
      </c>
      <c r="I113" s="5">
        <v>476</v>
      </c>
      <c r="J113" s="6">
        <f t="shared" si="18"/>
        <v>1.3041095890410959</v>
      </c>
      <c r="K113" s="4">
        <f t="shared" si="19"/>
        <v>31.528679297707985</v>
      </c>
      <c r="L113" s="10">
        <f t="shared" si="20"/>
        <v>50.223244337851362</v>
      </c>
      <c r="M113" s="13">
        <v>3106.1683795666786</v>
      </c>
      <c r="N113" s="19">
        <f t="shared" si="24"/>
        <v>0.85892375323834758</v>
      </c>
      <c r="O113" s="21">
        <f t="shared" si="25"/>
        <v>1156.3265937550666</v>
      </c>
      <c r="P113" s="8">
        <f t="shared" si="26"/>
        <v>130548.34819322712</v>
      </c>
      <c r="Q113" s="8">
        <f t="shared" si="27"/>
        <v>156001.85348148513</v>
      </c>
      <c r="R113" s="8">
        <f t="shared" si="28"/>
        <v>1873.5223191685452</v>
      </c>
      <c r="S113" s="8">
        <f t="shared" si="29"/>
        <v>133993.69750445598</v>
      </c>
      <c r="T113" s="8">
        <f t="shared" si="30"/>
        <v>890.72421118110913</v>
      </c>
      <c r="U113" s="8">
        <f t="shared" si="31"/>
        <v>154940.47581997435</v>
      </c>
    </row>
    <row r="114" spans="1:21">
      <c r="A114" s="1">
        <v>41841</v>
      </c>
      <c r="B114" s="5">
        <v>112</v>
      </c>
      <c r="C114" s="6">
        <f t="shared" si="16"/>
        <v>0.30684931506849317</v>
      </c>
      <c r="D114" s="4">
        <f t="shared" si="17"/>
        <v>21.604468028791757</v>
      </c>
      <c r="E114" s="10">
        <f t="shared" si="21"/>
        <v>14.757718760216351</v>
      </c>
      <c r="F114" s="8">
        <v>8884.465548357759</v>
      </c>
      <c r="G114" s="19">
        <f t="shared" si="22"/>
        <v>1.4662480258163395E-2</v>
      </c>
      <c r="H114" s="21">
        <f t="shared" si="23"/>
        <v>477.28391578389892</v>
      </c>
      <c r="I114" s="5">
        <v>477</v>
      </c>
      <c r="J114" s="6">
        <f t="shared" si="18"/>
        <v>1.3068493150684932</v>
      </c>
      <c r="K114" s="4">
        <f t="shared" si="19"/>
        <v>31.548798557644187</v>
      </c>
      <c r="L114" s="10">
        <f t="shared" si="20"/>
        <v>50.327156494473734</v>
      </c>
      <c r="M114" s="13">
        <v>3081.7177532609535</v>
      </c>
      <c r="N114" s="19">
        <f t="shared" si="24"/>
        <v>0.86039468122676566</v>
      </c>
      <c r="O114" s="21">
        <f t="shared" si="25"/>
        <v>1158.0547139387934</v>
      </c>
      <c r="P114" s="8">
        <f t="shared" si="26"/>
        <v>131114.44389749516</v>
      </c>
      <c r="Q114" s="8">
        <f t="shared" si="27"/>
        <v>155094.09164016199</v>
      </c>
      <c r="R114" s="8">
        <f t="shared" si="28"/>
        <v>1922.4629452070949</v>
      </c>
      <c r="S114" s="8">
        <f t="shared" si="29"/>
        <v>133442.13153689195</v>
      </c>
      <c r="T114" s="8">
        <f t="shared" si="30"/>
        <v>917.56064243788933</v>
      </c>
      <c r="U114" s="8">
        <f t="shared" si="31"/>
        <v>154533.28946433825</v>
      </c>
    </row>
    <row r="115" spans="1:21">
      <c r="A115" s="1">
        <v>41842</v>
      </c>
      <c r="B115" s="5">
        <v>113</v>
      </c>
      <c r="C115" s="6">
        <f t="shared" si="16"/>
        <v>0.30958904109589042</v>
      </c>
      <c r="D115" s="4">
        <f t="shared" si="17"/>
        <v>21.64034474533981</v>
      </c>
      <c r="E115" s="10">
        <f t="shared" si="21"/>
        <v>14.837268890484621</v>
      </c>
      <c r="F115" s="8">
        <v>8875.0053289862335</v>
      </c>
      <c r="G115" s="19">
        <f t="shared" si="22"/>
        <v>1.4979924497574562E-2</v>
      </c>
      <c r="H115" s="21">
        <f t="shared" si="23"/>
        <v>479.14142385423855</v>
      </c>
      <c r="I115" s="5">
        <v>478</v>
      </c>
      <c r="J115" s="6">
        <f t="shared" si="18"/>
        <v>1.3095890410958904</v>
      </c>
      <c r="K115" s="4">
        <f t="shared" si="19"/>
        <v>31.568885872637168</v>
      </c>
      <c r="L115" s="10">
        <f t="shared" si="20"/>
        <v>50.431051851418381</v>
      </c>
      <c r="M115" s="13">
        <v>3057.5732700224958</v>
      </c>
      <c r="N115" s="19">
        <f t="shared" si="24"/>
        <v>0.86185043441691389</v>
      </c>
      <c r="O115" s="21">
        <f t="shared" si="25"/>
        <v>1159.7815652169727</v>
      </c>
      <c r="P115" s="8">
        <f t="shared" si="26"/>
        <v>131680.84047065268</v>
      </c>
      <c r="Q115" s="8">
        <f t="shared" si="27"/>
        <v>154196.63612001535</v>
      </c>
      <c r="R115" s="8">
        <f t="shared" si="28"/>
        <v>1972.5690480275377</v>
      </c>
      <c r="S115" s="8">
        <f t="shared" si="29"/>
        <v>132894.43782566203</v>
      </c>
      <c r="T115" s="8">
        <f t="shared" si="30"/>
        <v>945.13954232271431</v>
      </c>
      <c r="U115" s="8">
        <f t="shared" si="31"/>
        <v>154128.51911007598</v>
      </c>
    </row>
    <row r="116" spans="1:21">
      <c r="A116" s="1">
        <v>41843</v>
      </c>
      <c r="B116" s="5">
        <v>114</v>
      </c>
      <c r="C116" s="6">
        <f t="shared" si="16"/>
        <v>0.31232876712328766</v>
      </c>
      <c r="D116" s="4">
        <f t="shared" si="17"/>
        <v>21.676164497582178</v>
      </c>
      <c r="E116" s="10">
        <f t="shared" si="21"/>
        <v>14.916987975383245</v>
      </c>
      <c r="F116" s="8">
        <v>8865.5654105146477</v>
      </c>
      <c r="G116" s="19">
        <f t="shared" si="22"/>
        <v>1.5303614481810552E-2</v>
      </c>
      <c r="H116" s="21">
        <f t="shared" si="23"/>
        <v>481.00010696413881</v>
      </c>
      <c r="I116" s="5">
        <v>479</v>
      </c>
      <c r="J116" s="6">
        <f t="shared" si="18"/>
        <v>1.3123287671232877</v>
      </c>
      <c r="K116" s="4">
        <f t="shared" si="19"/>
        <v>31.58894129340845</v>
      </c>
      <c r="L116" s="10">
        <f t="shared" si="20"/>
        <v>50.534930081783202</v>
      </c>
      <c r="M116" s="13">
        <v>3041.3680969951624</v>
      </c>
      <c r="N116" s="19">
        <f t="shared" si="24"/>
        <v>0.86329113842455185</v>
      </c>
      <c r="O116" s="21">
        <f t="shared" si="25"/>
        <v>1161.5071452433733</v>
      </c>
      <c r="P116" s="8">
        <f t="shared" si="26"/>
        <v>132247.53262362062</v>
      </c>
      <c r="Q116" s="8">
        <f t="shared" si="27"/>
        <v>153695.32413461656</v>
      </c>
      <c r="R116" s="8">
        <f t="shared" si="28"/>
        <v>2023.8652554425539</v>
      </c>
      <c r="S116" s="8">
        <f t="shared" si="29"/>
        <v>132683.81134270362</v>
      </c>
      <c r="T116" s="8">
        <f t="shared" si="30"/>
        <v>973.47940434887255</v>
      </c>
      <c r="U116" s="8">
        <f t="shared" si="31"/>
        <v>154113.194932674</v>
      </c>
    </row>
    <row r="117" spans="1:21">
      <c r="A117" s="1">
        <v>41844</v>
      </c>
      <c r="B117" s="5">
        <v>115</v>
      </c>
      <c r="C117" s="6">
        <f t="shared" si="16"/>
        <v>0.31506849315068491</v>
      </c>
      <c r="D117" s="4">
        <f t="shared" si="17"/>
        <v>21.711927375965605</v>
      </c>
      <c r="E117" s="10">
        <f t="shared" si="21"/>
        <v>14.996875413990264</v>
      </c>
      <c r="F117" s="8">
        <v>8856.125492043062</v>
      </c>
      <c r="G117" s="19">
        <f t="shared" si="22"/>
        <v>1.5633657418637408E-2</v>
      </c>
      <c r="H117" s="21">
        <f t="shared" si="23"/>
        <v>482.85995248044799</v>
      </c>
      <c r="I117" s="5">
        <v>480</v>
      </c>
      <c r="J117" s="6">
        <f t="shared" si="18"/>
        <v>1.3150684931506849</v>
      </c>
      <c r="K117" s="4">
        <f t="shared" si="19"/>
        <v>31.608964870599014</v>
      </c>
      <c r="L117" s="10">
        <f t="shared" si="20"/>
        <v>50.638790859770531</v>
      </c>
      <c r="M117" s="13">
        <v>3015.6724888825515</v>
      </c>
      <c r="N117" s="19">
        <f t="shared" si="24"/>
        <v>0.86471691885969793</v>
      </c>
      <c r="O117" s="21">
        <f t="shared" si="25"/>
        <v>1163.231451687682</v>
      </c>
      <c r="P117" s="8">
        <f t="shared" si="26"/>
        <v>132814.21065483303</v>
      </c>
      <c r="Q117" s="8">
        <f t="shared" si="27"/>
        <v>152710.00846608719</v>
      </c>
      <c r="R117" s="8">
        <f t="shared" si="28"/>
        <v>2076.3718697044019</v>
      </c>
      <c r="S117" s="8">
        <f t="shared" si="29"/>
        <v>132050.92799983331</v>
      </c>
      <c r="T117" s="8">
        <f t="shared" si="30"/>
        <v>1002.5968223372065</v>
      </c>
      <c r="U117" s="8">
        <f t="shared" si="31"/>
        <v>153605.79267395168</v>
      </c>
    </row>
    <row r="118" spans="1:21">
      <c r="A118" s="1">
        <v>41845</v>
      </c>
      <c r="B118" s="5">
        <v>116</v>
      </c>
      <c r="C118" s="6">
        <f t="shared" si="16"/>
        <v>0.31780821917808222</v>
      </c>
      <c r="D118" s="4">
        <f t="shared" si="17"/>
        <v>21.747633470793229</v>
      </c>
      <c r="E118" s="10">
        <f t="shared" si="21"/>
        <v>15.076930604758253</v>
      </c>
      <c r="F118" s="8">
        <v>8846.6855735714762</v>
      </c>
      <c r="G118" s="19">
        <f t="shared" si="22"/>
        <v>1.5970161950787081E-2</v>
      </c>
      <c r="H118" s="21">
        <f t="shared" si="23"/>
        <v>484.72094781069887</v>
      </c>
      <c r="I118" s="5">
        <v>481</v>
      </c>
      <c r="J118" s="6">
        <f t="shared" si="18"/>
        <v>1.3178082191780822</v>
      </c>
      <c r="K118" s="4">
        <f t="shared" si="19"/>
        <v>31.628956654769425</v>
      </c>
      <c r="L118" s="10">
        <f t="shared" si="20"/>
        <v>50.742633860685096</v>
      </c>
      <c r="M118" s="13">
        <v>2990.4054810641146</v>
      </c>
      <c r="N118" s="19">
        <f t="shared" si="24"/>
        <v>0.86612790129133743</v>
      </c>
      <c r="O118" s="21">
        <f t="shared" si="25"/>
        <v>1164.9544822354355</v>
      </c>
      <c r="P118" s="8">
        <f t="shared" si="26"/>
        <v>133380.86447485312</v>
      </c>
      <c r="Q118" s="8">
        <f t="shared" si="27"/>
        <v>151741.05042062225</v>
      </c>
      <c r="R118" s="8">
        <f t="shared" si="28"/>
        <v>2130.1140067993874</v>
      </c>
      <c r="S118" s="8">
        <f t="shared" si="29"/>
        <v>131427.15754055657</v>
      </c>
      <c r="T118" s="8">
        <f t="shared" si="30"/>
        <v>1032.5108803206447</v>
      </c>
      <c r="U118" s="8">
        <f t="shared" si="31"/>
        <v>153106.65626433407</v>
      </c>
    </row>
    <row r="119" spans="1:21">
      <c r="A119" s="1">
        <v>41846</v>
      </c>
      <c r="B119" s="5">
        <v>117</v>
      </c>
      <c r="C119" s="6">
        <f t="shared" si="16"/>
        <v>0.32054794520547947</v>
      </c>
      <c r="D119" s="4">
        <f t="shared" si="17"/>
        <v>21.783282872224788</v>
      </c>
      <c r="E119" s="10">
        <f t="shared" si="21"/>
        <v>15.157152945530962</v>
      </c>
      <c r="F119" s="8">
        <v>8837.2659559998283</v>
      </c>
      <c r="G119" s="19">
        <f t="shared" si="22"/>
        <v>1.6313238163722876E-2</v>
      </c>
      <c r="H119" s="21">
        <f t="shared" si="23"/>
        <v>486.58308040306622</v>
      </c>
      <c r="I119" s="5">
        <v>482</v>
      </c>
      <c r="J119" s="6">
        <f t="shared" si="18"/>
        <v>1.3205479452054794</v>
      </c>
      <c r="K119" s="4">
        <f t="shared" si="19"/>
        <v>31.64891669639999</v>
      </c>
      <c r="L119" s="10">
        <f t="shared" si="20"/>
        <v>50.846458760933608</v>
      </c>
      <c r="M119" s="13">
        <v>2974.9554609360398</v>
      </c>
      <c r="N119" s="19">
        <f t="shared" si="24"/>
        <v>0.86752421121317858</v>
      </c>
      <c r="O119" s="21">
        <f t="shared" si="25"/>
        <v>1166.6762345879768</v>
      </c>
      <c r="P119" s="8">
        <f t="shared" si="26"/>
        <v>133947.79171542329</v>
      </c>
      <c r="Q119" s="8">
        <f t="shared" si="27"/>
        <v>151265.95016009858</v>
      </c>
      <c r="R119" s="8">
        <f t="shared" si="28"/>
        <v>2185.1222277584461</v>
      </c>
      <c r="S119" s="8">
        <f t="shared" si="29"/>
        <v>131226.8740960515</v>
      </c>
      <c r="T119" s="8">
        <f t="shared" si="30"/>
        <v>1063.2435046399153</v>
      </c>
      <c r="U119" s="8">
        <f t="shared" si="31"/>
        <v>153099.27534713189</v>
      </c>
    </row>
    <row r="120" spans="1:21">
      <c r="A120" s="1">
        <v>41847</v>
      </c>
      <c r="B120" s="5">
        <v>118</v>
      </c>
      <c r="C120" s="6">
        <f t="shared" si="16"/>
        <v>0.32328767123287672</v>
      </c>
      <c r="D120" s="4">
        <f t="shared" si="17"/>
        <v>21.818875670276892</v>
      </c>
      <c r="E120" s="10">
        <f t="shared" si="21"/>
        <v>15.237541833560106</v>
      </c>
      <c r="F120" s="8">
        <v>8827.8463384281822</v>
      </c>
      <c r="G120" s="19">
        <f t="shared" si="22"/>
        <v>1.6662997593053248E-2</v>
      </c>
      <c r="H120" s="21">
        <f t="shared" si="23"/>
        <v>488.44633774632138</v>
      </c>
      <c r="I120" s="5">
        <v>483</v>
      </c>
      <c r="J120" s="6">
        <f t="shared" si="18"/>
        <v>1.3232876712328767</v>
      </c>
      <c r="K120" s="4">
        <f t="shared" si="19"/>
        <v>31.668845045890855</v>
      </c>
      <c r="L120" s="10">
        <f t="shared" si="20"/>
        <v>50.950265238023064</v>
      </c>
      <c r="M120" s="13">
        <v>2952.1375976557388</v>
      </c>
      <c r="N120" s="19">
        <f t="shared" si="24"/>
        <v>0.8689059740104309</v>
      </c>
      <c r="O120" s="21">
        <f t="shared" si="25"/>
        <v>1168.3967064623971</v>
      </c>
      <c r="P120" s="8">
        <f t="shared" si="26"/>
        <v>134514.67788203983</v>
      </c>
      <c r="Q120" s="8">
        <f t="shared" si="27"/>
        <v>150412.19361970012</v>
      </c>
      <c r="R120" s="8">
        <f t="shared" si="28"/>
        <v>2241.4177537787627</v>
      </c>
      <c r="S120" s="8">
        <f t="shared" si="29"/>
        <v>130694.05360017106</v>
      </c>
      <c r="T120" s="8">
        <f t="shared" si="30"/>
        <v>1094.8122931928224</v>
      </c>
      <c r="U120" s="8">
        <f t="shared" si="31"/>
        <v>152702.50178065986</v>
      </c>
    </row>
    <row r="121" spans="1:21">
      <c r="A121" s="1">
        <v>41848</v>
      </c>
      <c r="B121" s="5">
        <v>119</v>
      </c>
      <c r="C121" s="6">
        <f t="shared" si="16"/>
        <v>0.32602739726027397</v>
      </c>
      <c r="D121" s="4">
        <f t="shared" si="17"/>
        <v>21.85441195482321</v>
      </c>
      <c r="E121" s="10">
        <f t="shared" si="21"/>
        <v>15.318096665521605</v>
      </c>
      <c r="F121" s="8">
        <v>8818.447021756474</v>
      </c>
      <c r="G121" s="19">
        <f t="shared" si="22"/>
        <v>1.7019553231576019E-2</v>
      </c>
      <c r="H121" s="21">
        <f t="shared" si="23"/>
        <v>490.31070736978847</v>
      </c>
      <c r="I121" s="5">
        <v>484</v>
      </c>
      <c r="J121" s="6">
        <f t="shared" si="18"/>
        <v>1.3260273972602741</v>
      </c>
      <c r="K121" s="4">
        <f t="shared" si="19"/>
        <v>31.688741753562137</v>
      </c>
      <c r="L121" s="10">
        <f t="shared" si="20"/>
        <v>51.054052970559439</v>
      </c>
      <c r="M121" s="13">
        <v>2929.6054679048871</v>
      </c>
      <c r="N121" s="19">
        <f t="shared" si="24"/>
        <v>0.87027331492759707</v>
      </c>
      <c r="O121" s="21">
        <f t="shared" si="25"/>
        <v>1170.1158955914755</v>
      </c>
      <c r="P121" s="8">
        <f t="shared" si="26"/>
        <v>135081.82391904676</v>
      </c>
      <c r="Q121" s="8">
        <f t="shared" si="27"/>
        <v>149568.23274125668</v>
      </c>
      <c r="R121" s="8">
        <f t="shared" si="28"/>
        <v>2299.0322928085948</v>
      </c>
      <c r="S121" s="8">
        <f t="shared" si="29"/>
        <v>130165.24171559581</v>
      </c>
      <c r="T121" s="8">
        <f t="shared" si="30"/>
        <v>1127.2401497529686</v>
      </c>
      <c r="U121" s="8">
        <f t="shared" si="31"/>
        <v>152308.41838492529</v>
      </c>
    </row>
    <row r="122" spans="1:21">
      <c r="A122" s="1">
        <v>41849</v>
      </c>
      <c r="B122" s="5">
        <v>120</v>
      </c>
      <c r="C122" s="6">
        <f t="shared" si="16"/>
        <v>0.32876712328767121</v>
      </c>
      <c r="D122" s="4">
        <f t="shared" si="17"/>
        <v>21.889891815594705</v>
      </c>
      <c r="E122" s="10">
        <f t="shared" si="21"/>
        <v>15.398816837532161</v>
      </c>
      <c r="F122" s="8">
        <v>8809.0680059847055</v>
      </c>
      <c r="G122" s="19">
        <f t="shared" si="22"/>
        <v>1.73830195359372E-2</v>
      </c>
      <c r="H122" s="21">
        <f t="shared" si="23"/>
        <v>492.1761768433015</v>
      </c>
      <c r="I122" s="5">
        <v>485</v>
      </c>
      <c r="J122" s="6">
        <f t="shared" si="18"/>
        <v>1.3287671232876712</v>
      </c>
      <c r="K122" s="4">
        <f t="shared" si="19"/>
        <v>31.708606869654069</v>
      </c>
      <c r="L122" s="10">
        <f t="shared" si="20"/>
        <v>51.157821638247064</v>
      </c>
      <c r="M122" s="13">
        <v>2912.7675992052023</v>
      </c>
      <c r="N122" s="19">
        <f t="shared" si="24"/>
        <v>0.8716263590372636</v>
      </c>
      <c r="O122" s="21">
        <f t="shared" si="25"/>
        <v>1171.833799723632</v>
      </c>
      <c r="P122" s="8">
        <f t="shared" si="26"/>
        <v>135649.22473352315</v>
      </c>
      <c r="Q122" s="8">
        <f t="shared" si="27"/>
        <v>149010.84531380484</v>
      </c>
      <c r="R122" s="8">
        <f t="shared" si="28"/>
        <v>2357.9931235775684</v>
      </c>
      <c r="S122" s="8">
        <f t="shared" si="29"/>
        <v>129881.7805579366</v>
      </c>
      <c r="T122" s="8">
        <f t="shared" si="30"/>
        <v>1160.5480405852022</v>
      </c>
      <c r="U122" s="8">
        <f t="shared" si="31"/>
        <v>152199.86042607779</v>
      </c>
    </row>
    <row r="123" spans="1:21">
      <c r="A123" s="1">
        <v>41850</v>
      </c>
      <c r="B123" s="5">
        <v>121</v>
      </c>
      <c r="C123" s="6">
        <f t="shared" si="16"/>
        <v>0.33150684931506852</v>
      </c>
      <c r="D123" s="4">
        <f t="shared" si="17"/>
        <v>21.925315342179882</v>
      </c>
      <c r="E123" s="10">
        <f t="shared" si="21"/>
        <v>15.479701745165505</v>
      </c>
      <c r="F123" s="8">
        <v>8799.6686893129954</v>
      </c>
      <c r="G123" s="19">
        <f t="shared" si="22"/>
        <v>1.7753512432886812E-2</v>
      </c>
      <c r="H123" s="21">
        <f t="shared" si="23"/>
        <v>494.04273377715509</v>
      </c>
      <c r="I123" s="5">
        <v>486</v>
      </c>
      <c r="J123" s="6">
        <f t="shared" si="18"/>
        <v>1.3315068493150686</v>
      </c>
      <c r="K123" s="4">
        <f t="shared" si="19"/>
        <v>31.728440444327095</v>
      </c>
      <c r="L123" s="10">
        <f t="shared" si="20"/>
        <v>51.2615709218869</v>
      </c>
      <c r="M123" s="13">
        <v>2888.5414778154727</v>
      </c>
      <c r="N123" s="19">
        <f t="shared" si="24"/>
        <v>0.87296523120986858</v>
      </c>
      <c r="O123" s="21">
        <f t="shared" si="25"/>
        <v>1173.5504166228666</v>
      </c>
      <c r="P123" s="8">
        <f t="shared" si="26"/>
        <v>136216.24676683662</v>
      </c>
      <c r="Q123" s="8">
        <f t="shared" si="27"/>
        <v>148071.17382584984</v>
      </c>
      <c r="R123" s="8">
        <f t="shared" si="28"/>
        <v>2418.3168305362119</v>
      </c>
      <c r="S123" s="8">
        <f t="shared" si="29"/>
        <v>129260.98649439964</v>
      </c>
      <c r="T123" s="8">
        <f t="shared" si="30"/>
        <v>1194.7518580974152</v>
      </c>
      <c r="U123" s="8">
        <f t="shared" si="31"/>
        <v>151694.2845535854</v>
      </c>
    </row>
    <row r="124" spans="1:21">
      <c r="A124" s="1">
        <v>41851</v>
      </c>
      <c r="B124" s="5">
        <v>122</v>
      </c>
      <c r="C124" s="6">
        <f t="shared" si="16"/>
        <v>0.33424657534246577</v>
      </c>
      <c r="D124" s="4">
        <f t="shared" si="17"/>
        <v>21.96068262402499</v>
      </c>
      <c r="E124" s="10">
        <f t="shared" si="21"/>
        <v>15.560750783468521</v>
      </c>
      <c r="F124" s="8">
        <v>8790.3099744411666</v>
      </c>
      <c r="G124" s="19">
        <f t="shared" si="22"/>
        <v>1.8131149325113578E-2</v>
      </c>
      <c r="H124" s="21">
        <f t="shared" si="23"/>
        <v>495.9103658220626</v>
      </c>
      <c r="I124" s="5">
        <v>487</v>
      </c>
      <c r="J124" s="6">
        <f t="shared" si="18"/>
        <v>1.3342465753424657</v>
      </c>
      <c r="K124" s="4">
        <f t="shared" si="19"/>
        <v>31.748242527662029</v>
      </c>
      <c r="L124" s="10">
        <f t="shared" si="20"/>
        <v>51.365300503375316</v>
      </c>
      <c r="M124" s="13">
        <v>2866.8053200395157</v>
      </c>
      <c r="N124" s="19">
        <f t="shared" si="24"/>
        <v>0.87429005608444121</v>
      </c>
      <c r="O124" s="21">
        <f t="shared" si="25"/>
        <v>1175.2657440687178</v>
      </c>
      <c r="P124" s="8">
        <f t="shared" si="26"/>
        <v>136783.82282171655</v>
      </c>
      <c r="Q124" s="8">
        <f t="shared" si="27"/>
        <v>147254.31674850476</v>
      </c>
      <c r="R124" s="8">
        <f t="shared" si="28"/>
        <v>2480.0479168404213</v>
      </c>
      <c r="S124" s="8">
        <f t="shared" si="29"/>
        <v>128742.98484872629</v>
      </c>
      <c r="T124" s="8">
        <f t="shared" si="30"/>
        <v>1229.8814696965776</v>
      </c>
      <c r="U124" s="8">
        <f t="shared" si="31"/>
        <v>151307.21988186598</v>
      </c>
    </row>
    <row r="125" spans="1:21">
      <c r="A125" s="1">
        <v>41852</v>
      </c>
      <c r="B125" s="5">
        <v>123</v>
      </c>
      <c r="C125" s="6">
        <f t="shared" si="16"/>
        <v>0.33698630136986302</v>
      </c>
      <c r="D125" s="4">
        <f t="shared" si="17"/>
        <v>21.995993750434256</v>
      </c>
      <c r="E125" s="10">
        <f t="shared" si="21"/>
        <v>15.641963346977372</v>
      </c>
      <c r="F125" s="8">
        <v>8780.9512595693359</v>
      </c>
      <c r="G125" s="19">
        <f t="shared" si="22"/>
        <v>1.8516049096640695E-2</v>
      </c>
      <c r="H125" s="21">
        <f t="shared" si="23"/>
        <v>497.77906066910651</v>
      </c>
      <c r="I125" s="5">
        <v>488</v>
      </c>
      <c r="J125" s="6">
        <f t="shared" si="18"/>
        <v>1.3369863013698631</v>
      </c>
      <c r="K125" s="4">
        <f t="shared" si="19"/>
        <v>31.768013169660165</v>
      </c>
      <c r="L125" s="10">
        <f t="shared" si="20"/>
        <v>51.469010065703081</v>
      </c>
      <c r="M125" s="13">
        <v>2847.0488874318844</v>
      </c>
      <c r="N125" s="19">
        <f t="shared" si="24"/>
        <v>0.87560095804028526</v>
      </c>
      <c r="O125" s="21">
        <f t="shared" si="25"/>
        <v>1176.9797798561835</v>
      </c>
      <c r="P125" s="8">
        <f t="shared" si="26"/>
        <v>137351.31775377833</v>
      </c>
      <c r="Q125" s="8">
        <f t="shared" si="27"/>
        <v>146534.78784478043</v>
      </c>
      <c r="R125" s="8">
        <f t="shared" si="28"/>
        <v>2543.2037430172563</v>
      </c>
      <c r="S125" s="8">
        <f t="shared" si="29"/>
        <v>128306.00062311969</v>
      </c>
      <c r="T125" s="8">
        <f t="shared" si="30"/>
        <v>1265.9535702892856</v>
      </c>
      <c r="U125" s="8">
        <f t="shared" si="31"/>
        <v>151013.56836762675</v>
      </c>
    </row>
    <row r="126" spans="1:21">
      <c r="A126" s="1">
        <v>41853</v>
      </c>
      <c r="B126" s="5">
        <v>124</v>
      </c>
      <c r="C126" s="6">
        <f t="shared" si="16"/>
        <v>0.33972602739726027</v>
      </c>
      <c r="D126" s="4">
        <f t="shared" si="17"/>
        <v>22.031248810570126</v>
      </c>
      <c r="E126" s="10">
        <f t="shared" si="21"/>
        <v>15.723338829733489</v>
      </c>
      <c r="F126" s="8">
        <v>8771.592544697507</v>
      </c>
      <c r="G126" s="19">
        <f t="shared" si="22"/>
        <v>1.8908332117764642E-2</v>
      </c>
      <c r="H126" s="21">
        <f t="shared" si="23"/>
        <v>499.64880604969318</v>
      </c>
      <c r="I126" s="5">
        <v>489</v>
      </c>
      <c r="J126" s="6">
        <f t="shared" si="18"/>
        <v>1.3397260273972602</v>
      </c>
      <c r="K126" s="4">
        <f t="shared" si="19"/>
        <v>31.7877524202434</v>
      </c>
      <c r="L126" s="10">
        <f t="shared" si="20"/>
        <v>51.57269929295397</v>
      </c>
      <c r="M126" s="13">
        <v>2822.7819469665196</v>
      </c>
      <c r="N126" s="19">
        <f t="shared" si="24"/>
        <v>0.87689806116960123</v>
      </c>
      <c r="O126" s="21">
        <f t="shared" si="25"/>
        <v>1178.6925217956943</v>
      </c>
      <c r="P126" s="8">
        <f t="shared" si="26"/>
        <v>137918.72165664309</v>
      </c>
      <c r="Q126" s="8">
        <f t="shared" si="27"/>
        <v>145578.48452048347</v>
      </c>
      <c r="R126" s="8">
        <f t="shared" si="28"/>
        <v>2607.8129943413464</v>
      </c>
      <c r="S126" s="8">
        <f t="shared" si="29"/>
        <v>127657.49082402076</v>
      </c>
      <c r="T126" s="8">
        <f t="shared" si="30"/>
        <v>1302.9906490235289</v>
      </c>
      <c r="U126" s="8">
        <f t="shared" si="31"/>
        <v>150468.92978547572</v>
      </c>
    </row>
    <row r="127" spans="1:21">
      <c r="A127" s="1">
        <v>41854</v>
      </c>
      <c r="B127" s="5">
        <v>125</v>
      </c>
      <c r="C127" s="6">
        <f t="shared" si="16"/>
        <v>0.34246575342465752</v>
      </c>
      <c r="D127" s="4">
        <f t="shared" si="17"/>
        <v>22.066447893453454</v>
      </c>
      <c r="E127" s="10">
        <f t="shared" si="21"/>
        <v>15.804876625299197</v>
      </c>
      <c r="F127" s="8">
        <v>8762.2541307256142</v>
      </c>
      <c r="G127" s="19">
        <f t="shared" si="22"/>
        <v>1.9308120249516621E-2</v>
      </c>
      <c r="H127" s="21">
        <f t="shared" si="23"/>
        <v>501.51958973550347</v>
      </c>
      <c r="I127" s="5">
        <v>490</v>
      </c>
      <c r="J127" s="6">
        <f t="shared" si="18"/>
        <v>1.3424657534246576</v>
      </c>
      <c r="K127" s="4">
        <f t="shared" si="19"/>
        <v>31.807460329254376</v>
      </c>
      <c r="L127" s="10">
        <f t="shared" si="20"/>
        <v>51.676367870303459</v>
      </c>
      <c r="M127" s="13">
        <v>2796.9434720891845</v>
      </c>
      <c r="N127" s="19">
        <f t="shared" si="24"/>
        <v>0.87818148925102457</v>
      </c>
      <c r="O127" s="21">
        <f t="shared" si="25"/>
        <v>1180.4039677130452</v>
      </c>
      <c r="P127" s="8">
        <f t="shared" si="26"/>
        <v>138486.3454956366</v>
      </c>
      <c r="Q127" s="8">
        <f t="shared" si="27"/>
        <v>144535.87977612452</v>
      </c>
      <c r="R127" s="8">
        <f t="shared" si="28"/>
        <v>2673.9110117458558</v>
      </c>
      <c r="S127" s="8">
        <f t="shared" si="29"/>
        <v>126928.73415200408</v>
      </c>
      <c r="T127" s="8">
        <f t="shared" si="30"/>
        <v>1341.0187536000267</v>
      </c>
      <c r="U127" s="8">
        <f t="shared" si="31"/>
        <v>149827.18140981992</v>
      </c>
    </row>
    <row r="128" spans="1:21">
      <c r="A128" s="1">
        <v>41855</v>
      </c>
      <c r="B128" s="5">
        <v>126</v>
      </c>
      <c r="C128" s="6">
        <f t="shared" si="16"/>
        <v>0.34520547945205482</v>
      </c>
      <c r="D128" s="4">
        <f t="shared" si="17"/>
        <v>22.101591087963765</v>
      </c>
      <c r="E128" s="10">
        <f t="shared" si="21"/>
        <v>15.886576126773704</v>
      </c>
      <c r="F128" s="8">
        <v>8752.9157167537232</v>
      </c>
      <c r="G128" s="19">
        <f t="shared" si="22"/>
        <v>1.9715536847629337E-2</v>
      </c>
      <c r="H128" s="21">
        <f t="shared" si="23"/>
        <v>503.39139953844506</v>
      </c>
      <c r="I128" s="5">
        <v>491</v>
      </c>
      <c r="J128" s="6">
        <f t="shared" si="18"/>
        <v>1.3452054794520547</v>
      </c>
      <c r="K128" s="4">
        <f t="shared" si="19"/>
        <v>31.827136946456587</v>
      </c>
      <c r="L128" s="10">
        <f t="shared" si="20"/>
        <v>51.780015484017554</v>
      </c>
      <c r="M128" s="13">
        <v>2776.0849244393926</v>
      </c>
      <c r="N128" s="19">
        <f t="shared" si="24"/>
        <v>0.8794513657240679</v>
      </c>
      <c r="O128" s="21">
        <f t="shared" si="25"/>
        <v>1182.1141154493421</v>
      </c>
      <c r="P128" s="8">
        <f t="shared" si="26"/>
        <v>139053.86186544204</v>
      </c>
      <c r="Q128" s="8">
        <f t="shared" si="27"/>
        <v>143745.72037241946</v>
      </c>
      <c r="R128" s="8">
        <f t="shared" si="28"/>
        <v>2741.5215374132827</v>
      </c>
      <c r="S128" s="8">
        <f t="shared" si="29"/>
        <v>126417.37009851426</v>
      </c>
      <c r="T128" s="8">
        <f t="shared" si="30"/>
        <v>1380.0583635832618</v>
      </c>
      <c r="U128" s="8">
        <f t="shared" si="31"/>
        <v>149439.7576314373</v>
      </c>
    </row>
    <row r="129" spans="1:21">
      <c r="A129" s="1">
        <v>41856</v>
      </c>
      <c r="B129" s="5">
        <v>127</v>
      </c>
      <c r="C129" s="6">
        <f t="shared" si="16"/>
        <v>0.34794520547945207</v>
      </c>
      <c r="D129" s="4">
        <f t="shared" si="17"/>
        <v>22.13667848283945</v>
      </c>
      <c r="E129" s="10">
        <f t="shared" si="21"/>
        <v>15.968436726808601</v>
      </c>
      <c r="F129" s="8">
        <v>8743.5976036817701</v>
      </c>
      <c r="G129" s="19">
        <f t="shared" si="22"/>
        <v>2.0130706765987383E-2</v>
      </c>
      <c r="H129" s="21">
        <f t="shared" si="23"/>
        <v>505.26422331060354</v>
      </c>
      <c r="I129" s="5">
        <v>492</v>
      </c>
      <c r="J129" s="6">
        <f t="shared" si="18"/>
        <v>1.3479452054794521</v>
      </c>
      <c r="K129" s="4">
        <f t="shared" si="19"/>
        <v>31.846782321534523</v>
      </c>
      <c r="L129" s="10">
        <f t="shared" si="20"/>
        <v>51.883641821451398</v>
      </c>
      <c r="M129" s="13">
        <v>2750.9403738478622</v>
      </c>
      <c r="N129" s="19">
        <f t="shared" si="24"/>
        <v>0.88070781366444817</v>
      </c>
      <c r="O129" s="21">
        <f t="shared" si="25"/>
        <v>1183.8229628609513</v>
      </c>
      <c r="P129" s="8">
        <f t="shared" si="26"/>
        <v>139621.58509906766</v>
      </c>
      <c r="Q129" s="8">
        <f t="shared" si="27"/>
        <v>142728.80502889209</v>
      </c>
      <c r="R129" s="8">
        <f t="shared" si="28"/>
        <v>2810.6811878316844</v>
      </c>
      <c r="S129" s="8">
        <f t="shared" si="29"/>
        <v>125702.37382393485</v>
      </c>
      <c r="T129" s="8">
        <f t="shared" si="30"/>
        <v>1420.1366473435005</v>
      </c>
      <c r="U129" s="8">
        <f t="shared" si="31"/>
        <v>148809.35661890541</v>
      </c>
    </row>
    <row r="130" spans="1:21">
      <c r="A130" s="1">
        <v>41857</v>
      </c>
      <c r="B130" s="5">
        <v>128</v>
      </c>
      <c r="C130" s="6">
        <f t="shared" si="16"/>
        <v>0.35068493150684932</v>
      </c>
      <c r="D130" s="4">
        <f t="shared" si="17"/>
        <v>22.171710166678029</v>
      </c>
      <c r="E130" s="10">
        <f t="shared" si="21"/>
        <v>16.050457817623418</v>
      </c>
      <c r="F130" s="8">
        <v>8734.279490609817</v>
      </c>
      <c r="G130" s="19">
        <f t="shared" si="22"/>
        <v>2.0553756359543072E-2</v>
      </c>
      <c r="H130" s="21">
        <f t="shared" si="23"/>
        <v>507.13804894419286</v>
      </c>
      <c r="I130" s="5">
        <v>493</v>
      </c>
      <c r="J130" s="6">
        <f t="shared" si="18"/>
        <v>1.3506849315068492</v>
      </c>
      <c r="K130" s="4">
        <f t="shared" si="19"/>
        <v>31.866396504093775</v>
      </c>
      <c r="L130" s="10">
        <f t="shared" si="20"/>
        <v>51.987246571047983</v>
      </c>
      <c r="M130" s="13">
        <v>2726.3876998530486</v>
      </c>
      <c r="N130" s="19">
        <f t="shared" si="24"/>
        <v>0.88195095576028248</v>
      </c>
      <c r="O130" s="21">
        <f t="shared" si="25"/>
        <v>1185.5305078194449</v>
      </c>
      <c r="P130" s="8">
        <f t="shared" si="26"/>
        <v>140189.18453136622</v>
      </c>
      <c r="Q130" s="8">
        <f t="shared" si="27"/>
        <v>141737.3896005328</v>
      </c>
      <c r="R130" s="8">
        <f t="shared" si="28"/>
        <v>2881.4143431007255</v>
      </c>
      <c r="S130" s="8">
        <f t="shared" si="29"/>
        <v>125005.42622515743</v>
      </c>
      <c r="T130" s="8">
        <f t="shared" si="30"/>
        <v>1461.2748481599151</v>
      </c>
      <c r="U130" s="8">
        <f t="shared" si="31"/>
        <v>148197.74643289702</v>
      </c>
    </row>
    <row r="131" spans="1:21">
      <c r="A131" s="1">
        <v>41858</v>
      </c>
      <c r="B131" s="5">
        <v>129</v>
      </c>
      <c r="C131" s="6">
        <f t="shared" ref="C131:C194" si="32">B131/365</f>
        <v>0.35342465753424657</v>
      </c>
      <c r="D131" s="4">
        <f t="shared" ref="D131:D194" si="33">44.2*(1-EXP(-0.58*(C131+0.85)))</f>
        <v>22.206686227936313</v>
      </c>
      <c r="E131" s="10">
        <f t="shared" si="21"/>
        <v>16.132638791020955</v>
      </c>
      <c r="F131" s="8">
        <v>8724.9816784378036</v>
      </c>
      <c r="G131" s="19">
        <f t="shared" si="22"/>
        <v>2.0984813486674806E-2</v>
      </c>
      <c r="H131" s="21">
        <f t="shared" si="23"/>
        <v>509.01286437150424</v>
      </c>
      <c r="I131" s="5">
        <v>494</v>
      </c>
      <c r="J131" s="6">
        <f t="shared" ref="J131:J194" si="34">I131/365</f>
        <v>1.3534246575342466</v>
      </c>
      <c r="K131" s="4">
        <f t="shared" ref="K131:K194" si="35">44.2*(1-EXP(-0.58*(J131+0.85)))</f>
        <v>31.885979543661175</v>
      </c>
      <c r="L131" s="10">
        <f t="shared" ref="L131:L194" si="36">0.0007*K131^3.24</f>
        <v>52.090829422337023</v>
      </c>
      <c r="M131" s="13">
        <v>2707.5088773715829</v>
      </c>
      <c r="N131" s="19">
        <f t="shared" si="24"/>
        <v>0.88318091428914136</v>
      </c>
      <c r="O131" s="21">
        <f t="shared" si="25"/>
        <v>1187.2367482115485</v>
      </c>
      <c r="P131" s="8">
        <f t="shared" si="26"/>
        <v>140756.97787651283</v>
      </c>
      <c r="Q131" s="8">
        <f t="shared" si="27"/>
        <v>141036.38309062633</v>
      </c>
      <c r="R131" s="8">
        <f t="shared" si="28"/>
        <v>2953.7589276866338</v>
      </c>
      <c r="S131" s="8">
        <f t="shared" si="29"/>
        <v>124560.64176601297</v>
      </c>
      <c r="T131" s="8">
        <f t="shared" si="30"/>
        <v>1503.5012924446764</v>
      </c>
      <c r="U131" s="8">
        <f t="shared" si="31"/>
        <v>147882.97128542484</v>
      </c>
    </row>
    <row r="132" spans="1:21">
      <c r="A132" s="1">
        <v>41859</v>
      </c>
      <c r="B132" s="5">
        <v>130</v>
      </c>
      <c r="C132" s="6">
        <f t="shared" si="32"/>
        <v>0.35616438356164382</v>
      </c>
      <c r="D132" s="4">
        <f t="shared" si="33"/>
        <v>22.241606754930679</v>
      </c>
      <c r="E132" s="10">
        <f t="shared" ref="E132:E195" si="37">0.0007*D132^3.24</f>
        <v>16.214979038402692</v>
      </c>
      <c r="F132" s="8">
        <v>8715.6838662657901</v>
      </c>
      <c r="G132" s="19">
        <f t="shared" ref="G132:G195" si="38">1/(1+EXP(-0.606*D132+17.3))</f>
        <v>2.1424007510969876E-2</v>
      </c>
      <c r="H132" s="21">
        <f t="shared" ref="H132:H195" si="39">0.3586*D132^2.341</f>
        <v>510.88865756485808</v>
      </c>
      <c r="I132" s="5">
        <v>495</v>
      </c>
      <c r="J132" s="6">
        <f t="shared" si="34"/>
        <v>1.3561643835616439</v>
      </c>
      <c r="K132" s="4">
        <f t="shared" si="35"/>
        <v>31.905531489684932</v>
      </c>
      <c r="L132" s="10">
        <f t="shared" si="36"/>
        <v>52.194390065933298</v>
      </c>
      <c r="M132" s="13">
        <v>2683.0174319902226</v>
      </c>
      <c r="N132" s="19">
        <f t="shared" ref="N132:N195" si="40">1/(1+EXP(-0.606*K132+17.3))</f>
        <v>0.88439781109593751</v>
      </c>
      <c r="O132" s="21">
        <f t="shared" ref="O132:O195" si="41">0.3586*K132^2.341</f>
        <v>1188.9416819390847</v>
      </c>
      <c r="P132" s="8">
        <f t="shared" ref="P132:P195" si="42">E132*F132</f>
        <v>141324.63119684433</v>
      </c>
      <c r="Q132" s="8">
        <f t="shared" ref="Q132:Q195" si="43">L132*M132</f>
        <v>140038.45839899633</v>
      </c>
      <c r="R132" s="8">
        <f t="shared" ref="R132:R195" si="44">E132*F132*G132</f>
        <v>3027.7399602462406</v>
      </c>
      <c r="S132" s="8">
        <f t="shared" ref="S132:S195" si="45">L132*M132*N132</f>
        <v>123849.70607732185</v>
      </c>
      <c r="T132" s="8">
        <f t="shared" ref="T132:T195" si="46">R132*H132/1000</f>
        <v>1546.8380037456786</v>
      </c>
      <c r="U132" s="8">
        <f t="shared" ref="U132:U195" si="47">S132*O132/1000</f>
        <v>147250.07785123232</v>
      </c>
    </row>
    <row r="133" spans="1:21">
      <c r="A133" s="1">
        <v>41860</v>
      </c>
      <c r="B133" s="5">
        <v>131</v>
      </c>
      <c r="C133" s="6">
        <f t="shared" si="32"/>
        <v>0.35890410958904112</v>
      </c>
      <c r="D133" s="4">
        <f t="shared" si="33"/>
        <v>22.276471835837288</v>
      </c>
      <c r="E133" s="10">
        <f t="shared" si="37"/>
        <v>16.297477950783893</v>
      </c>
      <c r="F133" s="8">
        <v>8706.4063549937164</v>
      </c>
      <c r="G133" s="19">
        <f t="shared" si="38"/>
        <v>2.1871469302408186E-2</v>
      </c>
      <c r="H133" s="21">
        <f t="shared" si="39"/>
        <v>512.7654165365492</v>
      </c>
      <c r="I133" s="5">
        <v>496</v>
      </c>
      <c r="J133" s="6">
        <f t="shared" si="34"/>
        <v>1.3589041095890411</v>
      </c>
      <c r="K133" s="4">
        <f t="shared" si="35"/>
        <v>31.92505239153471</v>
      </c>
      <c r="L133" s="10">
        <f t="shared" si="36"/>
        <v>52.297928193535718</v>
      </c>
      <c r="M133" s="13">
        <v>2658.1790244659601</v>
      </c>
      <c r="N133" s="19">
        <f t="shared" si="40"/>
        <v>0.88560176757163434</v>
      </c>
      <c r="O133" s="21">
        <f t="shared" si="41"/>
        <v>1190.6453069189281</v>
      </c>
      <c r="P133" s="8">
        <f t="shared" si="42"/>
        <v>141892.46560107486</v>
      </c>
      <c r="Q133" s="8">
        <f t="shared" si="43"/>
        <v>139017.2557470836</v>
      </c>
      <c r="R133" s="8">
        <f t="shared" si="44"/>
        <v>3103.3967056369183</v>
      </c>
      <c r="S133" s="8">
        <f t="shared" si="45"/>
        <v>123113.92741257518</v>
      </c>
      <c r="T133" s="8">
        <f t="shared" si="46"/>
        <v>1591.3145044440689</v>
      </c>
      <c r="U133" s="8">
        <f t="shared" si="47"/>
        <v>146585.01989014022</v>
      </c>
    </row>
    <row r="134" spans="1:21">
      <c r="A134" s="1">
        <v>41861</v>
      </c>
      <c r="B134" s="5">
        <v>132</v>
      </c>
      <c r="C134" s="6">
        <f t="shared" si="32"/>
        <v>0.36164383561643837</v>
      </c>
      <c r="D134" s="4">
        <f t="shared" si="33"/>
        <v>22.311281558692279</v>
      </c>
      <c r="E134" s="10">
        <f t="shared" si="37"/>
        <v>16.380134918808778</v>
      </c>
      <c r="F134" s="8">
        <v>8697.1288437216408</v>
      </c>
      <c r="G134" s="19">
        <f t="shared" si="38"/>
        <v>2.2327331237925754E-2</v>
      </c>
      <c r="H134" s="21">
        <f t="shared" si="39"/>
        <v>514.64312933879944</v>
      </c>
      <c r="I134" s="5">
        <v>497</v>
      </c>
      <c r="J134" s="6">
        <f t="shared" si="34"/>
        <v>1.3616438356164384</v>
      </c>
      <c r="K134" s="4">
        <f t="shared" si="35"/>
        <v>31.944542298501812</v>
      </c>
      <c r="L134" s="10">
        <f t="shared" si="36"/>
        <v>52.401443497925634</v>
      </c>
      <c r="M134" s="13">
        <v>2639.871669043393</v>
      </c>
      <c r="N134" s="19">
        <f t="shared" si="40"/>
        <v>0.88679290463276517</v>
      </c>
      <c r="O134" s="21">
        <f t="shared" si="41"/>
        <v>1192.3476210829381</v>
      </c>
      <c r="P134" s="8">
        <f t="shared" si="42"/>
        <v>142460.14386642387</v>
      </c>
      <c r="Q134" s="8">
        <f t="shared" si="43"/>
        <v>138333.08610715199</v>
      </c>
      <c r="R134" s="8">
        <f t="shared" si="44"/>
        <v>3180.7548203082029</v>
      </c>
      <c r="S134" s="8">
        <f t="shared" si="45"/>
        <v>122672.79923577573</v>
      </c>
      <c r="T134" s="8">
        <f t="shared" si="46"/>
        <v>1636.9536143828843</v>
      </c>
      <c r="U134" s="8">
        <f t="shared" si="47"/>
        <v>146268.62034036207</v>
      </c>
    </row>
    <row r="135" spans="1:21">
      <c r="A135" s="1">
        <v>41862</v>
      </c>
      <c r="B135" s="5">
        <v>133</v>
      </c>
      <c r="C135" s="6">
        <f t="shared" si="32"/>
        <v>0.36438356164383562</v>
      </c>
      <c r="D135" s="4">
        <f t="shared" si="33"/>
        <v>22.346036011392027</v>
      </c>
      <c r="E135" s="10">
        <f t="shared" si="37"/>
        <v>16.462949332765461</v>
      </c>
      <c r="F135" s="8">
        <v>8687.8716333495067</v>
      </c>
      <c r="G135" s="19">
        <f t="shared" si="38"/>
        <v>2.2791727201336848E-2</v>
      </c>
      <c r="H135" s="21">
        <f t="shared" si="39"/>
        <v>516.5217840637016</v>
      </c>
      <c r="I135" s="5">
        <v>498</v>
      </c>
      <c r="J135" s="6">
        <f t="shared" si="34"/>
        <v>1.3643835616438356</v>
      </c>
      <c r="K135" s="4">
        <f t="shared" si="35"/>
        <v>31.964001259799279</v>
      </c>
      <c r="L135" s="10">
        <f t="shared" si="36"/>
        <v>52.504935672965885</v>
      </c>
      <c r="M135" s="13">
        <v>2615.5639095023921</v>
      </c>
      <c r="N135" s="19">
        <f t="shared" si="40"/>
        <v>0.88797134270173483</v>
      </c>
      <c r="O135" s="21">
        <f t="shared" si="41"/>
        <v>1194.0486223779187</v>
      </c>
      <c r="P135" s="8">
        <f t="shared" si="42"/>
        <v>143027.99050940323</v>
      </c>
      <c r="Q135" s="8">
        <f t="shared" si="43"/>
        <v>137330.01481695427</v>
      </c>
      <c r="R135" s="8">
        <f t="shared" si="44"/>
        <v>3259.8549418457142</v>
      </c>
      <c r="S135" s="8">
        <f t="shared" si="45"/>
        <v>121945.11765026001</v>
      </c>
      <c r="T135" s="8">
        <f t="shared" si="46"/>
        <v>1683.7860903510225</v>
      </c>
      <c r="U135" s="8">
        <f t="shared" si="47"/>
        <v>145608.39973600619</v>
      </c>
    </row>
    <row r="136" spans="1:21">
      <c r="A136" s="1">
        <v>41863</v>
      </c>
      <c r="B136" s="5">
        <v>134</v>
      </c>
      <c r="C136" s="6">
        <f t="shared" si="32"/>
        <v>0.36712328767123287</v>
      </c>
      <c r="D136" s="4">
        <f t="shared" si="33"/>
        <v>22.380735281693319</v>
      </c>
      <c r="E136" s="10">
        <f t="shared" si="37"/>
        <v>16.5459205826008</v>
      </c>
      <c r="F136" s="8">
        <v>8678.614422977369</v>
      </c>
      <c r="G136" s="19">
        <f t="shared" si="38"/>
        <v>2.3264792582590548E-2</v>
      </c>
      <c r="H136" s="21">
        <f t="shared" si="39"/>
        <v>518.40136884316803</v>
      </c>
      <c r="I136" s="5">
        <v>499</v>
      </c>
      <c r="J136" s="6">
        <f t="shared" si="34"/>
        <v>1.3671232876712329</v>
      </c>
      <c r="K136" s="4">
        <f t="shared" si="35"/>
        <v>31.983429324561989</v>
      </c>
      <c r="L136" s="10">
        <f t="shared" si="36"/>
        <v>52.608404413598841</v>
      </c>
      <c r="M136" s="13">
        <v>2591.1949213479384</v>
      </c>
      <c r="N136" s="19">
        <f t="shared" si="40"/>
        <v>0.88913720168789834</v>
      </c>
      <c r="O136" s="21">
        <f t="shared" si="41"/>
        <v>1195.7483087655658</v>
      </c>
      <c r="P136" s="8">
        <f t="shared" si="42"/>
        <v>143595.6650095974</v>
      </c>
      <c r="Q136" s="8">
        <f t="shared" si="43"/>
        <v>136318.63033673578</v>
      </c>
      <c r="R136" s="8">
        <f t="shared" si="44"/>
        <v>3340.7233622074386</v>
      </c>
      <c r="S136" s="8">
        <f t="shared" si="45"/>
        <v>121205.9655155323</v>
      </c>
      <c r="T136" s="8">
        <f t="shared" si="46"/>
        <v>1731.8355638946869</v>
      </c>
      <c r="U136" s="8">
        <f t="shared" si="47"/>
        <v>144931.82827749522</v>
      </c>
    </row>
    <row r="137" spans="1:21">
      <c r="A137" s="1">
        <v>41864</v>
      </c>
      <c r="B137" s="5">
        <v>135</v>
      </c>
      <c r="C137" s="6">
        <f t="shared" si="32"/>
        <v>0.36986301369863012</v>
      </c>
      <c r="D137" s="4">
        <f t="shared" si="33"/>
        <v>22.41537945721365</v>
      </c>
      <c r="E137" s="10">
        <f t="shared" si="37"/>
        <v>16.629048057935233</v>
      </c>
      <c r="F137" s="8">
        <v>8669.3775135051728</v>
      </c>
      <c r="G137" s="19">
        <f t="shared" si="38"/>
        <v>2.3746664276341641E-2</v>
      </c>
      <c r="H137" s="21">
        <f t="shared" si="39"/>
        <v>520.28187184887963</v>
      </c>
      <c r="I137" s="5">
        <v>500</v>
      </c>
      <c r="J137" s="6">
        <f t="shared" si="34"/>
        <v>1.3698630136986301</v>
      </c>
      <c r="K137" s="4">
        <f t="shared" si="35"/>
        <v>32.002826541846822</v>
      </c>
      <c r="L137" s="10">
        <f t="shared" si="36"/>
        <v>52.711849415845776</v>
      </c>
      <c r="M137" s="13">
        <v>2569.1118014290787</v>
      </c>
      <c r="N137" s="19">
        <f t="shared" si="40"/>
        <v>0.89029060096939694</v>
      </c>
      <c r="O137" s="21">
        <f t="shared" si="41"/>
        <v>1197.4466782224026</v>
      </c>
      <c r="P137" s="8">
        <f t="shared" si="42"/>
        <v>144163.49530446058</v>
      </c>
      <c r="Q137" s="8">
        <f t="shared" si="43"/>
        <v>135422.63440940189</v>
      </c>
      <c r="R137" s="8">
        <f t="shared" si="44"/>
        <v>3423.4021238989799</v>
      </c>
      <c r="S137" s="8">
        <f t="shared" si="45"/>
        <v>120565.49857320533</v>
      </c>
      <c r="T137" s="8">
        <f t="shared" si="46"/>
        <v>1781.1340651135915</v>
      </c>
      <c r="U137" s="8">
        <f t="shared" si="47"/>
        <v>144370.75577471257</v>
      </c>
    </row>
    <row r="138" spans="1:21">
      <c r="A138" s="1">
        <v>41865</v>
      </c>
      <c r="B138" s="5">
        <v>136</v>
      </c>
      <c r="C138" s="6">
        <f t="shared" si="32"/>
        <v>0.37260273972602742</v>
      </c>
      <c r="D138" s="4">
        <f t="shared" si="33"/>
        <v>22.449968625431339</v>
      </c>
      <c r="E138" s="10">
        <f t="shared" si="37"/>
        <v>16.712331148077457</v>
      </c>
      <c r="F138" s="8">
        <v>8660.1406040329766</v>
      </c>
      <c r="G138" s="19">
        <f t="shared" si="38"/>
        <v>2.4237480679808156E-2</v>
      </c>
      <c r="H138" s="21">
        <f t="shared" si="39"/>
        <v>522.16328129222848</v>
      </c>
      <c r="I138" s="5">
        <v>501</v>
      </c>
      <c r="J138" s="6">
        <f t="shared" si="34"/>
        <v>1.3726027397260274</v>
      </c>
      <c r="K138" s="4">
        <f t="shared" si="35"/>
        <v>32.022192960632758</v>
      </c>
      <c r="L138" s="10">
        <f t="shared" si="36"/>
        <v>52.81527037680479</v>
      </c>
      <c r="M138" s="13">
        <v>2543.7835649971885</v>
      </c>
      <c r="N138" s="19">
        <f t="shared" si="40"/>
        <v>0.89143165937573288</v>
      </c>
      <c r="O138" s="21">
        <f t="shared" si="41"/>
        <v>1199.143728739738</v>
      </c>
      <c r="P138" s="8">
        <f t="shared" si="42"/>
        <v>144731.13756351062</v>
      </c>
      <c r="Q138" s="8">
        <f t="shared" si="43"/>
        <v>134350.61676539888</v>
      </c>
      <c r="R138" s="8">
        <f t="shared" si="44"/>
        <v>3507.9181504622452</v>
      </c>
      <c r="S138" s="8">
        <f t="shared" si="45"/>
        <v>119764.39324133268</v>
      </c>
      <c r="T138" s="8">
        <f t="shared" si="46"/>
        <v>1831.7060519499312</v>
      </c>
      <c r="U138" s="8">
        <f t="shared" si="47"/>
        <v>143614.72108166394</v>
      </c>
    </row>
    <row r="139" spans="1:21">
      <c r="A139" s="1">
        <v>41866</v>
      </c>
      <c r="B139" s="5">
        <v>137</v>
      </c>
      <c r="C139" s="6">
        <f t="shared" si="32"/>
        <v>0.37534246575342467</v>
      </c>
      <c r="D139" s="4">
        <f t="shared" si="33"/>
        <v>22.484502873685862</v>
      </c>
      <c r="E139" s="10">
        <f t="shared" si="37"/>
        <v>16.795769242038894</v>
      </c>
      <c r="F139" s="8">
        <v>8650.9239954607183</v>
      </c>
      <c r="G139" s="19">
        <f t="shared" si="38"/>
        <v>2.4737381689897898E-2</v>
      </c>
      <c r="H139" s="21">
        <f t="shared" si="39"/>
        <v>524.04558542426616</v>
      </c>
      <c r="I139" s="5">
        <v>502</v>
      </c>
      <c r="J139" s="6">
        <f t="shared" si="34"/>
        <v>1.3753424657534246</v>
      </c>
      <c r="K139" s="4">
        <f t="shared" si="35"/>
        <v>32.04152862982103</v>
      </c>
      <c r="L139" s="10">
        <f t="shared" si="36"/>
        <v>52.91866699465028</v>
      </c>
      <c r="M139" s="13">
        <v>2520.1493202041756</v>
      </c>
      <c r="N139" s="19">
        <f t="shared" si="40"/>
        <v>0.89256049517107305</v>
      </c>
      <c r="O139" s="21">
        <f t="shared" si="41"/>
        <v>1200.8394583236138</v>
      </c>
      <c r="P139" s="8">
        <f t="shared" si="42"/>
        <v>145298.92315817534</v>
      </c>
      <c r="Q139" s="8">
        <f t="shared" si="43"/>
        <v>133362.94265267905</v>
      </c>
      <c r="R139" s="8">
        <f t="shared" si="44"/>
        <v>3594.3149212949284</v>
      </c>
      <c r="S139" s="8">
        <f t="shared" si="45"/>
        <v>119034.49413154663</v>
      </c>
      <c r="T139" s="8">
        <f t="shared" si="46"/>
        <v>1883.584867129176</v>
      </c>
      <c r="U139" s="8">
        <f t="shared" si="47"/>
        <v>142941.31745475184</v>
      </c>
    </row>
    <row r="140" spans="1:21">
      <c r="A140" s="1">
        <v>41867</v>
      </c>
      <c r="B140" s="5">
        <v>138</v>
      </c>
      <c r="C140" s="6">
        <f t="shared" si="32"/>
        <v>0.37808219178082192</v>
      </c>
      <c r="D140" s="4">
        <f t="shared" si="33"/>
        <v>22.518982289177984</v>
      </c>
      <c r="E140" s="10">
        <f t="shared" si="37"/>
        <v>16.879361728548265</v>
      </c>
      <c r="F140" s="8">
        <v>8641.70738688846</v>
      </c>
      <c r="G140" s="19">
        <f t="shared" si="38"/>
        <v>2.5246508699574281E-2</v>
      </c>
      <c r="H140" s="21">
        <f t="shared" si="39"/>
        <v>525.92877253564825</v>
      </c>
      <c r="I140" s="5">
        <v>503</v>
      </c>
      <c r="J140" s="6">
        <f t="shared" si="34"/>
        <v>1.3780821917808219</v>
      </c>
      <c r="K140" s="4">
        <f t="shared" si="35"/>
        <v>32.060833598235199</v>
      </c>
      <c r="L140" s="10">
        <f t="shared" si="36"/>
        <v>53.022038968630504</v>
      </c>
      <c r="M140" s="13">
        <v>2501.6378694034306</v>
      </c>
      <c r="N140" s="19">
        <f t="shared" si="40"/>
        <v>0.89367722603825583</v>
      </c>
      <c r="O140" s="21">
        <f t="shared" si="41"/>
        <v>1202.5338649947432</v>
      </c>
      <c r="P140" s="8">
        <f t="shared" si="42"/>
        <v>145866.5049355579</v>
      </c>
      <c r="Q140" s="8">
        <f t="shared" si="43"/>
        <v>132641.94059691048</v>
      </c>
      <c r="R140" s="8">
        <f t="shared" si="44"/>
        <v>3682.6199858320574</v>
      </c>
      <c r="S140" s="8">
        <f t="shared" si="45"/>
        <v>118539.08152897807</v>
      </c>
      <c r="T140" s="8">
        <f t="shared" si="46"/>
        <v>1936.7958088639004</v>
      </c>
      <c r="U140" s="8">
        <f t="shared" si="47"/>
        <v>142547.25986396897</v>
      </c>
    </row>
    <row r="141" spans="1:21">
      <c r="A141" s="1">
        <v>41868</v>
      </c>
      <c r="B141" s="5">
        <v>139</v>
      </c>
      <c r="C141" s="6">
        <f t="shared" si="32"/>
        <v>0.38082191780821917</v>
      </c>
      <c r="D141" s="4">
        <f t="shared" si="33"/>
        <v>22.553406958970029</v>
      </c>
      <c r="E141" s="10">
        <f t="shared" si="37"/>
        <v>16.963107996065897</v>
      </c>
      <c r="F141" s="8">
        <v>8632.5110792161413</v>
      </c>
      <c r="G141" s="19">
        <f t="shared" si="38"/>
        <v>2.5765004593441408E-2</v>
      </c>
      <c r="H141" s="21">
        <f t="shared" si="39"/>
        <v>527.81283095657864</v>
      </c>
      <c r="I141" s="5">
        <v>504</v>
      </c>
      <c r="J141" s="6">
        <f t="shared" si="34"/>
        <v>1.3808219178082193</v>
      </c>
      <c r="K141" s="4">
        <f t="shared" si="35"/>
        <v>32.080107914621323</v>
      </c>
      <c r="L141" s="10">
        <f t="shared" si="36"/>
        <v>53.125385999067028</v>
      </c>
      <c r="M141" s="13">
        <v>2476.9015095682562</v>
      </c>
      <c r="N141" s="19">
        <f t="shared" si="40"/>
        <v>0.89478196906349738</v>
      </c>
      <c r="O141" s="21">
        <f t="shared" si="41"/>
        <v>1204.2269467884767</v>
      </c>
      <c r="P141" s="8">
        <f t="shared" si="42"/>
        <v>146434.21771397878</v>
      </c>
      <c r="Q141" s="8">
        <f t="shared" si="43"/>
        <v>131586.34877748543</v>
      </c>
      <c r="R141" s="8">
        <f t="shared" si="44"/>
        <v>3772.8782920376625</v>
      </c>
      <c r="S141" s="8">
        <f t="shared" si="45"/>
        <v>117741.09226099454</v>
      </c>
      <c r="T141" s="8">
        <f t="shared" si="46"/>
        <v>1991.3735721750199</v>
      </c>
      <c r="U141" s="8">
        <f t="shared" si="47"/>
        <v>141786.9960449978</v>
      </c>
    </row>
    <row r="142" spans="1:21">
      <c r="A142" s="1">
        <v>41869</v>
      </c>
      <c r="B142" s="5">
        <v>140</v>
      </c>
      <c r="C142" s="6">
        <f t="shared" si="32"/>
        <v>0.38356164383561642</v>
      </c>
      <c r="D142" s="4">
        <f t="shared" si="33"/>
        <v>22.587776969986084</v>
      </c>
      <c r="E142" s="10">
        <f t="shared" si="37"/>
        <v>17.047007432798001</v>
      </c>
      <c r="F142" s="8">
        <v>8623.3147715438226</v>
      </c>
      <c r="G142" s="19">
        <f t="shared" si="38"/>
        <v>2.62930137425215E-2</v>
      </c>
      <c r="H142" s="21">
        <f t="shared" si="39"/>
        <v>529.69774905675501</v>
      </c>
      <c r="I142" s="5">
        <v>505</v>
      </c>
      <c r="J142" s="6">
        <f t="shared" si="34"/>
        <v>1.3835616438356164</v>
      </c>
      <c r="K142" s="4">
        <f t="shared" si="35"/>
        <v>32.099351627648041</v>
      </c>
      <c r="L142" s="10">
        <f t="shared" si="36"/>
        <v>53.228707787352882</v>
      </c>
      <c r="M142" s="13">
        <v>2451.1854919178281</v>
      </c>
      <c r="N142" s="19">
        <f t="shared" si="40"/>
        <v>0.89587484072177426</v>
      </c>
      <c r="O142" s="21">
        <f t="shared" si="41"/>
        <v>1205.9187017547258</v>
      </c>
      <c r="P142" s="8">
        <f t="shared" si="42"/>
        <v>147001.71100586434</v>
      </c>
      <c r="Q142" s="8">
        <f t="shared" si="43"/>
        <v>130473.43628189291</v>
      </c>
      <c r="R142" s="8">
        <f t="shared" si="44"/>
        <v>3865.1180076513651</v>
      </c>
      <c r="S142" s="8">
        <f t="shared" si="45"/>
        <v>116887.86894746337</v>
      </c>
      <c r="T142" s="8">
        <f t="shared" si="46"/>
        <v>2047.3443084916578</v>
      </c>
      <c r="U142" s="8">
        <f t="shared" si="47"/>
        <v>140957.26717200156</v>
      </c>
    </row>
    <row r="143" spans="1:21">
      <c r="A143" s="1">
        <v>41870</v>
      </c>
      <c r="B143" s="5">
        <v>141</v>
      </c>
      <c r="C143" s="6">
        <f t="shared" si="32"/>
        <v>0.38630136986301372</v>
      </c>
      <c r="D143" s="4">
        <f t="shared" si="33"/>
        <v>22.622092409012222</v>
      </c>
      <c r="E143" s="10">
        <f t="shared" si="37"/>
        <v>17.131059426710792</v>
      </c>
      <c r="F143" s="8">
        <v>8614.1184638715022</v>
      </c>
      <c r="G143" s="19">
        <f t="shared" si="38"/>
        <v>2.6830681998200438E-2</v>
      </c>
      <c r="H143" s="21">
        <f t="shared" si="39"/>
        <v>531.58351524531281</v>
      </c>
      <c r="I143" s="5">
        <v>506</v>
      </c>
      <c r="J143" s="6">
        <f t="shared" si="34"/>
        <v>1.3863013698630138</v>
      </c>
      <c r="K143" s="4">
        <f t="shared" si="35"/>
        <v>32.118564785906756</v>
      </c>
      <c r="L143" s="10">
        <f t="shared" si="36"/>
        <v>53.332004035951563</v>
      </c>
      <c r="M143" s="13">
        <v>2429.102371998968</v>
      </c>
      <c r="N143" s="19">
        <f t="shared" si="40"/>
        <v>0.89695595686287066</v>
      </c>
      <c r="O143" s="21">
        <f t="shared" si="41"/>
        <v>1207.6091279579334</v>
      </c>
      <c r="P143" s="8">
        <f t="shared" si="42"/>
        <v>147568.97531330938</v>
      </c>
      <c r="Q143" s="8">
        <f t="shared" si="43"/>
        <v>129548.89750718848</v>
      </c>
      <c r="R143" s="8">
        <f t="shared" si="44"/>
        <v>3959.3762494316948</v>
      </c>
      <c r="S143" s="8">
        <f t="shared" si="45"/>
        <v>116199.6553240902</v>
      </c>
      <c r="T143" s="8">
        <f t="shared" si="46"/>
        <v>2104.7391448517028</v>
      </c>
      <c r="U143" s="8">
        <f t="shared" si="47"/>
        <v>140323.76443493701</v>
      </c>
    </row>
    <row r="144" spans="1:21">
      <c r="A144" s="1">
        <v>41871</v>
      </c>
      <c r="B144" s="5">
        <v>142</v>
      </c>
      <c r="C144" s="6">
        <f t="shared" si="32"/>
        <v>0.38904109589041097</v>
      </c>
      <c r="D144" s="4">
        <f t="shared" si="33"/>
        <v>22.656353362696706</v>
      </c>
      <c r="E144" s="10">
        <f t="shared" si="37"/>
        <v>17.215263365544558</v>
      </c>
      <c r="F144" s="8">
        <v>8604.9424570991214</v>
      </c>
      <c r="G144" s="19">
        <f t="shared" si="38"/>
        <v>2.7378156685316259E-2</v>
      </c>
      <c r="H144" s="21">
        <f t="shared" si="39"/>
        <v>533.47011797076743</v>
      </c>
      <c r="I144" s="5">
        <v>507</v>
      </c>
      <c r="J144" s="6">
        <f t="shared" si="34"/>
        <v>1.3890410958904109</v>
      </c>
      <c r="K144" s="4">
        <f t="shared" si="35"/>
        <v>32.137747437911671</v>
      </c>
      <c r="L144" s="10">
        <f t="shared" si="36"/>
        <v>53.435274448394814</v>
      </c>
      <c r="M144" s="13">
        <v>2405.5293558194085</v>
      </c>
      <c r="N144" s="19">
        <f t="shared" si="40"/>
        <v>0.89802543269806512</v>
      </c>
      <c r="O144" s="21">
        <f t="shared" si="41"/>
        <v>1209.2982234770093</v>
      </c>
      <c r="P144" s="8">
        <f t="shared" si="42"/>
        <v>148136.35064431748</v>
      </c>
      <c r="Q144" s="8">
        <f t="shared" si="43"/>
        <v>128540.12132188048</v>
      </c>
      <c r="R144" s="8">
        <f t="shared" si="44"/>
        <v>4055.7002187310745</v>
      </c>
      <c r="S144" s="8">
        <f t="shared" si="45"/>
        <v>115432.29806914351</v>
      </c>
      <c r="T144" s="8">
        <f t="shared" si="46"/>
        <v>2163.5948741405336</v>
      </c>
      <c r="U144" s="8">
        <f t="shared" si="47"/>
        <v>139592.07298688384</v>
      </c>
    </row>
    <row r="145" spans="1:21">
      <c r="A145" s="1">
        <v>41872</v>
      </c>
      <c r="B145" s="5">
        <v>143</v>
      </c>
      <c r="C145" s="6">
        <f t="shared" si="32"/>
        <v>0.39178082191780822</v>
      </c>
      <c r="D145" s="4">
        <f t="shared" si="33"/>
        <v>22.690559917550246</v>
      </c>
      <c r="E145" s="10">
        <f t="shared" si="37"/>
        <v>17.299618636827791</v>
      </c>
      <c r="F145" s="8">
        <v>8595.7867512266803</v>
      </c>
      <c r="G145" s="19">
        <f t="shared" si="38"/>
        <v>2.7935586594365472E-2</v>
      </c>
      <c r="H145" s="21">
        <f t="shared" si="39"/>
        <v>535.35754572095868</v>
      </c>
      <c r="I145" s="5">
        <v>508</v>
      </c>
      <c r="J145" s="6">
        <f t="shared" si="34"/>
        <v>1.3917808219178083</v>
      </c>
      <c r="K145" s="4">
        <f t="shared" si="35"/>
        <v>32.1568996321</v>
      </c>
      <c r="L145" s="10">
        <f t="shared" si="36"/>
        <v>53.538518729282181</v>
      </c>
      <c r="M145" s="13">
        <v>2381.8542919507599</v>
      </c>
      <c r="N145" s="19">
        <f t="shared" si="40"/>
        <v>0.89908338278746258</v>
      </c>
      <c r="O145" s="21">
        <f t="shared" si="41"/>
        <v>1210.9859864052823</v>
      </c>
      <c r="P145" s="8">
        <f t="shared" si="42"/>
        <v>148703.8326797185</v>
      </c>
      <c r="Q145" s="8">
        <f t="shared" si="43"/>
        <v>127520.95062002691</v>
      </c>
      <c r="R145" s="8">
        <f t="shared" si="44"/>
        <v>4154.1287947383107</v>
      </c>
      <c r="S145" s="8">
        <f t="shared" si="45"/>
        <v>114651.96765972677</v>
      </c>
      <c r="T145" s="8">
        <f t="shared" si="46"/>
        <v>2223.9441961598664</v>
      </c>
      <c r="U145" s="8">
        <f t="shared" si="47"/>
        <v>138841.92614972076</v>
      </c>
    </row>
    <row r="146" spans="1:21">
      <c r="A146" s="1">
        <v>41873</v>
      </c>
      <c r="B146" s="5">
        <v>144</v>
      </c>
      <c r="C146" s="6">
        <f t="shared" si="32"/>
        <v>0.39452054794520547</v>
      </c>
      <c r="D146" s="4">
        <f t="shared" si="33"/>
        <v>22.724712159946154</v>
      </c>
      <c r="E146" s="10">
        <f t="shared" si="37"/>
        <v>17.38412462789065</v>
      </c>
      <c r="F146" s="8">
        <v>8586.631045354241</v>
      </c>
      <c r="G146" s="19">
        <f t="shared" si="38"/>
        <v>2.8503121972799417E-2</v>
      </c>
      <c r="H146" s="21">
        <f t="shared" si="39"/>
        <v>537.24578702299107</v>
      </c>
      <c r="I146" s="5">
        <v>509</v>
      </c>
      <c r="J146" s="6">
        <f t="shared" si="34"/>
        <v>1.3945205479452054</v>
      </c>
      <c r="K146" s="4">
        <f t="shared" si="35"/>
        <v>32.176021416832015</v>
      </c>
      <c r="L146" s="10">
        <f t="shared" si="36"/>
        <v>53.641736584278902</v>
      </c>
      <c r="M146" s="13">
        <v>2362.7713740911167</v>
      </c>
      <c r="N146" s="19">
        <f t="shared" si="40"/>
        <v>0.90012992102793166</v>
      </c>
      <c r="O146" s="21">
        <f t="shared" si="41"/>
        <v>1212.6724148504488</v>
      </c>
      <c r="P146" s="8">
        <f t="shared" si="42"/>
        <v>149271.0642261531</v>
      </c>
      <c r="Q146" s="8">
        <f t="shared" si="43"/>
        <v>126743.15965787039</v>
      </c>
      <c r="R146" s="8">
        <f t="shared" si="44"/>
        <v>4254.6913506476176</v>
      </c>
      <c r="S146" s="8">
        <f t="shared" si="45"/>
        <v>114085.3102936694</v>
      </c>
      <c r="T146" s="8">
        <f t="shared" si="46"/>
        <v>2285.8150032185922</v>
      </c>
      <c r="U146" s="8">
        <f t="shared" si="47"/>
        <v>138348.10873278684</v>
      </c>
    </row>
    <row r="147" spans="1:21">
      <c r="A147" s="1">
        <v>41874</v>
      </c>
      <c r="B147" s="5">
        <v>145</v>
      </c>
      <c r="C147" s="6">
        <f t="shared" si="32"/>
        <v>0.39726027397260272</v>
      </c>
      <c r="D147" s="4">
        <f t="shared" si="33"/>
        <v>22.758810176120647</v>
      </c>
      <c r="E147" s="10">
        <f t="shared" si="37"/>
        <v>17.468780725879121</v>
      </c>
      <c r="F147" s="8">
        <v>8577.4956403817378</v>
      </c>
      <c r="G147" s="19">
        <f t="shared" si="38"/>
        <v>2.9080914515388238E-2</v>
      </c>
      <c r="H147" s="21">
        <f t="shared" si="39"/>
        <v>539.13483044318036</v>
      </c>
      <c r="I147" s="5">
        <v>510</v>
      </c>
      <c r="J147" s="6">
        <f t="shared" si="34"/>
        <v>1.3972602739726028</v>
      </c>
      <c r="K147" s="4">
        <f t="shared" si="35"/>
        <v>32.195112840391232</v>
      </c>
      <c r="L147" s="10">
        <f t="shared" si="36"/>
        <v>53.744927720114696</v>
      </c>
      <c r="M147" s="13">
        <v>2337.8717379534</v>
      </c>
      <c r="N147" s="19">
        <f t="shared" si="40"/>
        <v>0.90116516064165209</v>
      </c>
      <c r="O147" s="21">
        <f t="shared" si="41"/>
        <v>1214.3575069345245</v>
      </c>
      <c r="P147" s="8">
        <f t="shared" si="42"/>
        <v>149838.3905190127</v>
      </c>
      <c r="Q147" s="8">
        <f t="shared" si="43"/>
        <v>125648.74757520441</v>
      </c>
      <c r="R147" s="8">
        <f t="shared" si="44"/>
        <v>4357.4374258067674</v>
      </c>
      <c r="S147" s="8">
        <f t="shared" si="45"/>
        <v>113230.27379303148</v>
      </c>
      <c r="T147" s="8">
        <f t="shared" si="46"/>
        <v>2349.2462877291</v>
      </c>
      <c r="U147" s="8">
        <f t="shared" si="47"/>
        <v>137502.03299281935</v>
      </c>
    </row>
    <row r="148" spans="1:21">
      <c r="A148" s="1">
        <v>41875</v>
      </c>
      <c r="B148" s="5">
        <v>146</v>
      </c>
      <c r="C148" s="6">
        <f t="shared" si="32"/>
        <v>0.4</v>
      </c>
      <c r="D148" s="4">
        <f t="shared" si="33"/>
        <v>22.792854052172981</v>
      </c>
      <c r="E148" s="10">
        <f t="shared" si="37"/>
        <v>17.553586317768431</v>
      </c>
      <c r="F148" s="8">
        <v>8568.3602354092363</v>
      </c>
      <c r="G148" s="19">
        <f t="shared" si="38"/>
        <v>2.9669117353621273E-2</v>
      </c>
      <c r="H148" s="21">
        <f t="shared" si="39"/>
        <v>541.02466458698882</v>
      </c>
      <c r="I148" s="5">
        <v>511</v>
      </c>
      <c r="J148" s="6">
        <f t="shared" si="34"/>
        <v>1.4</v>
      </c>
      <c r="K148" s="4">
        <f t="shared" si="35"/>
        <v>32.214173950984488</v>
      </c>
      <c r="L148" s="10">
        <f t="shared" si="36"/>
        <v>53.848091844582292</v>
      </c>
      <c r="M148" s="13">
        <v>2313.441521185493</v>
      </c>
      <c r="N148" s="19">
        <f t="shared" si="40"/>
        <v>0.90218921416524478</v>
      </c>
      <c r="O148" s="21">
        <f t="shared" si="41"/>
        <v>1216.0412607937844</v>
      </c>
      <c r="P148" s="8">
        <f t="shared" si="42"/>
        <v>150405.45099399067</v>
      </c>
      <c r="Q148" s="8">
        <f t="shared" si="43"/>
        <v>124574.41150986659</v>
      </c>
      <c r="R148" s="8">
        <f t="shared" si="44"/>
        <v>4462.3969761650424</v>
      </c>
      <c r="S148" s="8">
        <f t="shared" si="45"/>
        <v>112389.69042518437</v>
      </c>
      <c r="T148" s="8">
        <f t="shared" si="46"/>
        <v>2414.266827283685</v>
      </c>
      <c r="U148" s="8">
        <f t="shared" si="47"/>
        <v>136670.50084486432</v>
      </c>
    </row>
    <row r="149" spans="1:21">
      <c r="A149" s="1">
        <v>41876</v>
      </c>
      <c r="B149" s="5">
        <v>147</v>
      </c>
      <c r="C149" s="6">
        <f t="shared" si="32"/>
        <v>0.40273972602739727</v>
      </c>
      <c r="D149" s="4">
        <f t="shared" si="33"/>
        <v>22.82684387406572</v>
      </c>
      <c r="E149" s="10">
        <f t="shared" si="37"/>
        <v>17.638540790376727</v>
      </c>
      <c r="F149" s="8">
        <v>8559.2248304367331</v>
      </c>
      <c r="G149" s="19">
        <f t="shared" si="38"/>
        <v>3.0267885044121992E-2</v>
      </c>
      <c r="H149" s="21">
        <f t="shared" si="39"/>
        <v>542.91527809897377</v>
      </c>
      <c r="I149" s="5">
        <v>512</v>
      </c>
      <c r="J149" s="6">
        <f t="shared" si="34"/>
        <v>1.4027397260273973</v>
      </c>
      <c r="K149" s="4">
        <f t="shared" si="35"/>
        <v>32.233204796742079</v>
      </c>
      <c r="L149" s="10">
        <f t="shared" si="36"/>
        <v>53.95122866653584</v>
      </c>
      <c r="M149" s="13">
        <v>2293.8891839560406</v>
      </c>
      <c r="N149" s="19">
        <f t="shared" si="40"/>
        <v>0.90320219343947983</v>
      </c>
      <c r="O149" s="21">
        <f t="shared" si="41"/>
        <v>1217.723674578722</v>
      </c>
      <c r="P149" s="8">
        <f t="shared" si="42"/>
        <v>150972.23630566362</v>
      </c>
      <c r="Q149" s="8">
        <f t="shared" si="43"/>
        <v>123758.13989930565</v>
      </c>
      <c r="R149" s="8">
        <f t="shared" si="44"/>
        <v>4569.6102933538468</v>
      </c>
      <c r="S149" s="8">
        <f t="shared" si="45"/>
        <v>111778.62341304286</v>
      </c>
      <c r="T149" s="8">
        <f t="shared" si="46"/>
        <v>2480.9112432201368</v>
      </c>
      <c r="U149" s="8">
        <f t="shared" si="47"/>
        <v>136115.47604188175</v>
      </c>
    </row>
    <row r="150" spans="1:21">
      <c r="A150" s="1">
        <v>41877</v>
      </c>
      <c r="B150" s="5">
        <v>148</v>
      </c>
      <c r="C150" s="6">
        <f t="shared" si="32"/>
        <v>0.40547945205479452</v>
      </c>
      <c r="D150" s="4">
        <f t="shared" si="33"/>
        <v>22.860779727624926</v>
      </c>
      <c r="E150" s="10">
        <f t="shared" si="37"/>
        <v>17.723643530378414</v>
      </c>
      <c r="F150" s="8">
        <v>8550.1097263641677</v>
      </c>
      <c r="G150" s="19">
        <f t="shared" si="38"/>
        <v>3.0877373556047003E-2</v>
      </c>
      <c r="H150" s="21">
        <f t="shared" si="39"/>
        <v>544.80665966272193</v>
      </c>
      <c r="I150" s="5">
        <v>513</v>
      </c>
      <c r="J150" s="6">
        <f t="shared" si="34"/>
        <v>1.4054794520547946</v>
      </c>
      <c r="K150" s="4">
        <f t="shared" si="35"/>
        <v>32.252205425717882</v>
      </c>
      <c r="L150" s="10">
        <f t="shared" si="36"/>
        <v>54.054337895889795</v>
      </c>
      <c r="M150" s="13">
        <v>2271.2754160539175</v>
      </c>
      <c r="N150" s="19">
        <f t="shared" si="40"/>
        <v>0.90420420959953873</v>
      </c>
      <c r="O150" s="21">
        <f t="shared" si="41"/>
        <v>1219.4047464539956</v>
      </c>
      <c r="P150" s="8">
        <f t="shared" si="42"/>
        <v>151539.09693569984</v>
      </c>
      <c r="Q150" s="8">
        <f t="shared" si="43"/>
        <v>122772.28879400613</v>
      </c>
      <c r="R150" s="8">
        <f t="shared" si="44"/>
        <v>4679.1293044296217</v>
      </c>
      <c r="S150" s="8">
        <f t="shared" si="45"/>
        <v>111011.22034971062</v>
      </c>
      <c r="T150" s="8">
        <f t="shared" si="46"/>
        <v>2549.2208064762576</v>
      </c>
      <c r="U150" s="8">
        <f t="shared" si="47"/>
        <v>135367.60900408751</v>
      </c>
    </row>
    <row r="151" spans="1:21">
      <c r="A151" s="1">
        <v>41878</v>
      </c>
      <c r="B151" s="5">
        <v>149</v>
      </c>
      <c r="C151" s="6">
        <f t="shared" si="32"/>
        <v>0.40821917808219177</v>
      </c>
      <c r="D151" s="4">
        <f t="shared" si="33"/>
        <v>22.894661698540414</v>
      </c>
      <c r="E151" s="10">
        <f t="shared" si="37"/>
        <v>17.80889392431769</v>
      </c>
      <c r="F151" s="8">
        <v>8540.994622291606</v>
      </c>
      <c r="G151" s="19">
        <f t="shared" si="38"/>
        <v>3.1497740257445166E-2</v>
      </c>
      <c r="H151" s="21">
        <f t="shared" si="39"/>
        <v>546.69879800079536</v>
      </c>
      <c r="I151" s="5">
        <v>514</v>
      </c>
      <c r="J151" s="6">
        <f t="shared" si="34"/>
        <v>1.4082191780821918</v>
      </c>
      <c r="K151" s="4">
        <f t="shared" si="35"/>
        <v>32.271175885889484</v>
      </c>
      <c r="L151" s="10">
        <f t="shared" si="36"/>
        <v>54.157419243616943</v>
      </c>
      <c r="M151" s="13">
        <v>2248.4371432357989</v>
      </c>
      <c r="N151" s="19">
        <f t="shared" si="40"/>
        <v>0.90519537306582509</v>
      </c>
      <c r="O151" s="21">
        <f t="shared" si="41"/>
        <v>1221.0844745983704</v>
      </c>
      <c r="P151" s="8">
        <f t="shared" si="42"/>
        <v>152105.66723655903</v>
      </c>
      <c r="Q151" s="8">
        <f t="shared" si="43"/>
        <v>121769.55300914156</v>
      </c>
      <c r="R151" s="8">
        <f t="shared" si="44"/>
        <v>4790.9847983025238</v>
      </c>
      <c r="S151" s="8">
        <f t="shared" si="45"/>
        <v>110225.23596416865</v>
      </c>
      <c r="T151" s="8">
        <f t="shared" si="46"/>
        <v>2619.2256304720727</v>
      </c>
      <c r="U151" s="8">
        <f t="shared" si="47"/>
        <v>134594.32434478827</v>
      </c>
    </row>
    <row r="152" spans="1:21">
      <c r="A152" s="1">
        <v>41879</v>
      </c>
      <c r="B152" s="5">
        <v>150</v>
      </c>
      <c r="C152" s="6">
        <f t="shared" si="32"/>
        <v>0.41095890410958902</v>
      </c>
      <c r="D152" s="4">
        <f t="shared" si="33"/>
        <v>22.928489872365915</v>
      </c>
      <c r="E152" s="10">
        <f t="shared" si="37"/>
        <v>17.894291358621558</v>
      </c>
      <c r="F152" s="8">
        <v>8531.8998191189803</v>
      </c>
      <c r="G152" s="19">
        <f t="shared" si="38"/>
        <v>3.2129143900545831E-2</v>
      </c>
      <c r="H152" s="21">
        <f t="shared" si="39"/>
        <v>548.59168187466685</v>
      </c>
      <c r="I152" s="5">
        <v>515</v>
      </c>
      <c r="J152" s="6">
        <f t="shared" si="34"/>
        <v>1.4109589041095891</v>
      </c>
      <c r="K152" s="4">
        <f t="shared" si="35"/>
        <v>32.290116225158272</v>
      </c>
      <c r="L152" s="10">
        <f t="shared" si="36"/>
        <v>54.260472421747245</v>
      </c>
      <c r="M152" s="13">
        <v>2228.7215297038038</v>
      </c>
      <c r="N152" s="19">
        <f t="shared" si="40"/>
        <v>0.90617579353530253</v>
      </c>
      <c r="O152" s="21">
        <f t="shared" si="41"/>
        <v>1222.762857204679</v>
      </c>
      <c r="P152" s="8">
        <f t="shared" si="42"/>
        <v>152672.3012058856</v>
      </c>
      <c r="Q152" s="8">
        <f t="shared" si="43"/>
        <v>120931.48309824758</v>
      </c>
      <c r="R152" s="8">
        <f t="shared" si="44"/>
        <v>4905.2303350713755</v>
      </c>
      <c r="S152" s="8">
        <f t="shared" si="45"/>
        <v>109585.18265995554</v>
      </c>
      <c r="T152" s="8">
        <f t="shared" si="46"/>
        <v>2690.9685594994417</v>
      </c>
      <c r="U152" s="8">
        <f t="shared" si="47"/>
        <v>133996.69105658389</v>
      </c>
    </row>
    <row r="153" spans="1:21">
      <c r="A153" s="1">
        <v>41880</v>
      </c>
      <c r="B153" s="5">
        <v>151</v>
      </c>
      <c r="C153" s="6">
        <f t="shared" si="32"/>
        <v>0.41369863013698632</v>
      </c>
      <c r="D153" s="4">
        <f t="shared" si="33"/>
        <v>22.96226433451935</v>
      </c>
      <c r="E153" s="10">
        <f t="shared" si="37"/>
        <v>17.979835219613314</v>
      </c>
      <c r="F153" s="8">
        <v>8522.8253168462961</v>
      </c>
      <c r="G153" s="19">
        <f t="shared" si="38"/>
        <v>3.2771744605953293E-2</v>
      </c>
      <c r="H153" s="21">
        <f t="shared" si="39"/>
        <v>550.48530008466321</v>
      </c>
      <c r="I153" s="5">
        <v>516</v>
      </c>
      <c r="J153" s="6">
        <f t="shared" si="34"/>
        <v>1.4136986301369863</v>
      </c>
      <c r="K153" s="4">
        <f t="shared" si="35"/>
        <v>32.309026491349599</v>
      </c>
      <c r="L153" s="10">
        <f t="shared" si="36"/>
        <v>54.363497143366288</v>
      </c>
      <c r="M153" s="13">
        <v>2205.1893325998799</v>
      </c>
      <c r="N153" s="19">
        <f t="shared" si="40"/>
        <v>0.9071455799733531</v>
      </c>
      <c r="O153" s="21">
        <f t="shared" si="41"/>
        <v>1224.4398924797595</v>
      </c>
      <c r="P153" s="8">
        <f t="shared" si="42"/>
        <v>153238.99480244503</v>
      </c>
      <c r="Q153" s="8">
        <f t="shared" si="43"/>
        <v>119881.80398337539</v>
      </c>
      <c r="R153" s="8">
        <f t="shared" si="44"/>
        <v>5021.9092013387326</v>
      </c>
      <c r="S153" s="8">
        <f t="shared" si="45"/>
        <v>108750.2486027509</v>
      </c>
      <c r="T153" s="8">
        <f t="shared" si="46"/>
        <v>2764.4871936968834</v>
      </c>
      <c r="U153" s="8">
        <f t="shared" si="47"/>
        <v>133158.14270629943</v>
      </c>
    </row>
    <row r="154" spans="1:21">
      <c r="A154" s="1">
        <v>41881</v>
      </c>
      <c r="B154" s="5">
        <v>152</v>
      </c>
      <c r="C154" s="6">
        <f t="shared" si="32"/>
        <v>0.41643835616438357</v>
      </c>
      <c r="D154" s="4">
        <f t="shared" si="33"/>
        <v>22.995985170282975</v>
      </c>
      <c r="E154" s="10">
        <f t="shared" si="37"/>
        <v>18.0655248935253</v>
      </c>
      <c r="F154" s="8">
        <v>8513.7508145736083</v>
      </c>
      <c r="G154" s="19">
        <f t="shared" si="38"/>
        <v>3.3425703845715304E-2</v>
      </c>
      <c r="H154" s="21">
        <f t="shared" si="39"/>
        <v>552.37964146990214</v>
      </c>
      <c r="I154" s="5">
        <v>517</v>
      </c>
      <c r="J154" s="6">
        <f t="shared" si="34"/>
        <v>1.4164383561643836</v>
      </c>
      <c r="K154" s="4">
        <f t="shared" si="35"/>
        <v>32.327906732212881</v>
      </c>
      <c r="L154" s="10">
        <f t="shared" si="36"/>
        <v>54.466493122613933</v>
      </c>
      <c r="M154" s="13">
        <v>2183.5756320508294</v>
      </c>
      <c r="N154" s="19">
        <f t="shared" si="40"/>
        <v>0.90810484060613683</v>
      </c>
      <c r="O154" s="21">
        <f t="shared" si="41"/>
        <v>1226.1155786444178</v>
      </c>
      <c r="P154" s="8">
        <f t="shared" si="42"/>
        <v>153805.37727795081</v>
      </c>
      <c r="Q154" s="8">
        <f t="shared" si="43"/>
        <v>118931.70714580387</v>
      </c>
      <c r="R154" s="8">
        <f t="shared" si="44"/>
        <v>5141.0529907712935</v>
      </c>
      <c r="S154" s="8">
        <f t="shared" si="45"/>
        <v>108002.45896065597</v>
      </c>
      <c r="T154" s="8">
        <f t="shared" si="46"/>
        <v>2839.8130078200152</v>
      </c>
      <c r="U154" s="8">
        <f t="shared" si="47"/>
        <v>132423.49746356468</v>
      </c>
    </row>
    <row r="155" spans="1:21">
      <c r="A155" s="1">
        <v>41882</v>
      </c>
      <c r="B155" s="5">
        <v>153</v>
      </c>
      <c r="C155" s="6">
        <f t="shared" si="32"/>
        <v>0.41917808219178082</v>
      </c>
      <c r="D155" s="4">
        <f t="shared" si="33"/>
        <v>23.029652464803672</v>
      </c>
      <c r="E155" s="10">
        <f t="shared" si="37"/>
        <v>18.151359766512144</v>
      </c>
      <c r="F155" s="8">
        <v>8504.6763123009259</v>
      </c>
      <c r="G155" s="19">
        <f t="shared" si="38"/>
        <v>3.4091184425242782E-2</v>
      </c>
      <c r="H155" s="21">
        <f t="shared" si="39"/>
        <v>554.27469490823353</v>
      </c>
      <c r="I155" s="5">
        <v>518</v>
      </c>
      <c r="J155" s="6">
        <f t="shared" si="34"/>
        <v>1.4191780821917808</v>
      </c>
      <c r="K155" s="4">
        <f t="shared" si="35"/>
        <v>32.346756995421693</v>
      </c>
      <c r="L155" s="10">
        <f t="shared" si="36"/>
        <v>54.569460074682212</v>
      </c>
      <c r="M155" s="13">
        <v>2165.7785150737072</v>
      </c>
      <c r="N155" s="19">
        <f t="shared" si="40"/>
        <v>0.90905368291343902</v>
      </c>
      <c r="O155" s="21">
        <f t="shared" si="41"/>
        <v>1227.7899139333663</v>
      </c>
      <c r="P155" s="8">
        <f t="shared" si="42"/>
        <v>154371.43944230789</v>
      </c>
      <c r="Q155" s="8">
        <f t="shared" si="43"/>
        <v>118185.3642089192</v>
      </c>
      <c r="R155" s="8">
        <f t="shared" si="44"/>
        <v>5262.705212017916</v>
      </c>
      <c r="S155" s="8">
        <f t="shared" si="45"/>
        <v>107436.84060058414</v>
      </c>
      <c r="T155" s="8">
        <f t="shared" si="46"/>
        <v>2916.9843257832008</v>
      </c>
      <c r="U155" s="8">
        <f t="shared" si="47"/>
        <v>131909.869274264</v>
      </c>
    </row>
    <row r="156" spans="1:21">
      <c r="A156" s="1">
        <v>41883</v>
      </c>
      <c r="B156" s="5">
        <v>154</v>
      </c>
      <c r="C156" s="6">
        <f t="shared" si="32"/>
        <v>0.42191780821917807</v>
      </c>
      <c r="D156" s="4">
        <f t="shared" si="33"/>
        <v>23.063266303093108</v>
      </c>
      <c r="E156" s="10">
        <f t="shared" si="37"/>
        <v>18.237339224663433</v>
      </c>
      <c r="F156" s="8">
        <v>8495.6221109281778</v>
      </c>
      <c r="G156" s="19">
        <f t="shared" si="38"/>
        <v>3.4768350464048275E-2</v>
      </c>
      <c r="H156" s="21">
        <f t="shared" si="39"/>
        <v>556.17044931617374</v>
      </c>
      <c r="I156" s="5">
        <v>519</v>
      </c>
      <c r="J156" s="6">
        <f t="shared" si="34"/>
        <v>1.4219178082191781</v>
      </c>
      <c r="K156" s="4">
        <f t="shared" si="35"/>
        <v>32.365577328573941</v>
      </c>
      <c r="L156" s="10">
        <f t="shared" si="36"/>
        <v>54.672397715814505</v>
      </c>
      <c r="M156" s="13">
        <v>1951.3722383901502</v>
      </c>
      <c r="N156" s="19">
        <f t="shared" si="40"/>
        <v>0.90999221362200011</v>
      </c>
      <c r="O156" s="21">
        <f t="shared" si="41"/>
        <v>1229.4628965951765</v>
      </c>
      <c r="P156" s="8">
        <f t="shared" si="42"/>
        <v>154937.5423615484</v>
      </c>
      <c r="Q156" s="8">
        <f t="shared" si="43"/>
        <v>106686.19910886549</v>
      </c>
      <c r="R156" s="8">
        <f t="shared" si="44"/>
        <v>5386.922772864641</v>
      </c>
      <c r="S156" s="8">
        <f t="shared" si="45"/>
        <v>97083.610489993967</v>
      </c>
      <c r="T156" s="8">
        <f t="shared" si="46"/>
        <v>2996.047259015656</v>
      </c>
      <c r="U156" s="8">
        <f t="shared" si="47"/>
        <v>119360.69696494585</v>
      </c>
    </row>
    <row r="157" spans="1:21">
      <c r="A157" s="1">
        <v>41884</v>
      </c>
      <c r="B157" s="5">
        <v>155</v>
      </c>
      <c r="C157" s="6">
        <f t="shared" si="32"/>
        <v>0.42465753424657532</v>
      </c>
      <c r="D157" s="4">
        <f t="shared" si="33"/>
        <v>23.096826770027981</v>
      </c>
      <c r="E157" s="10">
        <f t="shared" si="37"/>
        <v>18.323462654016641</v>
      </c>
      <c r="F157" s="8">
        <v>8486.5679095554297</v>
      </c>
      <c r="G157" s="19">
        <f t="shared" si="38"/>
        <v>3.5457367375279013E-2</v>
      </c>
      <c r="H157" s="21">
        <f t="shared" si="39"/>
        <v>558.06689364885017</v>
      </c>
      <c r="I157" s="5">
        <v>520</v>
      </c>
      <c r="J157" s="6">
        <f t="shared" si="34"/>
        <v>1.4246575342465753</v>
      </c>
      <c r="K157" s="4">
        <f t="shared" si="35"/>
        <v>32.384367779191948</v>
      </c>
      <c r="L157" s="10">
        <f t="shared" si="36"/>
        <v>54.775305763303905</v>
      </c>
      <c r="M157" s="13">
        <v>1815.2569487756759</v>
      </c>
      <c r="N157" s="19">
        <f t="shared" si="40"/>
        <v>0.91092053869930278</v>
      </c>
      <c r="O157" s="21">
        <f t="shared" si="41"/>
        <v>1231.1345248922337</v>
      </c>
      <c r="P157" s="8">
        <f t="shared" si="42"/>
        <v>155503.31015151498</v>
      </c>
      <c r="Q157" s="8">
        <f t="shared" si="43"/>
        <v>99431.254408149747</v>
      </c>
      <c r="R157" s="8">
        <f t="shared" si="44"/>
        <v>5513.7379961142206</v>
      </c>
      <c r="S157" s="8">
        <f t="shared" si="45"/>
        <v>90573.971829019196</v>
      </c>
      <c r="T157" s="8">
        <f t="shared" si="46"/>
        <v>3077.0346358850989</v>
      </c>
      <c r="U157" s="8">
        <f t="shared" si="47"/>
        <v>111508.74377532212</v>
      </c>
    </row>
    <row r="158" spans="1:21">
      <c r="A158" s="1">
        <v>41885</v>
      </c>
      <c r="B158" s="5">
        <v>156</v>
      </c>
      <c r="C158" s="6">
        <f t="shared" si="32"/>
        <v>0.42739726027397262</v>
      </c>
      <c r="D158" s="4">
        <f t="shared" si="33"/>
        <v>23.13033395035022</v>
      </c>
      <c r="E158" s="10">
        <f t="shared" si="37"/>
        <v>18.40972944056977</v>
      </c>
      <c r="F158" s="8">
        <v>8477.5340090826212</v>
      </c>
      <c r="G158" s="19">
        <f t="shared" si="38"/>
        <v>3.6158401844014768E-2</v>
      </c>
      <c r="H158" s="21">
        <f t="shared" si="39"/>
        <v>559.96401689993377</v>
      </c>
      <c r="I158" s="5">
        <v>521</v>
      </c>
      <c r="J158" s="6">
        <f t="shared" si="34"/>
        <v>1.4273972602739726</v>
      </c>
      <c r="K158" s="4">
        <f t="shared" si="35"/>
        <v>32.403128394722586</v>
      </c>
      <c r="L158" s="10">
        <f t="shared" si="36"/>
        <v>54.878183935491215</v>
      </c>
      <c r="M158" s="13">
        <v>1742.4867416863085</v>
      </c>
      <c r="N158" s="19">
        <f t="shared" si="40"/>
        <v>0.911838763347814</v>
      </c>
      <c r="O158" s="21">
        <f t="shared" si="41"/>
        <v>1232.8047971006824</v>
      </c>
      <c r="P158" s="8">
        <f t="shared" si="42"/>
        <v>156069.10743043979</v>
      </c>
      <c r="Q158" s="8">
        <f t="shared" si="43"/>
        <v>95624.507915416005</v>
      </c>
      <c r="R158" s="8">
        <f t="shared" si="44"/>
        <v>5643.2095019065528</v>
      </c>
      <c r="S158" s="8">
        <f t="shared" si="45"/>
        <v>87194.133043336187</v>
      </c>
      <c r="T158" s="8">
        <f t="shared" si="46"/>
        <v>3159.994260895468</v>
      </c>
      <c r="U158" s="8">
        <f t="shared" si="47"/>
        <v>107493.34549485998</v>
      </c>
    </row>
    <row r="159" spans="1:21">
      <c r="A159" s="1">
        <v>41886</v>
      </c>
      <c r="B159" s="5">
        <v>157</v>
      </c>
      <c r="C159" s="6">
        <f t="shared" si="32"/>
        <v>0.43013698630136987</v>
      </c>
      <c r="D159" s="4">
        <f t="shared" si="33"/>
        <v>23.163787928667197</v>
      </c>
      <c r="E159" s="10">
        <f t="shared" si="37"/>
        <v>18.496138970293803</v>
      </c>
      <c r="F159" s="8">
        <v>8468.5001086098127</v>
      </c>
      <c r="G159" s="19">
        <f t="shared" si="38"/>
        <v>3.6871621804302937E-2</v>
      </c>
      <c r="H159" s="21">
        <f t="shared" si="39"/>
        <v>561.86180810157691</v>
      </c>
      <c r="I159" s="5">
        <v>522</v>
      </c>
      <c r="J159" s="6">
        <f t="shared" si="34"/>
        <v>1.4301369863013698</v>
      </c>
      <c r="K159" s="4">
        <f t="shared" si="35"/>
        <v>32.421859222537371</v>
      </c>
      <c r="L159" s="10">
        <f t="shared" si="36"/>
        <v>54.981031951763825</v>
      </c>
      <c r="M159" s="13">
        <v>1686.6033861873893</v>
      </c>
      <c r="N159" s="19">
        <f t="shared" si="40"/>
        <v>0.91274699199966247</v>
      </c>
      <c r="O159" s="21">
        <f t="shared" si="41"/>
        <v>1234.4737115103799</v>
      </c>
      <c r="P159" s="8">
        <f t="shared" si="42"/>
        <v>156634.55487879526</v>
      </c>
      <c r="Q159" s="8">
        <f t="shared" si="43"/>
        <v>92731.19466592191</v>
      </c>
      <c r="R159" s="8">
        <f t="shared" si="44"/>
        <v>5775.3700689762718</v>
      </c>
      <c r="S159" s="8">
        <f t="shared" si="45"/>
        <v>84640.118995855373</v>
      </c>
      <c r="T159" s="8">
        <f t="shared" si="46"/>
        <v>3244.9598694107372</v>
      </c>
      <c r="U159" s="8">
        <f t="shared" si="47"/>
        <v>104486.00183949379</v>
      </c>
    </row>
    <row r="160" spans="1:21">
      <c r="A160" s="1">
        <v>41887</v>
      </c>
      <c r="B160" s="5">
        <v>158</v>
      </c>
      <c r="C160" s="6">
        <f t="shared" si="32"/>
        <v>0.43287671232876712</v>
      </c>
      <c r="D160" s="4">
        <f t="shared" si="33"/>
        <v>23.197188789451957</v>
      </c>
      <c r="E160" s="10">
        <f t="shared" si="37"/>
        <v>18.582690629145517</v>
      </c>
      <c r="F160" s="8">
        <v>8459.4865090369458</v>
      </c>
      <c r="G160" s="19">
        <f t="shared" si="38"/>
        <v>3.759719641490411E-2</v>
      </c>
      <c r="H160" s="21">
        <f t="shared" si="39"/>
        <v>563.76025632435335</v>
      </c>
      <c r="I160" s="5">
        <v>523</v>
      </c>
      <c r="J160" s="6">
        <f t="shared" si="34"/>
        <v>1.4328767123287671</v>
      </c>
      <c r="K160" s="4">
        <f t="shared" si="35"/>
        <v>32.440560309932636</v>
      </c>
      <c r="L160" s="10">
        <f t="shared" si="36"/>
        <v>55.08384953255419</v>
      </c>
      <c r="M160" s="13">
        <v>1643.4902785010679</v>
      </c>
      <c r="N160" s="19">
        <f t="shared" si="40"/>
        <v>0.91364532831174539</v>
      </c>
      <c r="O160" s="21">
        <f t="shared" si="41"/>
        <v>1236.1412664248428</v>
      </c>
      <c r="P160" s="8">
        <f t="shared" si="42"/>
        <v>157200.02067886377</v>
      </c>
      <c r="Q160" s="8">
        <f t="shared" si="43"/>
        <v>90529.771209168408</v>
      </c>
      <c r="R160" s="8">
        <f t="shared" si="44"/>
        <v>5910.2800538902293</v>
      </c>
      <c r="S160" s="8">
        <f t="shared" si="45"/>
        <v>82712.102538387859</v>
      </c>
      <c r="T160" s="8">
        <f t="shared" si="46"/>
        <v>3331.9809981298686</v>
      </c>
      <c r="U160" s="8">
        <f t="shared" si="47"/>
        <v>102243.84318046422</v>
      </c>
    </row>
    <row r="161" spans="1:21">
      <c r="A161" s="1">
        <v>41888</v>
      </c>
      <c r="B161" s="5">
        <v>159</v>
      </c>
      <c r="C161" s="6">
        <f t="shared" si="32"/>
        <v>0.43561643835616437</v>
      </c>
      <c r="D161" s="4">
        <f t="shared" si="33"/>
        <v>23.230536617043409</v>
      </c>
      <c r="E161" s="10">
        <f t="shared" si="37"/>
        <v>18.66938380307959</v>
      </c>
      <c r="F161" s="8">
        <v>8450.4729094640752</v>
      </c>
      <c r="G161" s="19">
        <f t="shared" si="38"/>
        <v>3.8335296033718644E-2</v>
      </c>
      <c r="H161" s="21">
        <f t="shared" si="39"/>
        <v>565.65935067719306</v>
      </c>
      <c r="I161" s="5">
        <v>524</v>
      </c>
      <c r="J161" s="6">
        <f t="shared" si="34"/>
        <v>1.4356164383561645</v>
      </c>
      <c r="K161" s="4">
        <f t="shared" si="35"/>
        <v>32.4592317041296</v>
      </c>
      <c r="L161" s="10">
        <f t="shared" si="36"/>
        <v>55.186636399338056</v>
      </c>
      <c r="M161" s="13">
        <v>1609.1491901688369</v>
      </c>
      <c r="N161" s="19">
        <f t="shared" si="40"/>
        <v>0.9145338751612444</v>
      </c>
      <c r="O161" s="21">
        <f t="shared" si="41"/>
        <v>1237.8074601611977</v>
      </c>
      <c r="P161" s="8">
        <f t="shared" si="42"/>
        <v>157765.12206431146</v>
      </c>
      <c r="Q161" s="8">
        <f t="shared" si="43"/>
        <v>88803.531270136882</v>
      </c>
      <c r="R161" s="8">
        <f t="shared" si="44"/>
        <v>6047.972658131137</v>
      </c>
      <c r="S161" s="8">
        <f t="shared" si="45"/>
        <v>81213.83758048102</v>
      </c>
      <c r="T161" s="8">
        <f t="shared" si="46"/>
        <v>3421.0922867118761</v>
      </c>
      <c r="U161" s="8">
        <f t="shared" si="47"/>
        <v>100527.09402543925</v>
      </c>
    </row>
    <row r="162" spans="1:21">
      <c r="A162" s="1">
        <v>41889</v>
      </c>
      <c r="B162" s="5">
        <v>160</v>
      </c>
      <c r="C162" s="6">
        <f t="shared" si="32"/>
        <v>0.43835616438356162</v>
      </c>
      <c r="D162" s="4">
        <f t="shared" si="33"/>
        <v>23.263831495646571</v>
      </c>
      <c r="E162" s="10">
        <f t="shared" si="37"/>
        <v>18.75621787806115</v>
      </c>
      <c r="F162" s="8">
        <v>8441.4796107911461</v>
      </c>
      <c r="G162" s="19">
        <f t="shared" si="38"/>
        <v>3.9086092190868213E-2</v>
      </c>
      <c r="H162" s="21">
        <f t="shared" si="39"/>
        <v>567.55908030731985</v>
      </c>
      <c r="I162" s="5">
        <v>525</v>
      </c>
      <c r="J162" s="6">
        <f t="shared" si="34"/>
        <v>1.4383561643835616</v>
      </c>
      <c r="K162" s="4">
        <f t="shared" si="35"/>
        <v>32.477873452274501</v>
      </c>
      <c r="L162" s="10">
        <f t="shared" si="36"/>
        <v>55.289392274632966</v>
      </c>
      <c r="M162" s="13">
        <v>1575.0040333996567</v>
      </c>
      <c r="N162" s="19">
        <f t="shared" si="40"/>
        <v>0.91541273464154527</v>
      </c>
      <c r="O162" s="21">
        <f t="shared" si="41"/>
        <v>1239.4722910501414</v>
      </c>
      <c r="P162" s="8">
        <f t="shared" si="42"/>
        <v>158330.23079320957</v>
      </c>
      <c r="Q162" s="8">
        <f t="shared" si="43"/>
        <v>87081.015836762745</v>
      </c>
      <c r="R162" s="8">
        <f t="shared" si="44"/>
        <v>6188.5099973848301</v>
      </c>
      <c r="S162" s="8">
        <f t="shared" si="45"/>
        <v>79715.070842494693</v>
      </c>
      <c r="T162" s="8">
        <f t="shared" si="46"/>
        <v>3512.3450425883884</v>
      </c>
      <c r="U162" s="8">
        <f t="shared" si="47"/>
        <v>98804.621488371224</v>
      </c>
    </row>
    <row r="163" spans="1:21">
      <c r="A163" s="1">
        <v>41890</v>
      </c>
      <c r="B163" s="5">
        <v>161</v>
      </c>
      <c r="C163" s="6">
        <f t="shared" si="32"/>
        <v>0.44109589041095892</v>
      </c>
      <c r="D163" s="4">
        <f t="shared" si="33"/>
        <v>23.297073509332726</v>
      </c>
      <c r="E163" s="10">
        <f t="shared" si="37"/>
        <v>18.843192240077705</v>
      </c>
      <c r="F163" s="8">
        <v>8432.4863121182152</v>
      </c>
      <c r="G163" s="19">
        <f t="shared" si="38"/>
        <v>3.9849757560402516E-2</v>
      </c>
      <c r="H163" s="21">
        <f t="shared" si="39"/>
        <v>569.45943440018391</v>
      </c>
      <c r="I163" s="5">
        <v>526</v>
      </c>
      <c r="J163" s="6">
        <f t="shared" si="34"/>
        <v>1.441095890410959</v>
      </c>
      <c r="K163" s="4">
        <f t="shared" si="35"/>
        <v>32.496485601438721</v>
      </c>
      <c r="L163" s="10">
        <f t="shared" si="36"/>
        <v>55.392116881996756</v>
      </c>
      <c r="M163" s="13">
        <v>1541.1344053910173</v>
      </c>
      <c r="N163" s="19">
        <f t="shared" si="40"/>
        <v>0.91628200805854876</v>
      </c>
      <c r="O163" s="21">
        <f t="shared" si="41"/>
        <v>1241.1357574358744</v>
      </c>
      <c r="P163" s="8">
        <f t="shared" si="42"/>
        <v>158894.96064106742</v>
      </c>
      <c r="Q163" s="8">
        <f t="shared" si="43"/>
        <v>85366.697114285795</v>
      </c>
      <c r="R163" s="8">
        <f t="shared" si="44"/>
        <v>6331.9256591162366</v>
      </c>
      <c r="S163" s="8">
        <f t="shared" si="45"/>
        <v>78219.968653203701</v>
      </c>
      <c r="T163" s="8">
        <f t="shared" si="46"/>
        <v>3605.7748045043436</v>
      </c>
      <c r="U163" s="8">
        <f t="shared" si="47"/>
        <v>97081.600041004334</v>
      </c>
    </row>
    <row r="164" spans="1:21">
      <c r="A164" s="1">
        <v>41891</v>
      </c>
      <c r="B164" s="5">
        <v>162</v>
      </c>
      <c r="C164" s="6">
        <f t="shared" si="32"/>
        <v>0.44383561643835617</v>
      </c>
      <c r="D164" s="4">
        <f t="shared" si="33"/>
        <v>23.330262742039711</v>
      </c>
      <c r="E164" s="10">
        <f t="shared" si="37"/>
        <v>18.93030627515164</v>
      </c>
      <c r="F164" s="8">
        <v>8423.513314345224</v>
      </c>
      <c r="G164" s="19">
        <f t="shared" si="38"/>
        <v>4.062646593060816E-2</v>
      </c>
      <c r="H164" s="21">
        <f t="shared" si="39"/>
        <v>571.36040217940217</v>
      </c>
      <c r="I164" s="5">
        <v>527</v>
      </c>
      <c r="J164" s="6">
        <f t="shared" si="34"/>
        <v>1.4438356164383561</v>
      </c>
      <c r="K164" s="4">
        <f t="shared" si="35"/>
        <v>32.515068198618927</v>
      </c>
      <c r="L164" s="10">
        <f t="shared" si="36"/>
        <v>55.494809946026237</v>
      </c>
      <c r="M164" s="13">
        <v>1515.4204286943702</v>
      </c>
      <c r="N164" s="19">
        <f t="shared" si="40"/>
        <v>0.91714179592735745</v>
      </c>
      <c r="O164" s="21">
        <f t="shared" si="41"/>
        <v>1242.7978576760704</v>
      </c>
      <c r="P164" s="8">
        <f t="shared" si="42"/>
        <v>159459.68695337279</v>
      </c>
      <c r="Q164" s="8">
        <f t="shared" si="43"/>
        <v>84097.968678719684</v>
      </c>
      <c r="R164" s="8">
        <f t="shared" si="44"/>
        <v>6478.2835393166424</v>
      </c>
      <c r="S164" s="8">
        <f t="shared" si="45"/>
        <v>77129.762027843622</v>
      </c>
      <c r="T164" s="8">
        <f t="shared" si="46"/>
        <v>3701.4346884561578</v>
      </c>
      <c r="U164" s="8">
        <f t="shared" si="47"/>
        <v>95856.703011269186</v>
      </c>
    </row>
    <row r="165" spans="1:21">
      <c r="A165" s="1">
        <v>41892</v>
      </c>
      <c r="B165" s="5">
        <v>163</v>
      </c>
      <c r="C165" s="6">
        <f t="shared" si="32"/>
        <v>0.44657534246575342</v>
      </c>
      <c r="D165" s="4">
        <f t="shared" si="33"/>
        <v>23.363399277572054</v>
      </c>
      <c r="E165" s="10">
        <f t="shared" si="37"/>
        <v>19.017559369351975</v>
      </c>
      <c r="F165" s="8">
        <v>8414.5403165722328</v>
      </c>
      <c r="G165" s="19">
        <f t="shared" si="38"/>
        <v>4.1416392172885716E-2</v>
      </c>
      <c r="H165" s="21">
        <f t="shared" si="39"/>
        <v>573.26197290669154</v>
      </c>
      <c r="I165" s="5">
        <v>528</v>
      </c>
      <c r="J165" s="6">
        <f t="shared" si="34"/>
        <v>1.4465753424657535</v>
      </c>
      <c r="K165" s="4">
        <f t="shared" si="35"/>
        <v>32.533621290737116</v>
      </c>
      <c r="L165" s="10">
        <f t="shared" si="36"/>
        <v>55.597471192354902</v>
      </c>
      <c r="M165" s="13">
        <v>1488.4451425605835</v>
      </c>
      <c r="N165" s="19">
        <f t="shared" si="40"/>
        <v>0.91799219796932852</v>
      </c>
      <c r="O165" s="21">
        <f t="shared" si="41"/>
        <v>1244.4585901418109</v>
      </c>
      <c r="P165" s="8">
        <f t="shared" si="42"/>
        <v>160024.02003621819</v>
      </c>
      <c r="Q165" s="8">
        <f t="shared" si="43"/>
        <v>82753.785934912623</v>
      </c>
      <c r="R165" s="8">
        <f t="shared" si="44"/>
        <v>6627.6175709017343</v>
      </c>
      <c r="S165" s="8">
        <f t="shared" si="45"/>
        <v>75967.329840673745</v>
      </c>
      <c r="T165" s="8">
        <f t="shared" si="46"/>
        <v>3799.361124366183</v>
      </c>
      <c r="U165" s="8">
        <f t="shared" si="47"/>
        <v>94538.196190362767</v>
      </c>
    </row>
    <row r="166" spans="1:21">
      <c r="A166" s="1">
        <v>41893</v>
      </c>
      <c r="B166" s="5">
        <v>164</v>
      </c>
      <c r="C166" s="6">
        <f t="shared" si="32"/>
        <v>0.44931506849315067</v>
      </c>
      <c r="D166" s="4">
        <f t="shared" si="33"/>
        <v>23.396483199601242</v>
      </c>
      <c r="E166" s="10">
        <f t="shared" si="37"/>
        <v>19.104950908806405</v>
      </c>
      <c r="F166" s="8">
        <v>8405.5673187992415</v>
      </c>
      <c r="G166" s="19">
        <f t="shared" si="38"/>
        <v>4.2219712209175697E-2</v>
      </c>
      <c r="H166" s="21">
        <f t="shared" si="39"/>
        <v>575.16413588180251</v>
      </c>
      <c r="I166" s="5">
        <v>529</v>
      </c>
      <c r="J166" s="6">
        <f t="shared" si="34"/>
        <v>1.4493150684931506</v>
      </c>
      <c r="K166" s="4">
        <f t="shared" si="35"/>
        <v>32.552144924640835</v>
      </c>
      <c r="L166" s="10">
        <f t="shared" si="36"/>
        <v>55.700100347651926</v>
      </c>
      <c r="M166" s="13">
        <v>1463.5842845447207</v>
      </c>
      <c r="N166" s="19">
        <f t="shared" si="40"/>
        <v>0.91883331310948746</v>
      </c>
      <c r="O166" s="21">
        <f t="shared" si="41"/>
        <v>1246.1179532175468</v>
      </c>
      <c r="P166" s="8">
        <f t="shared" si="42"/>
        <v>160587.95098632699</v>
      </c>
      <c r="Q166" s="8">
        <f t="shared" si="43"/>
        <v>81521.791516387297</v>
      </c>
      <c r="R166" s="8">
        <f t="shared" si="44"/>
        <v>6779.977074903938</v>
      </c>
      <c r="S166" s="8">
        <f t="shared" si="45"/>
        <v>74904.937789623043</v>
      </c>
      <c r="T166" s="8">
        <f t="shared" si="46"/>
        <v>3899.5996555855545</v>
      </c>
      <c r="U166" s="8">
        <f t="shared" si="47"/>
        <v>93340.387764292725</v>
      </c>
    </row>
    <row r="167" spans="1:21">
      <c r="A167" s="1">
        <v>41894</v>
      </c>
      <c r="B167" s="5">
        <v>165</v>
      </c>
      <c r="C167" s="6">
        <f t="shared" si="32"/>
        <v>0.45205479452054792</v>
      </c>
      <c r="D167" s="4">
        <f t="shared" si="33"/>
        <v>23.429514591665903</v>
      </c>
      <c r="E167" s="10">
        <f t="shared" si="37"/>
        <v>19.192480279713248</v>
      </c>
      <c r="F167" s="8">
        <v>8396.61462192619</v>
      </c>
      <c r="G167" s="19">
        <f t="shared" si="38"/>
        <v>4.3036602977900011E-2</v>
      </c>
      <c r="H167" s="21">
        <f t="shared" si="39"/>
        <v>577.06688044245811</v>
      </c>
      <c r="I167" s="5">
        <v>530</v>
      </c>
      <c r="J167" s="6">
        <f t="shared" si="34"/>
        <v>1.452054794520548</v>
      </c>
      <c r="K167" s="4">
        <f t="shared" si="35"/>
        <v>32.570639147103222</v>
      </c>
      <c r="L167" s="10">
        <f t="shared" si="36"/>
        <v>55.802697139620705</v>
      </c>
      <c r="M167" s="13">
        <v>1441.7542428948016</v>
      </c>
      <c r="N167" s="19">
        <f t="shared" si="40"/>
        <v>0.91966523947427881</v>
      </c>
      <c r="O167" s="21">
        <f t="shared" si="41"/>
        <v>1247.7759453010508</v>
      </c>
      <c r="P167" s="8">
        <f t="shared" si="42"/>
        <v>161151.86054767031</v>
      </c>
      <c r="Q167" s="8">
        <f t="shared" si="43"/>
        <v>80453.775366021757</v>
      </c>
      <c r="R167" s="8">
        <f t="shared" si="44"/>
        <v>6935.4286415399956</v>
      </c>
      <c r="S167" s="8">
        <f t="shared" si="45"/>
        <v>73990.540588602234</v>
      </c>
      <c r="T167" s="8">
        <f t="shared" si="46"/>
        <v>4002.2061707047601</v>
      </c>
      <c r="U167" s="8">
        <f t="shared" si="47"/>
        <v>92323.616726278909</v>
      </c>
    </row>
    <row r="168" spans="1:21">
      <c r="A168" s="1">
        <v>41895</v>
      </c>
      <c r="B168" s="5">
        <v>166</v>
      </c>
      <c r="C168" s="6">
        <f t="shared" si="32"/>
        <v>0.45479452054794522</v>
      </c>
      <c r="D168" s="4">
        <f t="shared" si="33"/>
        <v>23.462493537172019</v>
      </c>
      <c r="E168" s="10">
        <f t="shared" si="37"/>
        <v>19.280146868352965</v>
      </c>
      <c r="F168" s="8">
        <v>8387.6822259530763</v>
      </c>
      <c r="G168" s="19">
        <f t="shared" si="38"/>
        <v>4.3867242398397448E-2</v>
      </c>
      <c r="H168" s="21">
        <f t="shared" si="39"/>
        <v>578.97019596428186</v>
      </c>
      <c r="I168" s="5">
        <v>531</v>
      </c>
      <c r="J168" s="6">
        <f t="shared" si="34"/>
        <v>1.4547945205479451</v>
      </c>
      <c r="K168" s="4">
        <f t="shared" si="35"/>
        <v>32.589104004823149</v>
      </c>
      <c r="L168" s="10">
        <f t="shared" si="36"/>
        <v>55.905261296996692</v>
      </c>
      <c r="M168" s="13">
        <v>1419.8201126020112</v>
      </c>
      <c r="N168" s="19">
        <f t="shared" si="40"/>
        <v>0.92048807438965774</v>
      </c>
      <c r="O168" s="21">
        <f t="shared" si="41"/>
        <v>1249.4325648033566</v>
      </c>
      <c r="P168" s="8">
        <f t="shared" si="42"/>
        <v>161715.74520144903</v>
      </c>
      <c r="Q168" s="8">
        <f t="shared" si="43"/>
        <v>79375.4143897467</v>
      </c>
      <c r="R168" s="8">
        <f t="shared" si="44"/>
        <v>7094.0237943894435</v>
      </c>
      <c r="S168" s="8">
        <f t="shared" si="45"/>
        <v>73064.122345499069</v>
      </c>
      <c r="T168" s="8">
        <f t="shared" si="46"/>
        <v>4107.2283464129341</v>
      </c>
      <c r="U168" s="8">
        <f t="shared" si="47"/>
        <v>91288.693777243141</v>
      </c>
    </row>
    <row r="169" spans="1:21">
      <c r="A169" s="1">
        <v>41896</v>
      </c>
      <c r="B169" s="5">
        <v>167</v>
      </c>
      <c r="C169" s="6">
        <f t="shared" si="32"/>
        <v>0.45753424657534247</v>
      </c>
      <c r="D169" s="4">
        <f t="shared" si="33"/>
        <v>23.495420119393156</v>
      </c>
      <c r="E169" s="10">
        <f t="shared" si="37"/>
        <v>19.367950061100156</v>
      </c>
      <c r="F169" s="8">
        <v>8378.7498299799627</v>
      </c>
      <c r="G169" s="19">
        <f t="shared" si="38"/>
        <v>4.4711809333824404E-2</v>
      </c>
      <c r="H169" s="21">
        <f t="shared" si="39"/>
        <v>580.87407186074131</v>
      </c>
      <c r="I169" s="5">
        <v>532</v>
      </c>
      <c r="J169" s="6">
        <f t="shared" si="34"/>
        <v>1.4575342465753425</v>
      </c>
      <c r="K169" s="4">
        <f t="shared" si="35"/>
        <v>32.607539544425343</v>
      </c>
      <c r="L169" s="10">
        <f t="shared" si="36"/>
        <v>56.007792549546082</v>
      </c>
      <c r="M169" s="13">
        <v>1399.8697893851115</v>
      </c>
      <c r="N169" s="19">
        <f t="shared" si="40"/>
        <v>0.92130191437950071</v>
      </c>
      <c r="O169" s="21">
        <f t="shared" si="41"/>
        <v>1251.0878101487244</v>
      </c>
      <c r="P169" s="8">
        <f t="shared" si="42"/>
        <v>162279.20828150335</v>
      </c>
      <c r="Q169" s="8">
        <f t="shared" si="43"/>
        <v>78403.616760258097</v>
      </c>
      <c r="R169" s="8">
        <f t="shared" si="44"/>
        <v>7255.7970195265561</v>
      </c>
      <c r="S169" s="8">
        <f t="shared" si="45"/>
        <v>72233.402215502487</v>
      </c>
      <c r="T169" s="8">
        <f t="shared" si="46"/>
        <v>4214.7043593274211</v>
      </c>
      <c r="U169" s="8">
        <f t="shared" si="47"/>
        <v>90370.328997385019</v>
      </c>
    </row>
    <row r="170" spans="1:21">
      <c r="A170" s="1">
        <v>41897</v>
      </c>
      <c r="B170" s="5">
        <v>168</v>
      </c>
      <c r="C170" s="6">
        <f t="shared" si="32"/>
        <v>0.46027397260273972</v>
      </c>
      <c r="D170" s="4">
        <f t="shared" si="33"/>
        <v>23.528294421470648</v>
      </c>
      <c r="E170" s="10">
        <f t="shared" si="37"/>
        <v>19.455889244434953</v>
      </c>
      <c r="F170" s="8">
        <v>8369.817434006849</v>
      </c>
      <c r="G170" s="19">
        <f t="shared" si="38"/>
        <v>4.5570483552496432E-2</v>
      </c>
      <c r="H170" s="21">
        <f t="shared" si="39"/>
        <v>582.77849758307116</v>
      </c>
      <c r="I170" s="5">
        <v>533</v>
      </c>
      <c r="J170" s="6">
        <f t="shared" si="34"/>
        <v>1.4602739726027398</v>
      </c>
      <c r="K170" s="4">
        <f t="shared" si="35"/>
        <v>32.625945812460508</v>
      </c>
      <c r="L170" s="10">
        <f t="shared" si="36"/>
        <v>56.110290628064377</v>
      </c>
      <c r="M170" s="13">
        <v>1382.3196278155851</v>
      </c>
      <c r="N170" s="19">
        <f t="shared" si="40"/>
        <v>0.92210685516433188</v>
      </c>
      <c r="O170" s="21">
        <f t="shared" si="41"/>
        <v>1252.7416797745861</v>
      </c>
      <c r="P170" s="8">
        <f t="shared" si="42"/>
        <v>162842.24099217801</v>
      </c>
      <c r="Q170" s="8">
        <f t="shared" si="43"/>
        <v>77562.356057610261</v>
      </c>
      <c r="R170" s="8">
        <f t="shared" si="44"/>
        <v>7420.799664785708</v>
      </c>
      <c r="S170" s="8">
        <f t="shared" si="45"/>
        <v>71520.780223419162</v>
      </c>
      <c r="T170" s="8">
        <f t="shared" si="46"/>
        <v>4324.6824795087732</v>
      </c>
      <c r="U170" s="8">
        <f t="shared" si="47"/>
        <v>89597.062355875125</v>
      </c>
    </row>
    <row r="171" spans="1:21">
      <c r="A171" s="1">
        <v>41898</v>
      </c>
      <c r="B171" s="5">
        <v>169</v>
      </c>
      <c r="C171" s="6">
        <f t="shared" si="32"/>
        <v>0.46301369863013697</v>
      </c>
      <c r="D171" s="4">
        <f t="shared" si="33"/>
        <v>23.561116526413812</v>
      </c>
      <c r="E171" s="10">
        <f t="shared" si="37"/>
        <v>19.543963804954497</v>
      </c>
      <c r="F171" s="8">
        <v>8360.9053389336732</v>
      </c>
      <c r="G171" s="19">
        <f t="shared" si="38"/>
        <v>4.6443445687645003E-2</v>
      </c>
      <c r="H171" s="21">
        <f t="shared" si="39"/>
        <v>584.68346262021498</v>
      </c>
      <c r="I171" s="5">
        <v>534</v>
      </c>
      <c r="J171" s="6">
        <f t="shared" si="34"/>
        <v>1.463013698630137</v>
      </c>
      <c r="K171" s="4">
        <f t="shared" si="35"/>
        <v>32.64432285540542</v>
      </c>
      <c r="L171" s="10">
        <f t="shared" si="36"/>
        <v>56.212755264374458</v>
      </c>
      <c r="M171" s="13">
        <v>1363.8204227375306</v>
      </c>
      <c r="N171" s="19">
        <f t="shared" si="40"/>
        <v>0.9229029916603505</v>
      </c>
      <c r="O171" s="21">
        <f t="shared" si="41"/>
        <v>1254.3941721314957</v>
      </c>
      <c r="P171" s="8">
        <f t="shared" si="42"/>
        <v>163405.23132077052</v>
      </c>
      <c r="Q171" s="8">
        <f t="shared" si="43"/>
        <v>76664.103647900527</v>
      </c>
      <c r="R171" s="8">
        <f t="shared" si="44"/>
        <v>7589.1019859232738</v>
      </c>
      <c r="S171" s="8">
        <f t="shared" si="45"/>
        <v>70753.530609606591</v>
      </c>
      <c r="T171" s="8">
        <f t="shared" si="46"/>
        <v>4437.222427307569</v>
      </c>
      <c r="U171" s="8">
        <f t="shared" si="47"/>
        <v>88752.816454417902</v>
      </c>
    </row>
    <row r="172" spans="1:21">
      <c r="A172" s="1">
        <v>41899</v>
      </c>
      <c r="B172" s="5">
        <v>170</v>
      </c>
      <c r="C172" s="6">
        <f t="shared" si="32"/>
        <v>0.46575342465753422</v>
      </c>
      <c r="D172" s="4">
        <f t="shared" si="33"/>
        <v>23.593886517100184</v>
      </c>
      <c r="E172" s="10">
        <f t="shared" si="37"/>
        <v>19.632173129384451</v>
      </c>
      <c r="F172" s="8">
        <v>8351.993243860501</v>
      </c>
      <c r="G172" s="19">
        <f t="shared" si="38"/>
        <v>4.733087719556639E-2</v>
      </c>
      <c r="H172" s="21">
        <f t="shared" si="39"/>
        <v>586.58895649875376</v>
      </c>
      <c r="I172" s="5">
        <v>535</v>
      </c>
      <c r="J172" s="6">
        <f t="shared" si="34"/>
        <v>1.4657534246575343</v>
      </c>
      <c r="K172" s="4">
        <f t="shared" si="35"/>
        <v>32.662670719663083</v>
      </c>
      <c r="L172" s="10">
        <f t="shared" si="36"/>
        <v>56.315186191325274</v>
      </c>
      <c r="M172" s="13">
        <v>1345.0211974535546</v>
      </c>
      <c r="N172" s="19">
        <f t="shared" si="40"/>
        <v>0.92369041797875329</v>
      </c>
      <c r="O172" s="21">
        <f t="shared" si="41"/>
        <v>1256.0452856830857</v>
      </c>
      <c r="P172" s="8">
        <f t="shared" si="42"/>
        <v>163967.77733891862</v>
      </c>
      <c r="Q172" s="8">
        <f t="shared" si="43"/>
        <v>75745.119165876196</v>
      </c>
      <c r="R172" s="8">
        <f t="shared" si="44"/>
        <v>7760.7387332583303</v>
      </c>
      <c r="S172" s="8">
        <f t="shared" si="45"/>
        <v>69965.040782178665</v>
      </c>
      <c r="T172" s="8">
        <f t="shared" si="46"/>
        <v>4552.3636352014646</v>
      </c>
      <c r="U172" s="8">
        <f t="shared" si="47"/>
        <v>87879.259637080337</v>
      </c>
    </row>
    <row r="173" spans="1:21">
      <c r="A173" s="1">
        <v>41900</v>
      </c>
      <c r="B173" s="5">
        <v>171</v>
      </c>
      <c r="C173" s="6">
        <f t="shared" si="32"/>
        <v>0.46849315068493153</v>
      </c>
      <c r="D173" s="4">
        <f t="shared" si="33"/>
        <v>23.626604476275698</v>
      </c>
      <c r="E173" s="10">
        <f t="shared" si="37"/>
        <v>19.72051660459028</v>
      </c>
      <c r="F173" s="8">
        <v>8343.1014496872649</v>
      </c>
      <c r="G173" s="19">
        <f t="shared" si="38"/>
        <v>4.8232960312135996E-2</v>
      </c>
      <c r="H173" s="21">
        <f t="shared" si="39"/>
        <v>588.49496878284276</v>
      </c>
      <c r="I173" s="5">
        <v>536</v>
      </c>
      <c r="J173" s="6">
        <f t="shared" si="34"/>
        <v>1.4684931506849315</v>
      </c>
      <c r="K173" s="4">
        <f t="shared" si="35"/>
        <v>32.680989451562809</v>
      </c>
      <c r="L173" s="10">
        <f t="shared" si="36"/>
        <v>56.417583142789958</v>
      </c>
      <c r="M173" s="13">
        <v>1328.5241680354268</v>
      </c>
      <c r="N173" s="19">
        <f t="shared" si="40"/>
        <v>0.92446922742533899</v>
      </c>
      <c r="O173" s="21">
        <f t="shared" si="41"/>
        <v>1257.6950189060167</v>
      </c>
      <c r="P173" s="8">
        <f t="shared" si="42"/>
        <v>164530.27067233896</v>
      </c>
      <c r="Q173" s="8">
        <f t="shared" si="43"/>
        <v>74952.122707344548</v>
      </c>
      <c r="R173" s="8">
        <f t="shared" si="44"/>
        <v>7935.7820154839183</v>
      </c>
      <c r="S173" s="8">
        <f t="shared" si="45"/>
        <v>69290.930973148017</v>
      </c>
      <c r="T173" s="8">
        <f t="shared" si="46"/>
        <v>4670.1677894696541</v>
      </c>
      <c r="U173" s="8">
        <f t="shared" si="47"/>
        <v>87146.858740288895</v>
      </c>
    </row>
    <row r="174" spans="1:21">
      <c r="A174" s="1">
        <v>41901</v>
      </c>
      <c r="B174" s="5">
        <v>172</v>
      </c>
      <c r="C174" s="6">
        <f t="shared" si="32"/>
        <v>0.47123287671232877</v>
      </c>
      <c r="D174" s="4">
        <f t="shared" si="33"/>
        <v>23.659270486554899</v>
      </c>
      <c r="E174" s="10">
        <f t="shared" si="37"/>
        <v>19.808993617588484</v>
      </c>
      <c r="F174" s="8">
        <v>8334.2299564139685</v>
      </c>
      <c r="G174" s="19">
        <f t="shared" si="38"/>
        <v>4.9149878007667083E-2</v>
      </c>
      <c r="H174" s="21">
        <f t="shared" si="39"/>
        <v>590.40148907414016</v>
      </c>
      <c r="I174" s="5">
        <v>537</v>
      </c>
      <c r="J174" s="6">
        <f t="shared" si="34"/>
        <v>1.4712328767123288</v>
      </c>
      <c r="K174" s="4">
        <f t="shared" si="35"/>
        <v>32.699279097360346</v>
      </c>
      <c r="L174" s="10">
        <f t="shared" si="36"/>
        <v>56.519945853664211</v>
      </c>
      <c r="M174" s="13">
        <v>1311.9597871424999</v>
      </c>
      <c r="N174" s="19">
        <f t="shared" si="40"/>
        <v>0.92523951250038761</v>
      </c>
      <c r="O174" s="21">
        <f t="shared" si="41"/>
        <v>1259.3433702899281</v>
      </c>
      <c r="P174" s="8">
        <f t="shared" si="42"/>
        <v>165092.70801411907</v>
      </c>
      <c r="Q174" s="8">
        <f t="shared" si="43"/>
        <v>74151.896131478919</v>
      </c>
      <c r="R174" s="8">
        <f t="shared" si="44"/>
        <v>8114.2864588493539</v>
      </c>
      <c r="S174" s="8">
        <f t="shared" si="45"/>
        <v>68608.264227668929</v>
      </c>
      <c r="T174" s="8">
        <f t="shared" si="46"/>
        <v>4790.6868080787899</v>
      </c>
      <c r="U174" s="8">
        <f t="shared" si="47"/>
        <v>86401.362702214494</v>
      </c>
    </row>
    <row r="175" spans="1:21">
      <c r="A175" s="1">
        <v>41902</v>
      </c>
      <c r="B175" s="5">
        <v>173</v>
      </c>
      <c r="C175" s="6">
        <f t="shared" si="32"/>
        <v>0.47397260273972602</v>
      </c>
      <c r="D175" s="4">
        <f t="shared" si="33"/>
        <v>23.691884630421189</v>
      </c>
      <c r="E175" s="10">
        <f t="shared" si="37"/>
        <v>19.897603555557847</v>
      </c>
      <c r="F175" s="8">
        <v>8325.3381622407323</v>
      </c>
      <c r="G175" s="19">
        <f t="shared" si="38"/>
        <v>5.0081813940091362E-2</v>
      </c>
      <c r="H175" s="21">
        <f t="shared" si="39"/>
        <v>592.30850701174325</v>
      </c>
      <c r="I175" s="5">
        <v>538</v>
      </c>
      <c r="J175" s="6">
        <f t="shared" si="34"/>
        <v>1.473972602739726</v>
      </c>
      <c r="K175" s="4">
        <f t="shared" si="35"/>
        <v>32.717539703238003</v>
      </c>
      <c r="L175" s="10">
        <f t="shared" si="36"/>
        <v>56.622274059864758</v>
      </c>
      <c r="M175" s="13">
        <v>1295.75869602273</v>
      </c>
      <c r="N175" s="19">
        <f t="shared" si="40"/>
        <v>0.92600136489880247</v>
      </c>
      <c r="O175" s="21">
        <f t="shared" si="41"/>
        <v>1260.9903383373908</v>
      </c>
      <c r="P175" s="8">
        <f t="shared" si="42"/>
        <v>165654.27821822264</v>
      </c>
      <c r="Q175" s="8">
        <f t="shared" si="43"/>
        <v>73368.80400165201</v>
      </c>
      <c r="R175" s="8">
        <f t="shared" si="44"/>
        <v>8296.2667401051549</v>
      </c>
      <c r="S175" s="8">
        <f t="shared" si="45"/>
        <v>67939.612646522481</v>
      </c>
      <c r="T175" s="8">
        <f t="shared" si="46"/>
        <v>4913.9493666028657</v>
      </c>
      <c r="U175" s="8">
        <f t="shared" si="47"/>
        <v>85671.195137649658</v>
      </c>
    </row>
    <row r="176" spans="1:21">
      <c r="A176" s="1">
        <v>41903</v>
      </c>
      <c r="B176" s="5">
        <v>174</v>
      </c>
      <c r="C176" s="6">
        <f t="shared" si="32"/>
        <v>0.47671232876712327</v>
      </c>
      <c r="D176" s="4">
        <f t="shared" si="33"/>
        <v>23.724446990226944</v>
      </c>
      <c r="E176" s="10">
        <f t="shared" si="37"/>
        <v>19.986345805850199</v>
      </c>
      <c r="F176" s="8">
        <v>8316.486969867372</v>
      </c>
      <c r="G176" s="19">
        <f t="shared" si="38"/>
        <v>5.1028952406435117E-2</v>
      </c>
      <c r="H176" s="21">
        <f t="shared" si="39"/>
        <v>594.21601227211647</v>
      </c>
      <c r="I176" s="5">
        <v>539</v>
      </c>
      <c r="J176" s="6">
        <f t="shared" si="34"/>
        <v>1.4767123287671233</v>
      </c>
      <c r="K176" s="4">
        <f t="shared" si="35"/>
        <v>32.735771315304767</v>
      </c>
      <c r="L176" s="10">
        <f t="shared" si="36"/>
        <v>56.724567498327822</v>
      </c>
      <c r="M176" s="13">
        <v>1281.1168935922401</v>
      </c>
      <c r="N176" s="19">
        <f t="shared" si="40"/>
        <v>0.92675487551051217</v>
      </c>
      <c r="O176" s="21">
        <f t="shared" si="41"/>
        <v>1262.6359215638629</v>
      </c>
      <c r="P176" s="8">
        <f t="shared" si="42"/>
        <v>166216.18446961659</v>
      </c>
      <c r="Q176" s="8">
        <f t="shared" si="43"/>
        <v>72670.801703821082</v>
      </c>
      <c r="R176" s="8">
        <f t="shared" si="44"/>
        <v>8481.8377664793043</v>
      </c>
      <c r="S176" s="8">
        <f t="shared" si="45"/>
        <v>67348.019786273828</v>
      </c>
      <c r="T176" s="8">
        <f t="shared" si="46"/>
        <v>5040.0438143363672</v>
      </c>
      <c r="U176" s="8">
        <f t="shared" si="47"/>
        <v>85036.029028343124</v>
      </c>
    </row>
    <row r="177" spans="1:21">
      <c r="A177" s="1">
        <v>41904</v>
      </c>
      <c r="B177" s="5">
        <v>175</v>
      </c>
      <c r="C177" s="6">
        <f t="shared" si="32"/>
        <v>0.47945205479452052</v>
      </c>
      <c r="D177" s="4">
        <f t="shared" si="33"/>
        <v>23.756957648193854</v>
      </c>
      <c r="E177" s="10">
        <f t="shared" si="37"/>
        <v>20.075219756001804</v>
      </c>
      <c r="F177" s="8">
        <v>8307.6154765940773</v>
      </c>
      <c r="G177" s="19">
        <f t="shared" si="38"/>
        <v>5.199147829257951E-2</v>
      </c>
      <c r="H177" s="21">
        <f t="shared" si="39"/>
        <v>596.1239945690287</v>
      </c>
      <c r="I177" s="5">
        <v>540</v>
      </c>
      <c r="J177" s="6">
        <f t="shared" si="34"/>
        <v>1.4794520547945205</v>
      </c>
      <c r="K177" s="4">
        <f t="shared" si="35"/>
        <v>32.753973979596402</v>
      </c>
      <c r="L177" s="10">
        <f t="shared" si="36"/>
        <v>56.826825907007169</v>
      </c>
      <c r="M177" s="13">
        <v>1264.7137480480737</v>
      </c>
      <c r="N177" s="19">
        <f t="shared" si="40"/>
        <v>0.92750013442111368</v>
      </c>
      <c r="O177" s="21">
        <f t="shared" si="41"/>
        <v>1264.2801184976424</v>
      </c>
      <c r="P177" s="8">
        <f t="shared" si="42"/>
        <v>166777.20634098776</v>
      </c>
      <c r="Q177" s="8">
        <f t="shared" si="43"/>
        <v>71869.667982526415</v>
      </c>
      <c r="R177" s="8">
        <f t="shared" si="44"/>
        <v>8670.993503174519</v>
      </c>
      <c r="S177" s="8">
        <f t="shared" si="45"/>
        <v>66659.126714594066</v>
      </c>
      <c r="T177" s="8">
        <f t="shared" si="46"/>
        <v>5168.9872839944901</v>
      </c>
      <c r="U177" s="8">
        <f t="shared" si="47"/>
        <v>84275.808621676348</v>
      </c>
    </row>
    <row r="178" spans="1:21">
      <c r="A178" s="1">
        <v>41905</v>
      </c>
      <c r="B178" s="5">
        <v>176</v>
      </c>
      <c r="C178" s="6">
        <f t="shared" si="32"/>
        <v>0.48219178082191783</v>
      </c>
      <c r="D178" s="4">
        <f t="shared" si="33"/>
        <v>23.789416686413009</v>
      </c>
      <c r="E178" s="10">
        <f t="shared" si="37"/>
        <v>20.164224793743969</v>
      </c>
      <c r="F178" s="8">
        <v>8298.7642842207188</v>
      </c>
      <c r="G178" s="19">
        <f t="shared" si="38"/>
        <v>5.2969577021270878E-2</v>
      </c>
      <c r="H178" s="21">
        <f t="shared" si="39"/>
        <v>598.0324436534795</v>
      </c>
      <c r="I178" s="5">
        <v>541</v>
      </c>
      <c r="J178" s="6">
        <f t="shared" si="34"/>
        <v>1.4821917808219178</v>
      </c>
      <c r="K178" s="4">
        <f t="shared" si="35"/>
        <v>32.772147742075589</v>
      </c>
      <c r="L178" s="10">
        <f t="shared" si="36"/>
        <v>56.929049024872704</v>
      </c>
      <c r="M178" s="13">
        <v>1248.808595226662</v>
      </c>
      <c r="N178" s="19">
        <f t="shared" si="40"/>
        <v>0.92823723091275689</v>
      </c>
      <c r="O178" s="21">
        <f t="shared" si="41"/>
        <v>1265.9229276798126</v>
      </c>
      <c r="P178" s="8">
        <f t="shared" si="42"/>
        <v>167338.14853732035</v>
      </c>
      <c r="Q178" s="8">
        <f t="shared" si="43"/>
        <v>71093.485740341057</v>
      </c>
      <c r="R178" s="8">
        <f t="shared" si="44"/>
        <v>8863.8309475444566</v>
      </c>
      <c r="S178" s="8">
        <f t="shared" si="45"/>
        <v>65991.620339549758</v>
      </c>
      <c r="T178" s="8">
        <f t="shared" si="46"/>
        <v>5300.8584816913481</v>
      </c>
      <c r="U178" s="8">
        <f t="shared" si="47"/>
        <v>83540.305222577503</v>
      </c>
    </row>
    <row r="179" spans="1:21">
      <c r="A179" s="1">
        <v>41906</v>
      </c>
      <c r="B179" s="5">
        <v>177</v>
      </c>
      <c r="C179" s="6">
        <f t="shared" si="32"/>
        <v>0.48493150684931507</v>
      </c>
      <c r="D179" s="4">
        <f t="shared" si="33"/>
        <v>23.821824186845173</v>
      </c>
      <c r="E179" s="10">
        <f t="shared" si="37"/>
        <v>20.253360307013885</v>
      </c>
      <c r="F179" s="8">
        <v>8289.9333927472999</v>
      </c>
      <c r="G179" s="19">
        <f t="shared" si="38"/>
        <v>5.3963434498374818E-2</v>
      </c>
      <c r="H179" s="21">
        <f t="shared" si="39"/>
        <v>599.94134931363328</v>
      </c>
      <c r="I179" s="5">
        <v>542</v>
      </c>
      <c r="J179" s="6">
        <f t="shared" si="34"/>
        <v>1.484931506849315</v>
      </c>
      <c r="K179" s="4">
        <f t="shared" si="35"/>
        <v>32.790292648632033</v>
      </c>
      <c r="L179" s="10">
        <f t="shared" si="36"/>
        <v>57.031236591908623</v>
      </c>
      <c r="M179" s="13">
        <v>1235.2831945148057</v>
      </c>
      <c r="N179" s="19">
        <f t="shared" si="40"/>
        <v>0.92896625346525874</v>
      </c>
      <c r="O179" s="21">
        <f t="shared" si="41"/>
        <v>1267.5643476642051</v>
      </c>
      <c r="P179" s="8">
        <f t="shared" si="42"/>
        <v>167899.00792445711</v>
      </c>
      <c r="Q179" s="8">
        <f t="shared" si="43"/>
        <v>70449.728124382571</v>
      </c>
      <c r="R179" s="8">
        <f t="shared" si="44"/>
        <v>9060.407116473556</v>
      </c>
      <c r="S179" s="8">
        <f t="shared" si="45"/>
        <v>65445.419993353746</v>
      </c>
      <c r="T179" s="8">
        <f t="shared" si="46"/>
        <v>5435.7128707879901</v>
      </c>
      <c r="U179" s="8">
        <f t="shared" si="47"/>
        <v>82956.281101485365</v>
      </c>
    </row>
    <row r="180" spans="1:21">
      <c r="A180" s="1">
        <v>41907</v>
      </c>
      <c r="B180" s="5">
        <v>178</v>
      </c>
      <c r="C180" s="6">
        <f t="shared" si="32"/>
        <v>0.48767123287671232</v>
      </c>
      <c r="D180" s="4">
        <f t="shared" si="33"/>
        <v>23.854180231320985</v>
      </c>
      <c r="E180" s="10">
        <f t="shared" si="37"/>
        <v>20.34262568396548</v>
      </c>
      <c r="F180" s="8">
        <v>8281.102501273881</v>
      </c>
      <c r="G180" s="19">
        <f t="shared" si="38"/>
        <v>5.4973237057348176E-2</v>
      </c>
      <c r="H180" s="21">
        <f t="shared" si="39"/>
        <v>601.85070137475145</v>
      </c>
      <c r="I180" s="5">
        <v>543</v>
      </c>
      <c r="J180" s="6">
        <f t="shared" si="34"/>
        <v>1.4876712328767123</v>
      </c>
      <c r="K180" s="4">
        <f t="shared" si="35"/>
        <v>32.808408745082552</v>
      </c>
      <c r="L180" s="10">
        <f t="shared" si="36"/>
        <v>57.13338834911206</v>
      </c>
      <c r="M180" s="13">
        <v>1220.7373169120592</v>
      </c>
      <c r="N180" s="19">
        <f t="shared" si="40"/>
        <v>0.92968728975743586</v>
      </c>
      <c r="O180" s="21">
        <f t="shared" si="41"/>
        <v>1269.2043770173423</v>
      </c>
      <c r="P180" s="8">
        <f t="shared" si="42"/>
        <v>168459.36843396482</v>
      </c>
      <c r="Q180" s="8">
        <f t="shared" si="43"/>
        <v>69744.859199389757</v>
      </c>
      <c r="R180" s="8">
        <f t="shared" si="44"/>
        <v>9260.7567954515034</v>
      </c>
      <c r="S180" s="8">
        <f t="shared" si="45"/>
        <v>64840.909123594633</v>
      </c>
      <c r="T180" s="8">
        <f t="shared" si="46"/>
        <v>5573.5929726034828</v>
      </c>
      <c r="U180" s="8">
        <f t="shared" si="47"/>
        <v>82296.365669450024</v>
      </c>
    </row>
    <row r="181" spans="1:21">
      <c r="A181" s="1">
        <v>41908</v>
      </c>
      <c r="B181" s="5">
        <v>179</v>
      </c>
      <c r="C181" s="6">
        <f t="shared" si="32"/>
        <v>0.49041095890410957</v>
      </c>
      <c r="D181" s="4">
        <f t="shared" si="33"/>
        <v>23.886484901541127</v>
      </c>
      <c r="E181" s="10">
        <f t="shared" si="37"/>
        <v>20.43202031297988</v>
      </c>
      <c r="F181" s="8">
        <v>8272.2919107004018</v>
      </c>
      <c r="G181" s="19">
        <f t="shared" si="38"/>
        <v>5.5999171401911761E-2</v>
      </c>
      <c r="H181" s="21">
        <f t="shared" si="39"/>
        <v>603.76048969911983</v>
      </c>
      <c r="I181" s="5">
        <v>544</v>
      </c>
      <c r="J181" s="6">
        <f t="shared" si="34"/>
        <v>1.4904109589041097</v>
      </c>
      <c r="K181" s="4">
        <f t="shared" si="35"/>
        <v>32.82649607717125</v>
      </c>
      <c r="L181" s="10">
        <f t="shared" si="36"/>
        <v>57.235504038491044</v>
      </c>
      <c r="M181" s="13">
        <v>1206.5118690530524</v>
      </c>
      <c r="N181" s="19">
        <f t="shared" si="40"/>
        <v>0.93040042666865397</v>
      </c>
      <c r="O181" s="21">
        <f t="shared" si="41"/>
        <v>1270.8430143183989</v>
      </c>
      <c r="P181" s="8">
        <f t="shared" si="42"/>
        <v>169019.63635432976</v>
      </c>
      <c r="Q181" s="8">
        <f t="shared" si="43"/>
        <v>69055.314953673354</v>
      </c>
      <c r="R181" s="8">
        <f t="shared" si="44"/>
        <v>9464.9595864949079</v>
      </c>
      <c r="S181" s="8">
        <f t="shared" si="45"/>
        <v>64249.094496635968</v>
      </c>
      <c r="T181" s="8">
        <f t="shared" si="46"/>
        <v>5714.5686349245443</v>
      </c>
      <c r="U181" s="8">
        <f t="shared" si="47"/>
        <v>81650.512917332497</v>
      </c>
    </row>
    <row r="182" spans="1:21">
      <c r="A182" s="1">
        <v>41909</v>
      </c>
      <c r="B182" s="5">
        <v>180</v>
      </c>
      <c r="C182" s="6">
        <f t="shared" si="32"/>
        <v>0.49315068493150682</v>
      </c>
      <c r="D182" s="4">
        <f t="shared" si="33"/>
        <v>23.918738279076585</v>
      </c>
      <c r="E182" s="10">
        <f t="shared" si="37"/>
        <v>20.521543582676106</v>
      </c>
      <c r="F182" s="8">
        <v>8263.4813201269208</v>
      </c>
      <c r="G182" s="19">
        <f t="shared" si="38"/>
        <v>5.7041424546912689E-2</v>
      </c>
      <c r="H182" s="21">
        <f t="shared" si="39"/>
        <v>605.670704185982</v>
      </c>
      <c r="I182" s="5">
        <v>545</v>
      </c>
      <c r="J182" s="6">
        <f t="shared" si="34"/>
        <v>1.4931506849315068</v>
      </c>
      <c r="K182" s="4">
        <f t="shared" si="35"/>
        <v>32.844554690569566</v>
      </c>
      <c r="L182" s="10">
        <f t="shared" si="36"/>
        <v>57.337583403062773</v>
      </c>
      <c r="M182" s="13">
        <v>1193.1701541815564</v>
      </c>
      <c r="N182" s="19">
        <f t="shared" si="40"/>
        <v>0.93110575028057807</v>
      </c>
      <c r="O182" s="21">
        <f t="shared" si="41"/>
        <v>1272.4802581591543</v>
      </c>
      <c r="P182" s="8">
        <f t="shared" si="42"/>
        <v>169579.39205561447</v>
      </c>
      <c r="Q182" s="8">
        <f t="shared" si="43"/>
        <v>68413.493229430256</v>
      </c>
      <c r="R182" s="8">
        <f t="shared" si="44"/>
        <v>9673.0500966516574</v>
      </c>
      <c r="S182" s="8">
        <f t="shared" si="45"/>
        <v>63700.196942703908</v>
      </c>
      <c r="T182" s="8">
        <f t="shared" si="46"/>
        <v>5858.6830636652903</v>
      </c>
      <c r="U182" s="8">
        <f t="shared" si="47"/>
        <v>81057.243050440855</v>
      </c>
    </row>
    <row r="183" spans="1:21">
      <c r="A183" s="1">
        <v>41910</v>
      </c>
      <c r="B183" s="5">
        <v>181</v>
      </c>
      <c r="C183" s="6">
        <f t="shared" si="32"/>
        <v>0.49589041095890413</v>
      </c>
      <c r="D183" s="4">
        <f t="shared" si="33"/>
        <v>23.950940445368833</v>
      </c>
      <c r="E183" s="10">
        <f t="shared" si="37"/>
        <v>20.61119488192152</v>
      </c>
      <c r="F183" s="8">
        <v>8254.6707295534397</v>
      </c>
      <c r="G183" s="19">
        <f t="shared" si="38"/>
        <v>5.8100183757354616E-2</v>
      </c>
      <c r="H183" s="21">
        <f t="shared" si="39"/>
        <v>607.58133477147146</v>
      </c>
      <c r="I183" s="5">
        <v>546</v>
      </c>
      <c r="J183" s="6">
        <f t="shared" si="34"/>
        <v>1.4958904109589042</v>
      </c>
      <c r="K183" s="4">
        <f t="shared" si="35"/>
        <v>32.862584630876462</v>
      </c>
      <c r="L183" s="10">
        <f t="shared" si="36"/>
        <v>57.439626186852507</v>
      </c>
      <c r="M183" s="13">
        <v>1178.5263107972844</v>
      </c>
      <c r="N183" s="19">
        <f t="shared" si="40"/>
        <v>0.93180334587912517</v>
      </c>
      <c r="O183" s="21">
        <f t="shared" si="41"/>
        <v>1274.1161071439358</v>
      </c>
      <c r="P183" s="8">
        <f t="shared" si="42"/>
        <v>170138.62709291923</v>
      </c>
      <c r="Q183" s="8">
        <f t="shared" si="43"/>
        <v>67694.110743566373</v>
      </c>
      <c r="R183" s="8">
        <f t="shared" si="44"/>
        <v>9885.08549832264</v>
      </c>
      <c r="S183" s="8">
        <f t="shared" si="45"/>
        <v>63077.59888716718</v>
      </c>
      <c r="T183" s="8">
        <f t="shared" si="46"/>
        <v>6005.9934414009858</v>
      </c>
      <c r="U183" s="8">
        <f t="shared" si="47"/>
        <v>80368.184742104102</v>
      </c>
    </row>
    <row r="184" spans="1:21">
      <c r="A184" s="1">
        <v>41911</v>
      </c>
      <c r="B184" s="5">
        <v>182</v>
      </c>
      <c r="C184" s="6">
        <f t="shared" si="32"/>
        <v>0.49863013698630138</v>
      </c>
      <c r="D184" s="4">
        <f t="shared" si="33"/>
        <v>23.983091481729989</v>
      </c>
      <c r="E184" s="10">
        <f t="shared" si="37"/>
        <v>20.700973599842033</v>
      </c>
      <c r="F184" s="8">
        <v>8245.8804398798984</v>
      </c>
      <c r="G184" s="19">
        <f t="shared" si="38"/>
        <v>5.9175636485585423E-2</v>
      </c>
      <c r="H184" s="21">
        <f t="shared" si="39"/>
        <v>609.49237142853565</v>
      </c>
      <c r="I184" s="5">
        <v>547</v>
      </c>
      <c r="J184" s="6">
        <f t="shared" si="34"/>
        <v>1.4986301369863013</v>
      </c>
      <c r="K184" s="4">
        <f t="shared" si="35"/>
        <v>32.880585943618456</v>
      </c>
      <c r="L184" s="10">
        <f t="shared" si="36"/>
        <v>57.541632134891188</v>
      </c>
      <c r="M184" s="13">
        <v>1164.9621319635744</v>
      </c>
      <c r="N184" s="19">
        <f t="shared" si="40"/>
        <v>0.9324932979566003</v>
      </c>
      <c r="O184" s="21">
        <f t="shared" si="41"/>
        <v>1275.7505598895877</v>
      </c>
      <c r="P184" s="8">
        <f t="shared" si="42"/>
        <v>170697.75329340759</v>
      </c>
      <c r="Q184" s="8">
        <f t="shared" si="43"/>
        <v>67033.822448526567</v>
      </c>
      <c r="R184" s="8">
        <f t="shared" si="44"/>
        <v>10101.148197796829</v>
      </c>
      <c r="S184" s="8">
        <f t="shared" si="45"/>
        <v>62508.590169663723</v>
      </c>
      <c r="T184" s="8">
        <f t="shared" si="46"/>
        <v>6156.5727692262681</v>
      </c>
      <c r="U184" s="8">
        <f t="shared" si="47"/>
        <v>79745.368906857286</v>
      </c>
    </row>
    <row r="185" spans="1:21">
      <c r="A185" s="1">
        <v>41912</v>
      </c>
      <c r="B185" s="5">
        <v>183</v>
      </c>
      <c r="C185" s="6">
        <f t="shared" si="32"/>
        <v>0.50136986301369868</v>
      </c>
      <c r="D185" s="4">
        <f t="shared" si="33"/>
        <v>24.015191469343122</v>
      </c>
      <c r="E185" s="10">
        <f t="shared" si="37"/>
        <v>20.790879125832667</v>
      </c>
      <c r="F185" s="8">
        <v>8237.1104511062968</v>
      </c>
      <c r="G185" s="19">
        <f t="shared" si="38"/>
        <v>6.0267970306632938E-2</v>
      </c>
      <c r="H185" s="21">
        <f t="shared" si="39"/>
        <v>611.40380416687185</v>
      </c>
      <c r="I185" s="5">
        <v>548</v>
      </c>
      <c r="J185" s="6">
        <f t="shared" si="34"/>
        <v>1.5013698630136987</v>
      </c>
      <c r="K185" s="4">
        <f t="shared" si="35"/>
        <v>32.89855867424982</v>
      </c>
      <c r="L185" s="10">
        <f t="shared" si="36"/>
        <v>57.64360099321447</v>
      </c>
      <c r="M185" s="13">
        <v>1152.9021360670363</v>
      </c>
      <c r="N185" s="19">
        <f t="shared" si="40"/>
        <v>0.93317569021402347</v>
      </c>
      <c r="O185" s="21">
        <f t="shared" si="41"/>
        <v>1277.3836150254135</v>
      </c>
      <c r="P185" s="8">
        <f t="shared" si="42"/>
        <v>171256.76773508402</v>
      </c>
      <c r="Q185" s="8">
        <f t="shared" si="43"/>
        <v>66457.43071567289</v>
      </c>
      <c r="R185" s="8">
        <f t="shared" si="44"/>
        <v>10321.297792667978</v>
      </c>
      <c r="S185" s="8">
        <f t="shared" si="45"/>
        <v>62016.45877794869</v>
      </c>
      <c r="T185" s="8">
        <f t="shared" si="46"/>
        <v>6310.4807343763396</v>
      </c>
      <c r="U185" s="8">
        <f t="shared" si="47"/>
        <v>79218.808304850638</v>
      </c>
    </row>
    <row r="186" spans="1:21">
      <c r="A186" s="1">
        <v>41913</v>
      </c>
      <c r="B186" s="5">
        <v>184</v>
      </c>
      <c r="C186" s="6">
        <f t="shared" si="32"/>
        <v>0.50410958904109593</v>
      </c>
      <c r="D186" s="4">
        <f t="shared" si="33"/>
        <v>24.047240489262364</v>
      </c>
      <c r="E186" s="10">
        <f t="shared" si="37"/>
        <v>20.880910849567655</v>
      </c>
      <c r="F186" s="8">
        <v>8228.3201614327554</v>
      </c>
      <c r="G186" s="19">
        <f t="shared" si="38"/>
        <v>6.1377372851669262E-2</v>
      </c>
      <c r="H186" s="21">
        <f t="shared" si="39"/>
        <v>613.31562303285511</v>
      </c>
      <c r="I186" s="5">
        <v>549</v>
      </c>
      <c r="J186" s="6">
        <f t="shared" si="34"/>
        <v>1.5041095890410958</v>
      </c>
      <c r="K186" s="4">
        <f t="shared" si="35"/>
        <v>32.916502868152619</v>
      </c>
      <c r="L186" s="10">
        <f t="shared" si="36"/>
        <v>57.745532508860073</v>
      </c>
      <c r="M186" s="13">
        <v>1138.1072621029127</v>
      </c>
      <c r="N186" s="19">
        <f t="shared" si="40"/>
        <v>0.93385060556362254</v>
      </c>
      <c r="O186" s="21">
        <f t="shared" si="41"/>
        <v>1279.015271193133</v>
      </c>
      <c r="P186" s="8">
        <f t="shared" si="42"/>
        <v>171814.81973257751</v>
      </c>
      <c r="Q186" s="8">
        <f t="shared" si="43"/>
        <v>65720.609902333483</v>
      </c>
      <c r="R186" s="8">
        <f t="shared" si="44"/>
        <v>10545.542252168751</v>
      </c>
      <c r="S186" s="8">
        <f t="shared" si="45"/>
        <v>61373.231355304728</v>
      </c>
      <c r="T186" s="8">
        <f t="shared" si="46"/>
        <v>6467.745816608176</v>
      </c>
      <c r="U186" s="8">
        <f t="shared" si="47"/>
        <v>78497.300145903981</v>
      </c>
    </row>
    <row r="187" spans="1:21">
      <c r="A187" s="1">
        <v>41914</v>
      </c>
      <c r="B187" s="5">
        <v>185</v>
      </c>
      <c r="C187" s="6">
        <f t="shared" si="32"/>
        <v>0.50684931506849318</v>
      </c>
      <c r="D187" s="4">
        <f t="shared" si="33"/>
        <v>24.079238622413154</v>
      </c>
      <c r="E187" s="10">
        <f t="shared" si="37"/>
        <v>20.971068161010468</v>
      </c>
      <c r="F187" s="8">
        <v>8219.5704735590916</v>
      </c>
      <c r="G187" s="19">
        <f t="shared" si="38"/>
        <v>6.2504031739602006E-2</v>
      </c>
      <c r="H187" s="21">
        <f t="shared" si="39"/>
        <v>615.22781810946424</v>
      </c>
      <c r="I187" s="5">
        <v>550</v>
      </c>
      <c r="J187" s="6">
        <f t="shared" si="34"/>
        <v>1.5068493150684932</v>
      </c>
      <c r="K187" s="4">
        <f t="shared" si="35"/>
        <v>32.934418570636893</v>
      </c>
      <c r="L187" s="10">
        <f t="shared" si="36"/>
        <v>57.847426429866992</v>
      </c>
      <c r="M187" s="13">
        <v>1120.7918102182905</v>
      </c>
      <c r="N187" s="19">
        <f t="shared" si="40"/>
        <v>0.93451812613150198</v>
      </c>
      <c r="O187" s="21">
        <f t="shared" si="41"/>
        <v>1280.6455270468391</v>
      </c>
      <c r="P187" s="8">
        <f t="shared" si="42"/>
        <v>172373.17265523679</v>
      </c>
      <c r="Q187" s="8">
        <f t="shared" si="43"/>
        <v>64834.921784800004</v>
      </c>
      <c r="R187" s="8">
        <f t="shared" si="44"/>
        <v>10774.018254698816</v>
      </c>
      <c r="S187" s="8">
        <f t="shared" si="45"/>
        <v>60589.409614213793</v>
      </c>
      <c r="T187" s="8">
        <f t="shared" si="46"/>
        <v>6628.4757431098906</v>
      </c>
      <c r="U187" s="8">
        <f t="shared" si="47"/>
        <v>77593.55640885164</v>
      </c>
    </row>
    <row r="188" spans="1:21">
      <c r="A188" s="1">
        <v>41915</v>
      </c>
      <c r="B188" s="5">
        <v>186</v>
      </c>
      <c r="C188" s="6">
        <f t="shared" si="32"/>
        <v>0.50958904109589043</v>
      </c>
      <c r="D188" s="4">
        <f t="shared" si="33"/>
        <v>24.111185949592468</v>
      </c>
      <c r="E188" s="10">
        <f t="shared" si="37"/>
        <v>21.06135045042419</v>
      </c>
      <c r="F188" s="8">
        <v>8210.8207856854278</v>
      </c>
      <c r="G188" s="19">
        <f t="shared" si="38"/>
        <v>6.3648134506781431E-2</v>
      </c>
      <c r="H188" s="21">
        <f t="shared" si="39"/>
        <v>617.14037951622038</v>
      </c>
      <c r="I188" s="5">
        <v>551</v>
      </c>
      <c r="J188" s="6">
        <f t="shared" si="34"/>
        <v>1.5095890410958903</v>
      </c>
      <c r="K188" s="4">
        <f t="shared" si="35"/>
        <v>32.952305826940723</v>
      </c>
      <c r="L188" s="10">
        <f t="shared" si="36"/>
        <v>57.94928250527331</v>
      </c>
      <c r="M188" s="13">
        <v>1106.5806490357563</v>
      </c>
      <c r="N188" s="19">
        <f t="shared" si="40"/>
        <v>0.93517833326046818</v>
      </c>
      <c r="O188" s="21">
        <f t="shared" si="41"/>
        <v>1282.2743812529461</v>
      </c>
      <c r="P188" s="8">
        <f t="shared" si="42"/>
        <v>172930.97405294809</v>
      </c>
      <c r="Q188" s="8">
        <f t="shared" si="43"/>
        <v>64125.554645841738</v>
      </c>
      <c r="R188" s="8">
        <f t="shared" si="44"/>
        <v>11006.73389691077</v>
      </c>
      <c r="S188" s="8">
        <f t="shared" si="45"/>
        <v>59968.829313101349</v>
      </c>
      <c r="T188" s="8">
        <f t="shared" si="46"/>
        <v>6792.6999343735597</v>
      </c>
      <c r="U188" s="8">
        <f t="shared" si="47"/>
        <v>76896.493501920573</v>
      </c>
    </row>
    <row r="189" spans="1:21">
      <c r="A189" s="1">
        <v>41916</v>
      </c>
      <c r="B189" s="5">
        <v>187</v>
      </c>
      <c r="C189" s="6">
        <f t="shared" si="32"/>
        <v>0.51232876712328768</v>
      </c>
      <c r="D189" s="4">
        <f t="shared" si="33"/>
        <v>24.14308255146895</v>
      </c>
      <c r="E189" s="10">
        <f t="shared" si="37"/>
        <v>21.151757108381105</v>
      </c>
      <c r="F189" s="8">
        <v>8202.0710978117659</v>
      </c>
      <c r="G189" s="19">
        <f t="shared" si="38"/>
        <v>6.4809868534813353E-2</v>
      </c>
      <c r="H189" s="21">
        <f t="shared" si="39"/>
        <v>619.05329740910315</v>
      </c>
      <c r="I189" s="5">
        <v>552</v>
      </c>
      <c r="J189" s="6">
        <f t="shared" si="34"/>
        <v>1.5123287671232877</v>
      </c>
      <c r="K189" s="4">
        <f t="shared" si="35"/>
        <v>32.970164682230354</v>
      </c>
      <c r="L189" s="10">
        <f t="shared" si="36"/>
        <v>58.05110048511461</v>
      </c>
      <c r="M189" s="13">
        <v>1090.8428544244503</v>
      </c>
      <c r="N189" s="19">
        <f t="shared" si="40"/>
        <v>0.93583130751301269</v>
      </c>
      <c r="O189" s="21">
        <f t="shared" si="41"/>
        <v>1283.9018324901431</v>
      </c>
      <c r="P189" s="8">
        <f t="shared" si="42"/>
        <v>173488.21564658722</v>
      </c>
      <c r="Q189" s="8">
        <f t="shared" si="43"/>
        <v>63324.628155663013</v>
      </c>
      <c r="R189" s="8">
        <f t="shared" si="44"/>
        <v>11243.748448394666</v>
      </c>
      <c r="S189" s="8">
        <f t="shared" si="45"/>
        <v>59261.169564689451</v>
      </c>
      <c r="T189" s="8">
        <f t="shared" si="46"/>
        <v>6960.4795522172062</v>
      </c>
      <c r="U189" s="8">
        <f t="shared" si="47"/>
        <v>76085.524199613879</v>
      </c>
    </row>
    <row r="190" spans="1:21">
      <c r="A190" s="1">
        <v>41917</v>
      </c>
      <c r="B190" s="5">
        <v>188</v>
      </c>
      <c r="C190" s="6">
        <f t="shared" si="32"/>
        <v>0.51506849315068493</v>
      </c>
      <c r="D190" s="4">
        <f t="shared" si="33"/>
        <v>24.174928508583196</v>
      </c>
      <c r="E190" s="10">
        <f t="shared" si="37"/>
        <v>21.242287525772866</v>
      </c>
      <c r="F190" s="8">
        <v>8193.3417108380399</v>
      </c>
      <c r="G190" s="19">
        <f t="shared" si="38"/>
        <v>6.5989420976480945E-2</v>
      </c>
      <c r="H190" s="21">
        <f t="shared" si="39"/>
        <v>620.96656198049186</v>
      </c>
      <c r="I190" s="5">
        <v>553</v>
      </c>
      <c r="J190" s="6">
        <f t="shared" si="34"/>
        <v>1.515068493150685</v>
      </c>
      <c r="K190" s="4">
        <f t="shared" si="35"/>
        <v>32.98799518160034</v>
      </c>
      <c r="L190" s="10">
        <f t="shared" si="36"/>
        <v>58.152880120422125</v>
      </c>
      <c r="M190" s="13">
        <v>1075.4703905400834</v>
      </c>
      <c r="N190" s="19">
        <f t="shared" si="40"/>
        <v>0.93647712867444155</v>
      </c>
      <c r="O190" s="21">
        <f t="shared" si="41"/>
        <v>1285.5278794493595</v>
      </c>
      <c r="P190" s="8">
        <f t="shared" si="42"/>
        <v>174045.32041852942</v>
      </c>
      <c r="Q190" s="8">
        <f t="shared" si="43"/>
        <v>62541.700694141036</v>
      </c>
      <c r="R190" s="8">
        <f t="shared" si="44"/>
        <v>11485.149918084853</v>
      </c>
      <c r="S190" s="8">
        <f t="shared" si="45"/>
        <v>58568.872288465529</v>
      </c>
      <c r="T190" s="8">
        <f t="shared" si="46"/>
        <v>7131.8940584636784</v>
      </c>
      <c r="U190" s="8">
        <f t="shared" si="47"/>
        <v>75291.91819473145</v>
      </c>
    </row>
    <row r="191" spans="1:21">
      <c r="A191" s="1">
        <v>41918</v>
      </c>
      <c r="B191" s="5">
        <v>189</v>
      </c>
      <c r="C191" s="6">
        <f t="shared" si="32"/>
        <v>0.51780821917808217</v>
      </c>
      <c r="D191" s="4">
        <f t="shared" si="33"/>
        <v>24.206723901347896</v>
      </c>
      <c r="E191" s="10">
        <f t="shared" si="37"/>
        <v>21.33294109382021</v>
      </c>
      <c r="F191" s="8">
        <v>8184.6123238643167</v>
      </c>
      <c r="G191" s="19">
        <f t="shared" si="38"/>
        <v>6.7186978679762949E-2</v>
      </c>
      <c r="H191" s="21">
        <f t="shared" si="39"/>
        <v>622.88016345908477</v>
      </c>
      <c r="I191" s="5">
        <v>554</v>
      </c>
      <c r="J191" s="6">
        <f t="shared" si="34"/>
        <v>1.5178082191780822</v>
      </c>
      <c r="K191" s="4">
        <f t="shared" si="35"/>
        <v>33.005797370073594</v>
      </c>
      <c r="L191" s="10">
        <f t="shared" si="36"/>
        <v>58.25462116322128</v>
      </c>
      <c r="M191" s="13">
        <v>1062.8021904165746</v>
      </c>
      <c r="N191" s="19">
        <f t="shared" si="40"/>
        <v>0.93711587575614652</v>
      </c>
      <c r="O191" s="21">
        <f t="shared" si="41"/>
        <v>1287.1525208337025</v>
      </c>
      <c r="P191" s="8">
        <f t="shared" si="42"/>
        <v>174601.8525807524</v>
      </c>
      <c r="Q191" s="8">
        <f t="shared" si="43"/>
        <v>61913.138974159323</v>
      </c>
      <c r="R191" s="8">
        <f t="shared" si="44"/>
        <v>11730.970946790125</v>
      </c>
      <c r="S191" s="8">
        <f t="shared" si="45"/>
        <v>58019.785450581323</v>
      </c>
      <c r="T191" s="8">
        <f t="shared" si="46"/>
        <v>7306.9891008704071</v>
      </c>
      <c r="U191" s="8">
        <f t="shared" si="47"/>
        <v>74680.313100946325</v>
      </c>
    </row>
    <row r="192" spans="1:21">
      <c r="A192" s="1">
        <v>41919</v>
      </c>
      <c r="B192" s="5">
        <v>190</v>
      </c>
      <c r="C192" s="6">
        <f t="shared" si="32"/>
        <v>0.52054794520547942</v>
      </c>
      <c r="D192" s="4">
        <f t="shared" si="33"/>
        <v>24.238468810048094</v>
      </c>
      <c r="E192" s="10">
        <f t="shared" si="37"/>
        <v>21.423717204082685</v>
      </c>
      <c r="F192" s="8">
        <v>8175.8829368905917</v>
      </c>
      <c r="G192" s="19">
        <f t="shared" si="38"/>
        <v>6.8402728109955666E-2</v>
      </c>
      <c r="H192" s="21">
        <f t="shared" si="39"/>
        <v>624.79409210983363</v>
      </c>
      <c r="I192" s="5">
        <v>555</v>
      </c>
      <c r="J192" s="6">
        <f t="shared" si="34"/>
        <v>1.5205479452054795</v>
      </c>
      <c r="K192" s="4">
        <f t="shared" si="35"/>
        <v>33.023571292601602</v>
      </c>
      <c r="L192" s="10">
        <f t="shared" si="36"/>
        <v>58.356323366529693</v>
      </c>
      <c r="M192" s="13">
        <v>1047.3133921666458</v>
      </c>
      <c r="N192" s="19">
        <f t="shared" si="40"/>
        <v>0.93774762699901626</v>
      </c>
      <c r="O192" s="21">
        <f t="shared" si="41"/>
        <v>1288.7757553584286</v>
      </c>
      <c r="P192" s="8">
        <f t="shared" si="42"/>
        <v>175157.80393362904</v>
      </c>
      <c r="Q192" s="8">
        <f t="shared" si="43"/>
        <v>61117.358979373908</v>
      </c>
      <c r="R192" s="8">
        <f t="shared" si="44"/>
        <v>11981.27163880895</v>
      </c>
      <c r="S192" s="8">
        <f t="shared" si="45"/>
        <v>57312.658351354898</v>
      </c>
      <c r="T192" s="8">
        <f t="shared" si="46"/>
        <v>7485.8277358909363</v>
      </c>
      <c r="U192" s="8">
        <f t="shared" si="47"/>
        <v>73863.16455836696</v>
      </c>
    </row>
    <row r="193" spans="1:21">
      <c r="A193" s="1">
        <v>41920</v>
      </c>
      <c r="B193" s="5">
        <v>191</v>
      </c>
      <c r="C193" s="6">
        <f t="shared" si="32"/>
        <v>0.52328767123287667</v>
      </c>
      <c r="D193" s="4">
        <f t="shared" si="33"/>
        <v>24.270163314841319</v>
      </c>
      <c r="E193" s="10">
        <f t="shared" si="37"/>
        <v>21.514615248468338</v>
      </c>
      <c r="F193" s="8">
        <v>8167.1738508168055</v>
      </c>
      <c r="G193" s="19">
        <f t="shared" si="38"/>
        <v>6.963685526989076E-2</v>
      </c>
      <c r="H193" s="21">
        <f t="shared" si="39"/>
        <v>626.70833823386943</v>
      </c>
      <c r="I193" s="5">
        <v>556</v>
      </c>
      <c r="J193" s="6">
        <f t="shared" si="34"/>
        <v>1.5232876712328767</v>
      </c>
      <c r="K193" s="4">
        <f t="shared" si="35"/>
        <v>33.041316994064431</v>
      </c>
      <c r="L193" s="10">
        <f t="shared" si="36"/>
        <v>58.457986484355665</v>
      </c>
      <c r="M193" s="13">
        <v>1032.0062388032954</v>
      </c>
      <c r="N193" s="19">
        <f t="shared" si="40"/>
        <v>0.93837245987696849</v>
      </c>
      <c r="O193" s="21">
        <f t="shared" si="41"/>
        <v>1290.3975817508874</v>
      </c>
      <c r="P193" s="8">
        <f t="shared" si="42"/>
        <v>175713.60306767511</v>
      </c>
      <c r="Q193" s="8">
        <f t="shared" si="43"/>
        <v>60329.006759733769</v>
      </c>
      <c r="R193" s="8">
        <f t="shared" si="44"/>
        <v>12236.142745774725</v>
      </c>
      <c r="S193" s="8">
        <f t="shared" si="45"/>
        <v>56611.078475065638</v>
      </c>
      <c r="T193" s="8">
        <f t="shared" si="46"/>
        <v>7668.4926865968937</v>
      </c>
      <c r="U193" s="8">
        <f t="shared" si="47"/>
        <v>73050.798764534411</v>
      </c>
    </row>
    <row r="194" spans="1:21">
      <c r="A194" s="1">
        <v>41921</v>
      </c>
      <c r="B194" s="5">
        <v>192</v>
      </c>
      <c r="C194" s="6">
        <f t="shared" si="32"/>
        <v>0.52602739726027392</v>
      </c>
      <c r="D194" s="4">
        <f t="shared" si="33"/>
        <v>24.301807495757863</v>
      </c>
      <c r="E194" s="10">
        <f t="shared" si="37"/>
        <v>21.605634619243371</v>
      </c>
      <c r="F194" s="8">
        <v>8158.4850656429599</v>
      </c>
      <c r="G194" s="19">
        <f t="shared" si="38"/>
        <v>7.0889545618260857E-2</v>
      </c>
      <c r="H194" s="21">
        <f t="shared" si="39"/>
        <v>628.62289216843169</v>
      </c>
      <c r="I194" s="5">
        <v>557</v>
      </c>
      <c r="J194" s="6">
        <f t="shared" si="34"/>
        <v>1.526027397260274</v>
      </c>
      <c r="K194" s="4">
        <f t="shared" si="35"/>
        <v>33.059034519270902</v>
      </c>
      <c r="L194" s="10">
        <f t="shared" si="36"/>
        <v>58.559610271696222</v>
      </c>
      <c r="M194" s="13">
        <v>1020.0789049025728</v>
      </c>
      <c r="N194" s="19">
        <f t="shared" si="40"/>
        <v>0.93899045110061607</v>
      </c>
      <c r="O194" s="21">
        <f t="shared" si="41"/>
        <v>1292.0179987504732</v>
      </c>
      <c r="P194" s="8">
        <f t="shared" si="42"/>
        <v>176269.24737483557</v>
      </c>
      <c r="Q194" s="8">
        <f t="shared" si="43"/>
        <v>59735.423117473336</v>
      </c>
      <c r="R194" s="8">
        <f t="shared" si="44"/>
        <v>12495.646852874914</v>
      </c>
      <c r="S194" s="8">
        <f t="shared" si="45"/>
        <v>56090.991899762455</v>
      </c>
      <c r="T194" s="8">
        <f t="shared" si="46"/>
        <v>7855.04966416959</v>
      </c>
      <c r="U194" s="8">
        <f t="shared" si="47"/>
        <v>72470.571102260103</v>
      </c>
    </row>
    <row r="195" spans="1:21">
      <c r="A195" s="1">
        <v>41922</v>
      </c>
      <c r="B195" s="5">
        <v>193</v>
      </c>
      <c r="C195" s="6">
        <f t="shared" ref="C195:C258" si="48">B195/365</f>
        <v>0.52876712328767128</v>
      </c>
      <c r="D195" s="4">
        <f t="shared" ref="D195:D258" si="49">44.2*(1-EXP(-0.58*(C195+0.85)))</f>
        <v>24.333401432700921</v>
      </c>
      <c r="E195" s="10">
        <f t="shared" si="37"/>
        <v>21.696774709041417</v>
      </c>
      <c r="F195" s="8">
        <v>8149.7962804691124</v>
      </c>
      <c r="G195" s="19">
        <f t="shared" si="38"/>
        <v>7.2160983986047991E-2</v>
      </c>
      <c r="H195" s="21">
        <f t="shared" si="39"/>
        <v>630.5377442867931</v>
      </c>
      <c r="I195" s="5">
        <v>558</v>
      </c>
      <c r="J195" s="6">
        <f t="shared" ref="J195:J258" si="50">I195/365</f>
        <v>1.5287671232876712</v>
      </c>
      <c r="K195" s="4">
        <f t="shared" ref="K195:K258" si="51">44.2*(1-EXP(-0.58*(J195+0.85)))</f>
        <v>33.076723912958691</v>
      </c>
      <c r="L195" s="10">
        <f t="shared" ref="L195:L258" si="52">0.0007*K195^3.24</f>
        <v>58.661194484535436</v>
      </c>
      <c r="M195" s="13">
        <v>1006.2045010940321</v>
      </c>
      <c r="N195" s="19">
        <f t="shared" si="40"/>
        <v>0.93960167662104455</v>
      </c>
      <c r="O195" s="21">
        <f t="shared" si="41"/>
        <v>1293.6370051085953</v>
      </c>
      <c r="P195" s="8">
        <f t="shared" si="42"/>
        <v>176824.29382192204</v>
      </c>
      <c r="Q195" s="8">
        <f t="shared" si="43"/>
        <v>59025.157929891968</v>
      </c>
      <c r="R195" s="8">
        <f t="shared" si="44"/>
        <v>12759.815034827961</v>
      </c>
      <c r="S195" s="8">
        <f t="shared" si="45"/>
        <v>55460.137353748432</v>
      </c>
      <c r="T195" s="8">
        <f t="shared" si="46"/>
        <v>8045.5449895771317</v>
      </c>
      <c r="U195" s="8">
        <f t="shared" si="47"/>
        <v>71745.285989214462</v>
      </c>
    </row>
    <row r="196" spans="1:21">
      <c r="A196" s="1">
        <v>41923</v>
      </c>
      <c r="B196" s="5">
        <v>194</v>
      </c>
      <c r="C196" s="6">
        <f t="shared" si="48"/>
        <v>0.53150684931506853</v>
      </c>
      <c r="D196" s="4">
        <f t="shared" si="49"/>
        <v>24.364945205446841</v>
      </c>
      <c r="E196" s="10">
        <f t="shared" ref="E196:E259" si="53">0.0007*D196^3.24</f>
        <v>21.788034910873115</v>
      </c>
      <c r="F196" s="8">
        <v>8141.1074952952658</v>
      </c>
      <c r="G196" s="19">
        <f t="shared" ref="G196:G259" si="54">1/(1+EXP(-0.606*D196+17.3))</f>
        <v>7.3451354491069654E-2</v>
      </c>
      <c r="H196" s="21">
        <f t="shared" ref="H196:H259" si="55">0.3586*D196^2.341</f>
        <v>632.45288499819333</v>
      </c>
      <c r="I196" s="5">
        <v>559</v>
      </c>
      <c r="J196" s="6">
        <f t="shared" si="50"/>
        <v>1.5315068493150685</v>
      </c>
      <c r="K196" s="4">
        <f t="shared" si="51"/>
        <v>33.094385219794439</v>
      </c>
      <c r="L196" s="10">
        <f t="shared" si="52"/>
        <v>58.762738879842956</v>
      </c>
      <c r="M196" s="13">
        <v>992.60970795359538</v>
      </c>
      <c r="N196" s="19">
        <f t="shared" ref="N196:N259" si="56">1/(1+EXP(-0.606*K196+17.3))</f>
        <v>0.94020621163370388</v>
      </c>
      <c r="O196" s="21">
        <f t="shared" ref="O196:O259" si="57">0.3586*K196^2.341</f>
        <v>1295.254599588613</v>
      </c>
      <c r="P196" s="8">
        <f t="shared" ref="P196:P259" si="58">E196*F196</f>
        <v>177378.73432066405</v>
      </c>
      <c r="Q196" s="8">
        <f t="shared" ref="Q196:Q259" si="59">L196*M196</f>
        <v>58328.465078074303</v>
      </c>
      <c r="R196" s="8">
        <f t="shared" ref="R196:R259" si="60">E196*F196*G196</f>
        <v>13028.708293764359</v>
      </c>
      <c r="S196" s="8">
        <f t="shared" ref="S196:S259" si="61">L196*M196*N196</f>
        <v>54840.785181465035</v>
      </c>
      <c r="T196" s="8">
        <f t="shared" ref="T196:T259" si="62">R196*H196/1000</f>
        <v>8240.0441481911585</v>
      </c>
      <c r="U196" s="8">
        <f t="shared" ref="U196:U259" si="63">S196*O196/1000</f>
        <v>71032.779251343643</v>
      </c>
    </row>
    <row r="197" spans="1:21">
      <c r="A197" s="1">
        <v>41924</v>
      </c>
      <c r="B197" s="5">
        <v>195</v>
      </c>
      <c r="C197" s="6">
        <f t="shared" si="48"/>
        <v>0.53424657534246578</v>
      </c>
      <c r="D197" s="4">
        <f t="shared" si="49"/>
        <v>24.396438893645289</v>
      </c>
      <c r="E197" s="10">
        <f t="shared" si="53"/>
        <v>21.87941461813557</v>
      </c>
      <c r="F197" s="8">
        <v>8132.4390110213571</v>
      </c>
      <c r="G197" s="19">
        <f t="shared" si="54"/>
        <v>7.4760840450645405E-2</v>
      </c>
      <c r="H197" s="21">
        <f t="shared" si="55"/>
        <v>634.36830474775957</v>
      </c>
      <c r="I197" s="5">
        <v>560</v>
      </c>
      <c r="J197" s="6">
        <f t="shared" si="50"/>
        <v>1.5342465753424657</v>
      </c>
      <c r="K197" s="4">
        <f t="shared" si="51"/>
        <v>33.11201848437387</v>
      </c>
      <c r="L197" s="10">
        <f t="shared" si="52"/>
        <v>58.864243215571818</v>
      </c>
      <c r="M197" s="13">
        <v>980.60889971672862</v>
      </c>
      <c r="N197" s="19">
        <f t="shared" si="56"/>
        <v>0.94080413058240975</v>
      </c>
      <c r="O197" s="21">
        <f t="shared" si="57"/>
        <v>1296.8707809658085</v>
      </c>
      <c r="P197" s="8">
        <f t="shared" si="58"/>
        <v>177933.00497883666</v>
      </c>
      <c r="Q197" s="8">
        <f t="shared" si="59"/>
        <v>57722.800772279785</v>
      </c>
      <c r="R197" s="8">
        <f t="shared" si="60"/>
        <v>13302.420996126702</v>
      </c>
      <c r="S197" s="8">
        <f t="shared" si="61"/>
        <v>54305.849395346333</v>
      </c>
      <c r="T197" s="8">
        <f t="shared" si="62"/>
        <v>8438.6342563539001</v>
      </c>
      <c r="U197" s="8">
        <f t="shared" si="63"/>
        <v>70427.669316354382</v>
      </c>
    </row>
    <row r="198" spans="1:21">
      <c r="A198" s="1">
        <v>41925</v>
      </c>
      <c r="B198" s="5">
        <v>196</v>
      </c>
      <c r="C198" s="6">
        <f t="shared" si="48"/>
        <v>0.53698630136986303</v>
      </c>
      <c r="D198" s="4">
        <f t="shared" si="49"/>
        <v>24.427882576819467</v>
      </c>
      <c r="E198" s="10">
        <f t="shared" si="53"/>
        <v>21.970913224621299</v>
      </c>
      <c r="F198" s="8">
        <v>8123.7908276473891</v>
      </c>
      <c r="G198" s="19">
        <f t="shared" si="54"/>
        <v>7.6089624292398947E-2</v>
      </c>
      <c r="H198" s="21">
        <f t="shared" si="55"/>
        <v>636.2839940164406</v>
      </c>
      <c r="I198" s="5">
        <v>561</v>
      </c>
      <c r="J198" s="6">
        <f t="shared" si="50"/>
        <v>1.536986301369863</v>
      </c>
      <c r="K198" s="4">
        <f t="shared" si="51"/>
        <v>33.129623751221899</v>
      </c>
      <c r="L198" s="10">
        <f t="shared" si="52"/>
        <v>58.965707250657175</v>
      </c>
      <c r="M198" s="13">
        <v>966.95695987040187</v>
      </c>
      <c r="N198" s="19">
        <f t="shared" si="56"/>
        <v>0.94139550716344378</v>
      </c>
      <c r="O198" s="21">
        <f t="shared" si="57"/>
        <v>1298.485548027332</v>
      </c>
      <c r="P198" s="8">
        <f t="shared" si="58"/>
        <v>178487.10332921523</v>
      </c>
      <c r="Q198" s="8">
        <f t="shared" si="59"/>
        <v>57017.301019703576</v>
      </c>
      <c r="R198" s="8">
        <f t="shared" si="60"/>
        <v>13581.016633358577</v>
      </c>
      <c r="S198" s="8">
        <f t="shared" si="61"/>
        <v>53675.831010534588</v>
      </c>
      <c r="T198" s="8">
        <f t="shared" si="62"/>
        <v>8641.3835062771086</v>
      </c>
      <c r="U198" s="8">
        <f t="shared" si="63"/>
        <v>69697.290845536467</v>
      </c>
    </row>
    <row r="199" spans="1:21">
      <c r="A199" s="1">
        <v>41926</v>
      </c>
      <c r="B199" s="5">
        <v>197</v>
      </c>
      <c r="C199" s="6">
        <f t="shared" si="48"/>
        <v>0.53972602739726028</v>
      </c>
      <c r="D199" s="4">
        <f t="shared" si="49"/>
        <v>24.459276334366315</v>
      </c>
      <c r="E199" s="10">
        <f t="shared" si="53"/>
        <v>22.06253012452774</v>
      </c>
      <c r="F199" s="8">
        <v>8115.1223433734813</v>
      </c>
      <c r="G199" s="19">
        <f t="shared" si="54"/>
        <v>7.7437887463208843E-2</v>
      </c>
      <c r="H199" s="21">
        <f t="shared" si="55"/>
        <v>638.19994332092813</v>
      </c>
      <c r="I199" s="5">
        <v>562</v>
      </c>
      <c r="J199" s="6">
        <f t="shared" si="50"/>
        <v>1.5397260273972602</v>
      </c>
      <c r="K199" s="4">
        <f t="shared" si="51"/>
        <v>33.147201064792725</v>
      </c>
      <c r="L199" s="10">
        <f t="shared" si="52"/>
        <v>59.067130745013891</v>
      </c>
      <c r="M199" s="13">
        <v>954.21732636453112</v>
      </c>
      <c r="N199" s="19">
        <f t="shared" si="56"/>
        <v>0.94198041432975155</v>
      </c>
      <c r="O199" s="21">
        <f t="shared" si="57"/>
        <v>1300.0988995721552</v>
      </c>
      <c r="P199" s="8">
        <f t="shared" si="58"/>
        <v>179040.13116490559</v>
      </c>
      <c r="Q199" s="8">
        <f t="shared" si="59"/>
        <v>56362.879575531348</v>
      </c>
      <c r="R199" s="8">
        <f t="shared" si="60"/>
        <v>13864.48952854611</v>
      </c>
      <c r="S199" s="8">
        <f t="shared" si="61"/>
        <v>53092.728655376908</v>
      </c>
      <c r="T199" s="8">
        <f t="shared" si="62"/>
        <v>8848.3164312917288</v>
      </c>
      <c r="U199" s="8">
        <f t="shared" si="63"/>
        <v>69025.798100138549</v>
      </c>
    </row>
    <row r="200" spans="1:21">
      <c r="A200" s="1">
        <v>41927</v>
      </c>
      <c r="B200" s="5">
        <v>198</v>
      </c>
      <c r="C200" s="6">
        <f t="shared" si="48"/>
        <v>0.54246575342465753</v>
      </c>
      <c r="D200" s="4">
        <f t="shared" si="49"/>
        <v>24.49062024555672</v>
      </c>
      <c r="E200" s="10">
        <f t="shared" si="53"/>
        <v>22.154264712466201</v>
      </c>
      <c r="F200" s="8">
        <v>8106.494460899452</v>
      </c>
      <c r="G200" s="19">
        <f t="shared" si="54"/>
        <v>7.880581033632203E-2</v>
      </c>
      <c r="H200" s="21">
        <f t="shared" si="55"/>
        <v>640.116143213589</v>
      </c>
      <c r="I200" s="5">
        <v>563</v>
      </c>
      <c r="J200" s="6">
        <f t="shared" si="50"/>
        <v>1.5424657534246575</v>
      </c>
      <c r="K200" s="4">
        <f t="shared" si="51"/>
        <v>33.164750469470007</v>
      </c>
      <c r="L200" s="10">
        <f t="shared" si="52"/>
        <v>59.168513459535241</v>
      </c>
      <c r="M200" s="13">
        <v>943.67988198920079</v>
      </c>
      <c r="N200" s="19">
        <f t="shared" si="56"/>
        <v>0.9425589242952358</v>
      </c>
      <c r="O200" s="21">
        <f t="shared" si="57"/>
        <v>1301.7108344110375</v>
      </c>
      <c r="P200" s="8">
        <f t="shared" si="58"/>
        <v>179593.42417690746</v>
      </c>
      <c r="Q200" s="8">
        <f t="shared" si="59"/>
        <v>55836.135798970652</v>
      </c>
      <c r="R200" s="8">
        <f t="shared" si="60"/>
        <v>14153.005323336001</v>
      </c>
      <c r="S200" s="8">
        <f t="shared" si="61"/>
        <v>52628.848095480484</v>
      </c>
      <c r="T200" s="8">
        <f t="shared" si="62"/>
        <v>9059.5671824552355</v>
      </c>
      <c r="U200" s="8">
        <f t="shared" si="63"/>
        <v>68507.541768459632</v>
      </c>
    </row>
    <row r="201" spans="1:21">
      <c r="A201" s="1">
        <v>41928</v>
      </c>
      <c r="B201" s="5">
        <v>199</v>
      </c>
      <c r="C201" s="6">
        <f t="shared" si="48"/>
        <v>0.54520547945205478</v>
      </c>
      <c r="D201" s="4">
        <f t="shared" si="49"/>
        <v>24.521914389535674</v>
      </c>
      <c r="E201" s="10">
        <f t="shared" si="53"/>
        <v>22.246116383470863</v>
      </c>
      <c r="F201" s="8">
        <v>8097.846277525482</v>
      </c>
      <c r="G201" s="19">
        <f t="shared" si="54"/>
        <v>8.0193572116647877E-2</v>
      </c>
      <c r="H201" s="21">
        <f t="shared" si="55"/>
        <v>642.03258428238667</v>
      </c>
      <c r="I201" s="5">
        <v>564</v>
      </c>
      <c r="J201" s="6">
        <f t="shared" si="50"/>
        <v>1.5452054794520549</v>
      </c>
      <c r="K201" s="4">
        <f t="shared" si="51"/>
        <v>33.18227200956688</v>
      </c>
      <c r="L201" s="10">
        <f t="shared" si="52"/>
        <v>59.269855156091388</v>
      </c>
      <c r="M201" s="13">
        <v>931.53212508004583</v>
      </c>
      <c r="N201" s="19">
        <f t="shared" si="56"/>
        <v>0.94313110853913051</v>
      </c>
      <c r="O201" s="21">
        <f t="shared" si="57"/>
        <v>1303.3213513664689</v>
      </c>
      <c r="P201" s="8">
        <f t="shared" si="58"/>
        <v>180145.63074528816</v>
      </c>
      <c r="Q201" s="8">
        <f t="shared" si="59"/>
        <v>55211.774126740325</v>
      </c>
      <c r="R201" s="8">
        <f t="shared" si="60"/>
        <v>14446.521630671285</v>
      </c>
      <c r="S201" s="8">
        <f t="shared" si="61"/>
        <v>52071.941736564688</v>
      </c>
      <c r="T201" s="8">
        <f t="shared" si="62"/>
        <v>9275.1376164312824</v>
      </c>
      <c r="U201" s="8">
        <f t="shared" si="63"/>
        <v>67866.473472375525</v>
      </c>
    </row>
    <row r="202" spans="1:21">
      <c r="A202" s="1">
        <v>41929</v>
      </c>
      <c r="B202" s="5">
        <v>200</v>
      </c>
      <c r="C202" s="6">
        <f t="shared" si="48"/>
        <v>0.54794520547945202</v>
      </c>
      <c r="D202" s="4">
        <f t="shared" si="49"/>
        <v>24.553158845322535</v>
      </c>
      <c r="E202" s="10">
        <f t="shared" si="53"/>
        <v>22.338084533007827</v>
      </c>
      <c r="F202" s="8">
        <v>8089.2386959513906</v>
      </c>
      <c r="G202" s="19">
        <f t="shared" si="54"/>
        <v>8.1601350744261114E-2</v>
      </c>
      <c r="H202" s="21">
        <f t="shared" si="55"/>
        <v>643.94925715081285</v>
      </c>
      <c r="I202" s="5">
        <v>565</v>
      </c>
      <c r="J202" s="6">
        <f t="shared" si="50"/>
        <v>1.547945205479452</v>
      </c>
      <c r="K202" s="4">
        <f t="shared" si="51"/>
        <v>33.199765729326174</v>
      </c>
      <c r="L202" s="10">
        <f t="shared" si="52"/>
        <v>59.371155597526908</v>
      </c>
      <c r="M202" s="13">
        <v>919.09659368766017</v>
      </c>
      <c r="N202" s="19">
        <f t="shared" si="56"/>
        <v>0.94369703781046421</v>
      </c>
      <c r="O202" s="21">
        <f t="shared" si="57"/>
        <v>1304.9304492726362</v>
      </c>
      <c r="P202" s="8">
        <f t="shared" si="58"/>
        <v>180698.09779784016</v>
      </c>
      <c r="Q202" s="8">
        <f t="shared" si="59"/>
        <v>54567.82687298704</v>
      </c>
      <c r="R202" s="8">
        <f t="shared" si="60"/>
        <v>14745.208857222353</v>
      </c>
      <c r="S202" s="8">
        <f t="shared" si="61"/>
        <v>51495.496579792118</v>
      </c>
      <c r="T202" s="8">
        <f t="shared" si="62"/>
        <v>9495.1662901419204</v>
      </c>
      <c r="U202" s="8">
        <f t="shared" si="63"/>
        <v>67198.041487385635</v>
      </c>
    </row>
    <row r="203" spans="1:21">
      <c r="A203" s="1">
        <v>41930</v>
      </c>
      <c r="B203" s="5">
        <v>201</v>
      </c>
      <c r="C203" s="6">
        <f t="shared" si="48"/>
        <v>0.55068493150684927</v>
      </c>
      <c r="D203" s="4">
        <f t="shared" si="49"/>
        <v>24.58435369181117</v>
      </c>
      <c r="E203" s="10">
        <f t="shared" si="53"/>
        <v>22.430168556984061</v>
      </c>
      <c r="F203" s="8">
        <v>8080.6108134773613</v>
      </c>
      <c r="G203" s="19">
        <f t="shared" si="54"/>
        <v>8.3029322796125543E-2</v>
      </c>
      <c r="H203" s="21">
        <f t="shared" si="55"/>
        <v>645.86615247781174</v>
      </c>
      <c r="I203" s="5">
        <v>566</v>
      </c>
      <c r="J203" s="6">
        <f t="shared" si="50"/>
        <v>1.5506849315068494</v>
      </c>
      <c r="K203" s="4">
        <f t="shared" si="51"/>
        <v>33.21723167292042</v>
      </c>
      <c r="L203" s="10">
        <f t="shared" si="52"/>
        <v>59.472414547659575</v>
      </c>
      <c r="M203" s="13">
        <v>908.5999683879653</v>
      </c>
      <c r="N203" s="19">
        <f t="shared" si="56"/>
        <v>0.94425678213259578</v>
      </c>
      <c r="O203" s="21">
        <f t="shared" si="57"/>
        <v>1306.5381269753716</v>
      </c>
      <c r="P203" s="8">
        <f t="shared" si="58"/>
        <v>181249.46258968531</v>
      </c>
      <c r="Q203" s="8">
        <f t="shared" si="59"/>
        <v>54036.633977959456</v>
      </c>
      <c r="R203" s="8">
        <f t="shared" si="60"/>
        <v>15049.020135983263</v>
      </c>
      <c r="S203" s="8">
        <f t="shared" si="61"/>
        <v>51024.458117304886</v>
      </c>
      <c r="T203" s="8">
        <f t="shared" si="62"/>
        <v>9719.6527337886237</v>
      </c>
      <c r="U203" s="8">
        <f t="shared" si="63"/>
        <v>66665.399938516814</v>
      </c>
    </row>
    <row r="204" spans="1:21">
      <c r="A204" s="1">
        <v>41931</v>
      </c>
      <c r="B204" s="5">
        <v>202</v>
      </c>
      <c r="C204" s="6">
        <f t="shared" si="48"/>
        <v>0.55342465753424652</v>
      </c>
      <c r="D204" s="4">
        <f t="shared" si="49"/>
        <v>24.615499007770204</v>
      </c>
      <c r="E204" s="10">
        <f t="shared" si="53"/>
        <v>22.522367851755963</v>
      </c>
      <c r="F204" s="8">
        <v>8072.0032319032698</v>
      </c>
      <c r="G204" s="19">
        <f t="shared" si="54"/>
        <v>8.4477663386076721E-2</v>
      </c>
      <c r="H204" s="21">
        <f t="shared" si="55"/>
        <v>647.78326095770592</v>
      </c>
      <c r="I204" s="5">
        <v>567</v>
      </c>
      <c r="J204" s="6">
        <f t="shared" si="50"/>
        <v>1.5534246575342465</v>
      </c>
      <c r="K204" s="4">
        <f t="shared" si="51"/>
        <v>33.234669884452046</v>
      </c>
      <c r="L204" s="10">
        <f t="shared" si="52"/>
        <v>59.573631771278258</v>
      </c>
      <c r="M204" s="13">
        <v>897.36655877304793</v>
      </c>
      <c r="N204" s="19">
        <f t="shared" si="56"/>
        <v>0.94481041080782824</v>
      </c>
      <c r="O204" s="21">
        <f t="shared" si="57"/>
        <v>1308.1443833321102</v>
      </c>
      <c r="P204" s="8">
        <f t="shared" si="58"/>
        <v>181800.62608948845</v>
      </c>
      <c r="Q204" s="8">
        <f t="shared" si="59"/>
        <v>53459.384936204689</v>
      </c>
      <c r="R204" s="8">
        <f t="shared" si="60"/>
        <v>15358.092094165802</v>
      </c>
      <c r="S204" s="8">
        <f t="shared" si="61"/>
        <v>50508.983443109377</v>
      </c>
      <c r="T204" s="8">
        <f t="shared" si="62"/>
        <v>9948.7149788474871</v>
      </c>
      <c r="U204" s="8">
        <f t="shared" si="63"/>
        <v>66073.042998918085</v>
      </c>
    </row>
    <row r="205" spans="1:21">
      <c r="A205" s="1">
        <v>41932</v>
      </c>
      <c r="B205" s="5">
        <v>203</v>
      </c>
      <c r="C205" s="6">
        <f t="shared" si="48"/>
        <v>0.55616438356164388</v>
      </c>
      <c r="D205" s="4">
        <f t="shared" si="49"/>
        <v>24.646594871843181</v>
      </c>
      <c r="E205" s="10">
        <f t="shared" si="53"/>
        <v>22.614681814138404</v>
      </c>
      <c r="F205" s="8">
        <v>8063.4159512291171</v>
      </c>
      <c r="G205" s="19">
        <f t="shared" si="54"/>
        <v>8.5946546063084106E-2</v>
      </c>
      <c r="H205" s="21">
        <f t="shared" si="55"/>
        <v>649.70057332012573</v>
      </c>
      <c r="I205" s="5">
        <v>568</v>
      </c>
      <c r="J205" s="6">
        <f t="shared" si="50"/>
        <v>1.5561643835616439</v>
      </c>
      <c r="K205" s="4">
        <f t="shared" si="51"/>
        <v>33.252080407953443</v>
      </c>
      <c r="L205" s="10">
        <f t="shared" si="52"/>
        <v>59.674807034141494</v>
      </c>
      <c r="M205" s="13">
        <v>886.38622742707139</v>
      </c>
      <c r="N205" s="19">
        <f t="shared" si="56"/>
        <v>0.94535799242208796</v>
      </c>
      <c r="O205" s="21">
        <f t="shared" si="57"/>
        <v>1309.7492172118498</v>
      </c>
      <c r="P205" s="8">
        <f t="shared" si="58"/>
        <v>182351.58607209462</v>
      </c>
      <c r="Q205" s="8">
        <f t="shared" si="59"/>
        <v>52894.927079431145</v>
      </c>
      <c r="R205" s="8">
        <f t="shared" si="60"/>
        <v>15672.488992021727</v>
      </c>
      <c r="S205" s="8">
        <f t="shared" si="61"/>
        <v>50004.642073123767</v>
      </c>
      <c r="T205" s="8">
        <f t="shared" si="62"/>
        <v>10182.425083469876</v>
      </c>
      <c r="U205" s="8">
        <f t="shared" si="63"/>
        <v>65493.540812232583</v>
      </c>
    </row>
    <row r="206" spans="1:21">
      <c r="A206" s="1">
        <v>41933</v>
      </c>
      <c r="B206" s="5">
        <v>204</v>
      </c>
      <c r="C206" s="6">
        <f t="shared" si="48"/>
        <v>0.55890410958904113</v>
      </c>
      <c r="D206" s="4">
        <f t="shared" si="49"/>
        <v>24.677641362548773</v>
      </c>
      <c r="E206" s="10">
        <f t="shared" si="53"/>
        <v>22.707109841413146</v>
      </c>
      <c r="F206" s="8">
        <v>8054.8286705549644</v>
      </c>
      <c r="G206" s="19">
        <f t="shared" si="54"/>
        <v>8.7436142707828887E-2</v>
      </c>
      <c r="H206" s="21">
        <f t="shared" si="55"/>
        <v>651.61808032992928</v>
      </c>
      <c r="I206" s="5">
        <v>569</v>
      </c>
      <c r="J206" s="6">
        <f t="shared" si="50"/>
        <v>1.558904109589041</v>
      </c>
      <c r="K206" s="4">
        <f t="shared" si="51"/>
        <v>33.269463287387097</v>
      </c>
      <c r="L206" s="10">
        <f t="shared" si="52"/>
        <v>59.77594010297522</v>
      </c>
      <c r="M206" s="13">
        <v>877.17948491746154</v>
      </c>
      <c r="N206" s="19">
        <f t="shared" si="56"/>
        <v>0.94589959484967245</v>
      </c>
      <c r="O206" s="21">
        <f t="shared" si="57"/>
        <v>1311.3526274951034</v>
      </c>
      <c r="P206" s="8">
        <f t="shared" si="58"/>
        <v>182901.87937605541</v>
      </c>
      <c r="Q206" s="8">
        <f t="shared" si="59"/>
        <v>52434.228349984834</v>
      </c>
      <c r="R206" s="8">
        <f t="shared" si="60"/>
        <v>15992.234826654885</v>
      </c>
      <c r="S206" s="8">
        <f t="shared" si="61"/>
        <v>49597.515352505863</v>
      </c>
      <c r="T206" s="8">
        <f t="shared" si="62"/>
        <v>10420.829357930295</v>
      </c>
      <c r="U206" s="8">
        <f t="shared" si="63"/>
        <v>65039.832074737293</v>
      </c>
    </row>
    <row r="207" spans="1:21">
      <c r="A207" s="1">
        <v>41934</v>
      </c>
      <c r="B207" s="5">
        <v>205</v>
      </c>
      <c r="C207" s="6">
        <f t="shared" si="48"/>
        <v>0.56164383561643838</v>
      </c>
      <c r="D207" s="4">
        <f t="shared" si="49"/>
        <v>24.708638558281002</v>
      </c>
      <c r="E207" s="10">
        <f t="shared" si="53"/>
        <v>22.799651331337639</v>
      </c>
      <c r="F207" s="8">
        <v>8046.2413898808127</v>
      </c>
      <c r="G207" s="19">
        <f t="shared" si="54"/>
        <v>8.89466234276345E-2</v>
      </c>
      <c r="H207" s="21">
        <f t="shared" si="55"/>
        <v>653.53577278713715</v>
      </c>
      <c r="I207" s="5">
        <v>570</v>
      </c>
      <c r="J207" s="6">
        <f t="shared" si="50"/>
        <v>1.5616438356164384</v>
      </c>
      <c r="K207" s="4">
        <f t="shared" si="51"/>
        <v>33.286818566645671</v>
      </c>
      <c r="L207" s="10">
        <f t="shared" si="52"/>
        <v>59.877030745471345</v>
      </c>
      <c r="M207" s="13">
        <v>865.97056674792566</v>
      </c>
      <c r="N207" s="19">
        <f t="shared" si="56"/>
        <v>0.94643528525805609</v>
      </c>
      <c r="O207" s="21">
        <f t="shared" si="57"/>
        <v>1312.954613073854</v>
      </c>
      <c r="P207" s="8">
        <f t="shared" si="58"/>
        <v>183451.49821706009</v>
      </c>
      <c r="Q207" s="8">
        <f t="shared" si="59"/>
        <v>51851.74624983879</v>
      </c>
      <c r="R207" s="8">
        <f t="shared" si="60"/>
        <v>16317.391329148206</v>
      </c>
      <c r="S207" s="8">
        <f t="shared" si="61"/>
        <v>49074.322253094513</v>
      </c>
      <c r="T207" s="8">
        <f t="shared" si="62"/>
        <v>10663.998952165004</v>
      </c>
      <c r="U207" s="8">
        <f t="shared" si="63"/>
        <v>64432.357785673325</v>
      </c>
    </row>
    <row r="208" spans="1:21">
      <c r="A208" s="1">
        <v>41935</v>
      </c>
      <c r="B208" s="5">
        <v>206</v>
      </c>
      <c r="C208" s="6">
        <f t="shared" si="48"/>
        <v>0.56438356164383563</v>
      </c>
      <c r="D208" s="4">
        <f t="shared" si="49"/>
        <v>24.739586537309389</v>
      </c>
      <c r="E208" s="10">
        <f t="shared" si="53"/>
        <v>22.89230568215331</v>
      </c>
      <c r="F208" s="8">
        <v>8037.6744101065997</v>
      </c>
      <c r="G208" s="19">
        <f t="shared" si="54"/>
        <v>9.0478156449779676E-2</v>
      </c>
      <c r="H208" s="21">
        <f t="shared" si="55"/>
        <v>655.45364152684931</v>
      </c>
      <c r="I208" s="5">
        <v>571</v>
      </c>
      <c r="J208" s="6">
        <f t="shared" si="50"/>
        <v>1.5643835616438355</v>
      </c>
      <c r="K208" s="4">
        <f t="shared" si="51"/>
        <v>33.304146289552165</v>
      </c>
      <c r="L208" s="10">
        <f t="shared" si="52"/>
        <v>59.978078730286029</v>
      </c>
      <c r="M208" s="13">
        <v>855.05350496918425</v>
      </c>
      <c r="N208" s="19">
        <f t="shared" si="56"/>
        <v>0.94696513011275563</v>
      </c>
      <c r="O208" s="21">
        <f t="shared" si="57"/>
        <v>1314.5551728515188</v>
      </c>
      <c r="P208" s="8">
        <f t="shared" si="58"/>
        <v>184000.89956978156</v>
      </c>
      <c r="Q208" s="8">
        <f t="shared" si="59"/>
        <v>51284.46643964875</v>
      </c>
      <c r="R208" s="8">
        <f t="shared" si="60"/>
        <v>16648.062178174892</v>
      </c>
      <c r="S208" s="8">
        <f t="shared" si="61"/>
        <v>48564.601434785225</v>
      </c>
      <c r="T208" s="8">
        <f t="shared" si="62"/>
        <v>10912.032979050144</v>
      </c>
      <c r="U208" s="8">
        <f t="shared" si="63"/>
        <v>63840.848033569207</v>
      </c>
    </row>
    <row r="209" spans="1:21">
      <c r="A209" s="1">
        <v>41936</v>
      </c>
      <c r="B209" s="5">
        <v>207</v>
      </c>
      <c r="C209" s="6">
        <f t="shared" si="48"/>
        <v>0.56712328767123288</v>
      </c>
      <c r="D209" s="4">
        <f t="shared" si="49"/>
        <v>24.770485377779199</v>
      </c>
      <c r="E209" s="10">
        <f t="shared" si="53"/>
        <v>22.98507229259414</v>
      </c>
      <c r="F209" s="8">
        <v>8029.1074303323858</v>
      </c>
      <c r="G209" s="19">
        <f t="shared" si="54"/>
        <v>9.2030908013246426E-2</v>
      </c>
      <c r="H209" s="21">
        <f t="shared" si="55"/>
        <v>657.37167741917619</v>
      </c>
      <c r="I209" s="5">
        <v>572</v>
      </c>
      <c r="J209" s="6">
        <f t="shared" si="50"/>
        <v>1.5671232876712329</v>
      </c>
      <c r="K209" s="4">
        <f t="shared" si="51"/>
        <v>33.321446499859974</v>
      </c>
      <c r="L209" s="10">
        <f t="shared" si="52"/>
        <v>60.079083827037508</v>
      </c>
      <c r="M209" s="13">
        <v>846.32434564451103</v>
      </c>
      <c r="N209" s="19">
        <f t="shared" si="56"/>
        <v>0.94748919518224806</v>
      </c>
      <c r="O209" s="21">
        <f t="shared" si="57"/>
        <v>1316.154305742893</v>
      </c>
      <c r="P209" s="8">
        <f t="shared" si="58"/>
        <v>184549.61473119466</v>
      </c>
      <c r="Q209" s="8">
        <f t="shared" si="59"/>
        <v>50846.391306839243</v>
      </c>
      <c r="R209" s="8">
        <f t="shared" si="60"/>
        <v>16984.268617206642</v>
      </c>
      <c r="S209" s="8">
        <f t="shared" si="61"/>
        <v>48176.406377238767</v>
      </c>
      <c r="T209" s="8">
        <f t="shared" si="62"/>
        <v>11164.977150631003</v>
      </c>
      <c r="U209" s="8">
        <f t="shared" si="63"/>
        <v>63407.584688622177</v>
      </c>
    </row>
    <row r="210" spans="1:21">
      <c r="A210" s="1">
        <v>41937</v>
      </c>
      <c r="B210" s="5">
        <v>208</v>
      </c>
      <c r="C210" s="6">
        <f t="shared" si="48"/>
        <v>0.56986301369863013</v>
      </c>
      <c r="D210" s="4">
        <f t="shared" si="49"/>
        <v>24.801335157711613</v>
      </c>
      <c r="E210" s="10">
        <f t="shared" si="53"/>
        <v>23.077950561895051</v>
      </c>
      <c r="F210" s="8">
        <v>8020.5607514581125</v>
      </c>
      <c r="G210" s="19">
        <f t="shared" si="54"/>
        <v>9.3605042258937815E-2</v>
      </c>
      <c r="H210" s="21">
        <f t="shared" si="55"/>
        <v>659.28987136916351</v>
      </c>
      <c r="I210" s="5">
        <v>573</v>
      </c>
      <c r="J210" s="6">
        <f t="shared" si="50"/>
        <v>1.5698630136986302</v>
      </c>
      <c r="K210" s="4">
        <f t="shared" si="51"/>
        <v>33.338719241253038</v>
      </c>
      <c r="L210" s="10">
        <f t="shared" si="52"/>
        <v>60.180045806304513</v>
      </c>
      <c r="M210" s="13">
        <v>836.49919413902182</v>
      </c>
      <c r="N210" s="19">
        <f t="shared" si="56"/>
        <v>0.94800754554293798</v>
      </c>
      <c r="O210" s="21">
        <f t="shared" si="57"/>
        <v>1317.752010674119</v>
      </c>
      <c r="P210" s="8">
        <f t="shared" si="58"/>
        <v>185098.10450082613</v>
      </c>
      <c r="Q210" s="8">
        <f t="shared" si="59"/>
        <v>50340.559820223141</v>
      </c>
      <c r="R210" s="8">
        <f t="shared" si="60"/>
        <v>17326.115893849117</v>
      </c>
      <c r="S210" s="8">
        <f t="shared" si="61"/>
        <v>47723.230556427181</v>
      </c>
      <c r="T210" s="8">
        <f t="shared" si="62"/>
        <v>11422.932718983004</v>
      </c>
      <c r="U210" s="8">
        <f t="shared" si="63"/>
        <v>62887.38302159647</v>
      </c>
    </row>
    <row r="211" spans="1:21">
      <c r="A211" s="1">
        <v>41938</v>
      </c>
      <c r="B211" s="5">
        <v>209</v>
      </c>
      <c r="C211" s="6">
        <f t="shared" si="48"/>
        <v>0.57260273972602738</v>
      </c>
      <c r="D211" s="4">
        <f t="shared" si="49"/>
        <v>24.832135955003938</v>
      </c>
      <c r="E211" s="10">
        <f t="shared" si="53"/>
        <v>23.170939889800167</v>
      </c>
      <c r="F211" s="8">
        <v>8012.0140725838373</v>
      </c>
      <c r="G211" s="19">
        <f t="shared" si="54"/>
        <v>9.5200721118416848E-2</v>
      </c>
      <c r="H211" s="21">
        <f t="shared" si="55"/>
        <v>661.20821431671754</v>
      </c>
      <c r="I211" s="5">
        <v>574</v>
      </c>
      <c r="J211" s="6">
        <f t="shared" si="50"/>
        <v>1.5726027397260274</v>
      </c>
      <c r="K211" s="4">
        <f t="shared" si="51"/>
        <v>33.355964557345928</v>
      </c>
      <c r="L211" s="10">
        <f t="shared" si="52"/>
        <v>60.280964439624441</v>
      </c>
      <c r="M211" s="13">
        <v>826.86385133523834</v>
      </c>
      <c r="N211" s="19">
        <f t="shared" si="56"/>
        <v>0.94852024558417092</v>
      </c>
      <c r="O211" s="21">
        <f t="shared" si="57"/>
        <v>1319.348286582639</v>
      </c>
      <c r="P211" s="8">
        <f t="shared" si="58"/>
        <v>185645.89647207313</v>
      </c>
      <c r="Q211" s="8">
        <f t="shared" si="59"/>
        <v>49844.150418750411</v>
      </c>
      <c r="R211" s="8">
        <f t="shared" si="60"/>
        <v>17673.623216816319</v>
      </c>
      <c r="S211" s="8">
        <f t="shared" si="61"/>
        <v>47278.185796127495</v>
      </c>
      <c r="T211" s="8">
        <f t="shared" si="62"/>
        <v>11685.944847697599</v>
      </c>
      <c r="U211" s="8">
        <f t="shared" si="63"/>
        <v>62376.393422856476</v>
      </c>
    </row>
    <row r="212" spans="1:21">
      <c r="A212" s="1">
        <v>41939</v>
      </c>
      <c r="B212" s="5">
        <v>210</v>
      </c>
      <c r="C212" s="6">
        <f t="shared" si="48"/>
        <v>0.57534246575342463</v>
      </c>
      <c r="D212" s="4">
        <f t="shared" si="49"/>
        <v>24.862887847429793</v>
      </c>
      <c r="E212" s="10">
        <f t="shared" si="53"/>
        <v>23.264039676571034</v>
      </c>
      <c r="F212" s="8">
        <v>8003.487694609501</v>
      </c>
      <c r="G212" s="19">
        <f t="shared" si="54"/>
        <v>9.6818104201215893E-2</v>
      </c>
      <c r="H212" s="21">
        <f t="shared" si="55"/>
        <v>663.12669723652959</v>
      </c>
      <c r="I212" s="5">
        <v>575</v>
      </c>
      <c r="J212" s="6">
        <f t="shared" si="50"/>
        <v>1.5753424657534247</v>
      </c>
      <c r="K212" s="4">
        <f t="shared" si="51"/>
        <v>33.373182491683963</v>
      </c>
      <c r="L212" s="10">
        <f t="shared" si="52"/>
        <v>60.381839499491569</v>
      </c>
      <c r="M212" s="13">
        <v>818.19796157780024</v>
      </c>
      <c r="N212" s="19">
        <f t="shared" si="56"/>
        <v>0.94902735901329049</v>
      </c>
      <c r="O212" s="21">
        <f t="shared" si="57"/>
        <v>1320.9431324171405</v>
      </c>
      <c r="P212" s="8">
        <f t="shared" si="58"/>
        <v>186193.45527834346</v>
      </c>
      <c r="Q212" s="8">
        <f t="shared" si="59"/>
        <v>49404.297994801906</v>
      </c>
      <c r="R212" s="8">
        <f t="shared" si="60"/>
        <v>18026.897354723089</v>
      </c>
      <c r="S212" s="8">
        <f t="shared" si="61"/>
        <v>46886.030449912454</v>
      </c>
      <c r="T212" s="8">
        <f t="shared" si="62"/>
        <v>11954.116904259454</v>
      </c>
      <c r="U212" s="8">
        <f t="shared" si="63"/>
        <v>61933.779929112789</v>
      </c>
    </row>
    <row r="213" spans="1:21">
      <c r="A213" s="1">
        <v>41940</v>
      </c>
      <c r="B213" s="5">
        <v>211</v>
      </c>
      <c r="C213" s="6">
        <f t="shared" si="48"/>
        <v>0.57808219178082187</v>
      </c>
      <c r="D213" s="4">
        <f t="shared" si="49"/>
        <v>24.893590912639304</v>
      </c>
      <c r="E213" s="10">
        <f t="shared" si="53"/>
        <v>23.357249322994768</v>
      </c>
      <c r="F213" s="8">
        <v>7994.9613166351664</v>
      </c>
      <c r="G213" s="19">
        <f t="shared" si="54"/>
        <v>9.8457348680771523E-2</v>
      </c>
      <c r="H213" s="21">
        <f t="shared" si="55"/>
        <v>665.04531113800101</v>
      </c>
      <c r="I213" s="5">
        <v>576</v>
      </c>
      <c r="J213" s="6">
        <f t="shared" si="50"/>
        <v>1.5780821917808219</v>
      </c>
      <c r="K213" s="4">
        <f t="shared" si="51"/>
        <v>33.390373087743313</v>
      </c>
      <c r="L213" s="10">
        <f t="shared" si="52"/>
        <v>60.48267075935545</v>
      </c>
      <c r="M213" s="13">
        <v>808.53608637485354</v>
      </c>
      <c r="N213" s="19">
        <f t="shared" si="56"/>
        <v>0.9495289488607338</v>
      </c>
      <c r="O213" s="21">
        <f t="shared" si="57"/>
        <v>1322.5365471375353</v>
      </c>
      <c r="P213" s="8">
        <f t="shared" si="58"/>
        <v>186740.30480034612</v>
      </c>
      <c r="Q213" s="8">
        <f t="shared" si="59"/>
        <v>48902.421909268043</v>
      </c>
      <c r="R213" s="8">
        <f t="shared" si="60"/>
        <v>18385.95530248123</v>
      </c>
      <c r="S213" s="8">
        <f t="shared" si="61"/>
        <v>46434.265272251403</v>
      </c>
      <c r="T213" s="8">
        <f t="shared" si="62"/>
        <v>12227.493364708011</v>
      </c>
      <c r="U213" s="8">
        <f t="shared" si="63"/>
        <v>61411.012862031734</v>
      </c>
    </row>
    <row r="214" spans="1:21">
      <c r="A214" s="1">
        <v>41941</v>
      </c>
      <c r="B214" s="5">
        <v>212</v>
      </c>
      <c r="C214" s="6">
        <f t="shared" si="48"/>
        <v>0.58082191780821912</v>
      </c>
      <c r="D214" s="4">
        <f t="shared" si="49"/>
        <v>24.924245228159318</v>
      </c>
      <c r="E214" s="10">
        <f t="shared" si="53"/>
        <v>23.45056823039215</v>
      </c>
      <c r="F214" s="8">
        <v>7986.4552395607689</v>
      </c>
      <c r="G214" s="19">
        <f t="shared" si="54"/>
        <v>0.10011860917904122</v>
      </c>
      <c r="H214" s="21">
        <f t="shared" si="55"/>
        <v>666.96404706516887</v>
      </c>
      <c r="I214" s="5">
        <v>577</v>
      </c>
      <c r="J214" s="6">
        <f t="shared" si="50"/>
        <v>1.5808219178082192</v>
      </c>
      <c r="K214" s="4">
        <f t="shared" si="51"/>
        <v>33.407536388931149</v>
      </c>
      <c r="L214" s="10">
        <f t="shared" si="52"/>
        <v>60.583457993618353</v>
      </c>
      <c r="M214" s="13">
        <v>799.52527542829455</v>
      </c>
      <c r="N214" s="19">
        <f t="shared" si="56"/>
        <v>0.95002507748516529</v>
      </c>
      <c r="O214" s="21">
        <f t="shared" si="57"/>
        <v>1324.1285297148984</v>
      </c>
      <c r="P214" s="8">
        <f t="shared" si="58"/>
        <v>187286.91351429268</v>
      </c>
      <c r="Q214" s="8">
        <f t="shared" si="59"/>
        <v>48438.005938746224</v>
      </c>
      <c r="R214" s="8">
        <f t="shared" si="60"/>
        <v>18750.905298486363</v>
      </c>
      <c r="S214" s="8">
        <f t="shared" si="61"/>
        <v>46017.320345184278</v>
      </c>
      <c r="T214" s="8">
        <f t="shared" si="62"/>
        <v>12506.179684014183</v>
      </c>
      <c r="U214" s="8">
        <f t="shared" si="63"/>
        <v>60932.846730088335</v>
      </c>
    </row>
    <row r="215" spans="1:21">
      <c r="A215" s="1">
        <v>41942</v>
      </c>
      <c r="B215" s="5">
        <v>213</v>
      </c>
      <c r="C215" s="6">
        <f t="shared" si="48"/>
        <v>0.58356164383561648</v>
      </c>
      <c r="D215" s="4">
        <f t="shared" si="49"/>
        <v>24.954850871393578</v>
      </c>
      <c r="E215" s="10">
        <f t="shared" si="53"/>
        <v>23.543995800625545</v>
      </c>
      <c r="F215" s="8">
        <v>7977.9491624863722</v>
      </c>
      <c r="G215" s="19">
        <f t="shared" si="54"/>
        <v>0.1018020376498609</v>
      </c>
      <c r="H215" s="21">
        <f t="shared" si="55"/>
        <v>668.88289609663173</v>
      </c>
      <c r="I215" s="5">
        <v>578</v>
      </c>
      <c r="J215" s="6">
        <f t="shared" si="50"/>
        <v>1.5835616438356164</v>
      </c>
      <c r="K215" s="4">
        <f t="shared" si="51"/>
        <v>33.424672438585702</v>
      </c>
      <c r="L215" s="10">
        <f t="shared" si="52"/>
        <v>60.684200977634575</v>
      </c>
      <c r="M215" s="13">
        <v>791.60433380120639</v>
      </c>
      <c r="N215" s="19">
        <f t="shared" si="56"/>
        <v>0.9505158065786401</v>
      </c>
      <c r="O215" s="21">
        <f t="shared" si="57"/>
        <v>1325.7190791314374</v>
      </c>
      <c r="P215" s="8">
        <f t="shared" si="58"/>
        <v>187832.80157918323</v>
      </c>
      <c r="Q215" s="8">
        <f t="shared" si="59"/>
        <v>48037.876487158937</v>
      </c>
      <c r="R215" s="8">
        <f t="shared" si="60"/>
        <v>19121.761938242864</v>
      </c>
      <c r="S215" s="8">
        <f t="shared" si="61"/>
        <v>45660.76091551697</v>
      </c>
      <c r="T215" s="8">
        <f t="shared" si="62"/>
        <v>12790.219503722228</v>
      </c>
      <c r="U215" s="8">
        <f t="shared" si="63"/>
        <v>60533.341913359887</v>
      </c>
    </row>
    <row r="216" spans="1:21">
      <c r="A216" s="1">
        <v>41943</v>
      </c>
      <c r="B216" s="5">
        <v>214</v>
      </c>
      <c r="C216" s="6">
        <f t="shared" si="48"/>
        <v>0.58630136986301373</v>
      </c>
      <c r="D216" s="4">
        <f t="shared" si="49"/>
        <v>24.985407919622929</v>
      </c>
      <c r="E216" s="10">
        <f t="shared" si="53"/>
        <v>23.637531436107171</v>
      </c>
      <c r="F216" s="8">
        <v>7969.4430854119755</v>
      </c>
      <c r="G216" s="19">
        <f t="shared" si="54"/>
        <v>0.10350778326110853</v>
      </c>
      <c r="H216" s="21">
        <f t="shared" si="55"/>
        <v>670.80184934547594</v>
      </c>
      <c r="I216" s="5">
        <v>579</v>
      </c>
      <c r="J216" s="6">
        <f t="shared" si="50"/>
        <v>1.5863013698630137</v>
      </c>
      <c r="K216" s="4">
        <f t="shared" si="51"/>
        <v>33.441781279976368</v>
      </c>
      <c r="L216" s="10">
        <f t="shared" si="52"/>
        <v>60.784899487707591</v>
      </c>
      <c r="M216" s="13">
        <v>782.31187123276186</v>
      </c>
      <c r="N216" s="19">
        <f t="shared" si="56"/>
        <v>0.95100119717179787</v>
      </c>
      <c r="O216" s="21">
        <f t="shared" si="57"/>
        <v>1327.3081943804343</v>
      </c>
      <c r="P216" s="8">
        <f t="shared" si="58"/>
        <v>188377.96145969251</v>
      </c>
      <c r="Q216" s="8">
        <f t="shared" si="59"/>
        <v>47552.748460923875</v>
      </c>
      <c r="R216" s="8">
        <f t="shared" si="60"/>
        <v>19498.585205939307</v>
      </c>
      <c r="S216" s="8">
        <f t="shared" si="61"/>
        <v>45222.720715147974</v>
      </c>
      <c r="T216" s="8">
        <f t="shared" si="62"/>
        <v>13079.687015764424</v>
      </c>
      <c r="U216" s="8">
        <f t="shared" si="63"/>
        <v>60024.487777393719</v>
      </c>
    </row>
    <row r="217" spans="1:21">
      <c r="A217" s="1">
        <v>41944</v>
      </c>
      <c r="B217" s="5">
        <v>215</v>
      </c>
      <c r="C217" s="6">
        <f t="shared" si="48"/>
        <v>0.58904109589041098</v>
      </c>
      <c r="D217" s="4">
        <f t="shared" si="49"/>
        <v>25.015916450005509</v>
      </c>
      <c r="E217" s="10">
        <f t="shared" si="53"/>
        <v>23.731174539806556</v>
      </c>
      <c r="F217" s="8">
        <v>7960.9573092375185</v>
      </c>
      <c r="G217" s="19">
        <f t="shared" si="54"/>
        <v>0.10523599227574119</v>
      </c>
      <c r="H217" s="21">
        <f t="shared" si="55"/>
        <v>672.72089795919453</v>
      </c>
      <c r="I217" s="5">
        <v>580</v>
      </c>
      <c r="J217" s="6">
        <f t="shared" si="50"/>
        <v>1.5890410958904109</v>
      </c>
      <c r="K217" s="4">
        <f t="shared" si="51"/>
        <v>33.458862956303882</v>
      </c>
      <c r="L217" s="10">
        <f t="shared" si="52"/>
        <v>60.885553301088649</v>
      </c>
      <c r="M217" s="13">
        <v>773.08880109289782</v>
      </c>
      <c r="N217" s="19">
        <f t="shared" si="56"/>
        <v>0.95148130963908972</v>
      </c>
      <c r="O217" s="21">
        <f t="shared" si="57"/>
        <v>1328.8958744662204</v>
      </c>
      <c r="P217" s="8">
        <f t="shared" si="58"/>
        <v>188922.86740946432</v>
      </c>
      <c r="Q217" s="8">
        <f t="shared" si="59"/>
        <v>47069.939405416349</v>
      </c>
      <c r="R217" s="8">
        <f t="shared" si="60"/>
        <v>19881.485415413266</v>
      </c>
      <c r="S217" s="8">
        <f t="shared" si="61"/>
        <v>44786.167590098143</v>
      </c>
      <c r="T217" s="8">
        <f t="shared" si="62"/>
        <v>13374.690721419442</v>
      </c>
      <c r="U217" s="8">
        <f t="shared" si="63"/>
        <v>59516.153343634171</v>
      </c>
    </row>
    <row r="218" spans="1:21">
      <c r="A218" s="1">
        <v>41945</v>
      </c>
      <c r="B218" s="5">
        <v>216</v>
      </c>
      <c r="C218" s="6">
        <f t="shared" si="48"/>
        <v>0.59178082191780823</v>
      </c>
      <c r="D218" s="4">
        <f t="shared" si="49"/>
        <v>25.04637653957694</v>
      </c>
      <c r="E218" s="10">
        <f t="shared" si="53"/>
        <v>23.824924515258509</v>
      </c>
      <c r="F218" s="8">
        <v>7952.4918339629994</v>
      </c>
      <c r="G218" s="19">
        <f t="shared" si="54"/>
        <v>0.10698680793177474</v>
      </c>
      <c r="H218" s="21">
        <f t="shared" si="55"/>
        <v>674.64003311961687</v>
      </c>
      <c r="I218" s="5">
        <v>581</v>
      </c>
      <c r="J218" s="6">
        <f t="shared" si="50"/>
        <v>1.5917808219178082</v>
      </c>
      <c r="K218" s="4">
        <f t="shared" si="51"/>
        <v>33.47591751070037</v>
      </c>
      <c r="L218" s="10">
        <f t="shared" si="52"/>
        <v>60.986162195975247</v>
      </c>
      <c r="M218" s="13">
        <v>764.97600981032213</v>
      </c>
      <c r="N218" s="19">
        <f t="shared" si="56"/>
        <v>0.95195620370402023</v>
      </c>
      <c r="O218" s="21">
        <f t="shared" si="57"/>
        <v>1330.4821184041266</v>
      </c>
      <c r="P218" s="8">
        <f t="shared" si="58"/>
        <v>189467.51765237816</v>
      </c>
      <c r="Q218" s="8">
        <f t="shared" si="59"/>
        <v>46652.951010322256</v>
      </c>
      <c r="R218" s="8">
        <f t="shared" si="60"/>
        <v>20270.524920385124</v>
      </c>
      <c r="S218" s="8">
        <f t="shared" si="61"/>
        <v>44411.566135376008</v>
      </c>
      <c r="T218" s="8">
        <f t="shared" si="62"/>
        <v>13675.307603640638</v>
      </c>
      <c r="U218" s="8">
        <f t="shared" si="63"/>
        <v>59088.794593440041</v>
      </c>
    </row>
    <row r="219" spans="1:21">
      <c r="A219" s="1">
        <v>41946</v>
      </c>
      <c r="B219" s="5">
        <v>217</v>
      </c>
      <c r="C219" s="6">
        <f t="shared" si="48"/>
        <v>0.59452054794520548</v>
      </c>
      <c r="D219" s="4">
        <f t="shared" si="49"/>
        <v>25.076788265250563</v>
      </c>
      <c r="E219" s="10">
        <f t="shared" si="53"/>
        <v>23.918780766570976</v>
      </c>
      <c r="F219" s="8">
        <v>7944.0060577885415</v>
      </c>
      <c r="G219" s="19">
        <f t="shared" si="54"/>
        <v>0.10876037032128241</v>
      </c>
      <c r="H219" s="21">
        <f t="shared" si="55"/>
        <v>676.55924604283393</v>
      </c>
      <c r="I219" s="5">
        <v>582</v>
      </c>
      <c r="J219" s="6">
        <f t="shared" si="50"/>
        <v>1.5945205479452054</v>
      </c>
      <c r="K219" s="4">
        <f t="shared" si="51"/>
        <v>33.49294498622946</v>
      </c>
      <c r="L219" s="10">
        <f t="shared" si="52"/>
        <v>61.086725951508839</v>
      </c>
      <c r="M219" s="13">
        <v>756.91832427985446</v>
      </c>
      <c r="N219" s="19">
        <f t="shared" si="56"/>
        <v>0.95242593844441736</v>
      </c>
      <c r="O219" s="21">
        <f t="shared" si="57"/>
        <v>1332.0669252204341</v>
      </c>
      <c r="P219" s="8">
        <f t="shared" si="58"/>
        <v>190010.93930455588</v>
      </c>
      <c r="Q219" s="8">
        <f t="shared" si="59"/>
        <v>46237.662242958766</v>
      </c>
      <c r="R219" s="8">
        <f t="shared" si="60"/>
        <v>20665.660123858215</v>
      </c>
      <c r="S219" s="8">
        <f t="shared" si="61"/>
        <v>44037.948853226007</v>
      </c>
      <c r="T219" s="8">
        <f t="shared" si="62"/>
        <v>13981.543432374972</v>
      </c>
      <c r="U219" s="8">
        <f t="shared" si="63"/>
        <v>58661.495121931512</v>
      </c>
    </row>
    <row r="220" spans="1:21">
      <c r="A220" s="1">
        <v>41947</v>
      </c>
      <c r="B220" s="5">
        <v>218</v>
      </c>
      <c r="C220" s="6">
        <f t="shared" si="48"/>
        <v>0.59726027397260273</v>
      </c>
      <c r="D220" s="4">
        <f t="shared" si="49"/>
        <v>25.107151703817539</v>
      </c>
      <c r="E220" s="10">
        <f t="shared" si="53"/>
        <v>24.012742698432529</v>
      </c>
      <c r="F220" s="8">
        <v>7935.5608834139612</v>
      </c>
      <c r="G220" s="19">
        <f t="shared" si="54"/>
        <v>0.11055681626848216</v>
      </c>
      <c r="H220" s="21">
        <f t="shared" si="55"/>
        <v>678.4785279791181</v>
      </c>
      <c r="I220" s="5">
        <v>583</v>
      </c>
      <c r="J220" s="6">
        <f t="shared" si="50"/>
        <v>1.5972602739726027</v>
      </c>
      <c r="K220" s="4">
        <f t="shared" si="51"/>
        <v>33.509945425886421</v>
      </c>
      <c r="L220" s="10">
        <f t="shared" si="52"/>
        <v>61.18724434777301</v>
      </c>
      <c r="M220" s="13">
        <v>749.04840649731068</v>
      </c>
      <c r="N220" s="19">
        <f t="shared" si="56"/>
        <v>0.95289057229771945</v>
      </c>
      <c r="O220" s="21">
        <f t="shared" si="57"/>
        <v>1333.6502939523446</v>
      </c>
      <c r="P220" s="8">
        <f t="shared" si="58"/>
        <v>190554.58166116537</v>
      </c>
      <c r="Q220" s="8">
        <f t="shared" si="59"/>
        <v>45832.207876660956</v>
      </c>
      <c r="R220" s="8">
        <f t="shared" si="60"/>
        <v>21067.107873830941</v>
      </c>
      <c r="S220" s="8">
        <f t="shared" si="61"/>
        <v>43673.078793259505</v>
      </c>
      <c r="T220" s="8">
        <f t="shared" si="62"/>
        <v>14293.580339014106</v>
      </c>
      <c r="U220" s="8">
        <f t="shared" si="63"/>
        <v>58244.614370434443</v>
      </c>
    </row>
    <row r="221" spans="1:21">
      <c r="A221" s="1">
        <v>41948</v>
      </c>
      <c r="B221" s="5">
        <v>219</v>
      </c>
      <c r="C221" s="6">
        <f t="shared" si="48"/>
        <v>0.6</v>
      </c>
      <c r="D221" s="4">
        <f t="shared" si="49"/>
        <v>25.137466931947152</v>
      </c>
      <c r="E221" s="10">
        <f t="shared" si="53"/>
        <v>24.106809716120093</v>
      </c>
      <c r="F221" s="8">
        <v>7927.095408139443</v>
      </c>
      <c r="G221" s="19">
        <f t="shared" si="54"/>
        <v>0.11237627920700914</v>
      </c>
      <c r="H221" s="21">
        <f t="shared" si="55"/>
        <v>680.3978702128511</v>
      </c>
      <c r="I221" s="5">
        <v>584</v>
      </c>
      <c r="J221" s="6">
        <f t="shared" si="50"/>
        <v>1.6</v>
      </c>
      <c r="K221" s="4">
        <f t="shared" si="51"/>
        <v>33.526918872598245</v>
      </c>
      <c r="L221" s="10">
        <f t="shared" si="52"/>
        <v>61.287717165791918</v>
      </c>
      <c r="M221" s="13">
        <v>741.81730724846409</v>
      </c>
      <c r="N221" s="19">
        <f t="shared" si="56"/>
        <v>0.95335016306627784</v>
      </c>
      <c r="O221" s="21">
        <f t="shared" si="57"/>
        <v>1335.2322236479326</v>
      </c>
      <c r="P221" s="8">
        <f t="shared" si="58"/>
        <v>191096.98060554691</v>
      </c>
      <c r="Q221" s="8">
        <f t="shared" si="59"/>
        <v>45464.289315333233</v>
      </c>
      <c r="R221" s="8">
        <f t="shared" si="60"/>
        <v>21474.767648145349</v>
      </c>
      <c r="S221" s="8">
        <f t="shared" si="61"/>
        <v>43343.387632465368</v>
      </c>
      <c r="T221" s="8">
        <f t="shared" si="62"/>
        <v>14611.386171113933</v>
      </c>
      <c r="U221" s="8">
        <f t="shared" si="63"/>
        <v>57873.487848931036</v>
      </c>
    </row>
    <row r="222" spans="1:21">
      <c r="A222" s="1">
        <v>41949</v>
      </c>
      <c r="B222" s="5">
        <v>220</v>
      </c>
      <c r="C222" s="6">
        <f t="shared" si="48"/>
        <v>0.60273972602739723</v>
      </c>
      <c r="D222" s="4">
        <f t="shared" si="49"/>
        <v>25.16773402618692</v>
      </c>
      <c r="E222" s="10">
        <f t="shared" si="53"/>
        <v>24.200981225506268</v>
      </c>
      <c r="F222" s="8">
        <v>7918.6502337648626</v>
      </c>
      <c r="G222" s="19">
        <f t="shared" si="54"/>
        <v>0.11421888905643855</v>
      </c>
      <c r="H222" s="21">
        <f t="shared" si="55"/>
        <v>682.31726406244752</v>
      </c>
      <c r="I222" s="5">
        <v>585</v>
      </c>
      <c r="J222" s="6">
        <f t="shared" si="50"/>
        <v>1.6027397260273972</v>
      </c>
      <c r="K222" s="4">
        <f t="shared" si="51"/>
        <v>33.543865369223774</v>
      </c>
      <c r="L222" s="10">
        <f t="shared" si="52"/>
        <v>61.388144187528368</v>
      </c>
      <c r="M222" s="13">
        <v>733.36571763811287</v>
      </c>
      <c r="N222" s="19">
        <f t="shared" si="56"/>
        <v>0.9538047679226751</v>
      </c>
      <c r="O222" s="21">
        <f t="shared" si="57"/>
        <v>1336.8127133660983</v>
      </c>
      <c r="P222" s="8">
        <f t="shared" si="58"/>
        <v>191639.10563869425</v>
      </c>
      <c r="Q222" s="8">
        <f t="shared" si="59"/>
        <v>45019.960416558686</v>
      </c>
      <c r="R222" s="8">
        <f t="shared" si="60"/>
        <v>21888.805745821126</v>
      </c>
      <c r="S222" s="8">
        <f t="shared" si="61"/>
        <v>42940.252897003775</v>
      </c>
      <c r="T222" s="8">
        <f t="shared" si="62"/>
        <v>14935.110050083053</v>
      </c>
      <c r="U222" s="8">
        <f t="shared" si="63"/>
        <v>57403.075987870077</v>
      </c>
    </row>
    <row r="223" spans="1:21">
      <c r="A223" s="1">
        <v>41950</v>
      </c>
      <c r="B223" s="5">
        <v>221</v>
      </c>
      <c r="C223" s="6">
        <f t="shared" si="48"/>
        <v>0.60547945205479448</v>
      </c>
      <c r="D223" s="4">
        <f t="shared" si="49"/>
        <v>25.197953062962853</v>
      </c>
      <c r="E223" s="10">
        <f t="shared" si="53"/>
        <v>24.295256633067087</v>
      </c>
      <c r="F223" s="8">
        <v>7910.225360290221</v>
      </c>
      <c r="G223" s="19">
        <f t="shared" si="54"/>
        <v>0.11608477209816237</v>
      </c>
      <c r="H223" s="21">
        <f t="shared" si="55"/>
        <v>684.23670088027927</v>
      </c>
      <c r="I223" s="5">
        <v>586</v>
      </c>
      <c r="J223" s="6">
        <f t="shared" si="50"/>
        <v>1.6054794520547946</v>
      </c>
      <c r="K223" s="4">
        <f t="shared" si="51"/>
        <v>33.560784958553796</v>
      </c>
      <c r="L223" s="10">
        <f t="shared" si="52"/>
        <v>61.488525195881934</v>
      </c>
      <c r="M223" s="13">
        <v>724.86106322943544</v>
      </c>
      <c r="N223" s="19">
        <f t="shared" si="56"/>
        <v>0.95425444341505228</v>
      </c>
      <c r="O223" s="21">
        <f t="shared" si="57"/>
        <v>1338.3917621765377</v>
      </c>
      <c r="P223" s="8">
        <f t="shared" si="58"/>
        <v>192180.95515364647</v>
      </c>
      <c r="Q223" s="8">
        <f t="shared" si="59"/>
        <v>44570.637749896909</v>
      </c>
      <c r="R223" s="8">
        <f t="shared" si="60"/>
        <v>22309.282380618213</v>
      </c>
      <c r="S223" s="8">
        <f t="shared" si="61"/>
        <v>42531.729118681789</v>
      </c>
      <c r="T223" s="8">
        <f t="shared" si="62"/>
        <v>15264.829775120748</v>
      </c>
      <c r="U223" s="8">
        <f t="shared" si="63"/>
        <v>56924.115883567676</v>
      </c>
    </row>
    <row r="224" spans="1:21">
      <c r="A224" s="1">
        <v>41951</v>
      </c>
      <c r="B224" s="5">
        <v>222</v>
      </c>
      <c r="C224" s="6">
        <f t="shared" si="48"/>
        <v>0.60821917808219184</v>
      </c>
      <c r="D224" s="4">
        <f t="shared" si="49"/>
        <v>25.228124118579579</v>
      </c>
      <c r="E224" s="10">
        <f t="shared" si="53"/>
        <v>24.389635345889261</v>
      </c>
      <c r="F224" s="8">
        <v>7901.8004868155804</v>
      </c>
      <c r="G224" s="19">
        <f t="shared" si="54"/>
        <v>0.11797405085069973</v>
      </c>
      <c r="H224" s="21">
        <f t="shared" si="55"/>
        <v>686.15617205259878</v>
      </c>
      <c r="I224" s="5">
        <v>587</v>
      </c>
      <c r="J224" s="6">
        <f t="shared" si="50"/>
        <v>1.6082191780821917</v>
      </c>
      <c r="K224" s="4">
        <f t="shared" si="51"/>
        <v>33.577677683311158</v>
      </c>
      <c r="L224" s="10">
        <f t="shared" si="52"/>
        <v>61.588859974686812</v>
      </c>
      <c r="M224" s="13">
        <v>717.729970715896</v>
      </c>
      <c r="N224" s="19">
        <f t="shared" si="56"/>
        <v>0.95469924547244756</v>
      </c>
      <c r="O224" s="21">
        <f t="shared" si="57"/>
        <v>1339.9693691596879</v>
      </c>
      <c r="P224" s="8">
        <f t="shared" si="58"/>
        <v>192722.03244940224</v>
      </c>
      <c r="Q224" s="8">
        <f t="shared" si="59"/>
        <v>44204.170666057384</v>
      </c>
      <c r="R224" s="8">
        <f t="shared" si="60"/>
        <v>22736.198856235984</v>
      </c>
      <c r="S224" s="8">
        <f t="shared" si="61"/>
        <v>42201.688381620283</v>
      </c>
      <c r="T224" s="8">
        <f t="shared" si="62"/>
        <v>15600.583174221556</v>
      </c>
      <c r="U224" s="8">
        <f t="shared" si="63"/>
        <v>56548.969758193452</v>
      </c>
    </row>
    <row r="225" spans="1:21">
      <c r="A225" s="1">
        <v>41952</v>
      </c>
      <c r="B225" s="5">
        <v>223</v>
      </c>
      <c r="C225" s="6">
        <f t="shared" si="48"/>
        <v>0.61095890410958908</v>
      </c>
      <c r="D225" s="4">
        <f t="shared" si="49"/>
        <v>25.258247269220593</v>
      </c>
      <c r="E225" s="10">
        <f t="shared" si="53"/>
        <v>24.484116771677478</v>
      </c>
      <c r="F225" s="8">
        <v>7893.3959142408776</v>
      </c>
      <c r="G225" s="19">
        <f t="shared" si="54"/>
        <v>0.11988684394454446</v>
      </c>
      <c r="H225" s="21">
        <f t="shared" si="55"/>
        <v>688.07566899946448</v>
      </c>
      <c r="I225" s="5">
        <v>588</v>
      </c>
      <c r="J225" s="6">
        <f t="shared" si="50"/>
        <v>1.6109589041095891</v>
      </c>
      <c r="K225" s="4">
        <f t="shared" si="51"/>
        <v>33.59454358615087</v>
      </c>
      <c r="L225" s="10">
        <f t="shared" si="52"/>
        <v>61.689148308710763</v>
      </c>
      <c r="M225" s="13">
        <v>709.82739767284363</v>
      </c>
      <c r="N225" s="19">
        <f t="shared" si="56"/>
        <v>0.9551392294101404</v>
      </c>
      <c r="O225" s="21">
        <f t="shared" si="57"/>
        <v>1341.5455334066921</v>
      </c>
      <c r="P225" s="8">
        <f t="shared" si="58"/>
        <v>193262.82728935554</v>
      </c>
      <c r="Q225" s="8">
        <f t="shared" si="59"/>
        <v>43788.647608626263</v>
      </c>
      <c r="R225" s="8">
        <f t="shared" si="60"/>
        <v>23169.670415520417</v>
      </c>
      <c r="S225" s="8">
        <f t="shared" si="61"/>
        <v>41824.255133815474</v>
      </c>
      <c r="T225" s="8">
        <f t="shared" si="62"/>
        <v>15942.486471656312</v>
      </c>
      <c r="U225" s="8">
        <f t="shared" si="63"/>
        <v>56109.142662832062</v>
      </c>
    </row>
    <row r="226" spans="1:21">
      <c r="A226" s="1">
        <v>41953</v>
      </c>
      <c r="B226" s="5">
        <v>224</v>
      </c>
      <c r="C226" s="6">
        <f t="shared" si="48"/>
        <v>0.61369863013698633</v>
      </c>
      <c r="D226" s="4">
        <f t="shared" si="49"/>
        <v>25.288322590948418</v>
      </c>
      <c r="E226" s="10">
        <f t="shared" si="53"/>
        <v>24.578700318761598</v>
      </c>
      <c r="F226" s="8">
        <v>7884.9710407662369</v>
      </c>
      <c r="G226" s="19">
        <f t="shared" si="54"/>
        <v>0.12182326599664219</v>
      </c>
      <c r="H226" s="21">
        <f t="shared" si="55"/>
        <v>689.99518317466004</v>
      </c>
      <c r="I226" s="5">
        <v>589</v>
      </c>
      <c r="J226" s="6">
        <f t="shared" si="50"/>
        <v>1.6136986301369862</v>
      </c>
      <c r="K226" s="4">
        <f t="shared" si="51"/>
        <v>33.611382709660205</v>
      </c>
      <c r="L226" s="10">
        <f t="shared" si="52"/>
        <v>61.789389983652327</v>
      </c>
      <c r="M226" s="13">
        <v>701.94931607517265</v>
      </c>
      <c r="N226" s="19">
        <f t="shared" si="56"/>
        <v>0.95557444993500129</v>
      </c>
      <c r="O226" s="21">
        <f t="shared" si="57"/>
        <v>1343.1202540193603</v>
      </c>
      <c r="P226" s="8">
        <f t="shared" si="58"/>
        <v>193802.34023310707</v>
      </c>
      <c r="Q226" s="8">
        <f t="shared" si="59"/>
        <v>43373.020039726871</v>
      </c>
      <c r="R226" s="8">
        <f t="shared" si="60"/>
        <v>23609.634044989551</v>
      </c>
      <c r="S226" s="8">
        <f t="shared" si="61"/>
        <v>41446.149766481794</v>
      </c>
      <c r="T226" s="8">
        <f t="shared" si="62"/>
        <v>16290.533767559255</v>
      </c>
      <c r="U226" s="8">
        <f t="shared" si="63"/>
        <v>55667.163202481475</v>
      </c>
    </row>
    <row r="227" spans="1:21">
      <c r="A227" s="1">
        <v>41954</v>
      </c>
      <c r="B227" s="5">
        <v>225</v>
      </c>
      <c r="C227" s="6">
        <f t="shared" si="48"/>
        <v>0.61643835616438358</v>
      </c>
      <c r="D227" s="4">
        <f t="shared" si="49"/>
        <v>25.318350159704814</v>
      </c>
      <c r="E227" s="10">
        <f t="shared" si="53"/>
        <v>24.673385396104031</v>
      </c>
      <c r="F227" s="8">
        <v>7876.5867690914738</v>
      </c>
      <c r="G227" s="19">
        <f t="shared" si="54"/>
        <v>0.12378342748459936</v>
      </c>
      <c r="H227" s="21">
        <f t="shared" si="55"/>
        <v>691.91470606562552</v>
      </c>
      <c r="I227" s="5">
        <v>590</v>
      </c>
      <c r="J227" s="6">
        <f t="shared" si="50"/>
        <v>1.6164383561643836</v>
      </c>
      <c r="K227" s="4">
        <f t="shared" si="51"/>
        <v>33.628195096358844</v>
      </c>
      <c r="L227" s="10">
        <f t="shared" si="52"/>
        <v>61.889584786139672</v>
      </c>
      <c r="M227" s="13">
        <v>694.12021736826455</v>
      </c>
      <c r="N227" s="19">
        <f t="shared" si="56"/>
        <v>0.95600496115084554</v>
      </c>
      <c r="O227" s="21">
        <f t="shared" si="57"/>
        <v>1344.6935301101307</v>
      </c>
      <c r="P227" s="8">
        <f t="shared" si="58"/>
        <v>194342.06095964782</v>
      </c>
      <c r="Q227" s="8">
        <f t="shared" si="59"/>
        <v>42958.812044586906</v>
      </c>
      <c r="R227" s="8">
        <f t="shared" si="60"/>
        <v>24056.326410006153</v>
      </c>
      <c r="S227" s="8">
        <f t="shared" si="61"/>
        <v>41068.837439771778</v>
      </c>
      <c r="T227" s="8">
        <f t="shared" si="62"/>
        <v>16644.92601699815</v>
      </c>
      <c r="U227" s="8">
        <f t="shared" si="63"/>
        <v>55224.999994405815</v>
      </c>
    </row>
    <row r="228" spans="1:21">
      <c r="A228" s="1">
        <v>41955</v>
      </c>
      <c r="B228" s="5">
        <v>226</v>
      </c>
      <c r="C228" s="6">
        <f t="shared" si="48"/>
        <v>0.61917808219178083</v>
      </c>
      <c r="D228" s="4">
        <f t="shared" si="49"/>
        <v>25.348330051310953</v>
      </c>
      <c r="E228" s="10">
        <f t="shared" si="53"/>
        <v>24.76817141330686</v>
      </c>
      <c r="F228" s="8">
        <v>7868.2024974167098</v>
      </c>
      <c r="G228" s="19">
        <f t="shared" si="54"/>
        <v>0.12576743462072965</v>
      </c>
      <c r="H228" s="21">
        <f t="shared" si="55"/>
        <v>693.83422919337784</v>
      </c>
      <c r="I228" s="5">
        <v>591</v>
      </c>
      <c r="J228" s="6">
        <f t="shared" si="50"/>
        <v>1.6191780821917807</v>
      </c>
      <c r="K228" s="4">
        <f t="shared" si="51"/>
        <v>33.644980788698923</v>
      </c>
      <c r="L228" s="10">
        <f t="shared" si="52"/>
        <v>61.989732503728305</v>
      </c>
      <c r="M228" s="13">
        <v>685.66046394278624</v>
      </c>
      <c r="N228" s="19">
        <f t="shared" si="56"/>
        <v>0.95643081656378337</v>
      </c>
      <c r="O228" s="21">
        <f t="shared" si="57"/>
        <v>1346.2653608020078</v>
      </c>
      <c r="P228" s="8">
        <f t="shared" si="58"/>
        <v>194880.98817062619</v>
      </c>
      <c r="Q228" s="8">
        <f t="shared" si="59"/>
        <v>42503.908748195565</v>
      </c>
      <c r="R228" s="8">
        <f t="shared" si="60"/>
        <v>24509.681938572416</v>
      </c>
      <c r="S228" s="8">
        <f t="shared" si="61"/>
        <v>40652.048151189221</v>
      </c>
      <c r="T228" s="8">
        <f t="shared" si="62"/>
        <v>17005.656275624246</v>
      </c>
      <c r="U228" s="8">
        <f t="shared" si="63"/>
        <v>54728.444271601351</v>
      </c>
    </row>
    <row r="229" spans="1:21">
      <c r="A229" s="1">
        <v>41956</v>
      </c>
      <c r="B229" s="5">
        <v>227</v>
      </c>
      <c r="C229" s="6">
        <f t="shared" si="48"/>
        <v>0.62191780821917808</v>
      </c>
      <c r="D229" s="4">
        <f t="shared" si="49"/>
        <v>25.378262341467625</v>
      </c>
      <c r="E229" s="10">
        <f t="shared" si="53"/>
        <v>24.863057780618643</v>
      </c>
      <c r="F229" s="8">
        <v>7859.8182257419458</v>
      </c>
      <c r="G229" s="19">
        <f t="shared" si="54"/>
        <v>0.12777538922604739</v>
      </c>
      <c r="H229" s="21">
        <f t="shared" si="55"/>
        <v>695.7537441124307</v>
      </c>
      <c r="I229" s="5">
        <v>592</v>
      </c>
      <c r="J229" s="6">
        <f t="shared" si="50"/>
        <v>1.6219178082191781</v>
      </c>
      <c r="K229" s="4">
        <f t="shared" si="51"/>
        <v>33.661739829065205</v>
      </c>
      <c r="L229" s="10">
        <f t="shared" si="52"/>
        <v>62.089832924899419</v>
      </c>
      <c r="M229" s="13">
        <v>677.97423200060257</v>
      </c>
      <c r="N229" s="19">
        <f t="shared" si="56"/>
        <v>0.95685206908757503</v>
      </c>
      <c r="O229" s="21">
        <f t="shared" si="57"/>
        <v>1347.8357452285493</v>
      </c>
      <c r="P229" s="8">
        <f t="shared" si="58"/>
        <v>195419.11469178149</v>
      </c>
      <c r="Q229" s="8">
        <f t="shared" si="59"/>
        <v>42095.306792304407</v>
      </c>
      <c r="R229" s="8">
        <f t="shared" si="60"/>
        <v>24969.753441951976</v>
      </c>
      <c r="S229" s="8">
        <f t="shared" si="61"/>
        <v>40278.981403092723</v>
      </c>
      <c r="T229" s="8">
        <f t="shared" si="62"/>
        <v>17372.799446802339</v>
      </c>
      <c r="U229" s="8">
        <f t="shared" si="63"/>
        <v>54289.450916484355</v>
      </c>
    </row>
    <row r="230" spans="1:21">
      <c r="A230" s="1">
        <v>41957</v>
      </c>
      <c r="B230" s="5">
        <v>228</v>
      </c>
      <c r="C230" s="6">
        <f t="shared" si="48"/>
        <v>0.62465753424657533</v>
      </c>
      <c r="D230" s="4">
        <f t="shared" si="49"/>
        <v>25.408147105755418</v>
      </c>
      <c r="E230" s="10">
        <f t="shared" si="53"/>
        <v>24.958043908941669</v>
      </c>
      <c r="F230" s="8">
        <v>7851.4339540671845</v>
      </c>
      <c r="G230" s="19">
        <f t="shared" si="54"/>
        <v>0.12980738860431304</v>
      </c>
      <c r="H230" s="21">
        <f t="shared" si="55"/>
        <v>697.6732424107222</v>
      </c>
      <c r="I230" s="5">
        <v>593</v>
      </c>
      <c r="J230" s="6">
        <f t="shared" si="50"/>
        <v>1.6246575342465754</v>
      </c>
      <c r="K230" s="4">
        <f t="shared" si="51"/>
        <v>33.678472259775141</v>
      </c>
      <c r="L230" s="10">
        <f t="shared" si="52"/>
        <v>62.189885839058107</v>
      </c>
      <c r="M230" s="13">
        <v>670.65333078535764</v>
      </c>
      <c r="N230" s="19">
        <f t="shared" si="56"/>
        <v>0.95726877104897801</v>
      </c>
      <c r="O230" s="21">
        <f t="shared" si="57"/>
        <v>1349.4046825338105</v>
      </c>
      <c r="P230" s="8">
        <f t="shared" si="58"/>
        <v>195956.4333737643</v>
      </c>
      <c r="Q230" s="8">
        <f t="shared" si="59"/>
        <v>41707.854079125464</v>
      </c>
      <c r="R230" s="8">
        <f t="shared" si="60"/>
        <v>25436.5928964634</v>
      </c>
      <c r="S230" s="8">
        <f t="shared" si="61"/>
        <v>39925.626217414538</v>
      </c>
      <c r="T230" s="8">
        <f t="shared" si="62"/>
        <v>17746.430241957165</v>
      </c>
      <c r="U230" s="8">
        <f t="shared" si="63"/>
        <v>53875.826970873844</v>
      </c>
    </row>
    <row r="231" spans="1:21">
      <c r="A231" s="1">
        <v>41958</v>
      </c>
      <c r="B231" s="5">
        <v>229</v>
      </c>
      <c r="C231" s="6">
        <f t="shared" si="48"/>
        <v>0.62739726027397258</v>
      </c>
      <c r="D231" s="4">
        <f t="shared" si="49"/>
        <v>25.437984419634933</v>
      </c>
      <c r="E231" s="10">
        <f t="shared" si="53"/>
        <v>25.053129209838922</v>
      </c>
      <c r="F231" s="8">
        <v>7843.090284192298</v>
      </c>
      <c r="G231" s="19">
        <f t="shared" si="54"/>
        <v>0.13186352541625621</v>
      </c>
      <c r="H231" s="21">
        <f t="shared" si="55"/>
        <v>699.59271570954184</v>
      </c>
      <c r="I231" s="5">
        <v>594</v>
      </c>
      <c r="J231" s="6">
        <f t="shared" si="50"/>
        <v>1.6273972602739726</v>
      </c>
      <c r="K231" s="4">
        <f t="shared" si="51"/>
        <v>33.695178123078975</v>
      </c>
      <c r="L231" s="10">
        <f t="shared" si="52"/>
        <v>62.28989103653111</v>
      </c>
      <c r="M231" s="13">
        <v>663.42427249029265</v>
      </c>
      <c r="N231" s="19">
        <f t="shared" si="56"/>
        <v>0.95768097419309206</v>
      </c>
      <c r="O231" s="21">
        <f t="shared" si="57"/>
        <v>1350.9721718722992</v>
      </c>
      <c r="P231" s="8">
        <f t="shared" si="58"/>
        <v>196493.95429430192</v>
      </c>
      <c r="Q231" s="8">
        <f t="shared" si="59"/>
        <v>41324.625644410255</v>
      </c>
      <c r="R231" s="8">
        <f t="shared" si="60"/>
        <v>25910.385536227368</v>
      </c>
      <c r="S231" s="8">
        <f t="shared" si="61"/>
        <v>39575.807745303646</v>
      </c>
      <c r="T231" s="8">
        <f t="shared" si="62"/>
        <v>18126.716982370537</v>
      </c>
      <c r="U231" s="8">
        <f t="shared" si="63"/>
        <v>53465.814943273428</v>
      </c>
    </row>
    <row r="232" spans="1:21">
      <c r="A232" s="1">
        <v>41959</v>
      </c>
      <c r="B232" s="5">
        <v>230</v>
      </c>
      <c r="C232" s="6">
        <f t="shared" si="48"/>
        <v>0.63013698630136983</v>
      </c>
      <c r="D232" s="4">
        <f t="shared" si="49"/>
        <v>25.467774358446935</v>
      </c>
      <c r="E232" s="10">
        <f t="shared" si="53"/>
        <v>25.148313095540662</v>
      </c>
      <c r="F232" s="8">
        <v>7834.7263134174736</v>
      </c>
      <c r="G232" s="19">
        <f t="shared" si="54"/>
        <v>0.13394388755407635</v>
      </c>
      <c r="H232" s="21">
        <f t="shared" si="55"/>
        <v>701.51215566344592</v>
      </c>
      <c r="I232" s="5">
        <v>595</v>
      </c>
      <c r="J232" s="6">
        <f t="shared" si="50"/>
        <v>1.6301369863013699</v>
      </c>
      <c r="K232" s="4">
        <f t="shared" si="51"/>
        <v>33.711857461159894</v>
      </c>
      <c r="L232" s="10">
        <f t="shared" si="52"/>
        <v>62.389848308565639</v>
      </c>
      <c r="M232" s="13">
        <v>655.30739930015352</v>
      </c>
      <c r="N232" s="19">
        <f t="shared" si="56"/>
        <v>0.95808872968869685</v>
      </c>
      <c r="O232" s="21">
        <f t="shared" si="57"/>
        <v>1352.5382124089458</v>
      </c>
      <c r="P232" s="8">
        <f t="shared" si="58"/>
        <v>197030.15034769365</v>
      </c>
      <c r="Q232" s="8">
        <f t="shared" si="59"/>
        <v>40884.529237817231</v>
      </c>
      <c r="R232" s="8">
        <f t="shared" si="60"/>
        <v>26390.984302934237</v>
      </c>
      <c r="S232" s="8">
        <f t="shared" si="61"/>
        <v>39171.006681380699</v>
      </c>
      <c r="T232" s="8">
        <f t="shared" si="62"/>
        <v>18513.596288431563</v>
      </c>
      <c r="U232" s="8">
        <f t="shared" si="63"/>
        <v>52980.283355093525</v>
      </c>
    </row>
    <row r="233" spans="1:21">
      <c r="A233" s="1">
        <v>41960</v>
      </c>
      <c r="B233" s="5">
        <v>231</v>
      </c>
      <c r="C233" s="6">
        <f t="shared" si="48"/>
        <v>0.63287671232876708</v>
      </c>
      <c r="D233" s="4">
        <f t="shared" si="49"/>
        <v>25.497516997412571</v>
      </c>
      <c r="E233" s="10">
        <f t="shared" si="53"/>
        <v>25.243594978951553</v>
      </c>
      <c r="F233" s="8">
        <v>7826.3826435425872</v>
      </c>
      <c r="G233" s="19">
        <f t="shared" si="54"/>
        <v>0.13604855801636279</v>
      </c>
      <c r="H233" s="21">
        <f t="shared" si="55"/>
        <v>703.43155396018471</v>
      </c>
      <c r="I233" s="5">
        <v>596</v>
      </c>
      <c r="J233" s="6">
        <f t="shared" si="50"/>
        <v>1.6328767123287671</v>
      </c>
      <c r="K233" s="4">
        <f t="shared" si="51"/>
        <v>33.728510316134106</v>
      </c>
      <c r="L233" s="10">
        <f t="shared" si="52"/>
        <v>62.489757447326873</v>
      </c>
      <c r="M233" s="13">
        <v>644.99037793325533</v>
      </c>
      <c r="N233" s="19">
        <f t="shared" si="56"/>
        <v>0.95849208813358233</v>
      </c>
      <c r="O233" s="21">
        <f t="shared" si="57"/>
        <v>1354.1028033190623</v>
      </c>
      <c r="P233" s="8">
        <f t="shared" si="58"/>
        <v>197566.03360388524</v>
      </c>
      <c r="Q233" s="8">
        <f t="shared" si="59"/>
        <v>40305.292272908817</v>
      </c>
      <c r="R233" s="8">
        <f t="shared" si="60"/>
        <v>26878.573984820861</v>
      </c>
      <c r="S233" s="8">
        <f t="shared" si="61"/>
        <v>38632.303753494714</v>
      </c>
      <c r="T233" s="8">
        <f t="shared" si="62"/>
        <v>18907.237066376332</v>
      </c>
      <c r="U233" s="8">
        <f t="shared" si="63"/>
        <v>52312.110811280727</v>
      </c>
    </row>
    <row r="234" spans="1:21">
      <c r="A234" s="1">
        <v>41961</v>
      </c>
      <c r="B234" s="5">
        <v>232</v>
      </c>
      <c r="C234" s="6">
        <f t="shared" si="48"/>
        <v>0.63561643835616444</v>
      </c>
      <c r="D234" s="4">
        <f t="shared" si="49"/>
        <v>25.52721241163356</v>
      </c>
      <c r="E234" s="10">
        <f t="shared" si="53"/>
        <v>25.338974273657232</v>
      </c>
      <c r="F234" s="8">
        <v>7818.0389736677025</v>
      </c>
      <c r="G234" s="19">
        <f t="shared" si="54"/>
        <v>0.13817761478353766</v>
      </c>
      <c r="H234" s="21">
        <f t="shared" si="55"/>
        <v>705.35090232062885</v>
      </c>
      <c r="I234" s="5">
        <v>597</v>
      </c>
      <c r="J234" s="6">
        <f t="shared" si="50"/>
        <v>1.6356164383561644</v>
      </c>
      <c r="K234" s="4">
        <f t="shared" si="51"/>
        <v>33.745136730050923</v>
      </c>
      <c r="L234" s="10">
        <f t="shared" si="52"/>
        <v>62.589618245896119</v>
      </c>
      <c r="M234" s="13">
        <v>634.06515233938683</v>
      </c>
      <c r="N234" s="19">
        <f t="shared" si="56"/>
        <v>0.95889109955986807</v>
      </c>
      <c r="O234" s="21">
        <f t="shared" si="57"/>
        <v>1355.6659437882872</v>
      </c>
      <c r="P234" s="8">
        <f t="shared" si="58"/>
        <v>198101.0884242155</v>
      </c>
      <c r="Q234" s="8">
        <f t="shared" si="59"/>
        <v>39685.895827948189</v>
      </c>
      <c r="R234" s="8">
        <f t="shared" si="60"/>
        <v>27373.13588448078</v>
      </c>
      <c r="S234" s="8">
        <f t="shared" si="61"/>
        <v>38054.452287479617</v>
      </c>
      <c r="T234" s="8">
        <f t="shared" si="62"/>
        <v>19307.666095463705</v>
      </c>
      <c r="U234" s="8">
        <f t="shared" si="63"/>
        <v>51589.124975652398</v>
      </c>
    </row>
    <row r="235" spans="1:21">
      <c r="A235" s="1">
        <v>41962</v>
      </c>
      <c r="B235" s="5">
        <v>233</v>
      </c>
      <c r="C235" s="6">
        <f t="shared" si="48"/>
        <v>0.63835616438356169</v>
      </c>
      <c r="D235" s="4">
        <f t="shared" si="49"/>
        <v>25.556860676092366</v>
      </c>
      <c r="E235" s="10">
        <f t="shared" si="53"/>
        <v>25.434450393930959</v>
      </c>
      <c r="F235" s="8">
        <v>7809.7156046927548</v>
      </c>
      <c r="G235" s="19">
        <f t="shared" si="54"/>
        <v>0.14033113069396189</v>
      </c>
      <c r="H235" s="21">
        <f t="shared" si="55"/>
        <v>707.27019249868749</v>
      </c>
      <c r="I235" s="5">
        <v>598</v>
      </c>
      <c r="J235" s="6">
        <f t="shared" si="50"/>
        <v>1.6383561643835616</v>
      </c>
      <c r="K235" s="4">
        <f t="shared" si="51"/>
        <v>33.7617367448929</v>
      </c>
      <c r="L235" s="10">
        <f t="shared" si="52"/>
        <v>62.689430498269367</v>
      </c>
      <c r="M235" s="13">
        <v>625.40334448951239</v>
      </c>
      <c r="N235" s="19">
        <f t="shared" si="56"/>
        <v>0.95928581343931285</v>
      </c>
      <c r="O235" s="21">
        <f t="shared" si="57"/>
        <v>1357.227633012559</v>
      </c>
      <c r="P235" s="8">
        <f t="shared" si="58"/>
        <v>198635.82413826638</v>
      </c>
      <c r="Q235" s="8">
        <f t="shared" si="59"/>
        <v>39206.179497760502</v>
      </c>
      <c r="R235" s="8">
        <f t="shared" si="60"/>
        <v>27874.78979764989</v>
      </c>
      <c r="S235" s="8">
        <f t="shared" si="61"/>
        <v>37609.931791356896</v>
      </c>
      <c r="T235" s="8">
        <f t="shared" si="62"/>
        <v>19715.00794604429</v>
      </c>
      <c r="U235" s="8">
        <f t="shared" si="63"/>
        <v>51045.238702947107</v>
      </c>
    </row>
    <row r="236" spans="1:21">
      <c r="A236" s="1">
        <v>41963</v>
      </c>
      <c r="B236" s="5">
        <v>234</v>
      </c>
      <c r="C236" s="6">
        <f t="shared" si="48"/>
        <v>0.64109589041095894</v>
      </c>
      <c r="D236" s="4">
        <f t="shared" si="49"/>
        <v>25.586461865652403</v>
      </c>
      <c r="E236" s="10">
        <f t="shared" si="53"/>
        <v>25.530022754740372</v>
      </c>
      <c r="F236" s="8">
        <v>7801.4125366177477</v>
      </c>
      <c r="G236" s="19">
        <f t="shared" si="54"/>
        <v>0.14250917332082397</v>
      </c>
      <c r="H236" s="21">
        <f t="shared" si="55"/>
        <v>709.18941628123366</v>
      </c>
      <c r="I236" s="5">
        <v>599</v>
      </c>
      <c r="J236" s="6">
        <f t="shared" si="50"/>
        <v>1.6410958904109589</v>
      </c>
      <c r="K236" s="4">
        <f t="shared" si="51"/>
        <v>33.778310402575961</v>
      </c>
      <c r="L236" s="10">
        <f t="shared" si="52"/>
        <v>62.789193999355085</v>
      </c>
      <c r="M236" s="13">
        <v>618.51920738356819</v>
      </c>
      <c r="N236" s="19">
        <f t="shared" si="56"/>
        <v>0.95967627868861194</v>
      </c>
      <c r="O236" s="21">
        <f t="shared" si="57"/>
        <v>1358.7878701980731</v>
      </c>
      <c r="P236" s="8">
        <f t="shared" si="58"/>
        <v>199170.23957896791</v>
      </c>
      <c r="Q236" s="8">
        <f t="shared" si="59"/>
        <v>38836.322504734206</v>
      </c>
      <c r="R236" s="8">
        <f t="shared" si="60"/>
        <v>28383.58619250917</v>
      </c>
      <c r="S236" s="8">
        <f t="shared" si="61"/>
        <v>37270.297459294117</v>
      </c>
      <c r="T236" s="8">
        <f t="shared" si="62"/>
        <v>20129.33892383366</v>
      </c>
      <c r="U236" s="8">
        <f t="shared" si="63"/>
        <v>50642.42810636291</v>
      </c>
    </row>
    <row r="237" spans="1:21">
      <c r="A237" s="1">
        <v>41964</v>
      </c>
      <c r="B237" s="5">
        <v>235</v>
      </c>
      <c r="C237" s="6">
        <f t="shared" si="48"/>
        <v>0.64383561643835618</v>
      </c>
      <c r="D237" s="4">
        <f t="shared" si="49"/>
        <v>25.616016055058225</v>
      </c>
      <c r="E237" s="10">
        <f t="shared" si="53"/>
        <v>25.625690771753995</v>
      </c>
      <c r="F237" s="8">
        <v>7793.0891676428</v>
      </c>
      <c r="G237" s="19">
        <f t="shared" si="54"/>
        <v>0.14471180484995008</v>
      </c>
      <c r="H237" s="21">
        <f t="shared" si="55"/>
        <v>711.10856548803122</v>
      </c>
      <c r="I237" s="5">
        <v>600</v>
      </c>
      <c r="J237" s="6">
        <f t="shared" si="50"/>
        <v>1.6438356164383561</v>
      </c>
      <c r="K237" s="4">
        <f t="shared" si="51"/>
        <v>33.794857744949446</v>
      </c>
      <c r="L237" s="10">
        <f t="shared" si="52"/>
        <v>62.888908544972608</v>
      </c>
      <c r="M237" s="13">
        <v>611.14320041621511</v>
      </c>
      <c r="N237" s="19">
        <f t="shared" si="56"/>
        <v>0.96006254367467803</v>
      </c>
      <c r="O237" s="21">
        <f t="shared" si="57"/>
        <v>1360.3466545612443</v>
      </c>
      <c r="P237" s="8">
        <f t="shared" si="58"/>
        <v>199703.29316672013</v>
      </c>
      <c r="Q237" s="8">
        <f t="shared" si="59"/>
        <v>38434.128838857221</v>
      </c>
      <c r="R237" s="8">
        <f t="shared" si="60"/>
        <v>28899.423988634775</v>
      </c>
      <c r="S237" s="8">
        <f t="shared" si="61"/>
        <v>36899.16749695356</v>
      </c>
      <c r="T237" s="8">
        <f t="shared" si="62"/>
        <v>20550.627935988472</v>
      </c>
      <c r="U237" s="8">
        <f t="shared" si="63"/>
        <v>50195.659060575774</v>
      </c>
    </row>
    <row r="238" spans="1:21">
      <c r="A238" s="1">
        <v>41965</v>
      </c>
      <c r="B238" s="5">
        <v>236</v>
      </c>
      <c r="C238" s="6">
        <f t="shared" si="48"/>
        <v>0.64657534246575343</v>
      </c>
      <c r="D238" s="4">
        <f t="shared" si="49"/>
        <v>25.645523318935698</v>
      </c>
      <c r="E238" s="10">
        <f t="shared" si="53"/>
        <v>25.721453861347559</v>
      </c>
      <c r="F238" s="8">
        <v>7784.7860995677929</v>
      </c>
      <c r="G238" s="19">
        <f t="shared" si="54"/>
        <v>0.14693908195866193</v>
      </c>
      <c r="H238" s="21">
        <f t="shared" si="55"/>
        <v>713.02763197164973</v>
      </c>
      <c r="I238" s="5">
        <v>601</v>
      </c>
      <c r="J238" s="6">
        <f t="shared" si="50"/>
        <v>1.6465753424657534</v>
      </c>
      <c r="K238" s="4">
        <f t="shared" si="51"/>
        <v>33.811378813796253</v>
      </c>
      <c r="L238" s="10">
        <f t="shared" si="52"/>
        <v>62.9885739318498</v>
      </c>
      <c r="M238" s="13">
        <v>603.59575333119255</v>
      </c>
      <c r="N238" s="19">
        <f t="shared" si="56"/>
        <v>0.96044465621990927</v>
      </c>
      <c r="O238" s="21">
        <f t="shared" si="57"/>
        <v>1361.9039853286558</v>
      </c>
      <c r="P238" s="8">
        <f t="shared" si="58"/>
        <v>200236.01648049281</v>
      </c>
      <c r="Q238" s="8">
        <f t="shared" si="59"/>
        <v>38019.635733652394</v>
      </c>
      <c r="R238" s="8">
        <f t="shared" si="60"/>
        <v>29422.496436703113</v>
      </c>
      <c r="S238" s="8">
        <f t="shared" si="61"/>
        <v>36515.755971813953</v>
      </c>
      <c r="T238" s="8">
        <f t="shared" si="62"/>
        <v>20979.052960956724</v>
      </c>
      <c r="U238" s="8">
        <f t="shared" si="63"/>
        <v>49730.953585302086</v>
      </c>
    </row>
    <row r="239" spans="1:21">
      <c r="A239" s="1">
        <v>41966</v>
      </c>
      <c r="B239" s="5">
        <v>237</v>
      </c>
      <c r="C239" s="6">
        <f t="shared" si="48"/>
        <v>0.64931506849315068</v>
      </c>
      <c r="D239" s="4">
        <f t="shared" si="49"/>
        <v>25.674983731792192</v>
      </c>
      <c r="E239" s="10">
        <f t="shared" si="53"/>
        <v>25.817311440610784</v>
      </c>
      <c r="F239" s="8">
        <v>7776.5033323927246</v>
      </c>
      <c r="G239" s="19">
        <f t="shared" si="54"/>
        <v>0.14919105569582383</v>
      </c>
      <c r="H239" s="21">
        <f t="shared" si="55"/>
        <v>714.94660761739567</v>
      </c>
      <c r="I239" s="5">
        <v>602</v>
      </c>
      <c r="J239" s="6">
        <f t="shared" si="50"/>
        <v>1.6493150684931508</v>
      </c>
      <c r="K239" s="4">
        <f t="shared" si="51"/>
        <v>33.827873650832949</v>
      </c>
      <c r="L239" s="10">
        <f t="shared" si="52"/>
        <v>63.088189957621509</v>
      </c>
      <c r="M239" s="13">
        <v>596.97489926309811</v>
      </c>
      <c r="N239" s="19">
        <f t="shared" si="56"/>
        <v>0.96082266360744095</v>
      </c>
      <c r="O239" s="21">
        <f t="shared" si="57"/>
        <v>1363.4598617370305</v>
      </c>
      <c r="P239" s="8">
        <f t="shared" si="58"/>
        <v>200768.40845133056</v>
      </c>
      <c r="Q239" s="8">
        <f t="shared" si="59"/>
        <v>37662.065844642297</v>
      </c>
      <c r="R239" s="8">
        <f t="shared" si="60"/>
        <v>29952.850807224364</v>
      </c>
      <c r="S239" s="8">
        <f t="shared" si="61"/>
        <v>36186.566421808035</v>
      </c>
      <c r="T239" s="8">
        <f t="shared" si="62"/>
        <v>21414.689073095033</v>
      </c>
      <c r="U239" s="8">
        <f t="shared" si="63"/>
        <v>49338.930850216253</v>
      </c>
    </row>
    <row r="240" spans="1:21">
      <c r="A240" s="1">
        <v>41967</v>
      </c>
      <c r="B240" s="5">
        <v>238</v>
      </c>
      <c r="C240" s="6">
        <f t="shared" si="48"/>
        <v>0.65205479452054793</v>
      </c>
      <c r="D240" s="4">
        <f t="shared" si="49"/>
        <v>25.704397368016796</v>
      </c>
      <c r="E240" s="10">
        <f t="shared" si="53"/>
        <v>25.913262927353351</v>
      </c>
      <c r="F240" s="8">
        <v>7768.2205652176553</v>
      </c>
      <c r="G240" s="19">
        <f t="shared" si="54"/>
        <v>0.15146777136321829</v>
      </c>
      <c r="H240" s="21">
        <f t="shared" si="55"/>
        <v>716.86548434323095</v>
      </c>
      <c r="I240" s="5">
        <v>603</v>
      </c>
      <c r="J240" s="6">
        <f t="shared" si="50"/>
        <v>1.6520547945205479</v>
      </c>
      <c r="K240" s="4">
        <f t="shared" si="51"/>
        <v>33.844342297709851</v>
      </c>
      <c r="L240" s="10">
        <f t="shared" si="52"/>
        <v>63.187756420827967</v>
      </c>
      <c r="M240" s="13">
        <v>589.95197729999302</v>
      </c>
      <c r="N240" s="19">
        <f t="shared" si="56"/>
        <v>0.96119661258637568</v>
      </c>
      <c r="O240" s="21">
        <f t="shared" si="57"/>
        <v>1365.0142830331852</v>
      </c>
      <c r="P240" s="8">
        <f t="shared" si="58"/>
        <v>201299.94198415856</v>
      </c>
      <c r="Q240" s="8">
        <f t="shared" si="59"/>
        <v>37277.74184161779</v>
      </c>
      <c r="R240" s="8">
        <f t="shared" si="60"/>
        <v>30490.453587885637</v>
      </c>
      <c r="S240" s="8">
        <f t="shared" si="61"/>
        <v>35831.23918303242</v>
      </c>
      <c r="T240" s="8">
        <f t="shared" si="62"/>
        <v>21857.553779124442</v>
      </c>
      <c r="U240" s="8">
        <f t="shared" si="63"/>
        <v>48910.153263617569</v>
      </c>
    </row>
    <row r="241" spans="1:21">
      <c r="A241" s="1">
        <v>41968</v>
      </c>
      <c r="B241" s="5">
        <v>239</v>
      </c>
      <c r="C241" s="6">
        <f t="shared" si="48"/>
        <v>0.65479452054794518</v>
      </c>
      <c r="D241" s="4">
        <f t="shared" si="49"/>
        <v>25.733764301880473</v>
      </c>
      <c r="E241" s="10">
        <f t="shared" si="53"/>
        <v>26.009307740111424</v>
      </c>
      <c r="F241" s="8">
        <v>7759.9580989425258</v>
      </c>
      <c r="G241" s="19">
        <f t="shared" si="54"/>
        <v>0.15376926839838445</v>
      </c>
      <c r="H241" s="21">
        <f t="shared" si="55"/>
        <v>718.78425409969623</v>
      </c>
      <c r="I241" s="5">
        <v>604</v>
      </c>
      <c r="J241" s="6">
        <f t="shared" si="50"/>
        <v>1.6547945205479453</v>
      </c>
      <c r="K241" s="4">
        <f t="shared" si="51"/>
        <v>33.86078479601116</v>
      </c>
      <c r="L241" s="10">
        <f t="shared" si="52"/>
        <v>63.287273120912161</v>
      </c>
      <c r="M241" s="13">
        <v>583.0311030259769</v>
      </c>
      <c r="N241" s="19">
        <f t="shared" si="56"/>
        <v>0.96156654937700059</v>
      </c>
      <c r="O241" s="21">
        <f t="shared" si="57"/>
        <v>1366.5672484739941</v>
      </c>
      <c r="P241" s="8">
        <f t="shared" si="58"/>
        <v>201831.13824576617</v>
      </c>
      <c r="Q241" s="8">
        <f t="shared" si="59"/>
        <v>36898.448655191678</v>
      </c>
      <c r="R241" s="8">
        <f t="shared" si="60"/>
        <v>31035.426468064656</v>
      </c>
      <c r="S241" s="8">
        <f t="shared" si="61"/>
        <v>35480.313950737087</v>
      </c>
      <c r="T241" s="8">
        <f t="shared" si="62"/>
        <v>22307.77586451382</v>
      </c>
      <c r="U241" s="8">
        <f t="shared" si="63"/>
        <v>48486.23501065225</v>
      </c>
    </row>
    <row r="242" spans="1:21">
      <c r="A242" s="1">
        <v>41969</v>
      </c>
      <c r="B242" s="5">
        <v>240</v>
      </c>
      <c r="C242" s="6">
        <f t="shared" si="48"/>
        <v>0.65753424657534243</v>
      </c>
      <c r="D242" s="4">
        <f t="shared" si="49"/>
        <v>25.763084607536261</v>
      </c>
      <c r="E242" s="10">
        <f t="shared" si="53"/>
        <v>26.105445298153999</v>
      </c>
      <c r="F242" s="8">
        <v>7751.6753317674566</v>
      </c>
      <c r="G242" s="19">
        <f t="shared" si="54"/>
        <v>0.15609558025906514</v>
      </c>
      <c r="H242" s="21">
        <f t="shared" si="55"/>
        <v>720.70290886983639</v>
      </c>
      <c r="I242" s="5">
        <v>605</v>
      </c>
      <c r="J242" s="6">
        <f t="shared" si="50"/>
        <v>1.6575342465753424</v>
      </c>
      <c r="K242" s="4">
        <f t="shared" si="51"/>
        <v>33.877201187255039</v>
      </c>
      <c r="L242" s="10">
        <f t="shared" si="52"/>
        <v>63.386739858218469</v>
      </c>
      <c r="M242" s="13">
        <v>576.28779173097564</v>
      </c>
      <c r="N242" s="19">
        <f t="shared" si="56"/>
        <v>0.96193251967597793</v>
      </c>
      <c r="O242" s="21">
        <f t="shared" si="57"/>
        <v>1368.1187573263496</v>
      </c>
      <c r="P242" s="8">
        <f t="shared" si="58"/>
        <v>202360.9363425051</v>
      </c>
      <c r="Q242" s="8">
        <f t="shared" si="59"/>
        <v>36529.004337918537</v>
      </c>
      <c r="R242" s="8">
        <f t="shared" si="60"/>
        <v>31587.647780151077</v>
      </c>
      <c r="S242" s="8">
        <f t="shared" si="61"/>
        <v>35138.437184028706</v>
      </c>
      <c r="T242" s="8">
        <f t="shared" si="62"/>
        <v>22765.309639510713</v>
      </c>
      <c r="U242" s="8">
        <f t="shared" si="63"/>
        <v>48073.555014603349</v>
      </c>
    </row>
    <row r="243" spans="1:21">
      <c r="A243" s="1">
        <v>41970</v>
      </c>
      <c r="B243" s="5">
        <v>241</v>
      </c>
      <c r="C243" s="6">
        <f t="shared" si="48"/>
        <v>0.66027397260273968</v>
      </c>
      <c r="D243" s="4">
        <f t="shared" si="49"/>
        <v>25.792358359019463</v>
      </c>
      <c r="E243" s="10">
        <f t="shared" si="53"/>
        <v>26.201675021488924</v>
      </c>
      <c r="F243" s="8">
        <v>7743.4331663922649</v>
      </c>
      <c r="G243" s="19">
        <f t="shared" si="54"/>
        <v>0.15844673430940953</v>
      </c>
      <c r="H243" s="21">
        <f t="shared" si="55"/>
        <v>722.62144066912072</v>
      </c>
      <c r="I243" s="5">
        <v>606</v>
      </c>
      <c r="J243" s="6">
        <f t="shared" si="50"/>
        <v>1.6602739726027398</v>
      </c>
      <c r="K243" s="4">
        <f t="shared" si="51"/>
        <v>33.893591512893721</v>
      </c>
      <c r="L243" s="10">
        <f t="shared" si="52"/>
        <v>63.486156433990708</v>
      </c>
      <c r="M243" s="13">
        <v>569.17302684769038</v>
      </c>
      <c r="N243" s="19">
        <f t="shared" si="56"/>
        <v>0.96229456866151974</v>
      </c>
      <c r="O243" s="21">
        <f t="shared" si="57"/>
        <v>1369.6688088671174</v>
      </c>
      <c r="P243" s="8">
        <f t="shared" si="58"/>
        <v>202890.91937642908</v>
      </c>
      <c r="Q243" s="8">
        <f t="shared" si="59"/>
        <v>36134.607820460464</v>
      </c>
      <c r="R243" s="8">
        <f t="shared" si="60"/>
        <v>32147.403596228891</v>
      </c>
      <c r="S243" s="8">
        <f t="shared" si="61"/>
        <v>34772.136846343179</v>
      </c>
      <c r="T243" s="8">
        <f t="shared" si="62"/>
        <v>23230.403100478594</v>
      </c>
      <c r="U243" s="8">
        <f t="shared" si="63"/>
        <v>47626.311256095265</v>
      </c>
    </row>
    <row r="244" spans="1:21">
      <c r="A244" s="1">
        <v>41971</v>
      </c>
      <c r="B244" s="5">
        <v>242</v>
      </c>
      <c r="C244" s="6">
        <f t="shared" si="48"/>
        <v>0.66301369863013704</v>
      </c>
      <c r="D244" s="4">
        <f t="shared" si="49"/>
        <v>25.821585630247821</v>
      </c>
      <c r="E244" s="10">
        <f t="shared" si="53"/>
        <v>26.29799633086887</v>
      </c>
      <c r="F244" s="8">
        <v>7735.1910010170741</v>
      </c>
      <c r="G244" s="19">
        <f t="shared" si="54"/>
        <v>0.16082275170806945</v>
      </c>
      <c r="H244" s="21">
        <f t="shared" si="55"/>
        <v>724.53984154536772</v>
      </c>
      <c r="I244" s="5">
        <v>607</v>
      </c>
      <c r="J244" s="6">
        <f t="shared" si="50"/>
        <v>1.6630136986301369</v>
      </c>
      <c r="K244" s="4">
        <f t="shared" si="51"/>
        <v>33.909955814313641</v>
      </c>
      <c r="L244" s="10">
        <f t="shared" si="52"/>
        <v>63.58552265037018</v>
      </c>
      <c r="M244" s="13">
        <v>562.61544234683117</v>
      </c>
      <c r="N244" s="19">
        <f t="shared" si="56"/>
        <v>0.9626527409985377</v>
      </c>
      <c r="O244" s="21">
        <f t="shared" si="57"/>
        <v>1371.2174023831014</v>
      </c>
      <c r="P244" s="8">
        <f t="shared" si="58"/>
        <v>203420.02456331693</v>
      </c>
      <c r="Q244" s="8">
        <f t="shared" si="59"/>
        <v>35774.196952792474</v>
      </c>
      <c r="R244" s="8">
        <f t="shared" si="60"/>
        <v>32714.568102795707</v>
      </c>
      <c r="S244" s="8">
        <f t="shared" si="61"/>
        <v>34438.128753627207</v>
      </c>
      <c r="T244" s="8">
        <f t="shared" si="62"/>
        <v>23703.007989424743</v>
      </c>
      <c r="U244" s="8">
        <f t="shared" si="63"/>
        <v>47222.161452483488</v>
      </c>
    </row>
    <row r="245" spans="1:21">
      <c r="A245" s="1">
        <v>41972</v>
      </c>
      <c r="B245" s="5">
        <v>243</v>
      </c>
      <c r="C245" s="6">
        <f t="shared" si="48"/>
        <v>0.66575342465753429</v>
      </c>
      <c r="D245" s="4">
        <f t="shared" si="49"/>
        <v>25.850766495021727</v>
      </c>
      <c r="E245" s="10">
        <f t="shared" si="53"/>
        <v>26.394408647797938</v>
      </c>
      <c r="F245" s="8">
        <v>7726.9488356418833</v>
      </c>
      <c r="G245" s="19">
        <f t="shared" si="54"/>
        <v>0.1632236472983449</v>
      </c>
      <c r="H245" s="21">
        <f t="shared" si="55"/>
        <v>726.45810357866594</v>
      </c>
      <c r="I245" s="5">
        <v>608</v>
      </c>
      <c r="J245" s="6">
        <f t="shared" si="50"/>
        <v>1.6657534246575343</v>
      </c>
      <c r="K245" s="4">
        <f t="shared" si="51"/>
        <v>33.926294132835515</v>
      </c>
      <c r="L245" s="10">
        <f t="shared" si="52"/>
        <v>63.684838310393857</v>
      </c>
      <c r="M245" s="13">
        <v>556.62320204352488</v>
      </c>
      <c r="N245" s="19">
        <f t="shared" si="56"/>
        <v>0.96300708084377085</v>
      </c>
      <c r="O245" s="21">
        <f t="shared" si="57"/>
        <v>1372.7645371710023</v>
      </c>
      <c r="P245" s="8">
        <f t="shared" si="58"/>
        <v>203948.24516855832</v>
      </c>
      <c r="Q245" s="8">
        <f t="shared" si="59"/>
        <v>35448.458621955571</v>
      </c>
      <c r="R245" s="8">
        <f t="shared" si="60"/>
        <v>33289.176436509137</v>
      </c>
      <c r="S245" s="8">
        <f t="shared" si="61"/>
        <v>34137.116657940634</v>
      </c>
      <c r="T245" s="8">
        <f t="shared" si="62"/>
        <v>24183.191983762041</v>
      </c>
      <c r="U245" s="8">
        <f t="shared" si="63"/>
        <v>46862.223149290388</v>
      </c>
    </row>
    <row r="246" spans="1:21">
      <c r="A246" s="1">
        <v>41973</v>
      </c>
      <c r="B246" s="5">
        <v>244</v>
      </c>
      <c r="C246" s="6">
        <f t="shared" si="48"/>
        <v>0.66849315068493154</v>
      </c>
      <c r="D246" s="4">
        <f t="shared" si="49"/>
        <v>25.879901027024381</v>
      </c>
      <c r="E246" s="10">
        <f t="shared" si="53"/>
        <v>26.490911394536987</v>
      </c>
      <c r="F246" s="8">
        <v>7718.7066702666925</v>
      </c>
      <c r="G246" s="19">
        <f t="shared" si="54"/>
        <v>0.1656494295005162</v>
      </c>
      <c r="H246" s="21">
        <f t="shared" si="55"/>
        <v>728.37621888130002</v>
      </c>
      <c r="I246" s="5">
        <v>609</v>
      </c>
      <c r="J246" s="6">
        <f t="shared" si="50"/>
        <v>1.6684931506849314</v>
      </c>
      <c r="K246" s="4">
        <f t="shared" si="51"/>
        <v>33.942606509714452</v>
      </c>
      <c r="L246" s="10">
        <f t="shared" si="52"/>
        <v>63.784103217992282</v>
      </c>
      <c r="M246" s="13">
        <v>550.28195864353438</v>
      </c>
      <c r="N246" s="19">
        <f t="shared" si="56"/>
        <v>0.96335763185088763</v>
      </c>
      <c r="O246" s="21">
        <f t="shared" si="57"/>
        <v>1374.310212537388</v>
      </c>
      <c r="P246" s="8">
        <f t="shared" si="58"/>
        <v>204475.57448245658</v>
      </c>
      <c r="Q246" s="8">
        <f t="shared" si="59"/>
        <v>35099.24124911816</v>
      </c>
      <c r="R246" s="8">
        <f t="shared" si="60"/>
        <v>33871.262259809242</v>
      </c>
      <c r="S246" s="8">
        <f t="shared" si="61"/>
        <v>33813.121929513465</v>
      </c>
      <c r="T246" s="8">
        <f t="shared" si="62"/>
        <v>24671.021933536733</v>
      </c>
      <c r="U246" s="8">
        <f t="shared" si="63"/>
        <v>46469.718785502264</v>
      </c>
    </row>
    <row r="247" spans="1:21">
      <c r="A247" s="1">
        <v>41974</v>
      </c>
      <c r="B247" s="5">
        <v>245</v>
      </c>
      <c r="C247" s="6">
        <f t="shared" si="48"/>
        <v>0.67123287671232879</v>
      </c>
      <c r="D247" s="4">
        <f t="shared" si="49"/>
        <v>25.908989299821997</v>
      </c>
      <c r="E247" s="10">
        <f t="shared" si="53"/>
        <v>26.58750399411004</v>
      </c>
      <c r="F247" s="8">
        <v>7708.5968220971235</v>
      </c>
      <c r="G247" s="19">
        <f t="shared" si="54"/>
        <v>0.16810010020652189</v>
      </c>
      <c r="H247" s="21">
        <f t="shared" si="55"/>
        <v>730.29417959766829</v>
      </c>
      <c r="I247" s="5">
        <v>610</v>
      </c>
      <c r="J247" s="6">
        <f t="shared" si="50"/>
        <v>1.6712328767123288</v>
      </c>
      <c r="K247" s="4">
        <f t="shared" si="51"/>
        <v>33.958892986140043</v>
      </c>
      <c r="L247" s="10">
        <f t="shared" si="52"/>
        <v>63.883317177987948</v>
      </c>
      <c r="M247" s="13">
        <v>544.87343112181725</v>
      </c>
      <c r="N247" s="19">
        <f t="shared" si="56"/>
        <v>0.96370443717556553</v>
      </c>
      <c r="O247" s="21">
        <f t="shared" si="57"/>
        <v>1375.8544277986366</v>
      </c>
      <c r="P247" s="8">
        <f t="shared" si="58"/>
        <v>204952.34879649125</v>
      </c>
      <c r="Q247" s="8">
        <f t="shared" si="59"/>
        <v>34808.322222213617</v>
      </c>
      <c r="R247" s="8">
        <f t="shared" si="60"/>
        <v>34452.510370252203</v>
      </c>
      <c r="S247" s="8">
        <f t="shared" si="61"/>
        <v>33544.934576184103</v>
      </c>
      <c r="T247" s="8">
        <f t="shared" si="62"/>
        <v>25160.46779592349</v>
      </c>
      <c r="U247" s="8">
        <f t="shared" si="63"/>
        <v>46152.946766858484</v>
      </c>
    </row>
    <row r="248" spans="1:21">
      <c r="A248" s="1">
        <v>41975</v>
      </c>
      <c r="B248" s="5">
        <v>246</v>
      </c>
      <c r="C248" s="6">
        <f t="shared" si="48"/>
        <v>0.67397260273972603</v>
      </c>
      <c r="D248" s="4">
        <f t="shared" si="49"/>
        <v>25.938031386863976</v>
      </c>
      <c r="E248" s="10">
        <f t="shared" si="53"/>
        <v>26.684185870310127</v>
      </c>
      <c r="F248" s="8">
        <v>7698.2230622283478</v>
      </c>
      <c r="G248" s="19">
        <f t="shared" si="54"/>
        <v>0.17057565467712449</v>
      </c>
      <c r="H248" s="21">
        <f t="shared" si="55"/>
        <v>732.21197790421149</v>
      </c>
      <c r="I248" s="5">
        <v>611</v>
      </c>
      <c r="J248" s="6">
        <f t="shared" si="50"/>
        <v>1.6739726027397259</v>
      </c>
      <c r="K248" s="4">
        <f t="shared" si="51"/>
        <v>33.9751536032365</v>
      </c>
      <c r="L248" s="10">
        <f t="shared" si="52"/>
        <v>63.98247999609297</v>
      </c>
      <c r="M248" s="13">
        <v>539.99759253714478</v>
      </c>
      <c r="N248" s="19">
        <f t="shared" si="56"/>
        <v>0.96404753948054256</v>
      </c>
      <c r="O248" s="21">
        <f t="shared" si="57"/>
        <v>1377.3971822809096</v>
      </c>
      <c r="P248" s="8">
        <f t="shared" si="58"/>
        <v>205420.81506360925</v>
      </c>
      <c r="Q248" s="8">
        <f t="shared" si="59"/>
        <v>34550.385162446226</v>
      </c>
      <c r="R248" s="8">
        <f t="shared" si="60"/>
        <v>35039.790013783662</v>
      </c>
      <c r="S248" s="8">
        <f t="shared" si="61"/>
        <v>33308.213803961327</v>
      </c>
      <c r="T248" s="8">
        <f t="shared" si="62"/>
        <v>25656.553951340771</v>
      </c>
      <c r="U248" s="8">
        <f t="shared" si="63"/>
        <v>45878.63984038643</v>
      </c>
    </row>
    <row r="249" spans="1:21">
      <c r="A249" s="1">
        <v>41976</v>
      </c>
      <c r="B249" s="5">
        <v>247</v>
      </c>
      <c r="C249" s="6">
        <f t="shared" si="48"/>
        <v>0.67671232876712328</v>
      </c>
      <c r="D249" s="4">
        <f t="shared" si="49"/>
        <v>25.967027361483101</v>
      </c>
      <c r="E249" s="10">
        <f t="shared" si="53"/>
        <v>26.780956447704973</v>
      </c>
      <c r="F249" s="8">
        <v>7687.2808771612845</v>
      </c>
      <c r="G249" s="19">
        <f t="shared" si="54"/>
        <v>0.17307608144171821</v>
      </c>
      <c r="H249" s="21">
        <f t="shared" si="55"/>
        <v>734.12960600933206</v>
      </c>
      <c r="I249" s="5">
        <v>612</v>
      </c>
      <c r="J249" s="6">
        <f t="shared" si="50"/>
        <v>1.6767123287671233</v>
      </c>
      <c r="K249" s="4">
        <f t="shared" si="51"/>
        <v>33.991388402062718</v>
      </c>
      <c r="L249" s="10">
        <f t="shared" si="52"/>
        <v>64.081591478907839</v>
      </c>
      <c r="M249" s="13">
        <v>535.36054554494058</v>
      </c>
      <c r="N249" s="19">
        <f t="shared" si="56"/>
        <v>0.96438698094064379</v>
      </c>
      <c r="O249" s="21">
        <f t="shared" si="57"/>
        <v>1378.9384753201161</v>
      </c>
      <c r="P249" s="8">
        <f t="shared" si="58"/>
        <v>205872.73437253165</v>
      </c>
      <c r="Q249" s="8">
        <f t="shared" si="59"/>
        <v>34306.755773536119</v>
      </c>
      <c r="R249" s="8">
        <f t="shared" si="60"/>
        <v>35631.646140889505</v>
      </c>
      <c r="S249" s="8">
        <f t="shared" si="61"/>
        <v>33084.988626308499</v>
      </c>
      <c r="T249" s="8">
        <f t="shared" si="62"/>
        <v>26158.246342875151</v>
      </c>
      <c r="U249" s="8">
        <f t="shared" si="63"/>
        <v>45622.163772345222</v>
      </c>
    </row>
    <row r="250" spans="1:21">
      <c r="A250" s="1">
        <v>41977</v>
      </c>
      <c r="B250" s="5">
        <v>248</v>
      </c>
      <c r="C250" s="6">
        <f t="shared" si="48"/>
        <v>0.67945205479452053</v>
      </c>
      <c r="D250" s="4">
        <f t="shared" si="49"/>
        <v>25.995977296895731</v>
      </c>
      <c r="E250" s="10">
        <f t="shared" si="53"/>
        <v>26.877815151642778</v>
      </c>
      <c r="F250" s="8">
        <v>7676.622904693364</v>
      </c>
      <c r="G250" s="19">
        <f t="shared" si="54"/>
        <v>0.17560136220092754</v>
      </c>
      <c r="H250" s="21">
        <f t="shared" si="55"/>
        <v>736.04705615331659</v>
      </c>
      <c r="I250" s="5">
        <v>613</v>
      </c>
      <c r="J250" s="6">
        <f t="shared" si="50"/>
        <v>1.6794520547945206</v>
      </c>
      <c r="K250" s="4">
        <f t="shared" si="51"/>
        <v>34.007597423612424</v>
      </c>
      <c r="L250" s="10">
        <f t="shared" si="52"/>
        <v>64.180651433918953</v>
      </c>
      <c r="M250" s="13">
        <v>530.7969728888803</v>
      </c>
      <c r="N250" s="19">
        <f t="shared" si="56"/>
        <v>0.96472280324777981</v>
      </c>
      <c r="O250" s="21">
        <f t="shared" si="57"/>
        <v>1380.4783062618606</v>
      </c>
      <c r="P250" s="8">
        <f t="shared" si="58"/>
        <v>206330.85142121531</v>
      </c>
      <c r="Q250" s="8">
        <f t="shared" si="59"/>
        <v>34066.895499160557</v>
      </c>
      <c r="R250" s="8">
        <f t="shared" si="60"/>
        <v>36231.978573642591</v>
      </c>
      <c r="S250" s="8">
        <f t="shared" si="61"/>
        <v>32865.110923899345</v>
      </c>
      <c r="T250" s="8">
        <f t="shared" si="62"/>
        <v>26668.441167739671</v>
      </c>
      <c r="U250" s="8">
        <f t="shared" si="63"/>
        <v>45369.572663332736</v>
      </c>
    </row>
    <row r="251" spans="1:21">
      <c r="A251" s="1">
        <v>41978</v>
      </c>
      <c r="B251" s="5">
        <v>249</v>
      </c>
      <c r="C251" s="6">
        <f t="shared" si="48"/>
        <v>0.68219178082191778</v>
      </c>
      <c r="D251" s="4">
        <f t="shared" si="49"/>
        <v>26.024881266201959</v>
      </c>
      <c r="E251" s="10">
        <f t="shared" si="53"/>
        <v>26.974761408258097</v>
      </c>
      <c r="F251" s="8">
        <v>7666.431852924039</v>
      </c>
      <c r="G251" s="19">
        <f t="shared" si="54"/>
        <v>0.17815147173214199</v>
      </c>
      <c r="H251" s="21">
        <f t="shared" si="55"/>
        <v>737.96432060826112</v>
      </c>
      <c r="I251" s="5">
        <v>614</v>
      </c>
      <c r="J251" s="6">
        <f t="shared" si="50"/>
        <v>1.6821917808219178</v>
      </c>
      <c r="K251" s="4">
        <f t="shared" si="51"/>
        <v>34.023780708814236</v>
      </c>
      <c r="L251" s="10">
        <f t="shared" si="52"/>
        <v>64.279659669497164</v>
      </c>
      <c r="M251" s="13">
        <v>526.49464231688796</v>
      </c>
      <c r="N251" s="19">
        <f t="shared" si="56"/>
        <v>0.96505504761591687</v>
      </c>
      <c r="O251" s="21">
        <f t="shared" si="57"/>
        <v>1382.0166744614203</v>
      </c>
      <c r="P251" s="8">
        <f t="shared" si="58"/>
        <v>206800.17008529598</v>
      </c>
      <c r="Q251" s="8">
        <f t="shared" si="59"/>
        <v>33842.896425943196</v>
      </c>
      <c r="R251" s="8">
        <f t="shared" si="60"/>
        <v>36841.754655152763</v>
      </c>
      <c r="S251" s="8">
        <f t="shared" si="61"/>
        <v>32660.258021799153</v>
      </c>
      <c r="T251" s="8">
        <f t="shared" si="62"/>
        <v>27187.90044410605</v>
      </c>
      <c r="U251" s="8">
        <f t="shared" si="63"/>
        <v>45137.021178338786</v>
      </c>
    </row>
    <row r="252" spans="1:21">
      <c r="A252" s="1">
        <v>41979</v>
      </c>
      <c r="B252" s="5">
        <v>250</v>
      </c>
      <c r="C252" s="6">
        <f t="shared" si="48"/>
        <v>0.68493150684931503</v>
      </c>
      <c r="D252" s="4">
        <f t="shared" si="49"/>
        <v>26.0537393423858</v>
      </c>
      <c r="E252" s="10">
        <f t="shared" si="53"/>
        <v>27.071794644477308</v>
      </c>
      <c r="F252" s="8">
        <v>7655.7332786562429</v>
      </c>
      <c r="G252" s="19">
        <f t="shared" si="54"/>
        <v>0.18072637779814615</v>
      </c>
      <c r="H252" s="21">
        <f t="shared" si="55"/>
        <v>739.8813916779917</v>
      </c>
      <c r="I252" s="5">
        <v>615</v>
      </c>
      <c r="J252" s="6">
        <f t="shared" si="50"/>
        <v>1.6849315068493151</v>
      </c>
      <c r="K252" s="4">
        <f t="shared" si="51"/>
        <v>34.039938298531794</v>
      </c>
      <c r="L252" s="10">
        <f t="shared" si="52"/>
        <v>64.378615994895171</v>
      </c>
      <c r="M252" s="13">
        <v>521.71881046752264</v>
      </c>
      <c r="N252" s="19">
        <f t="shared" si="56"/>
        <v>0.9653837547860189</v>
      </c>
      <c r="O252" s="21">
        <f t="shared" si="57"/>
        <v>1383.5535792836927</v>
      </c>
      <c r="P252" s="8">
        <f t="shared" si="58"/>
        <v>207254.43917267278</v>
      </c>
      <c r="Q252" s="8">
        <f t="shared" si="59"/>
        <v>33587.534956402138</v>
      </c>
      <c r="R252" s="8">
        <f t="shared" si="60"/>
        <v>37456.344074263361</v>
      </c>
      <c r="S252" s="8">
        <f t="shared" si="61"/>
        <v>32424.860610218158</v>
      </c>
      <c r="T252" s="8">
        <f t="shared" si="62"/>
        <v>27713.251980835674</v>
      </c>
      <c r="U252" s="8">
        <f t="shared" si="63"/>
        <v>44861.531955042155</v>
      </c>
    </row>
    <row r="253" spans="1:21">
      <c r="A253" s="1">
        <v>41980</v>
      </c>
      <c r="B253" s="5">
        <v>251</v>
      </c>
      <c r="C253" s="6">
        <f t="shared" si="48"/>
        <v>0.68767123287671228</v>
      </c>
      <c r="D253" s="4">
        <f t="shared" si="49"/>
        <v>26.082551598315419</v>
      </c>
      <c r="E253" s="10">
        <f t="shared" si="53"/>
        <v>27.168914288024364</v>
      </c>
      <c r="F253" s="8">
        <v>7644.6692881895451</v>
      </c>
      <c r="G253" s="19">
        <f t="shared" si="54"/>
        <v>0.18332604105899242</v>
      </c>
      <c r="H253" s="21">
        <f t="shared" si="55"/>
        <v>741.79826169798673</v>
      </c>
      <c r="I253" s="5">
        <v>616</v>
      </c>
      <c r="J253" s="6">
        <f t="shared" si="50"/>
        <v>1.6876712328767123</v>
      </c>
      <c r="K253" s="4">
        <f t="shared" si="51"/>
        <v>34.056070233563851</v>
      </c>
      <c r="L253" s="10">
        <f t="shared" si="52"/>
        <v>64.47752022024649</v>
      </c>
      <c r="M253" s="13">
        <v>517.01033009295622</v>
      </c>
      <c r="N253" s="19">
        <f t="shared" si="56"/>
        <v>0.96570896503095938</v>
      </c>
      <c r="O253" s="21">
        <f t="shared" si="57"/>
        <v>1385.0890201031702</v>
      </c>
      <c r="P253" s="8">
        <f t="shared" si="58"/>
        <v>207697.36465111398</v>
      </c>
      <c r="Q253" s="8">
        <f t="shared" si="59"/>
        <v>33335.544012644896</v>
      </c>
      <c r="R253" s="8">
        <f t="shared" si="60"/>
        <v>38076.335599874641</v>
      </c>
      <c r="S253" s="8">
        <f t="shared" si="61"/>
        <v>32192.433707195298</v>
      </c>
      <c r="T253" s="8">
        <f t="shared" si="62"/>
        <v>28244.95955981618</v>
      </c>
      <c r="U253" s="8">
        <f t="shared" si="63"/>
        <v>44589.386458235407</v>
      </c>
    </row>
    <row r="254" spans="1:21">
      <c r="A254" s="1">
        <v>41981</v>
      </c>
      <c r="B254" s="5">
        <v>252</v>
      </c>
      <c r="C254" s="6">
        <f t="shared" si="48"/>
        <v>0.69041095890410964</v>
      </c>
      <c r="D254" s="4">
        <f t="shared" si="49"/>
        <v>26.111318106743251</v>
      </c>
      <c r="E254" s="10">
        <f t="shared" si="53"/>
        <v>27.266119767426208</v>
      </c>
      <c r="F254" s="8">
        <v>7634.1534220211979</v>
      </c>
      <c r="G254" s="19">
        <f t="shared" si="54"/>
        <v>0.18595041498725154</v>
      </c>
      <c r="H254" s="21">
        <f t="shared" si="55"/>
        <v>743.71492303530044</v>
      </c>
      <c r="I254" s="5">
        <v>617</v>
      </c>
      <c r="J254" s="6">
        <f t="shared" si="50"/>
        <v>1.6904109589041096</v>
      </c>
      <c r="K254" s="4">
        <f t="shared" si="51"/>
        <v>34.072176554644386</v>
      </c>
      <c r="L254" s="10">
        <f t="shared" si="52"/>
        <v>64.576372156562954</v>
      </c>
      <c r="M254" s="13">
        <v>512.8998491764512</v>
      </c>
      <c r="N254" s="19">
        <f t="shared" si="56"/>
        <v>0.96603071816040509</v>
      </c>
      <c r="O254" s="21">
        <f t="shared" si="57"/>
        <v>1386.6229963038857</v>
      </c>
      <c r="P254" s="8">
        <f t="shared" si="58"/>
        <v>208153.74152773662</v>
      </c>
      <c r="Q254" s="8">
        <f t="shared" si="59"/>
        <v>33121.211539463518</v>
      </c>
      <c r="R254" s="8">
        <f t="shared" si="60"/>
        <v>38706.274618231721</v>
      </c>
      <c r="S254" s="8">
        <f t="shared" si="61"/>
        <v>31996.107769810638</v>
      </c>
      <c r="T254" s="8">
        <f t="shared" si="62"/>
        <v>28786.434048681407</v>
      </c>
      <c r="U254" s="8">
        <f t="shared" si="63"/>
        <v>44366.538825836869</v>
      </c>
    </row>
    <row r="255" spans="1:21">
      <c r="A255" s="1">
        <v>41982</v>
      </c>
      <c r="B255" s="5">
        <v>253</v>
      </c>
      <c r="C255" s="6">
        <f t="shared" si="48"/>
        <v>0.69315068493150689</v>
      </c>
      <c r="D255" s="4">
        <f t="shared" si="49"/>
        <v>26.140038940306241</v>
      </c>
      <c r="E255" s="10">
        <f t="shared" si="53"/>
        <v>27.363410512018326</v>
      </c>
      <c r="F255" s="8">
        <v>7623.3330423537673</v>
      </c>
      <c r="G255" s="19">
        <f t="shared" si="54"/>
        <v>0.18859944578681342</v>
      </c>
      <c r="H255" s="21">
        <f t="shared" si="55"/>
        <v>745.63136808848708</v>
      </c>
      <c r="I255" s="5">
        <v>618</v>
      </c>
      <c r="J255" s="6">
        <f t="shared" si="50"/>
        <v>1.6931506849315068</v>
      </c>
      <c r="K255" s="4">
        <f t="shared" si="51"/>
        <v>34.088257302442699</v>
      </c>
      <c r="L255" s="10">
        <f t="shared" si="52"/>
        <v>64.675171615733092</v>
      </c>
      <c r="M255" s="13">
        <v>508.66078817169404</v>
      </c>
      <c r="N255" s="19">
        <f t="shared" si="56"/>
        <v>0.96634905352566547</v>
      </c>
      <c r="O255" s="21">
        <f t="shared" si="57"/>
        <v>1388.1555072793894</v>
      </c>
      <c r="P255" s="8">
        <f t="shared" si="58"/>
        <v>208600.39150775972</v>
      </c>
      <c r="Q255" s="8">
        <f t="shared" si="59"/>
        <v>32897.723769198368</v>
      </c>
      <c r="R255" s="8">
        <f t="shared" si="60"/>
        <v>39341.918229275783</v>
      </c>
      <c r="S255" s="8">
        <f t="shared" si="61"/>
        <v>31790.68422751363</v>
      </c>
      <c r="T255" s="8">
        <f t="shared" si="62"/>
        <v>29334.568312520292</v>
      </c>
      <c r="U255" s="8">
        <f t="shared" si="63"/>
        <v>44130.413390603062</v>
      </c>
    </row>
    <row r="256" spans="1:21">
      <c r="A256" s="1">
        <v>41983</v>
      </c>
      <c r="B256" s="5">
        <v>254</v>
      </c>
      <c r="C256" s="6">
        <f t="shared" si="48"/>
        <v>0.69589041095890414</v>
      </c>
      <c r="D256" s="4">
        <f t="shared" si="49"/>
        <v>26.168714171525988</v>
      </c>
      <c r="E256" s="10">
        <f t="shared" si="53"/>
        <v>27.460785951950253</v>
      </c>
      <c r="F256" s="8">
        <v>7612.5329635862745</v>
      </c>
      <c r="G256" s="19">
        <f t="shared" si="54"/>
        <v>0.19127307231535901</v>
      </c>
      <c r="H256" s="21">
        <f t="shared" si="55"/>
        <v>747.54758928752085</v>
      </c>
      <c r="I256" s="5">
        <v>619</v>
      </c>
      <c r="J256" s="6">
        <f t="shared" si="50"/>
        <v>1.6958904109589041</v>
      </c>
      <c r="K256" s="4">
        <f t="shared" si="51"/>
        <v>34.104312517563521</v>
      </c>
      <c r="L256" s="10">
        <f t="shared" si="52"/>
        <v>64.773918410519983</v>
      </c>
      <c r="M256" s="13">
        <v>504.48703768795383</v>
      </c>
      <c r="N256" s="19">
        <f t="shared" si="56"/>
        <v>0.96666401002451585</v>
      </c>
      <c r="O256" s="21">
        <f t="shared" si="57"/>
        <v>1389.6865524327068</v>
      </c>
      <c r="P256" s="8">
        <f t="shared" si="58"/>
        <v>209046.1382652082</v>
      </c>
      <c r="Q256" s="8">
        <f t="shared" si="59"/>
        <v>32677.602218364442</v>
      </c>
      <c r="R256" s="8">
        <f t="shared" si="60"/>
        <v>39984.897121647708</v>
      </c>
      <c r="S256" s="8">
        <f t="shared" si="61"/>
        <v>31588.261998390186</v>
      </c>
      <c r="T256" s="8">
        <f t="shared" si="62"/>
        <v>29890.613451197274</v>
      </c>
      <c r="U256" s="8">
        <f t="shared" si="63"/>
        <v>43897.782913883937</v>
      </c>
    </row>
    <row r="257" spans="1:21">
      <c r="A257" s="1">
        <v>41984</v>
      </c>
      <c r="B257" s="5">
        <v>255</v>
      </c>
      <c r="C257" s="6">
        <f t="shared" si="48"/>
        <v>0.69863013698630139</v>
      </c>
      <c r="D257" s="4">
        <f t="shared" si="49"/>
        <v>26.197343872808936</v>
      </c>
      <c r="E257" s="10">
        <f t="shared" si="53"/>
        <v>27.558245518190748</v>
      </c>
      <c r="F257" s="8">
        <v>7602.2404073172565</v>
      </c>
      <c r="G257" s="19">
        <f t="shared" si="54"/>
        <v>0.19397122601066599</v>
      </c>
      <c r="H257" s="21">
        <f t="shared" si="55"/>
        <v>749.46357909371989</v>
      </c>
      <c r="I257" s="5">
        <v>620</v>
      </c>
      <c r="J257" s="6">
        <f t="shared" si="50"/>
        <v>1.6986301369863013</v>
      </c>
      <c r="K257" s="4">
        <f t="shared" si="51"/>
        <v>34.120342240547096</v>
      </c>
      <c r="L257" s="10">
        <f t="shared" si="52"/>
        <v>64.872612354559394</v>
      </c>
      <c r="M257" s="13">
        <v>500.21736237647002</v>
      </c>
      <c r="N257" s="19">
        <f t="shared" si="56"/>
        <v>0.96697562610598464</v>
      </c>
      <c r="O257" s="21">
        <f t="shared" si="57"/>
        <v>1391.2161311762941</v>
      </c>
      <c r="P257" s="8">
        <f t="shared" si="58"/>
        <v>209504.4076331594</v>
      </c>
      <c r="Q257" s="8">
        <f t="shared" si="59"/>
        <v>32450.407042468902</v>
      </c>
      <c r="R257" s="8">
        <f t="shared" si="60"/>
        <v>40637.826803242257</v>
      </c>
      <c r="S257" s="8">
        <f t="shared" si="61"/>
        <v>31378.752667285418</v>
      </c>
      <c r="T257" s="8">
        <f t="shared" si="62"/>
        <v>30456.571122548645</v>
      </c>
      <c r="U257" s="8">
        <f t="shared" si="63"/>
        <v>43654.626886918639</v>
      </c>
    </row>
    <row r="258" spans="1:21">
      <c r="A258" s="1">
        <v>41985</v>
      </c>
      <c r="B258" s="5">
        <v>256</v>
      </c>
      <c r="C258" s="6">
        <f t="shared" si="48"/>
        <v>0.70136986301369864</v>
      </c>
      <c r="D258" s="4">
        <f t="shared" si="49"/>
        <v>26.225928116446582</v>
      </c>
      <c r="E258" s="10">
        <f t="shared" si="53"/>
        <v>27.655788642533341</v>
      </c>
      <c r="F258" s="8">
        <v>7591.0343105509874</v>
      </c>
      <c r="G258" s="19">
        <f t="shared" si="54"/>
        <v>0.19669383082088623</v>
      </c>
      <c r="H258" s="21">
        <f t="shared" si="55"/>
        <v>751.37932999966802</v>
      </c>
      <c r="I258" s="5">
        <v>621</v>
      </c>
      <c r="J258" s="6">
        <f t="shared" si="50"/>
        <v>1.7013698630136986</v>
      </c>
      <c r="K258" s="4">
        <f t="shared" si="51"/>
        <v>34.136346511869327</v>
      </c>
      <c r="L258" s="10">
        <f t="shared" si="52"/>
        <v>64.971253262358218</v>
      </c>
      <c r="M258" s="13">
        <v>495.83747556077003</v>
      </c>
      <c r="N258" s="19">
        <f t="shared" si="56"/>
        <v>0.96728393977511118</v>
      </c>
      <c r="O258" s="21">
        <f t="shared" si="57"/>
        <v>1392.7442429320106</v>
      </c>
      <c r="P258" s="8">
        <f t="shared" si="58"/>
        <v>209936.04047081692</v>
      </c>
      <c r="Q258" s="8">
        <f t="shared" si="59"/>
        <v>32215.182201627144</v>
      </c>
      <c r="R258" s="8">
        <f t="shared" si="60"/>
        <v>41293.124027573591</v>
      </c>
      <c r="S258" s="8">
        <f t="shared" si="61"/>
        <v>31161.228360562942</v>
      </c>
      <c r="T258" s="8">
        <f t="shared" si="62"/>
        <v>31026.79986543144</v>
      </c>
      <c r="U258" s="8">
        <f t="shared" si="63"/>
        <v>43399.621401863733</v>
      </c>
    </row>
    <row r="259" spans="1:21">
      <c r="A259" s="1">
        <v>41986</v>
      </c>
      <c r="B259" s="5">
        <v>257</v>
      </c>
      <c r="C259" s="6">
        <f t="shared" ref="C259:C322" si="64">B259/365</f>
        <v>0.70410958904109588</v>
      </c>
      <c r="D259" s="4">
        <f t="shared" ref="D259:D322" si="65">44.2*(1-EXP(-0.58*(C259+0.85)))</f>
        <v>26.254466974615635</v>
      </c>
      <c r="E259" s="10">
        <f t="shared" si="53"/>
        <v>27.753414757601448</v>
      </c>
      <c r="F259" s="8">
        <v>7579.7876119848388</v>
      </c>
      <c r="G259" s="19">
        <f t="shared" si="54"/>
        <v>0.19944080313893053</v>
      </c>
      <c r="H259" s="21">
        <f t="shared" si="55"/>
        <v>753.29483452913985</v>
      </c>
      <c r="I259" s="5">
        <v>622</v>
      </c>
      <c r="J259" s="6">
        <f t="shared" ref="J259:J322" si="66">I259/365</f>
        <v>1.704109589041096</v>
      </c>
      <c r="K259" s="4">
        <f t="shared" ref="K259:K322" si="67">44.2*(1-EXP(-0.58*(J259+0.85)))</f>
        <v>34.152325371941821</v>
      </c>
      <c r="L259" s="10">
        <f t="shared" ref="L259:L322" si="68">0.0007*K259^3.24</f>
        <v>65.069840949292299</v>
      </c>
      <c r="M259" s="13">
        <v>491.84536996360828</v>
      </c>
      <c r="N259" s="19">
        <f t="shared" si="56"/>
        <v>0.96758898859766951</v>
      </c>
      <c r="O259" s="21">
        <f t="shared" si="57"/>
        <v>1394.2708871310738</v>
      </c>
      <c r="P259" s="8">
        <f t="shared" si="58"/>
        <v>210364.98936994467</v>
      </c>
      <c r="Q259" s="8">
        <f t="shared" si="59"/>
        <v>32004.299995177818</v>
      </c>
      <c r="R259" s="8">
        <f t="shared" si="60"/>
        <v>41955.362432254347</v>
      </c>
      <c r="S259" s="8">
        <f t="shared" si="61"/>
        <v>30967.008263110503</v>
      </c>
      <c r="T259" s="8">
        <f t="shared" si="62"/>
        <v>31604.757801015126</v>
      </c>
      <c r="U259" s="8">
        <f t="shared" si="63"/>
        <v>43176.39808280237</v>
      </c>
    </row>
    <row r="260" spans="1:21">
      <c r="A260" s="1">
        <v>41987</v>
      </c>
      <c r="B260" s="5">
        <v>258</v>
      </c>
      <c r="C260" s="6">
        <f t="shared" si="64"/>
        <v>0.70684931506849313</v>
      </c>
      <c r="D260" s="4">
        <f t="shared" si="65"/>
        <v>26.2829605193782</v>
      </c>
      <c r="E260" s="10">
        <f t="shared" ref="E260:E323" si="69">0.0007*D260^3.24</f>
        <v>27.851123296853682</v>
      </c>
      <c r="F260" s="8">
        <v>7569.4138521160639</v>
      </c>
      <c r="G260" s="19">
        <f t="shared" ref="G260:G323" si="70">1/(1+EXP(-0.606*D260+17.3))</f>
        <v>0.20221205174110476</v>
      </c>
      <c r="H260" s="21">
        <f t="shared" ref="H260:H323" si="71">0.3586*D260^2.341</f>
        <v>755.21008523702028</v>
      </c>
      <c r="I260" s="5">
        <v>623</v>
      </c>
      <c r="J260" s="6">
        <f t="shared" si="66"/>
        <v>1.7068493150684931</v>
      </c>
      <c r="K260" s="4">
        <f t="shared" si="67"/>
        <v>34.168278861112029</v>
      </c>
      <c r="L260" s="10">
        <f t="shared" si="68"/>
        <v>65.168375231604045</v>
      </c>
      <c r="M260" s="13">
        <v>488.07368737487872</v>
      </c>
      <c r="N260" s="19">
        <f t="shared" ref="N260:N323" si="72">1/(1+EXP(-0.606*K260+17.3))</f>
        <v>0.96789080970486052</v>
      </c>
      <c r="O260" s="21">
        <f t="shared" ref="O260:O323" si="73">0.3586*K260^2.341</f>
        <v>1395.7960632140193</v>
      </c>
      <c r="P260" s="8">
        <f t="shared" ref="P260:P323" si="74">E260*F260</f>
        <v>210816.67848019669</v>
      </c>
      <c r="Q260" s="8">
        <f t="shared" ref="Q260:Q323" si="75">L260*M260</f>
        <v>31806.969199518702</v>
      </c>
      <c r="R260" s="8">
        <f t="shared" ref="R260:R323" si="76">E260*F260*G260</f>
        <v>42629.673096725382</v>
      </c>
      <c r="S260" s="8">
        <f t="shared" ref="S260:S323" si="77">L260*M260*N260</f>
        <v>30785.673172779716</v>
      </c>
      <c r="T260" s="8">
        <f t="shared" ref="T260:T323" si="78">R260*H260/1000</f>
        <v>32194.359053004286</v>
      </c>
      <c r="U260" s="8">
        <f t="shared" ref="U260:U323" si="79">S260*O260/1000</f>
        <v>42970.521417959375</v>
      </c>
    </row>
    <row r="261" spans="1:21">
      <c r="A261" s="1">
        <v>41988</v>
      </c>
      <c r="B261" s="5">
        <v>259</v>
      </c>
      <c r="C261" s="6">
        <f t="shared" si="64"/>
        <v>0.70958904109589038</v>
      </c>
      <c r="D261" s="4">
        <f t="shared" si="65"/>
        <v>26.311408822681944</v>
      </c>
      <c r="E261" s="10">
        <f t="shared" si="69"/>
        <v>27.948913694588772</v>
      </c>
      <c r="F261" s="8">
        <v>7558.4310652491213</v>
      </c>
      <c r="G261" s="19">
        <f t="shared" si="70"/>
        <v>0.20500747773013225</v>
      </c>
      <c r="H261" s="21">
        <f t="shared" si="71"/>
        <v>757.12507470922822</v>
      </c>
      <c r="I261" s="5">
        <v>624</v>
      </c>
      <c r="J261" s="6">
        <f t="shared" si="66"/>
        <v>1.7095890410958905</v>
      </c>
      <c r="K261" s="4">
        <f t="shared" si="67"/>
        <v>34.184207019663361</v>
      </c>
      <c r="L261" s="10">
        <f t="shared" si="68"/>
        <v>65.266855926401533</v>
      </c>
      <c r="M261" s="13">
        <v>484.16117897520644</v>
      </c>
      <c r="N261" s="19">
        <f t="shared" si="72"/>
        <v>0.96818943979796979</v>
      </c>
      <c r="O261" s="21">
        <f t="shared" si="73"/>
        <v>1397.3197706306737</v>
      </c>
      <c r="P261" s="8">
        <f t="shared" si="74"/>
        <v>211249.93750914637</v>
      </c>
      <c r="Q261" s="8">
        <f t="shared" si="75"/>
        <v>31599.677913331507</v>
      </c>
      <c r="R261" s="8">
        <f t="shared" si="76"/>
        <v>43307.816859398154</v>
      </c>
      <c r="S261" s="8">
        <f t="shared" si="77"/>
        <v>30594.474456704709</v>
      </c>
      <c r="T261" s="8">
        <f t="shared" si="78"/>
        <v>32789.434075165402</v>
      </c>
      <c r="U261" s="8">
        <f t="shared" si="79"/>
        <v>42750.264030408631</v>
      </c>
    </row>
    <row r="262" spans="1:21">
      <c r="A262" s="1">
        <v>41989</v>
      </c>
      <c r="B262" s="5">
        <v>260</v>
      </c>
      <c r="C262" s="6">
        <f t="shared" si="64"/>
        <v>0.71232876712328763</v>
      </c>
      <c r="D262" s="4">
        <f t="shared" si="65"/>
        <v>26.339811956360339</v>
      </c>
      <c r="E262" s="10">
        <f t="shared" si="69"/>
        <v>28.046785385951232</v>
      </c>
      <c r="F262" s="8">
        <v>7547.4076765823029</v>
      </c>
      <c r="G262" s="19">
        <f t="shared" si="70"/>
        <v>0.20782697448270143</v>
      </c>
      <c r="H262" s="21">
        <f t="shared" si="71"/>
        <v>759.0397955626413</v>
      </c>
      <c r="I262" s="5">
        <v>625</v>
      </c>
      <c r="J262" s="6">
        <f t="shared" si="66"/>
        <v>1.7123287671232876</v>
      </c>
      <c r="K262" s="4">
        <f t="shared" si="67"/>
        <v>34.200109887815231</v>
      </c>
      <c r="L262" s="10">
        <f t="shared" si="68"/>
        <v>65.365282851655692</v>
      </c>
      <c r="M262" s="13">
        <v>479.96497799986668</v>
      </c>
      <c r="N262" s="19">
        <f t="shared" si="72"/>
        <v>0.96848491515299051</v>
      </c>
      <c r="O262" s="21">
        <f t="shared" si="73"/>
        <v>1398.8420088401074</v>
      </c>
      <c r="P262" s="8">
        <f t="shared" si="74"/>
        <v>211680.52332538468</v>
      </c>
      <c r="Q262" s="8">
        <f t="shared" si="75"/>
        <v>31373.046545849986</v>
      </c>
      <c r="R262" s="8">
        <f t="shared" si="76"/>
        <v>43992.922719629605</v>
      </c>
      <c r="S262" s="8">
        <f t="shared" si="77"/>
        <v>30384.322322048345</v>
      </c>
      <c r="T262" s="8">
        <f t="shared" si="78"/>
        <v>33392.379067310729</v>
      </c>
      <c r="U262" s="8">
        <f t="shared" si="79"/>
        <v>42502.866474219423</v>
      </c>
    </row>
    <row r="263" spans="1:21">
      <c r="A263" s="1">
        <v>41990</v>
      </c>
      <c r="B263" s="5">
        <v>261</v>
      </c>
      <c r="C263" s="6">
        <f t="shared" si="64"/>
        <v>0.71506849315068488</v>
      </c>
      <c r="D263" s="4">
        <f t="shared" si="65"/>
        <v>26.368169992132767</v>
      </c>
      <c r="E263" s="10">
        <f t="shared" si="69"/>
        <v>28.144737806935563</v>
      </c>
      <c r="F263" s="8">
        <v>7536.5466951149938</v>
      </c>
      <c r="G263" s="19">
        <f t="shared" si="70"/>
        <v>0.21067042760164736</v>
      </c>
      <c r="H263" s="21">
        <f t="shared" si="71"/>
        <v>760.9542404450134</v>
      </c>
      <c r="I263" s="5">
        <v>626</v>
      </c>
      <c r="J263" s="6">
        <f t="shared" si="66"/>
        <v>1.715068493150685</v>
      </c>
      <c r="K263" s="4">
        <f t="shared" si="67"/>
        <v>34.21598750572322</v>
      </c>
      <c r="L263" s="10">
        <f t="shared" si="68"/>
        <v>65.463655826198931</v>
      </c>
      <c r="M263" s="13">
        <v>475.98307717161384</v>
      </c>
      <c r="N263" s="19">
        <f t="shared" si="72"/>
        <v>0.96877727162521698</v>
      </c>
      <c r="O263" s="21">
        <f t="shared" si="73"/>
        <v>1400.3627773106059</v>
      </c>
      <c r="P263" s="8">
        <f t="shared" si="74"/>
        <v>212114.13070373822</v>
      </c>
      <c r="Q263" s="8">
        <f t="shared" si="75"/>
        <v>31159.592343057615</v>
      </c>
      <c r="R263" s="8">
        <f t="shared" si="76"/>
        <v>44686.174615708253</v>
      </c>
      <c r="S263" s="8">
        <f t="shared" si="77"/>
        <v>30186.704855061358</v>
      </c>
      <c r="T263" s="8">
        <f t="shared" si="78"/>
        <v>34004.134063089514</v>
      </c>
      <c r="U263" s="8">
        <f t="shared" si="79"/>
        <v>42272.337848689276</v>
      </c>
    </row>
    <row r="264" spans="1:21">
      <c r="A264" s="1">
        <v>41991</v>
      </c>
      <c r="B264" s="5">
        <v>262</v>
      </c>
      <c r="C264" s="6">
        <f t="shared" si="64"/>
        <v>0.71780821917808224</v>
      </c>
      <c r="D264" s="4">
        <f t="shared" si="65"/>
        <v>26.396483001604746</v>
      </c>
      <c r="E264" s="10">
        <f t="shared" si="69"/>
        <v>28.242770394391979</v>
      </c>
      <c r="F264" s="8">
        <v>7525.0766866495187</v>
      </c>
      <c r="G264" s="19">
        <f t="shared" si="70"/>
        <v>0.21353771487292184</v>
      </c>
      <c r="H264" s="21">
        <f t="shared" si="71"/>
        <v>762.86840203490385</v>
      </c>
      <c r="I264" s="5">
        <v>627</v>
      </c>
      <c r="J264" s="6">
        <f t="shared" si="66"/>
        <v>1.7178082191780821</v>
      </c>
      <c r="K264" s="4">
        <f t="shared" si="67"/>
        <v>34.231839913479128</v>
      </c>
      <c r="L264" s="10">
        <f t="shared" si="68"/>
        <v>65.561974669722886</v>
      </c>
      <c r="M264" s="13">
        <v>472.19710790641182</v>
      </c>
      <c r="N264" s="19">
        <f t="shared" si="72"/>
        <v>0.96906654465379716</v>
      </c>
      <c r="O264" s="21">
        <f t="shared" si="73"/>
        <v>1401.8820755196223</v>
      </c>
      <c r="P264" s="8">
        <f t="shared" si="74"/>
        <v>212529.01306123432</v>
      </c>
      <c r="Q264" s="8">
        <f t="shared" si="75"/>
        <v>30958.174827676576</v>
      </c>
      <c r="R264" s="8">
        <f t="shared" si="76"/>
        <v>45382.959793293332</v>
      </c>
      <c r="S264" s="8">
        <f t="shared" si="77"/>
        <v>30000.5315090447</v>
      </c>
      <c r="T264" s="8">
        <f t="shared" si="78"/>
        <v>34621.226017123976</v>
      </c>
      <c r="U264" s="8">
        <f t="shared" si="79"/>
        <v>42057.207378591411</v>
      </c>
    </row>
    <row r="265" spans="1:21">
      <c r="A265" s="1">
        <v>41992</v>
      </c>
      <c r="B265" s="5">
        <v>263</v>
      </c>
      <c r="C265" s="6">
        <f t="shared" si="64"/>
        <v>0.72054794520547949</v>
      </c>
      <c r="D265" s="4">
        <f t="shared" si="65"/>
        <v>26.424751056268111</v>
      </c>
      <c r="E265" s="10">
        <f t="shared" si="69"/>
        <v>28.340882586031118</v>
      </c>
      <c r="F265" s="8">
        <v>7513.9314925830658</v>
      </c>
      <c r="G265" s="19">
        <f t="shared" si="70"/>
        <v>0.2164287062274545</v>
      </c>
      <c r="H265" s="21">
        <f t="shared" si="71"/>
        <v>764.78227304159418</v>
      </c>
      <c r="I265" s="5">
        <v>628</v>
      </c>
      <c r="J265" s="6">
        <f t="shared" si="66"/>
        <v>1.7205479452054795</v>
      </c>
      <c r="K265" s="4">
        <f t="shared" si="67"/>
        <v>34.247667151111131</v>
      </c>
      <c r="L265" s="10">
        <f t="shared" si="68"/>
        <v>65.660239202776665</v>
      </c>
      <c r="M265" s="13">
        <v>468.43971199415483</v>
      </c>
      <c r="N265" s="19">
        <f t="shared" si="72"/>
        <v>0.96935276926625602</v>
      </c>
      <c r="O265" s="21">
        <f t="shared" si="73"/>
        <v>1403.3999029537461</v>
      </c>
      <c r="P265" s="8">
        <f t="shared" si="74"/>
        <v>212951.45019077821</v>
      </c>
      <c r="Q265" s="8">
        <f t="shared" si="75"/>
        <v>30757.863541616014</v>
      </c>
      <c r="R265" s="8">
        <f t="shared" si="76"/>
        <v>46088.806854050345</v>
      </c>
      <c r="S265" s="8">
        <f t="shared" si="77"/>
        <v>29815.220200779095</v>
      </c>
      <c r="T265" s="8">
        <f t="shared" si="78"/>
        <v>35247.902467615626</v>
      </c>
      <c r="U265" s="8">
        <f t="shared" si="79"/>
        <v>41842.67713631795</v>
      </c>
    </row>
    <row r="266" spans="1:21">
      <c r="A266" s="1">
        <v>41993</v>
      </c>
      <c r="B266" s="5">
        <v>264</v>
      </c>
      <c r="C266" s="6">
        <f t="shared" si="64"/>
        <v>0.72328767123287674</v>
      </c>
      <c r="D266" s="4">
        <f t="shared" si="65"/>
        <v>26.452974227501166</v>
      </c>
      <c r="E266" s="10">
        <f t="shared" si="69"/>
        <v>28.439073820428771</v>
      </c>
      <c r="F266" s="8">
        <v>7503.3547237149023</v>
      </c>
      <c r="G266" s="19">
        <f t="shared" si="70"/>
        <v>0.21934326370802507</v>
      </c>
      <c r="H266" s="21">
        <f t="shared" si="71"/>
        <v>766.69584620501507</v>
      </c>
      <c r="I266" s="5">
        <v>629</v>
      </c>
      <c r="J266" s="6">
        <f t="shared" si="66"/>
        <v>1.7232876712328766</v>
      </c>
      <c r="K266" s="4">
        <f t="shared" si="67"/>
        <v>34.263469258583811</v>
      </c>
      <c r="L266" s="10">
        <f t="shared" si="68"/>
        <v>65.758449246764783</v>
      </c>
      <c r="M266" s="13">
        <v>464.87008382982145</v>
      </c>
      <c r="N266" s="19">
        <f t="shared" si="72"/>
        <v>0.96963598008298146</v>
      </c>
      <c r="O266" s="21">
        <f t="shared" si="73"/>
        <v>1404.9162591086724</v>
      </c>
      <c r="P266" s="8">
        <f t="shared" si="74"/>
        <v>213388.45888859103</v>
      </c>
      <c r="Q266" s="8">
        <f t="shared" si="75"/>
        <v>30569.135813862606</v>
      </c>
      <c r="R266" s="8">
        <f t="shared" si="76"/>
        <v>46805.321010249289</v>
      </c>
      <c r="S266" s="8">
        <f t="shared" si="77"/>
        <v>29640.933965164437</v>
      </c>
      <c r="T266" s="8">
        <f t="shared" si="78"/>
        <v>35885.445198850452</v>
      </c>
      <c r="U266" s="8">
        <f t="shared" si="79"/>
        <v>41643.030062826008</v>
      </c>
    </row>
    <row r="267" spans="1:21">
      <c r="A267" s="1">
        <v>41994</v>
      </c>
      <c r="B267" s="5">
        <v>265</v>
      </c>
      <c r="C267" s="6">
        <f t="shared" si="64"/>
        <v>0.72602739726027399</v>
      </c>
      <c r="D267" s="4">
        <f t="shared" si="65"/>
        <v>26.481152586568889</v>
      </c>
      <c r="E267" s="10">
        <f t="shared" si="69"/>
        <v>28.537343537030956</v>
      </c>
      <c r="F267" s="8">
        <v>7492.1080251487547</v>
      </c>
      <c r="G267" s="19">
        <f t="shared" si="70"/>
        <v>0.22228124144127176</v>
      </c>
      <c r="H267" s="21">
        <f t="shared" si="71"/>
        <v>768.60911429566738</v>
      </c>
      <c r="I267" s="5">
        <v>630</v>
      </c>
      <c r="J267" s="6">
        <f t="shared" si="66"/>
        <v>1.726027397260274</v>
      </c>
      <c r="K267" s="4">
        <f t="shared" si="67"/>
        <v>34.279246275798322</v>
      </c>
      <c r="L267" s="10">
        <f t="shared" si="68"/>
        <v>65.856604623945827</v>
      </c>
      <c r="M267" s="13">
        <v>460.83307724946064</v>
      </c>
      <c r="N267" s="19">
        <f t="shared" si="72"/>
        <v>0.96991621132167538</v>
      </c>
      <c r="O267" s="21">
        <f t="shared" si="73"/>
        <v>1406.4311434891533</v>
      </c>
      <c r="P267" s="8">
        <f t="shared" si="74"/>
        <v>213804.86053021657</v>
      </c>
      <c r="Q267" s="8">
        <f t="shared" si="75"/>
        <v>30348.901766054016</v>
      </c>
      <c r="R267" s="8">
        <f t="shared" si="76"/>
        <v>47524.809824834505</v>
      </c>
      <c r="S267" s="8">
        <f t="shared" si="77"/>
        <v>29435.891818704815</v>
      </c>
      <c r="T267" s="8">
        <f t="shared" si="78"/>
        <v>36528.001986536081</v>
      </c>
      <c r="U267" s="8">
        <f t="shared" si="79"/>
        <v>41399.554990204029</v>
      </c>
    </row>
    <row r="268" spans="1:21">
      <c r="A268" s="1">
        <v>41995</v>
      </c>
      <c r="B268" s="5">
        <v>266</v>
      </c>
      <c r="C268" s="6">
        <f t="shared" si="64"/>
        <v>0.72876712328767124</v>
      </c>
      <c r="D268" s="4">
        <f t="shared" si="65"/>
        <v>26.509286204623105</v>
      </c>
      <c r="E268" s="10">
        <f t="shared" si="69"/>
        <v>28.635691176158335</v>
      </c>
      <c r="F268" s="8">
        <v>7480.4553085838288</v>
      </c>
      <c r="G268" s="19">
        <f t="shared" si="70"/>
        <v>0.2252424856149314</v>
      </c>
      <c r="H268" s="21">
        <f t="shared" si="71"/>
        <v>770.52207011454163</v>
      </c>
      <c r="I268" s="5">
        <v>631</v>
      </c>
      <c r="J268" s="6">
        <f t="shared" si="66"/>
        <v>1.7287671232876711</v>
      </c>
      <c r="K268" s="4">
        <f t="shared" si="67"/>
        <v>34.294998242592456</v>
      </c>
      <c r="L268" s="10">
        <f t="shared" si="68"/>
        <v>65.954705157429416</v>
      </c>
      <c r="M268" s="13">
        <v>456.83688974473523</v>
      </c>
      <c r="N268" s="19">
        <f t="shared" si="72"/>
        <v>0.97019349680176958</v>
      </c>
      <c r="O268" s="21">
        <f t="shared" si="73"/>
        <v>1407.9445556089679</v>
      </c>
      <c r="P268" s="8">
        <f t="shared" si="74"/>
        <v>214208.00807366072</v>
      </c>
      <c r="Q268" s="8">
        <f t="shared" si="75"/>
        <v>30130.542368151102</v>
      </c>
      <c r="R268" s="8">
        <f t="shared" si="76"/>
        <v>48248.744177134635</v>
      </c>
      <c r="S268" s="8">
        <f t="shared" si="77"/>
        <v>29232.456260690389</v>
      </c>
      <c r="T268" s="8">
        <f t="shared" si="78"/>
        <v>37176.722243792712</v>
      </c>
      <c r="U268" s="8">
        <f t="shared" si="79"/>
        <v>41157.677639316324</v>
      </c>
    </row>
    <row r="269" spans="1:21">
      <c r="A269" s="1">
        <v>41996</v>
      </c>
      <c r="B269" s="5">
        <v>267</v>
      </c>
      <c r="C269" s="6">
        <f t="shared" si="64"/>
        <v>0.73150684931506849</v>
      </c>
      <c r="D269" s="4">
        <f t="shared" si="65"/>
        <v>26.537375152702673</v>
      </c>
      <c r="E269" s="10">
        <f t="shared" si="69"/>
        <v>28.734116179011568</v>
      </c>
      <c r="F269" s="8">
        <v>7469.3304154173147</v>
      </c>
      <c r="G269" s="19">
        <f t="shared" si="70"/>
        <v>0.22822683446042305</v>
      </c>
      <c r="H269" s="21">
        <f t="shared" si="71"/>
        <v>772.43470649304845</v>
      </c>
      <c r="I269" s="5">
        <v>632</v>
      </c>
      <c r="J269" s="6">
        <f t="shared" si="66"/>
        <v>1.7315068493150685</v>
      </c>
      <c r="K269" s="4">
        <f t="shared" si="67"/>
        <v>34.310725198740748</v>
      </c>
      <c r="L269" s="10">
        <f t="shared" si="68"/>
        <v>66.052750671175403</v>
      </c>
      <c r="M269" s="13">
        <v>453.35094068545493</v>
      </c>
      <c r="N269" s="19">
        <f t="shared" si="72"/>
        <v>0.97046786994880629</v>
      </c>
      <c r="O269" s="21">
        <f t="shared" si="73"/>
        <v>1409.4564949908815</v>
      </c>
      <c r="P269" s="8">
        <f t="shared" si="74"/>
        <v>214624.60793602586</v>
      </c>
      <c r="Q269" s="8">
        <f t="shared" si="75"/>
        <v>29945.076651639185</v>
      </c>
      <c r="R269" s="8">
        <f t="shared" si="76"/>
        <v>48983.09486654857</v>
      </c>
      <c r="S269" s="8">
        <f t="shared" si="77"/>
        <v>29060.734753570014</v>
      </c>
      <c r="T269" s="8">
        <f t="shared" si="78"/>
        <v>37836.242506363596</v>
      </c>
      <c r="U269" s="8">
        <f t="shared" si="79"/>
        <v>40959.84134762649</v>
      </c>
    </row>
    <row r="270" spans="1:21">
      <c r="A270" s="1">
        <v>41997</v>
      </c>
      <c r="B270" s="5">
        <v>268</v>
      </c>
      <c r="C270" s="6">
        <f t="shared" si="64"/>
        <v>0.73424657534246573</v>
      </c>
      <c r="D270" s="4">
        <f t="shared" si="65"/>
        <v>26.565419501733643</v>
      </c>
      <c r="E270" s="10">
        <f t="shared" si="69"/>
        <v>28.832617987675398</v>
      </c>
      <c r="F270" s="8">
        <v>7458.002513251412</v>
      </c>
      <c r="G270" s="19">
        <f t="shared" si="70"/>
        <v>0.2312341182408704</v>
      </c>
      <c r="H270" s="21">
        <f t="shared" si="71"/>
        <v>774.34701629293181</v>
      </c>
      <c r="I270" s="5">
        <v>633</v>
      </c>
      <c r="J270" s="6">
        <f t="shared" si="66"/>
        <v>1.7342465753424658</v>
      </c>
      <c r="K270" s="4">
        <f t="shared" si="67"/>
        <v>34.326427183954571</v>
      </c>
      <c r="L270" s="10">
        <f t="shared" si="68"/>
        <v>66.150740989991149</v>
      </c>
      <c r="M270" s="13">
        <v>449.72416581523174</v>
      </c>
      <c r="N270" s="19">
        <f t="shared" si="72"/>
        <v>0.97073936379878267</v>
      </c>
      <c r="O270" s="21">
        <f t="shared" si="73"/>
        <v>1410.9669611666177</v>
      </c>
      <c r="P270" s="8">
        <f t="shared" si="74"/>
        <v>215033.73741570098</v>
      </c>
      <c r="Q270" s="8">
        <f t="shared" si="75"/>
        <v>29749.586809783228</v>
      </c>
      <c r="R270" s="8">
        <f t="shared" si="76"/>
        <v>49723.136663358477</v>
      </c>
      <c r="S270" s="8">
        <f t="shared" si="77"/>
        <v>28879.094973005627</v>
      </c>
      <c r="T270" s="8">
        <f t="shared" si="78"/>
        <v>38502.962515997322</v>
      </c>
      <c r="U270" s="8">
        <f t="shared" si="79"/>
        <v>40747.448875303897</v>
      </c>
    </row>
    <row r="271" spans="1:21">
      <c r="A271" s="1">
        <v>41998</v>
      </c>
      <c r="B271" s="5">
        <v>269</v>
      </c>
      <c r="C271" s="6">
        <f t="shared" si="64"/>
        <v>0.73698630136986298</v>
      </c>
      <c r="D271" s="4">
        <f t="shared" si="65"/>
        <v>26.593419322529467</v>
      </c>
      <c r="E271" s="10">
        <f t="shared" si="69"/>
        <v>28.931196045123485</v>
      </c>
      <c r="F271" s="8">
        <v>7446.6340092856308</v>
      </c>
      <c r="G271" s="19">
        <f t="shared" si="70"/>
        <v>0.23426415924466026</v>
      </c>
      <c r="H271" s="21">
        <f t="shared" si="71"/>
        <v>776.25899240620038</v>
      </c>
      <c r="I271" s="5">
        <v>634</v>
      </c>
      <c r="J271" s="6">
        <f t="shared" si="66"/>
        <v>1.736986301369863</v>
      </c>
      <c r="K271" s="4">
        <f t="shared" si="67"/>
        <v>34.342104237882282</v>
      </c>
      <c r="L271" s="10">
        <f t="shared" si="68"/>
        <v>66.24867593953023</v>
      </c>
      <c r="M271" s="13">
        <v>446.12188239039006</v>
      </c>
      <c r="N271" s="19">
        <f t="shared" si="72"/>
        <v>0.97100801100246015</v>
      </c>
      <c r="O271" s="21">
        <f t="shared" si="73"/>
        <v>1412.4759536768101</v>
      </c>
      <c r="P271" s="8">
        <f t="shared" si="74"/>
        <v>215440.02839892649</v>
      </c>
      <c r="Q271" s="8">
        <f t="shared" si="75"/>
        <v>29554.984016014168</v>
      </c>
      <c r="R271" s="8">
        <f t="shared" si="76"/>
        <v>50469.877120520243</v>
      </c>
      <c r="S271" s="8">
        <f t="shared" si="77"/>
        <v>28698.126244599418</v>
      </c>
      <c r="T271" s="8">
        <f t="shared" si="78"/>
        <v>39177.695960439785</v>
      </c>
      <c r="U271" s="8">
        <f t="shared" si="79"/>
        <v>40535.413236078057</v>
      </c>
    </row>
    <row r="272" spans="1:21">
      <c r="A272" s="1">
        <v>41999</v>
      </c>
      <c r="B272" s="5">
        <v>270</v>
      </c>
      <c r="C272" s="6">
        <f t="shared" si="64"/>
        <v>0.73972602739726023</v>
      </c>
      <c r="D272" s="4">
        <f t="shared" si="65"/>
        <v>26.621374685791142</v>
      </c>
      <c r="E272" s="10">
        <f t="shared" si="69"/>
        <v>29.02984979522309</v>
      </c>
      <c r="F272" s="8">
        <v>7435.8745323180174</v>
      </c>
      <c r="G272" s="19">
        <f t="shared" si="70"/>
        <v>0.23731677178461644</v>
      </c>
      <c r="H272" s="21">
        <f t="shared" si="71"/>
        <v>778.17062775504496</v>
      </c>
      <c r="I272" s="5">
        <v>635</v>
      </c>
      <c r="J272" s="6">
        <f t="shared" si="66"/>
        <v>1.7397260273972603</v>
      </c>
      <c r="K272" s="4">
        <f t="shared" si="67"/>
        <v>34.357756400109238</v>
      </c>
      <c r="L272" s="10">
        <f t="shared" si="68"/>
        <v>66.34655534629006</v>
      </c>
      <c r="M272" s="13">
        <v>442.40938746133213</v>
      </c>
      <c r="N272" s="19">
        <f t="shared" si="72"/>
        <v>0.97127384382963577</v>
      </c>
      <c r="O272" s="21">
        <f t="shared" si="73"/>
        <v>1413.9834720709794</v>
      </c>
      <c r="P272" s="8">
        <f t="shared" si="74"/>
        <v>215862.32076931678</v>
      </c>
      <c r="Q272" s="8">
        <f t="shared" si="75"/>
        <v>29352.338910921557</v>
      </c>
      <c r="R272" s="8">
        <f t="shared" si="76"/>
        <v>51227.749114909617</v>
      </c>
      <c r="S272" s="8">
        <f t="shared" si="77"/>
        <v>28509.159039400965</v>
      </c>
      <c r="T272" s="8">
        <f t="shared" si="78"/>
        <v>39863.929687227166</v>
      </c>
      <c r="U272" s="8">
        <f t="shared" si="79"/>
        <v>40311.479684355923</v>
      </c>
    </row>
    <row r="273" spans="1:21">
      <c r="A273" s="1">
        <v>42000</v>
      </c>
      <c r="B273" s="5">
        <v>271</v>
      </c>
      <c r="C273" s="6">
        <f t="shared" si="64"/>
        <v>0.74246575342465748</v>
      </c>
      <c r="D273" s="4">
        <f t="shared" si="65"/>
        <v>26.649285662107438</v>
      </c>
      <c r="E273" s="10">
        <f t="shared" si="69"/>
        <v>29.128578682739604</v>
      </c>
      <c r="F273" s="8">
        <v>7423.9782049538253</v>
      </c>
      <c r="G273" s="19">
        <f t="shared" si="70"/>
        <v>0.2403917622028843</v>
      </c>
      <c r="H273" s="21">
        <f t="shared" si="71"/>
        <v>780.08191529176088</v>
      </c>
      <c r="I273" s="5">
        <v>636</v>
      </c>
      <c r="J273" s="6">
        <f t="shared" si="66"/>
        <v>1.7424657534246575</v>
      </c>
      <c r="K273" s="4">
        <f t="shared" si="67"/>
        <v>34.373383710157967</v>
      </c>
      <c r="L273" s="10">
        <f t="shared" si="68"/>
        <v>66.444379037609963</v>
      </c>
      <c r="M273" s="13">
        <v>438.58464007427636</v>
      </c>
      <c r="N273" s="19">
        <f t="shared" si="72"/>
        <v>0.97153689417337974</v>
      </c>
      <c r="O273" s="21">
        <f t="shared" si="73"/>
        <v>1415.4895159074831</v>
      </c>
      <c r="P273" s="8">
        <f t="shared" si="74"/>
        <v>216249.93328194143</v>
      </c>
      <c r="Q273" s="8">
        <f t="shared" si="75"/>
        <v>29141.484065168959</v>
      </c>
      <c r="R273" s="8">
        <f t="shared" si="76"/>
        <v>51984.702537902056</v>
      </c>
      <c r="S273" s="8">
        <f t="shared" si="77"/>
        <v>28312.026920277287</v>
      </c>
      <c r="T273" s="8">
        <f t="shared" si="78"/>
        <v>40552.326321639099</v>
      </c>
      <c r="U273" s="8">
        <f t="shared" si="79"/>
        <v>40075.377279742926</v>
      </c>
    </row>
    <row r="274" spans="1:21">
      <c r="A274" s="1">
        <v>42001</v>
      </c>
      <c r="B274" s="5">
        <v>272</v>
      </c>
      <c r="C274" s="6">
        <f t="shared" si="64"/>
        <v>0.74520547945205484</v>
      </c>
      <c r="D274" s="4">
        <f t="shared" si="65"/>
        <v>26.677152321954996</v>
      </c>
      <c r="E274" s="10">
        <f t="shared" si="69"/>
        <v>29.227382153340695</v>
      </c>
      <c r="F274" s="8">
        <v>7412.0615766896935</v>
      </c>
      <c r="G274" s="19">
        <f t="shared" si="70"/>
        <v>0.24348892888157855</v>
      </c>
      <c r="H274" s="21">
        <f t="shared" si="71"/>
        <v>781.9928479986753</v>
      </c>
      <c r="I274" s="5">
        <v>637</v>
      </c>
      <c r="J274" s="6">
        <f t="shared" si="66"/>
        <v>1.7452054794520548</v>
      </c>
      <c r="K274" s="4">
        <f t="shared" si="67"/>
        <v>34.388986207488259</v>
      </c>
      <c r="L274" s="10">
        <f t="shared" si="68"/>
        <v>66.542146841669833</v>
      </c>
      <c r="M274" s="13">
        <v>435.10073196877784</v>
      </c>
      <c r="N274" s="19">
        <f t="shared" si="72"/>
        <v>0.97179719355423666</v>
      </c>
      <c r="O274" s="21">
        <f t="shared" si="73"/>
        <v>1416.9940847534883</v>
      </c>
      <c r="P274" s="8">
        <f t="shared" si="74"/>
        <v>216635.15624600265</v>
      </c>
      <c r="Q274" s="8">
        <f t="shared" si="75"/>
        <v>28952.536797584442</v>
      </c>
      <c r="R274" s="8">
        <f t="shared" si="76"/>
        <v>52748.262152432595</v>
      </c>
      <c r="S274" s="8">
        <f t="shared" si="77"/>
        <v>28135.994006168326</v>
      </c>
      <c r="T274" s="8">
        <f t="shared" si="78"/>
        <v>41248.763747561497</v>
      </c>
      <c r="U274" s="8">
        <f t="shared" si="79"/>
        <v>39868.53707540012</v>
      </c>
    </row>
    <row r="275" spans="1:21">
      <c r="A275" s="1">
        <v>42002</v>
      </c>
      <c r="B275" s="5">
        <v>273</v>
      </c>
      <c r="C275" s="6">
        <f t="shared" si="64"/>
        <v>0.74794520547945209</v>
      </c>
      <c r="D275" s="4">
        <f t="shared" si="65"/>
        <v>26.704974735698606</v>
      </c>
      <c r="E275" s="10">
        <f t="shared" si="69"/>
        <v>29.32625965360117</v>
      </c>
      <c r="F275" s="8">
        <v>7401.1599934225078</v>
      </c>
      <c r="G275" s="19">
        <f t="shared" si="70"/>
        <v>0.2466080622592971</v>
      </c>
      <c r="H275" s="21">
        <f t="shared" si="71"/>
        <v>783.90341888806552</v>
      </c>
      <c r="I275" s="5">
        <v>638</v>
      </c>
      <c r="J275" s="6">
        <f t="shared" si="66"/>
        <v>1.747945205479452</v>
      </c>
      <c r="K275" s="4">
        <f t="shared" si="67"/>
        <v>34.404563931497208</v>
      </c>
      <c r="L275" s="10">
        <f t="shared" si="68"/>
        <v>66.639858587487325</v>
      </c>
      <c r="M275" s="13">
        <v>431.79234588851239</v>
      </c>
      <c r="N275" s="19">
        <f t="shared" si="72"/>
        <v>0.97205477312438759</v>
      </c>
      <c r="O275" s="21">
        <f t="shared" si="73"/>
        <v>1418.497178184936</v>
      </c>
      <c r="P275" s="8">
        <f t="shared" si="74"/>
        <v>217048.3397049536</v>
      </c>
      <c r="Q275" s="8">
        <f t="shared" si="75"/>
        <v>28774.58086916988</v>
      </c>
      <c r="R275" s="8">
        <f t="shared" si="76"/>
        <v>53525.870471236267</v>
      </c>
      <c r="S275" s="8">
        <f t="shared" si="77"/>
        <v>27970.468678530273</v>
      </c>
      <c r="T275" s="8">
        <f t="shared" si="78"/>
        <v>41959.112861361864</v>
      </c>
      <c r="U275" s="8">
        <f t="shared" si="79"/>
        <v>39676.030893005329</v>
      </c>
    </row>
    <row r="276" spans="1:21">
      <c r="A276" s="1">
        <v>42003</v>
      </c>
      <c r="B276" s="5">
        <v>274</v>
      </c>
      <c r="C276" s="6">
        <f t="shared" si="64"/>
        <v>0.75068493150684934</v>
      </c>
      <c r="D276" s="4">
        <f t="shared" si="65"/>
        <v>26.732752973591307</v>
      </c>
      <c r="E276" s="10">
        <f t="shared" si="69"/>
        <v>29.425210631007118</v>
      </c>
      <c r="F276" s="8">
        <v>7389.6087813572776</v>
      </c>
      <c r="G276" s="19">
        <f t="shared" si="70"/>
        <v>0.24974894485351767</v>
      </c>
      <c r="H276" s="21">
        <f t="shared" si="71"/>
        <v>785.81362100208401</v>
      </c>
      <c r="I276" s="5">
        <v>639</v>
      </c>
      <c r="J276" s="6">
        <f t="shared" si="66"/>
        <v>1.7506849315068493</v>
      </c>
      <c r="K276" s="4">
        <f t="shared" si="67"/>
        <v>34.420116921519394</v>
      </c>
      <c r="L276" s="10">
        <f t="shared" si="68"/>
        <v>66.737514104916599</v>
      </c>
      <c r="M276" s="13">
        <v>428.35333876621297</v>
      </c>
      <c r="N276" s="19">
        <f t="shared" si="72"/>
        <v>0.97230966367177918</v>
      </c>
      <c r="O276" s="21">
        <f t="shared" si="73"/>
        <v>1419.9987957865019</v>
      </c>
      <c r="P276" s="8">
        <f t="shared" si="74"/>
        <v>217440.79487217774</v>
      </c>
      <c r="Q276" s="8">
        <f t="shared" si="75"/>
        <v>28587.236987798256</v>
      </c>
      <c r="R276" s="8">
        <f t="shared" si="76"/>
        <v>54305.609087436569</v>
      </c>
      <c r="S276" s="8">
        <f t="shared" si="77"/>
        <v>27795.646780911567</v>
      </c>
      <c r="T276" s="8">
        <f t="shared" si="78"/>
        <v>42674.087317722209</v>
      </c>
      <c r="U276" s="8">
        <f t="shared" si="79"/>
        <v>39469.784957001379</v>
      </c>
    </row>
    <row r="277" spans="1:21">
      <c r="A277" s="1">
        <v>42004</v>
      </c>
      <c r="B277" s="5">
        <v>275</v>
      </c>
      <c r="C277" s="6">
        <f t="shared" si="64"/>
        <v>0.75342465753424659</v>
      </c>
      <c r="D277" s="4">
        <f t="shared" si="65"/>
        <v>26.760487105774601</v>
      </c>
      <c r="E277" s="10">
        <f t="shared" si="69"/>
        <v>29.524234533960303</v>
      </c>
      <c r="F277" s="8">
        <v>7377.9763656922905</v>
      </c>
      <c r="G277" s="19">
        <f t="shared" si="70"/>
        <v>0.25291135128897779</v>
      </c>
      <c r="H277" s="21">
        <f t="shared" si="71"/>
        <v>787.72344741268125</v>
      </c>
      <c r="I277" s="5">
        <v>640</v>
      </c>
      <c r="J277" s="6">
        <f t="shared" si="66"/>
        <v>1.7534246575342465</v>
      </c>
      <c r="K277" s="4">
        <f t="shared" si="67"/>
        <v>34.435645216826934</v>
      </c>
      <c r="L277" s="10">
        <f t="shared" si="68"/>
        <v>66.835113224646136</v>
      </c>
      <c r="M277" s="13">
        <v>424.65104860606397</v>
      </c>
      <c r="N277" s="19">
        <f t="shared" si="72"/>
        <v>0.97256189562421502</v>
      </c>
      <c r="O277" s="21">
        <f t="shared" si="73"/>
        <v>1421.4989371515558</v>
      </c>
      <c r="P277" s="8">
        <f t="shared" si="74"/>
        <v>217829.10460671526</v>
      </c>
      <c r="Q277" s="8">
        <f t="shared" si="75"/>
        <v>28381.600914550996</v>
      </c>
      <c r="R277" s="8">
        <f t="shared" si="76"/>
        <v>55091.453196152455</v>
      </c>
      <c r="S277" s="8">
        <f t="shared" si="77"/>
        <v>27602.86358630567</v>
      </c>
      <c r="T277" s="8">
        <f t="shared" si="78"/>
        <v>43396.829434647589</v>
      </c>
      <c r="U277" s="8">
        <f t="shared" si="79"/>
        <v>39237.441250272896</v>
      </c>
    </row>
    <row r="278" spans="1:21">
      <c r="A278" s="1">
        <v>42005</v>
      </c>
      <c r="B278" s="5">
        <v>276</v>
      </c>
      <c r="C278" s="6">
        <f t="shared" si="64"/>
        <v>0.75616438356164384</v>
      </c>
      <c r="D278" s="4">
        <f t="shared" si="65"/>
        <v>26.788177202278614</v>
      </c>
      <c r="E278" s="10">
        <f t="shared" si="69"/>
        <v>29.623330811782374</v>
      </c>
      <c r="F278" s="8">
        <v>7366.8311716258386</v>
      </c>
      <c r="G278" s="19">
        <f t="shared" si="70"/>
        <v>0.25609504833205088</v>
      </c>
      <c r="H278" s="21">
        <f t="shared" si="71"/>
        <v>789.63289122152867</v>
      </c>
      <c r="I278" s="5">
        <v>641</v>
      </c>
      <c r="J278" s="6">
        <f t="shared" si="66"/>
        <v>1.7561643835616438</v>
      </c>
      <c r="K278" s="4">
        <f t="shared" si="67"/>
        <v>34.451148856629572</v>
      </c>
      <c r="L278" s="10">
        <f t="shared" si="68"/>
        <v>66.932655778196818</v>
      </c>
      <c r="M278" s="13">
        <v>421.17530431569259</v>
      </c>
      <c r="N278" s="19">
        <f t="shared" si="72"/>
        <v>0.97281149905340947</v>
      </c>
      <c r="O278" s="21">
        <f t="shared" si="73"/>
        <v>1422.9976018821462</v>
      </c>
      <c r="P278" s="8">
        <f t="shared" si="74"/>
        <v>218230.07683162254</v>
      </c>
      <c r="Q278" s="8">
        <f t="shared" si="75"/>
        <v>28190.381666039546</v>
      </c>
      <c r="R278" s="8">
        <f t="shared" si="76"/>
        <v>55887.642073701551</v>
      </c>
      <c r="S278" s="8">
        <f t="shared" si="77"/>
        <v>27423.927447427683</v>
      </c>
      <c r="T278" s="8">
        <f t="shared" si="78"/>
        <v>44130.720394210904</v>
      </c>
      <c r="U278" s="8">
        <f t="shared" si="79"/>
        <v>39024.182991879563</v>
      </c>
    </row>
    <row r="279" spans="1:21">
      <c r="A279" s="1">
        <v>42006</v>
      </c>
      <c r="B279" s="5">
        <v>277</v>
      </c>
      <c r="C279" s="6">
        <f t="shared" si="64"/>
        <v>0.75890410958904109</v>
      </c>
      <c r="D279" s="4">
        <f t="shared" si="65"/>
        <v>26.81582333302228</v>
      </c>
      <c r="E279" s="10">
        <f t="shared" si="69"/>
        <v>29.722498914719118</v>
      </c>
      <c r="F279" s="8">
        <v>7355.6859775593839</v>
      </c>
      <c r="G279" s="19">
        <f t="shared" si="70"/>
        <v>0.25929979493117816</v>
      </c>
      <c r="H279" s="21">
        <f t="shared" si="71"/>
        <v>791.54194555993922</v>
      </c>
      <c r="I279" s="5">
        <v>642</v>
      </c>
      <c r="J279" s="6">
        <f t="shared" si="66"/>
        <v>1.7589041095890412</v>
      </c>
      <c r="K279" s="4">
        <f t="shared" si="67"/>
        <v>34.466627880074803</v>
      </c>
      <c r="L279" s="10">
        <f t="shared" si="68"/>
        <v>67.030141597919908</v>
      </c>
      <c r="M279" s="13">
        <v>419.43641169361598</v>
      </c>
      <c r="N279" s="19">
        <f t="shared" si="72"/>
        <v>0.97305850367900626</v>
      </c>
      <c r="O279" s="21">
        <f t="shared" si="73"/>
        <v>1424.4947895889309</v>
      </c>
      <c r="P279" s="8">
        <f t="shared" si="74"/>
        <v>218629.36848502341</v>
      </c>
      <c r="Q279" s="8">
        <f t="shared" si="75"/>
        <v>28114.882067146507</v>
      </c>
      <c r="R279" s="8">
        <f t="shared" si="76"/>
        <v>56690.550414099554</v>
      </c>
      <c r="S279" s="8">
        <f t="shared" si="77"/>
        <v>27357.425075369309</v>
      </c>
      <c r="T279" s="8">
        <f t="shared" si="78"/>
        <v>44872.948569640183</v>
      </c>
      <c r="U279" s="8">
        <f t="shared" si="79"/>
        <v>38970.509476433144</v>
      </c>
    </row>
    <row r="280" spans="1:21">
      <c r="A280" s="1">
        <v>42007</v>
      </c>
      <c r="B280" s="5">
        <v>278</v>
      </c>
      <c r="C280" s="6">
        <f t="shared" si="64"/>
        <v>0.76164383561643834</v>
      </c>
      <c r="D280" s="4">
        <f t="shared" si="65"/>
        <v>26.843425567813522</v>
      </c>
      <c r="E280" s="10">
        <f t="shared" si="69"/>
        <v>29.821738293944737</v>
      </c>
      <c r="F280" s="8">
        <v>7344.7031906924431</v>
      </c>
      <c r="G280" s="19">
        <f t="shared" si="70"/>
        <v>0.2625253422633817</v>
      </c>
      <c r="H280" s="21">
        <f t="shared" si="71"/>
        <v>793.45060358879289</v>
      </c>
      <c r="I280" s="5">
        <v>643</v>
      </c>
      <c r="J280" s="6">
        <f t="shared" si="66"/>
        <v>1.7616438356164383</v>
      </c>
      <c r="K280" s="4">
        <f t="shared" si="67"/>
        <v>34.482082326247969</v>
      </c>
      <c r="L280" s="10">
        <f t="shared" si="68"/>
        <v>67.127570516995618</v>
      </c>
      <c r="M280" s="13">
        <v>417.70976479423007</v>
      </c>
      <c r="N280" s="19">
        <f t="shared" si="72"/>
        <v>0.9733029388725617</v>
      </c>
      <c r="O280" s="21">
        <f t="shared" si="73"/>
        <v>1425.9904998911777</v>
      </c>
      <c r="P280" s="8">
        <f t="shared" si="74"/>
        <v>219031.81639953092</v>
      </c>
      <c r="Q280" s="8">
        <f t="shared" si="75"/>
        <v>28039.841691862333</v>
      </c>
      <c r="R280" s="8">
        <f t="shared" si="76"/>
        <v>57501.402566857032</v>
      </c>
      <c r="S280" s="8">
        <f t="shared" si="77"/>
        <v>27291.260324210991</v>
      </c>
      <c r="T280" s="8">
        <f t="shared" si="78"/>
        <v>45624.522573874878</v>
      </c>
      <c r="U280" s="8">
        <f t="shared" si="79"/>
        <v>38917.077952381893</v>
      </c>
    </row>
    <row r="281" spans="1:21">
      <c r="A281" s="1">
        <v>42008</v>
      </c>
      <c r="B281" s="5">
        <v>279</v>
      </c>
      <c r="C281" s="6">
        <f t="shared" si="64"/>
        <v>0.76438356164383559</v>
      </c>
      <c r="D281" s="4">
        <f t="shared" si="65"/>
        <v>26.870983976349432</v>
      </c>
      <c r="E281" s="10">
        <f t="shared" si="69"/>
        <v>29.921048401565969</v>
      </c>
      <c r="F281" s="8">
        <v>7333.8828110250124</v>
      </c>
      <c r="G281" s="19">
        <f t="shared" si="70"/>
        <v>0.26577143378688139</v>
      </c>
      <c r="H281" s="21">
        <f t="shared" si="71"/>
        <v>795.35885849846159</v>
      </c>
      <c r="I281" s="5">
        <v>644</v>
      </c>
      <c r="J281" s="6">
        <f t="shared" si="66"/>
        <v>1.7643835616438357</v>
      </c>
      <c r="K281" s="4">
        <f t="shared" si="67"/>
        <v>34.497512234172369</v>
      </c>
      <c r="L281" s="10">
        <f t="shared" si="68"/>
        <v>67.224942369430337</v>
      </c>
      <c r="M281" s="13">
        <v>416.05251032342477</v>
      </c>
      <c r="N281" s="19">
        <f t="shared" si="72"/>
        <v>0.97354483366148858</v>
      </c>
      <c r="O281" s="21">
        <f t="shared" si="73"/>
        <v>1427.4847324167026</v>
      </c>
      <c r="P281" s="8">
        <f t="shared" si="74"/>
        <v>219437.46256009207</v>
      </c>
      <c r="Q281" s="8">
        <f t="shared" si="75"/>
        <v>27969.10602914905</v>
      </c>
      <c r="R281" s="8">
        <f t="shared" si="76"/>
        <v>58320.209051150778</v>
      </c>
      <c r="S281" s="8">
        <f t="shared" si="77"/>
        <v>27229.178676808449</v>
      </c>
      <c r="T281" s="8">
        <f t="shared" si="78"/>
        <v>46385.49489831493</v>
      </c>
      <c r="U281" s="8">
        <f t="shared" si="79"/>
        <v>38869.236837390497</v>
      </c>
    </row>
    <row r="282" spans="1:21">
      <c r="A282" s="1">
        <v>42009</v>
      </c>
      <c r="B282" s="5">
        <v>280</v>
      </c>
      <c r="C282" s="6">
        <f t="shared" si="64"/>
        <v>0.76712328767123283</v>
      </c>
      <c r="D282" s="4">
        <f t="shared" si="65"/>
        <v>26.898498628216423</v>
      </c>
      <c r="E282" s="10">
        <f t="shared" si="69"/>
        <v>30.020428690625913</v>
      </c>
      <c r="F282" s="8">
        <v>7322.8188205583147</v>
      </c>
      <c r="G282" s="19">
        <f t="shared" si="70"/>
        <v>0.26903780529984056</v>
      </c>
      <c r="H282" s="21">
        <f t="shared" si="71"/>
        <v>797.26670350872507</v>
      </c>
      <c r="I282" s="5">
        <v>645</v>
      </c>
      <c r="J282" s="6">
        <f t="shared" si="66"/>
        <v>1.7671232876712328</v>
      </c>
      <c r="K282" s="4">
        <f t="shared" si="67"/>
        <v>34.512917642809313</v>
      </c>
      <c r="L282" s="10">
        <f t="shared" si="68"/>
        <v>67.322256990055607</v>
      </c>
      <c r="M282" s="13">
        <v>414.25443004167647</v>
      </c>
      <c r="N282" s="19">
        <f t="shared" si="72"/>
        <v>0.97378421673296556</v>
      </c>
      <c r="O282" s="21">
        <f t="shared" si="73"/>
        <v>1428.9774868018519</v>
      </c>
      <c r="P282" s="8">
        <f t="shared" si="74"/>
        <v>219834.16021694423</v>
      </c>
      <c r="Q282" s="8">
        <f t="shared" si="75"/>
        <v>27888.543198534757</v>
      </c>
      <c r="R282" s="8">
        <f t="shared" si="76"/>
        <v>59143.699994700197</v>
      </c>
      <c r="S282" s="8">
        <f t="shared" si="77"/>
        <v>27157.423194408642</v>
      </c>
      <c r="T282" s="8">
        <f t="shared" si="78"/>
        <v>47153.302728083625</v>
      </c>
      <c r="U282" s="8">
        <f t="shared" si="79"/>
        <v>38807.346344360383</v>
      </c>
    </row>
    <row r="283" spans="1:21">
      <c r="A283" s="1">
        <v>42010</v>
      </c>
      <c r="B283" s="5">
        <v>281</v>
      </c>
      <c r="C283" s="6">
        <f t="shared" si="64"/>
        <v>0.76986301369863008</v>
      </c>
      <c r="D283" s="4">
        <f t="shared" si="65"/>
        <v>26.925969592890414</v>
      </c>
      <c r="E283" s="10">
        <f t="shared" si="69"/>
        <v>30.119878615108391</v>
      </c>
      <c r="F283" s="8">
        <v>7311.4909183924119</v>
      </c>
      <c r="G283" s="19">
        <f t="shared" si="70"/>
        <v>0.2723241850052352</v>
      </c>
      <c r="H283" s="21">
        <f t="shared" si="71"/>
        <v>799.17413186870169</v>
      </c>
      <c r="I283" s="5">
        <v>646</v>
      </c>
      <c r="J283" s="6">
        <f t="shared" si="66"/>
        <v>1.7698630136986302</v>
      </c>
      <c r="K283" s="4">
        <f t="shared" si="67"/>
        <v>34.52829859105826</v>
      </c>
      <c r="L283" s="10">
        <f t="shared" si="68"/>
        <v>67.41951421452552</v>
      </c>
      <c r="M283" s="13">
        <v>412.47063643640075</v>
      </c>
      <c r="N283" s="19">
        <f t="shared" si="72"/>
        <v>0.9740211164378102</v>
      </c>
      <c r="O283" s="21">
        <f t="shared" si="73"/>
        <v>1430.4687626914533</v>
      </c>
      <c r="P283" s="8">
        <f t="shared" si="74"/>
        <v>220221.21895744681</v>
      </c>
      <c r="Q283" s="8">
        <f t="shared" si="75"/>
        <v>27808.569936298307</v>
      </c>
      <c r="R283" s="8">
        <f t="shared" si="76"/>
        <v>59971.563973446151</v>
      </c>
      <c r="S283" s="8">
        <f t="shared" si="77"/>
        <v>27086.134335892202</v>
      </c>
      <c r="T283" s="8">
        <f t="shared" si="78"/>
        <v>47927.722575287131</v>
      </c>
      <c r="U283" s="8">
        <f t="shared" si="79"/>
        <v>38745.869069558212</v>
      </c>
    </row>
    <row r="284" spans="1:21">
      <c r="A284" s="1">
        <v>42011</v>
      </c>
      <c r="B284" s="5">
        <v>282</v>
      </c>
      <c r="C284" s="6">
        <f t="shared" si="64"/>
        <v>0.77260273972602744</v>
      </c>
      <c r="D284" s="4">
        <f t="shared" si="65"/>
        <v>26.953396939737043</v>
      </c>
      <c r="E284" s="10">
        <f t="shared" si="69"/>
        <v>30.219397629941835</v>
      </c>
      <c r="F284" s="8">
        <v>7300.4269279257151</v>
      </c>
      <c r="G284" s="19">
        <f t="shared" si="70"/>
        <v>0.27563029358187269</v>
      </c>
      <c r="H284" s="21">
        <f t="shared" si="71"/>
        <v>801.08113685676835</v>
      </c>
      <c r="I284" s="5">
        <v>647</v>
      </c>
      <c r="J284" s="6">
        <f t="shared" si="66"/>
        <v>1.7726027397260273</v>
      </c>
      <c r="K284" s="4">
        <f t="shared" si="67"/>
        <v>34.543655117756906</v>
      </c>
      <c r="L284" s="10">
        <f t="shared" si="68"/>
        <v>67.516713879314906</v>
      </c>
      <c r="M284" s="13">
        <v>410.85216008744919</v>
      </c>
      <c r="N284" s="19">
        <f t="shared" si="72"/>
        <v>0.97425556079431497</v>
      </c>
      <c r="O284" s="21">
        <f t="shared" si="73"/>
        <v>1431.9585597387857</v>
      </c>
      <c r="P284" s="8">
        <f t="shared" si="74"/>
        <v>220614.50420332191</v>
      </c>
      <c r="Q284" s="8">
        <f t="shared" si="75"/>
        <v>27739.387739322792</v>
      </c>
      <c r="R284" s="8">
        <f t="shared" si="76"/>
        <v>60808.040561980903</v>
      </c>
      <c r="S284" s="8">
        <f t="shared" si="77"/>
        <v>27025.252758064871</v>
      </c>
      <c r="T284" s="8">
        <f t="shared" si="78"/>
        <v>48712.174263424145</v>
      </c>
      <c r="U284" s="8">
        <f t="shared" si="79"/>
        <v>38699.042016015213</v>
      </c>
    </row>
    <row r="285" spans="1:21">
      <c r="A285" s="1">
        <v>42012</v>
      </c>
      <c r="B285" s="5">
        <v>283</v>
      </c>
      <c r="C285" s="6">
        <f t="shared" si="64"/>
        <v>0.77534246575342469</v>
      </c>
      <c r="D285" s="4">
        <f t="shared" si="65"/>
        <v>26.980780738011774</v>
      </c>
      <c r="E285" s="10">
        <f t="shared" si="69"/>
        <v>30.318985191003126</v>
      </c>
      <c r="F285" s="8">
        <v>7289.220831159445</v>
      </c>
      <c r="G285" s="19">
        <f t="shared" si="70"/>
        <v>0.27895584426151021</v>
      </c>
      <c r="H285" s="21">
        <f t="shared" si="71"/>
        <v>802.98771178048048</v>
      </c>
      <c r="I285" s="5">
        <v>648</v>
      </c>
      <c r="J285" s="6">
        <f t="shared" si="66"/>
        <v>1.7753424657534247</v>
      </c>
      <c r="K285" s="4">
        <f t="shared" si="67"/>
        <v>34.558987261681281</v>
      </c>
      <c r="L285" s="10">
        <f t="shared" si="68"/>
        <v>67.613855821717664</v>
      </c>
      <c r="M285" s="13">
        <v>409.18470084773486</v>
      </c>
      <c r="N285" s="19">
        <f t="shared" si="72"/>
        <v>0.97448757749204651</v>
      </c>
      <c r="O285" s="21">
        <f t="shared" si="73"/>
        <v>1433.4468776055571</v>
      </c>
      <c r="P285" s="8">
        <f t="shared" si="74"/>
        <v>221001.77843387472</v>
      </c>
      <c r="Q285" s="8">
        <f t="shared" si="75"/>
        <v>27666.555367571418</v>
      </c>
      <c r="R285" s="8">
        <f t="shared" si="76"/>
        <v>61649.737686316737</v>
      </c>
      <c r="S285" s="8">
        <f t="shared" si="77"/>
        <v>26960.714517694247</v>
      </c>
      <c r="T285" s="8">
        <f t="shared" si="78"/>
        <v>49503.981796602333</v>
      </c>
      <c r="U285" s="8">
        <f t="shared" si="79"/>
        <v>38646.752043403634</v>
      </c>
    </row>
    <row r="286" spans="1:21">
      <c r="A286" s="1">
        <v>42013</v>
      </c>
      <c r="B286" s="5">
        <v>284</v>
      </c>
      <c r="C286" s="6">
        <f t="shared" si="64"/>
        <v>0.77808219178082194</v>
      </c>
      <c r="D286" s="4">
        <f t="shared" si="65"/>
        <v>27.00812105686013</v>
      </c>
      <c r="E286" s="10">
        <f t="shared" si="69"/>
        <v>30.41864075512159</v>
      </c>
      <c r="F286" s="8">
        <v>7277.994433493237</v>
      </c>
      <c r="G286" s="19">
        <f t="shared" si="70"/>
        <v>0.28230054291210877</v>
      </c>
      <c r="H286" s="21">
        <f t="shared" si="71"/>
        <v>804.89384997650245</v>
      </c>
      <c r="I286" s="5">
        <v>649</v>
      </c>
      <c r="J286" s="6">
        <f t="shared" si="66"/>
        <v>1.7780821917808218</v>
      </c>
      <c r="K286" s="4">
        <f t="shared" si="67"/>
        <v>34.574295061545854</v>
      </c>
      <c r="L286" s="10">
        <f t="shared" si="68"/>
        <v>67.710939879844901</v>
      </c>
      <c r="M286" s="13">
        <v>407.52540542314773</v>
      </c>
      <c r="N286" s="19">
        <f t="shared" si="72"/>
        <v>0.97471719389561062</v>
      </c>
      <c r="O286" s="21">
        <f t="shared" si="73"/>
        <v>1434.9337159618433</v>
      </c>
      <c r="P286" s="8">
        <f t="shared" si="74"/>
        <v>221386.69809020543</v>
      </c>
      <c r="Q286" s="8">
        <f t="shared" si="75"/>
        <v>27593.928226116175</v>
      </c>
      <c r="R286" s="8">
        <f t="shared" si="76"/>
        <v>62497.585064384104</v>
      </c>
      <c r="S286" s="8">
        <f t="shared" si="77"/>
        <v>26896.276289116842</v>
      </c>
      <c r="T286" s="8">
        <f t="shared" si="78"/>
        <v>50303.921856706082</v>
      </c>
      <c r="U286" s="8">
        <f t="shared" si="79"/>
        <v>38594.373681078847</v>
      </c>
    </row>
    <row r="287" spans="1:21">
      <c r="A287" s="1">
        <v>42014</v>
      </c>
      <c r="B287" s="5">
        <v>285</v>
      </c>
      <c r="C287" s="6">
        <f t="shared" si="64"/>
        <v>0.78082191780821919</v>
      </c>
      <c r="D287" s="4">
        <f t="shared" si="65"/>
        <v>27.035417965317851</v>
      </c>
      <c r="E287" s="10">
        <f t="shared" si="69"/>
        <v>30.518363780082968</v>
      </c>
      <c r="F287" s="8">
        <v>7266.9710448264168</v>
      </c>
      <c r="G287" s="19">
        <f t="shared" si="70"/>
        <v>0.28566408812715416</v>
      </c>
      <c r="H287" s="21">
        <f t="shared" si="71"/>
        <v>806.7995448105255</v>
      </c>
      <c r="I287" s="5">
        <v>650</v>
      </c>
      <c r="J287" s="6">
        <f t="shared" si="66"/>
        <v>1.7808219178082192</v>
      </c>
      <c r="K287" s="4">
        <f t="shared" si="67"/>
        <v>34.589578556003623</v>
      </c>
      <c r="L287" s="10">
        <f t="shared" si="68"/>
        <v>67.807965892622349</v>
      </c>
      <c r="M287" s="13">
        <v>405.83753664561561</v>
      </c>
      <c r="N287" s="19">
        <f t="shared" si="72"/>
        <v>0.9749444370483793</v>
      </c>
      <c r="O287" s="21">
        <f t="shared" si="73"/>
        <v>1436.4190744860798</v>
      </c>
      <c r="P287" s="8">
        <f t="shared" si="74"/>
        <v>221776.06592534221</v>
      </c>
      <c r="Q287" s="8">
        <f t="shared" si="75"/>
        <v>27519.017842811776</v>
      </c>
      <c r="R287" s="8">
        <f t="shared" si="76"/>
        <v>63353.457640990506</v>
      </c>
      <c r="S287" s="8">
        <f t="shared" si="77"/>
        <v>26829.513358884433</v>
      </c>
      <c r="T287" s="8">
        <f t="shared" si="78"/>
        <v>51113.540786924052</v>
      </c>
      <c r="U287" s="8">
        <f t="shared" si="79"/>
        <v>38538.424747880686</v>
      </c>
    </row>
    <row r="288" spans="1:21">
      <c r="A288" s="1">
        <v>42015</v>
      </c>
      <c r="B288" s="5">
        <v>286</v>
      </c>
      <c r="C288" s="6">
        <f t="shared" si="64"/>
        <v>0.78356164383561644</v>
      </c>
      <c r="D288" s="4">
        <f t="shared" si="65"/>
        <v>27.062671532311036</v>
      </c>
      <c r="E288" s="10">
        <f t="shared" si="69"/>
        <v>30.618153724632769</v>
      </c>
      <c r="F288" s="8">
        <v>7255.480735461002</v>
      </c>
      <c r="G288" s="19">
        <f t="shared" si="70"/>
        <v>0.28904617132102706</v>
      </c>
      <c r="H288" s="21">
        <f t="shared" si="71"/>
        <v>808.7047896771893</v>
      </c>
      <c r="I288" s="5">
        <v>651</v>
      </c>
      <c r="J288" s="6">
        <f t="shared" si="66"/>
        <v>1.7835616438356163</v>
      </c>
      <c r="K288" s="4">
        <f t="shared" si="67"/>
        <v>34.604837783646182</v>
      </c>
      <c r="L288" s="10">
        <f t="shared" si="68"/>
        <v>67.904933699789112</v>
      </c>
      <c r="M288" s="13">
        <v>404.10272593110261</v>
      </c>
      <c r="N288" s="19">
        <f t="shared" si="72"/>
        <v>0.97516933367618108</v>
      </c>
      <c r="O288" s="21">
        <f t="shared" si="73"/>
        <v>1437.9029528650076</v>
      </c>
      <c r="P288" s="8">
        <f t="shared" si="74"/>
        <v>222149.42450445658</v>
      </c>
      <c r="Q288" s="8">
        <f t="shared" si="75"/>
        <v>27440.568812255573</v>
      </c>
      <c r="R288" s="8">
        <f t="shared" si="76"/>
        <v>64211.44061418272</v>
      </c>
      <c r="S288" s="8">
        <f t="shared" si="77"/>
        <v>26759.201204342662</v>
      </c>
      <c r="T288" s="8">
        <f t="shared" si="78"/>
        <v>51928.099576761968</v>
      </c>
      <c r="U288" s="8">
        <f t="shared" si="79"/>
        <v>38477.134428033183</v>
      </c>
    </row>
    <row r="289" spans="1:21">
      <c r="A289" s="1">
        <v>42016</v>
      </c>
      <c r="B289" s="5">
        <v>287</v>
      </c>
      <c r="C289" s="6">
        <f t="shared" si="64"/>
        <v>0.78630136986301369</v>
      </c>
      <c r="D289" s="4">
        <f t="shared" si="65"/>
        <v>27.089881826656377</v>
      </c>
      <c r="E289" s="10">
        <f t="shared" si="69"/>
        <v>30.71801004848059</v>
      </c>
      <c r="F289" s="8">
        <v>7243.8889215958943</v>
      </c>
      <c r="G289" s="19">
        <f t="shared" si="70"/>
        <v>0.29244647683039976</v>
      </c>
      <c r="H289" s="21">
        <f t="shared" si="71"/>
        <v>810.60957800001086</v>
      </c>
      <c r="I289" s="5">
        <v>652</v>
      </c>
      <c r="J289" s="6">
        <f t="shared" si="66"/>
        <v>1.7863013698630137</v>
      </c>
      <c r="K289" s="4">
        <f t="shared" si="67"/>
        <v>34.620072783003906</v>
      </c>
      <c r="L289" s="10">
        <f t="shared" si="68"/>
        <v>68.001843141895776</v>
      </c>
      <c r="M289" s="13">
        <v>402.46588099811498</v>
      </c>
      <c r="N289" s="19">
        <f t="shared" si="72"/>
        <v>0.97539191019095883</v>
      </c>
      <c r="O289" s="21">
        <f t="shared" si="73"/>
        <v>1439.3853507936558</v>
      </c>
      <c r="P289" s="8">
        <f t="shared" si="74"/>
        <v>222517.8526836599</v>
      </c>
      <c r="Q289" s="8">
        <f t="shared" si="75"/>
        <v>27368.421709598708</v>
      </c>
      <c r="R289" s="8">
        <f t="shared" si="76"/>
        <v>65074.56204920225</v>
      </c>
      <c r="S289" s="8">
        <f t="shared" si="77"/>
        <v>26694.937130237191</v>
      </c>
      <c r="T289" s="8">
        <f t="shared" si="78"/>
        <v>52750.06328123936</v>
      </c>
      <c r="U289" s="8">
        <f t="shared" si="79"/>
        <v>38424.301445621044</v>
      </c>
    </row>
    <row r="290" spans="1:21">
      <c r="A290" s="1">
        <v>42017</v>
      </c>
      <c r="B290" s="5">
        <v>288</v>
      </c>
      <c r="C290" s="6">
        <f t="shared" si="64"/>
        <v>0.78904109589041094</v>
      </c>
      <c r="D290" s="4">
        <f t="shared" si="65"/>
        <v>27.117048917061286</v>
      </c>
      <c r="E290" s="10">
        <f t="shared" si="69"/>
        <v>30.817932212303536</v>
      </c>
      <c r="F290" s="8">
        <v>7232.7843293293181</v>
      </c>
      <c r="G290" s="19">
        <f t="shared" si="70"/>
        <v>0.29586468202156874</v>
      </c>
      <c r="H290" s="21">
        <f t="shared" si="71"/>
        <v>812.5139032313067</v>
      </c>
      <c r="I290" s="5">
        <v>653</v>
      </c>
      <c r="J290" s="6">
        <f t="shared" si="66"/>
        <v>1.789041095890411</v>
      </c>
      <c r="K290" s="4">
        <f t="shared" si="67"/>
        <v>34.635283592545946</v>
      </c>
      <c r="L290" s="10">
        <f t="shared" si="68"/>
        <v>68.098694060301597</v>
      </c>
      <c r="M290" s="13">
        <v>400.89842849370791</v>
      </c>
      <c r="N290" s="19">
        <f t="shared" si="72"/>
        <v>0.9756121926943877</v>
      </c>
      <c r="O290" s="21">
        <f t="shared" si="73"/>
        <v>1440.8662679752911</v>
      </c>
      <c r="P290" s="8">
        <f t="shared" si="74"/>
        <v>222899.45716748221</v>
      </c>
      <c r="Q290" s="8">
        <f t="shared" si="75"/>
        <v>27300.65943124871</v>
      </c>
      <c r="R290" s="8">
        <f t="shared" si="76"/>
        <v>65948.077017637406</v>
      </c>
      <c r="S290" s="8">
        <f t="shared" si="77"/>
        <v>26634.856209723272</v>
      </c>
      <c r="T290" s="8">
        <f t="shared" si="78"/>
        <v>53583.729468199403</v>
      </c>
      <c r="U290" s="8">
        <f t="shared" si="79"/>
        <v>38377.265864962472</v>
      </c>
    </row>
    <row r="291" spans="1:21">
      <c r="A291" s="1">
        <v>42018</v>
      </c>
      <c r="B291" s="5">
        <v>289</v>
      </c>
      <c r="C291" s="6">
        <f t="shared" si="64"/>
        <v>0.79178082191780819</v>
      </c>
      <c r="D291" s="4">
        <f t="shared" si="65"/>
        <v>27.144172872124074</v>
      </c>
      <c r="E291" s="10">
        <f t="shared" si="69"/>
        <v>30.917919677749826</v>
      </c>
      <c r="F291" s="8">
        <v>7221.3549226637206</v>
      </c>
      <c r="G291" s="19">
        <f t="shared" si="70"/>
        <v>0.29930045740369909</v>
      </c>
      <c r="H291" s="21">
        <f t="shared" si="71"/>
        <v>814.4177588521103</v>
      </c>
      <c r="I291" s="5">
        <v>654</v>
      </c>
      <c r="J291" s="6">
        <f t="shared" si="66"/>
        <v>1.7917808219178082</v>
      </c>
      <c r="K291" s="4">
        <f t="shared" si="67"/>
        <v>34.650470250680392</v>
      </c>
      <c r="L291" s="10">
        <f t="shared" si="68"/>
        <v>68.195486297173659</v>
      </c>
      <c r="M291" s="13">
        <v>399.26362451450211</v>
      </c>
      <c r="N291" s="19">
        <f t="shared" si="72"/>
        <v>0.97583020698145972</v>
      </c>
      <c r="O291" s="21">
        <f t="shared" si="73"/>
        <v>1442.3457041213908</v>
      </c>
      <c r="P291" s="8">
        <f t="shared" si="74"/>
        <v>223269.27146344021</v>
      </c>
      <c r="Q291" s="8">
        <f t="shared" si="75"/>
        <v>27227.977034538617</v>
      </c>
      <c r="R291" s="8">
        <f t="shared" si="76"/>
        <v>66824.595073198318</v>
      </c>
      <c r="S291" s="8">
        <f t="shared" si="77"/>
        <v>26569.882465300252</v>
      </c>
      <c r="T291" s="8">
        <f t="shared" si="78"/>
        <v>54423.136955713941</v>
      </c>
      <c r="U291" s="8">
        <f t="shared" si="79"/>
        <v>38322.955832836087</v>
      </c>
    </row>
    <row r="292" spans="1:21">
      <c r="A292" s="1">
        <v>42019</v>
      </c>
      <c r="B292" s="5">
        <v>290</v>
      </c>
      <c r="C292" s="6">
        <f t="shared" si="64"/>
        <v>0.79452054794520544</v>
      </c>
      <c r="D292" s="4">
        <f t="shared" si="65"/>
        <v>27.171253760334142</v>
      </c>
      <c r="E292" s="10">
        <f t="shared" si="69"/>
        <v>31.017971907442568</v>
      </c>
      <c r="F292" s="8">
        <v>7209.9661177980024</v>
      </c>
      <c r="G292" s="19">
        <f t="shared" si="70"/>
        <v>0.30275346674789877</v>
      </c>
      <c r="H292" s="21">
        <f t="shared" si="71"/>
        <v>816.32113837210409</v>
      </c>
      <c r="I292" s="5">
        <v>655</v>
      </c>
      <c r="J292" s="6">
        <f t="shared" si="66"/>
        <v>1.7945205479452055</v>
      </c>
      <c r="K292" s="4">
        <f t="shared" si="67"/>
        <v>34.665632795754355</v>
      </c>
      <c r="L292" s="10">
        <f t="shared" si="68"/>
        <v>68.292219695484349</v>
      </c>
      <c r="M292" s="13">
        <v>397.55126429158867</v>
      </c>
      <c r="N292" s="19">
        <f t="shared" si="72"/>
        <v>0.97604597854403319</v>
      </c>
      <c r="O292" s="21">
        <f t="shared" si="73"/>
        <v>1443.8236589516132</v>
      </c>
      <c r="P292" s="8">
        <f t="shared" si="74"/>
        <v>223638.52649547119</v>
      </c>
      <c r="Q292" s="8">
        <f t="shared" si="75"/>
        <v>27149.658281218733</v>
      </c>
      <c r="R292" s="8">
        <f t="shared" si="76"/>
        <v>67707.339194895714</v>
      </c>
      <c r="S292" s="8">
        <f t="shared" si="77"/>
        <v>26499.314784228252</v>
      </c>
      <c r="T292" s="8">
        <f t="shared" si="78"/>
        <v>55270.932207723454</v>
      </c>
      <c r="U292" s="8">
        <f t="shared" si="79"/>
        <v>38260.337631475013</v>
      </c>
    </row>
    <row r="293" spans="1:21">
      <c r="A293" s="1">
        <v>42020</v>
      </c>
      <c r="B293" s="5">
        <v>291</v>
      </c>
      <c r="C293" s="6">
        <f t="shared" si="64"/>
        <v>0.79726027397260268</v>
      </c>
      <c r="D293" s="4">
        <f t="shared" si="65"/>
        <v>27.19829165007215</v>
      </c>
      <c r="E293" s="10">
        <f t="shared" si="69"/>
        <v>31.118088364983279</v>
      </c>
      <c r="F293" s="8">
        <v>7198.5570120323428</v>
      </c>
      <c r="G293" s="19">
        <f t="shared" si="70"/>
        <v>0.30622336721204513</v>
      </c>
      <c r="H293" s="21">
        <f t="shared" si="71"/>
        <v>818.22403532953626</v>
      </c>
      <c r="I293" s="5">
        <v>656</v>
      </c>
      <c r="J293" s="6">
        <f t="shared" si="66"/>
        <v>1.7972602739726027</v>
      </c>
      <c r="K293" s="4">
        <f t="shared" si="67"/>
        <v>34.680771266054045</v>
      </c>
      <c r="L293" s="10">
        <f t="shared" si="68"/>
        <v>68.388894099009306</v>
      </c>
      <c r="M293" s="13">
        <v>395.90013268212857</v>
      </c>
      <c r="N293" s="19">
        <f t="shared" si="72"/>
        <v>0.97625953257434328</v>
      </c>
      <c r="O293" s="21">
        <f t="shared" si="73"/>
        <v>1445.3001321937552</v>
      </c>
      <c r="P293" s="8">
        <f t="shared" si="74"/>
        <v>224005.33320079243</v>
      </c>
      <c r="Q293" s="8">
        <f t="shared" si="75"/>
        <v>27075.172247781826</v>
      </c>
      <c r="R293" s="8">
        <f t="shared" si="76"/>
        <v>68595.667406202789</v>
      </c>
      <c r="S293" s="8">
        <f t="shared" si="77"/>
        <v>26432.395002989317</v>
      </c>
      <c r="T293" s="8">
        <f t="shared" si="78"/>
        <v>56126.623791225989</v>
      </c>
      <c r="U293" s="8">
        <f t="shared" si="79"/>
        <v>38202.743992018011</v>
      </c>
    </row>
    <row r="294" spans="1:21">
      <c r="A294" s="1">
        <v>42021</v>
      </c>
      <c r="B294" s="5">
        <v>292</v>
      </c>
      <c r="C294" s="6">
        <f t="shared" si="64"/>
        <v>0.8</v>
      </c>
      <c r="D294" s="4">
        <f t="shared" si="65"/>
        <v>27.225286609610176</v>
      </c>
      <c r="E294" s="10">
        <f t="shared" si="69"/>
        <v>31.21826851495528</v>
      </c>
      <c r="F294" s="8">
        <v>7186.8433927675997</v>
      </c>
      <c r="G294" s="19">
        <f t="shared" si="70"/>
        <v>0.3097098094712778</v>
      </c>
      <c r="H294" s="21">
        <f t="shared" si="71"/>
        <v>820.12644329114778</v>
      </c>
      <c r="I294" s="5">
        <v>657</v>
      </c>
      <c r="J294" s="6">
        <f t="shared" si="66"/>
        <v>1.8</v>
      </c>
      <c r="K294" s="4">
        <f t="shared" si="67"/>
        <v>34.695885699804883</v>
      </c>
      <c r="L294" s="10">
        <f t="shared" si="68"/>
        <v>68.485509352326062</v>
      </c>
      <c r="M294" s="13">
        <v>394.2898201483041</v>
      </c>
      <c r="N294" s="19">
        <f t="shared" si="72"/>
        <v>0.97647089396848208</v>
      </c>
      <c r="O294" s="21">
        <f t="shared" si="73"/>
        <v>1446.7751235837202</v>
      </c>
      <c r="P294" s="8">
        <f t="shared" si="74"/>
        <v>224360.80681035115</v>
      </c>
      <c r="Q294" s="8">
        <f t="shared" si="75"/>
        <v>27003.13916529364</v>
      </c>
      <c r="R294" s="8">
        <f t="shared" si="76"/>
        <v>69486.742730056023</v>
      </c>
      <c r="S294" s="8">
        <f t="shared" si="77"/>
        <v>26367.77944068961</v>
      </c>
      <c r="T294" s="8">
        <f t="shared" si="78"/>
        <v>56987.915171087865</v>
      </c>
      <c r="U294" s="8">
        <f t="shared" si="79"/>
        <v>38148.247358931985</v>
      </c>
    </row>
    <row r="295" spans="1:21">
      <c r="A295" s="1">
        <v>42022</v>
      </c>
      <c r="B295" s="5">
        <v>293</v>
      </c>
      <c r="C295" s="6">
        <f t="shared" si="64"/>
        <v>0.80273972602739729</v>
      </c>
      <c r="D295" s="4">
        <f t="shared" si="65"/>
        <v>27.252238707111914</v>
      </c>
      <c r="E295" s="10">
        <f t="shared" si="69"/>
        <v>31.31851182292754</v>
      </c>
      <c r="F295" s="8">
        <v>7175.3124816023092</v>
      </c>
      <c r="G295" s="19">
        <f t="shared" si="70"/>
        <v>0.31321243785407715</v>
      </c>
      <c r="H295" s="21">
        <f t="shared" si="71"/>
        <v>822.0283558520963</v>
      </c>
      <c r="I295" s="5">
        <v>658</v>
      </c>
      <c r="J295" s="6">
        <f t="shared" si="66"/>
        <v>1.8027397260273972</v>
      </c>
      <c r="K295" s="4">
        <f t="shared" si="67"/>
        <v>34.710976135171613</v>
      </c>
      <c r="L295" s="10">
        <f t="shared" si="68"/>
        <v>68.582065300811522</v>
      </c>
      <c r="M295" s="13">
        <v>392.67746666069792</v>
      </c>
      <c r="N295" s="19">
        <f t="shared" si="72"/>
        <v>0.97668008732983991</v>
      </c>
      <c r="O295" s="21">
        <f t="shared" si="73"/>
        <v>1448.2486328654879</v>
      </c>
      <c r="P295" s="8">
        <f t="shared" si="74"/>
        <v>224720.10878826148</v>
      </c>
      <c r="Q295" s="8">
        <f t="shared" si="75"/>
        <v>26930.631660681225</v>
      </c>
      <c r="R295" s="8">
        <f t="shared" si="76"/>
        <v>70385.1331084048</v>
      </c>
      <c r="S295" s="8">
        <f t="shared" si="77"/>
        <v>26302.611682201892</v>
      </c>
      <c r="T295" s="8">
        <f t="shared" si="78"/>
        <v>57858.575245532942</v>
      </c>
      <c r="U295" s="8">
        <f t="shared" si="79"/>
        <v>38092.721409540703</v>
      </c>
    </row>
    <row r="296" spans="1:21">
      <c r="A296" s="1">
        <v>42023</v>
      </c>
      <c r="B296" s="5">
        <v>294</v>
      </c>
      <c r="C296" s="6">
        <f t="shared" si="64"/>
        <v>0.80547945205479454</v>
      </c>
      <c r="D296" s="4">
        <f t="shared" si="65"/>
        <v>27.279148010632788</v>
      </c>
      <c r="E296" s="10">
        <f t="shared" si="69"/>
        <v>31.418817755457731</v>
      </c>
      <c r="F296" s="8">
        <v>7164.0657830361624</v>
      </c>
      <c r="G296" s="19">
        <f t="shared" si="70"/>
        <v>0.31673089048379821</v>
      </c>
      <c r="H296" s="21">
        <f t="shared" si="71"/>
        <v>823.92976663587683</v>
      </c>
      <c r="I296" s="5">
        <v>659</v>
      </c>
      <c r="J296" s="6">
        <f t="shared" si="66"/>
        <v>1.8054794520547945</v>
      </c>
      <c r="K296" s="4">
        <f t="shared" si="67"/>
        <v>34.726042610258368</v>
      </c>
      <c r="L296" s="10">
        <f t="shared" si="68"/>
        <v>68.678561790640543</v>
      </c>
      <c r="M296" s="13">
        <v>391.13042369410857</v>
      </c>
      <c r="N296" s="19">
        <f t="shared" si="72"/>
        <v>0.97688713697251284</v>
      </c>
      <c r="O296" s="21">
        <f t="shared" si="73"/>
        <v>1449.7206597910854</v>
      </c>
      <c r="P296" s="8">
        <f t="shared" si="74"/>
        <v>225086.47722532376</v>
      </c>
      <c r="Q296" s="8">
        <f t="shared" si="75"/>
        <v>26862.274971875253</v>
      </c>
      <c r="R296" s="8">
        <f t="shared" si="76"/>
        <v>71291.840367437966</v>
      </c>
      <c r="S296" s="8">
        <f t="shared" si="77"/>
        <v>26241.410889843602</v>
      </c>
      <c r="T296" s="8">
        <f t="shared" si="78"/>
        <v>58739.469396985347</v>
      </c>
      <c r="U296" s="8">
        <f t="shared" si="79"/>
        <v>38042.715509073045</v>
      </c>
    </row>
    <row r="297" spans="1:21">
      <c r="A297" s="1">
        <v>42024</v>
      </c>
      <c r="B297" s="5">
        <v>295</v>
      </c>
      <c r="C297" s="6">
        <f t="shared" si="64"/>
        <v>0.80821917808219179</v>
      </c>
      <c r="D297" s="4">
        <f t="shared" si="65"/>
        <v>27.306014588120217</v>
      </c>
      <c r="E297" s="10">
        <f t="shared" si="69"/>
        <v>31.519185780095743</v>
      </c>
      <c r="F297" s="8">
        <v>7152.3927655712969</v>
      </c>
      <c r="G297" s="19">
        <f t="shared" si="70"/>
        <v>0.32026479942559716</v>
      </c>
      <c r="H297" s="21">
        <f t="shared" si="71"/>
        <v>825.83066929424774</v>
      </c>
      <c r="I297" s="5">
        <v>660</v>
      </c>
      <c r="J297" s="6">
        <f t="shared" si="66"/>
        <v>1.8082191780821917</v>
      </c>
      <c r="K297" s="4">
        <f t="shared" si="67"/>
        <v>34.741085163108778</v>
      </c>
      <c r="L297" s="10">
        <f t="shared" si="68"/>
        <v>68.774998668783482</v>
      </c>
      <c r="M297" s="13">
        <v>389.44051396279474</v>
      </c>
      <c r="N297" s="19">
        <f t="shared" si="72"/>
        <v>0.97709206692467654</v>
      </c>
      <c r="O297" s="21">
        <f t="shared" si="73"/>
        <v>1451.1912041205333</v>
      </c>
      <c r="P297" s="8">
        <f t="shared" si="74"/>
        <v>225437.59635025449</v>
      </c>
      <c r="Q297" s="8">
        <f t="shared" si="75"/>
        <v>26783.770829361561</v>
      </c>
      <c r="R297" s="8">
        <f t="shared" si="76"/>
        <v>72199.726578102986</v>
      </c>
      <c r="S297" s="8">
        <f t="shared" si="77"/>
        <v>26170.209999697745</v>
      </c>
      <c r="T297" s="8">
        <f t="shared" si="78"/>
        <v>59624.748522856476</v>
      </c>
      <c r="U297" s="8">
        <f t="shared" si="79"/>
        <v>37977.978561548589</v>
      </c>
    </row>
    <row r="298" spans="1:21">
      <c r="A298" s="1">
        <v>42025</v>
      </c>
      <c r="B298" s="5">
        <v>296</v>
      </c>
      <c r="C298" s="6">
        <f t="shared" si="64"/>
        <v>0.81095890410958904</v>
      </c>
      <c r="D298" s="4">
        <f t="shared" si="65"/>
        <v>27.332838507413697</v>
      </c>
      <c r="E298" s="10">
        <f t="shared" si="69"/>
        <v>31.619615365387286</v>
      </c>
      <c r="F298" s="8">
        <v>7140.4761373071669</v>
      </c>
      <c r="G298" s="19">
        <f t="shared" si="70"/>
        <v>0.32381379083856898</v>
      </c>
      <c r="H298" s="21">
        <f t="shared" si="71"/>
        <v>827.73105750715649</v>
      </c>
      <c r="I298" s="5">
        <v>661</v>
      </c>
      <c r="J298" s="6">
        <f t="shared" si="66"/>
        <v>1.810958904109589</v>
      </c>
      <c r="K298" s="4">
        <f t="shared" si="67"/>
        <v>34.756103831706078</v>
      </c>
      <c r="L298" s="10">
        <f t="shared" si="68"/>
        <v>68.871375783004765</v>
      </c>
      <c r="M298" s="13">
        <v>387.76489090795332</v>
      </c>
      <c r="N298" s="19">
        <f t="shared" si="72"/>
        <v>0.97729490093192173</v>
      </c>
      <c r="O298" s="21">
        <f t="shared" si="73"/>
        <v>1452.6602656218379</v>
      </c>
      <c r="P298" s="8">
        <f t="shared" si="74"/>
        <v>225779.10898737895</v>
      </c>
      <c r="Q298" s="8">
        <f t="shared" si="75"/>
        <v>26705.901517177499</v>
      </c>
      <c r="R298" s="8">
        <f t="shared" si="76"/>
        <v>73110.389173357602</v>
      </c>
      <c r="S298" s="8">
        <f t="shared" si="77"/>
        <v>26099.541377527643</v>
      </c>
      <c r="T298" s="8">
        <f t="shared" si="78"/>
        <v>60515.739745223051</v>
      </c>
      <c r="U298" s="8">
        <f t="shared" si="79"/>
        <v>37913.766710087453</v>
      </c>
    </row>
    <row r="299" spans="1:21">
      <c r="A299" s="1">
        <v>42026</v>
      </c>
      <c r="B299" s="5">
        <v>297</v>
      </c>
      <c r="C299" s="6">
        <f t="shared" si="64"/>
        <v>0.81369863013698629</v>
      </c>
      <c r="D299" s="4">
        <f t="shared" si="65"/>
        <v>27.359619836245027</v>
      </c>
      <c r="E299" s="10">
        <f t="shared" si="69"/>
        <v>31.720105980876752</v>
      </c>
      <c r="F299" s="8">
        <v>7128.8031198423032</v>
      </c>
      <c r="G299" s="19">
        <f t="shared" si="70"/>
        <v>0.32737748513303028</v>
      </c>
      <c r="H299" s="21">
        <f t="shared" si="71"/>
        <v>829.63092498265689</v>
      </c>
      <c r="I299" s="5">
        <v>662</v>
      </c>
      <c r="J299" s="6">
        <f t="shared" si="66"/>
        <v>1.8136986301369864</v>
      </c>
      <c r="K299" s="4">
        <f t="shared" si="67"/>
        <v>34.771098653973191</v>
      </c>
      <c r="L299" s="10">
        <f t="shared" si="68"/>
        <v>68.96769298186048</v>
      </c>
      <c r="M299" s="13">
        <v>386.23009366405478</v>
      </c>
      <c r="N299" s="19">
        <f t="shared" si="72"/>
        <v>0.97749566246056085</v>
      </c>
      <c r="O299" s="21">
        <f t="shared" si="73"/>
        <v>1454.1278440709352</v>
      </c>
      <c r="P299" s="8">
        <f t="shared" si="74"/>
        <v>226126.39047820269</v>
      </c>
      <c r="Q299" s="8">
        <f t="shared" si="75"/>
        <v>26637.398520177747</v>
      </c>
      <c r="R299" s="8">
        <f t="shared" si="76"/>
        <v>74028.689036963595</v>
      </c>
      <c r="S299" s="8">
        <f t="shared" si="77"/>
        <v>26037.941512707112</v>
      </c>
      <c r="T299" s="8">
        <f t="shared" si="78"/>
        <v>61416.489760989578</v>
      </c>
      <c r="U299" s="8">
        <f t="shared" si="79"/>
        <v>37862.495755917902</v>
      </c>
    </row>
    <row r="300" spans="1:21">
      <c r="A300" s="1">
        <v>42027</v>
      </c>
      <c r="B300" s="5">
        <v>298</v>
      </c>
      <c r="C300" s="6">
        <f t="shared" si="64"/>
        <v>0.81643835616438354</v>
      </c>
      <c r="D300" s="4">
        <f t="shared" si="65"/>
        <v>27.386358642238459</v>
      </c>
      <c r="E300" s="10">
        <f t="shared" si="69"/>
        <v>31.820657097110868</v>
      </c>
      <c r="F300" s="8">
        <v>7117.0895005775601</v>
      </c>
      <c r="G300" s="19">
        <f t="shared" si="70"/>
        <v>0.33095549713277278</v>
      </c>
      <c r="H300" s="21">
        <f t="shared" si="71"/>
        <v>831.53026545684111</v>
      </c>
      <c r="I300" s="5">
        <v>663</v>
      </c>
      <c r="J300" s="6">
        <f t="shared" si="66"/>
        <v>1.8164383561643835</v>
      </c>
      <c r="K300" s="4">
        <f t="shared" si="67"/>
        <v>34.786069667772821</v>
      </c>
      <c r="L300" s="10">
        <f t="shared" si="68"/>
        <v>69.06395011469688</v>
      </c>
      <c r="M300" s="13">
        <v>384.65039543695701</v>
      </c>
      <c r="N300" s="19">
        <f t="shared" si="72"/>
        <v>0.97769437470089449</v>
      </c>
      <c r="O300" s="21">
        <f t="shared" si="73"/>
        <v>1455.5939392516746</v>
      </c>
      <c r="P300" s="8">
        <f t="shared" si="74"/>
        <v>226470.46452732658</v>
      </c>
      <c r="Q300" s="8">
        <f t="shared" si="75"/>
        <v>26565.475722056428</v>
      </c>
      <c r="R300" s="8">
        <f t="shared" si="76"/>
        <v>74951.645173531346</v>
      </c>
      <c r="S300" s="8">
        <f t="shared" si="77"/>
        <v>25972.916174707752</v>
      </c>
      <c r="T300" s="8">
        <f t="shared" si="78"/>
        <v>62324.561407573485</v>
      </c>
      <c r="U300" s="8">
        <f t="shared" si="79"/>
        <v>37806.01936859639</v>
      </c>
    </row>
    <row r="301" spans="1:21">
      <c r="A301" s="1">
        <v>42028</v>
      </c>
      <c r="B301" s="5">
        <v>299</v>
      </c>
      <c r="C301" s="6">
        <f t="shared" si="64"/>
        <v>0.81917808219178079</v>
      </c>
      <c r="D301" s="4">
        <f t="shared" si="65"/>
        <v>27.413054992910869</v>
      </c>
      <c r="E301" s="10">
        <f t="shared" si="69"/>
        <v>31.921268185641679</v>
      </c>
      <c r="F301" s="8">
        <v>7105.2134741133068</v>
      </c>
      <c r="G301" s="19">
        <f t="shared" si="70"/>
        <v>0.33454743624216216</v>
      </c>
      <c r="H301" s="21">
        <f t="shared" si="71"/>
        <v>833.42907269375678</v>
      </c>
      <c r="I301" s="5">
        <v>664</v>
      </c>
      <c r="J301" s="6">
        <f t="shared" si="66"/>
        <v>1.8191780821917809</v>
      </c>
      <c r="K301" s="4">
        <f t="shared" si="67"/>
        <v>34.801016910907563</v>
      </c>
      <c r="L301" s="10">
        <f t="shared" si="68"/>
        <v>69.160147031648307</v>
      </c>
      <c r="M301" s="13">
        <v>383.0666153022957</v>
      </c>
      <c r="N301" s="19">
        <f t="shared" si="72"/>
        <v>0.97789106057044839</v>
      </c>
      <c r="O301" s="21">
        <f t="shared" si="73"/>
        <v>1457.0585509557775</v>
      </c>
      <c r="P301" s="8">
        <f t="shared" si="74"/>
        <v>226807.42482340569</v>
      </c>
      <c r="Q301" s="8">
        <f t="shared" si="75"/>
        <v>26492.943437222631</v>
      </c>
      <c r="R301" s="8">
        <f t="shared" si="76"/>
        <v>75877.842495357298</v>
      </c>
      <c r="S301" s="8">
        <f t="shared" si="77"/>
        <v>25907.21255545854</v>
      </c>
      <c r="T301" s="8">
        <f t="shared" si="78"/>
        <v>63238.799908908564</v>
      </c>
      <c r="U301" s="8">
        <f t="shared" si="79"/>
        <v>37748.325585359744</v>
      </c>
    </row>
    <row r="302" spans="1:21">
      <c r="A302" s="1">
        <v>42029</v>
      </c>
      <c r="B302" s="5">
        <v>300</v>
      </c>
      <c r="C302" s="6">
        <f t="shared" si="64"/>
        <v>0.82191780821917804</v>
      </c>
      <c r="D302" s="4">
        <f t="shared" si="65"/>
        <v>27.439708955671929</v>
      </c>
      <c r="E302" s="10">
        <f t="shared" si="69"/>
        <v>32.021938719029976</v>
      </c>
      <c r="F302" s="8">
        <v>7093.5810584483206</v>
      </c>
      <c r="G302" s="19">
        <f t="shared" si="70"/>
        <v>0.33815290661793146</v>
      </c>
      <c r="H302" s="21">
        <f t="shared" si="71"/>
        <v>835.3273404853353</v>
      </c>
      <c r="I302" s="5">
        <v>665</v>
      </c>
      <c r="J302" s="6">
        <f t="shared" si="66"/>
        <v>1.821917808219178</v>
      </c>
      <c r="K302" s="4">
        <f t="shared" si="67"/>
        <v>34.815940421119976</v>
      </c>
      <c r="L302" s="10">
        <f t="shared" si="68"/>
        <v>69.256283583634882</v>
      </c>
      <c r="M302" s="13">
        <v>381.45426181468946</v>
      </c>
      <c r="N302" s="19">
        <f t="shared" si="72"/>
        <v>0.97808574271717397</v>
      </c>
      <c r="O302" s="21">
        <f t="shared" si="73"/>
        <v>1458.5216789828016</v>
      </c>
      <c r="P302" s="8">
        <f t="shared" si="74"/>
        <v>227150.21795210391</v>
      </c>
      <c r="Q302" s="8">
        <f t="shared" si="75"/>
        <v>26418.10453042424</v>
      </c>
      <c r="R302" s="8">
        <f t="shared" si="76"/>
        <v>76811.506439400575</v>
      </c>
      <c r="S302" s="8">
        <f t="shared" si="77"/>
        <v>25839.171390819931</v>
      </c>
      <c r="T302" s="8">
        <f t="shared" si="78"/>
        <v>64162.751392696686</v>
      </c>
      <c r="U302" s="8">
        <f t="shared" si="79"/>
        <v>37686.991640463064</v>
      </c>
    </row>
    <row r="303" spans="1:21">
      <c r="A303" s="1">
        <v>42030</v>
      </c>
      <c r="B303" s="5">
        <v>301</v>
      </c>
      <c r="C303" s="6">
        <f t="shared" si="64"/>
        <v>0.8246575342465754</v>
      </c>
      <c r="D303" s="4">
        <f t="shared" si="65"/>
        <v>27.466320597824303</v>
      </c>
      <c r="E303" s="10">
        <f t="shared" si="69"/>
        <v>32.122668170848243</v>
      </c>
      <c r="F303" s="8">
        <v>7081.3802175850451</v>
      </c>
      <c r="G303" s="19">
        <f t="shared" si="70"/>
        <v>0.34177150734551076</v>
      </c>
      <c r="H303" s="21">
        <f t="shared" si="71"/>
        <v>837.22506265131756</v>
      </c>
      <c r="I303" s="5">
        <v>666</v>
      </c>
      <c r="J303" s="6">
        <f t="shared" si="66"/>
        <v>1.8246575342465754</v>
      </c>
      <c r="K303" s="4">
        <f t="shared" si="67"/>
        <v>34.830840236092712</v>
      </c>
      <c r="L303" s="10">
        <f t="shared" si="68"/>
        <v>69.352359622361362</v>
      </c>
      <c r="M303" s="13">
        <v>379.79088448253873</v>
      </c>
      <c r="N303" s="19">
        <f t="shared" si="72"/>
        <v>0.97827844352261528</v>
      </c>
      <c r="O303" s="21">
        <f t="shared" si="73"/>
        <v>1459.9833231401205</v>
      </c>
      <c r="P303" s="8">
        <f t="shared" si="74"/>
        <v>227472.82692109354</v>
      </c>
      <c r="Q303" s="8">
        <f t="shared" si="75"/>
        <v>26339.394001927729</v>
      </c>
      <c r="R303" s="8">
        <f t="shared" si="76"/>
        <v>77743.730936966618</v>
      </c>
      <c r="S303" s="8">
        <f t="shared" si="77"/>
        <v>25767.261367534767</v>
      </c>
      <c r="T303" s="8">
        <f t="shared" si="78"/>
        <v>65089.000004449052</v>
      </c>
      <c r="U303" s="8">
        <f t="shared" si="79"/>
        <v>37619.771879593456</v>
      </c>
    </row>
    <row r="304" spans="1:21">
      <c r="A304" s="1">
        <v>42031</v>
      </c>
      <c r="B304" s="5">
        <v>302</v>
      </c>
      <c r="C304" s="6">
        <f t="shared" si="64"/>
        <v>0.82739726027397265</v>
      </c>
      <c r="D304" s="4">
        <f t="shared" si="65"/>
        <v>27.492889986563757</v>
      </c>
      <c r="E304" s="10">
        <f t="shared" si="69"/>
        <v>32.223456015683595</v>
      </c>
      <c r="F304" s="8">
        <v>7069.1996776217084</v>
      </c>
      <c r="G304" s="19">
        <f t="shared" si="70"/>
        <v>0.34540283261971749</v>
      </c>
      <c r="H304" s="21">
        <f t="shared" si="71"/>
        <v>839.1222330391679</v>
      </c>
      <c r="I304" s="5">
        <v>667</v>
      </c>
      <c r="J304" s="6">
        <f t="shared" si="66"/>
        <v>1.8273972602739725</v>
      </c>
      <c r="K304" s="4">
        <f t="shared" si="67"/>
        <v>34.845716393448576</v>
      </c>
      <c r="L304" s="10">
        <f t="shared" si="68"/>
        <v>69.448375000314655</v>
      </c>
      <c r="M304" s="13">
        <v>378.22343197813171</v>
      </c>
      <c r="N304" s="19">
        <f t="shared" si="72"/>
        <v>0.97846918510504355</v>
      </c>
      <c r="O304" s="21">
        <f t="shared" si="73"/>
        <v>1461.4434832428667</v>
      </c>
      <c r="P304" s="8">
        <f t="shared" si="74"/>
        <v>227794.04487792778</v>
      </c>
      <c r="Q304" s="8">
        <f t="shared" si="75"/>
        <v>26267.002737923292</v>
      </c>
      <c r="R304" s="8">
        <f t="shared" si="76"/>
        <v>78680.708354739298</v>
      </c>
      <c r="S304" s="8">
        <f t="shared" si="77"/>
        <v>25701.452764127753</v>
      </c>
      <c r="T304" s="8">
        <f t="shared" si="78"/>
        <v>66022.731691732348</v>
      </c>
      <c r="U304" s="8">
        <f t="shared" si="79"/>
        <v>37561.220652008866</v>
      </c>
    </row>
    <row r="305" spans="1:21">
      <c r="A305" s="1">
        <v>42032</v>
      </c>
      <c r="B305" s="5">
        <v>303</v>
      </c>
      <c r="C305" s="6">
        <f t="shared" si="64"/>
        <v>0.83013698630136989</v>
      </c>
      <c r="D305" s="4">
        <f t="shared" si="65"/>
        <v>27.519417188979396</v>
      </c>
      <c r="E305" s="10">
        <f t="shared" si="69"/>
        <v>32.324301729141396</v>
      </c>
      <c r="F305" s="8">
        <v>7057.5266601568446</v>
      </c>
      <c r="G305" s="19">
        <f t="shared" si="70"/>
        <v>0.34904647192967109</v>
      </c>
      <c r="H305" s="21">
        <f t="shared" si="71"/>
        <v>841.01884552401214</v>
      </c>
      <c r="I305" s="5">
        <v>668</v>
      </c>
      <c r="J305" s="6">
        <f t="shared" si="66"/>
        <v>1.8301369863013699</v>
      </c>
      <c r="K305" s="4">
        <f t="shared" si="67"/>
        <v>34.860568930750638</v>
      </c>
      <c r="L305" s="10">
        <f t="shared" si="68"/>
        <v>69.544329570761874</v>
      </c>
      <c r="M305" s="13">
        <v>376.70700331826913</v>
      </c>
      <c r="N305" s="19">
        <f t="shared" si="72"/>
        <v>0.97865798932255843</v>
      </c>
      <c r="O305" s="21">
        <f t="shared" si="73"/>
        <v>1462.9021591139306</v>
      </c>
      <c r="P305" s="8">
        <f t="shared" si="74"/>
        <v>228129.62122436939</v>
      </c>
      <c r="Q305" s="8">
        <f t="shared" si="75"/>
        <v>26197.835990379794</v>
      </c>
      <c r="R305" s="8">
        <f t="shared" si="76"/>
        <v>79627.83943101835</v>
      </c>
      <c r="S305" s="8">
        <f t="shared" si="77"/>
        <v>25638.721494947244</v>
      </c>
      <c r="T305" s="8">
        <f t="shared" si="78"/>
        <v>66968.513589846465</v>
      </c>
      <c r="U305" s="8">
        <f t="shared" si="79"/>
        <v>37506.941031879069</v>
      </c>
    </row>
    <row r="306" spans="1:21">
      <c r="A306" s="1">
        <v>42033</v>
      </c>
      <c r="B306" s="5">
        <v>304</v>
      </c>
      <c r="C306" s="6">
        <f t="shared" si="64"/>
        <v>0.83287671232876714</v>
      </c>
      <c r="D306" s="4">
        <f t="shared" si="65"/>
        <v>27.545902272053777</v>
      </c>
      <c r="E306" s="10">
        <f t="shared" si="69"/>
        <v>32.425204787847726</v>
      </c>
      <c r="F306" s="8">
        <v>7045.5491291928965</v>
      </c>
      <c r="G306" s="19">
        <f t="shared" si="70"/>
        <v>0.35270201024770415</v>
      </c>
      <c r="H306" s="21">
        <f t="shared" si="71"/>
        <v>842.9148940085546</v>
      </c>
      <c r="I306" s="5">
        <v>669</v>
      </c>
      <c r="J306" s="6">
        <f t="shared" si="66"/>
        <v>1.832876712328767</v>
      </c>
      <c r="K306" s="4">
        <f t="shared" si="67"/>
        <v>34.875397885502338</v>
      </c>
      <c r="L306" s="10">
        <f t="shared" si="68"/>
        <v>69.640223187748575</v>
      </c>
      <c r="M306" s="13">
        <v>375.1436327214256</v>
      </c>
      <c r="N306" s="19">
        <f t="shared" si="72"/>
        <v>0.97884487777615348</v>
      </c>
      <c r="O306" s="21">
        <f t="shared" si="73"/>
        <v>1464.3593505839001</v>
      </c>
      <c r="P306" s="8">
        <f t="shared" si="74"/>
        <v>228453.37335692189</v>
      </c>
      <c r="Q306" s="8">
        <f t="shared" si="75"/>
        <v>26125.086310182858</v>
      </c>
      <c r="R306" s="8">
        <f t="shared" si="76"/>
        <v>80575.964030855641</v>
      </c>
      <c r="S306" s="8">
        <f t="shared" si="77"/>
        <v>25572.406916182401</v>
      </c>
      <c r="T306" s="8">
        <f t="shared" si="78"/>
        <v>67918.680180705793</v>
      </c>
      <c r="U306" s="8">
        <f t="shared" si="79"/>
        <v>37447.193184648095</v>
      </c>
    </row>
    <row r="307" spans="1:21">
      <c r="A307" s="1">
        <v>42034</v>
      </c>
      <c r="B307" s="5">
        <v>305</v>
      </c>
      <c r="C307" s="6">
        <f t="shared" si="64"/>
        <v>0.83561643835616439</v>
      </c>
      <c r="D307" s="4">
        <f t="shared" si="65"/>
        <v>27.57234530266312</v>
      </c>
      <c r="E307" s="10">
        <f t="shared" si="69"/>
        <v>32.526164669452527</v>
      </c>
      <c r="F307" s="8">
        <v>7033.3888901294995</v>
      </c>
      <c r="G307" s="19">
        <f t="shared" si="70"/>
        <v>0.35636902822214001</v>
      </c>
      <c r="H307" s="21">
        <f t="shared" si="71"/>
        <v>844.81037242299817</v>
      </c>
      <c r="I307" s="5">
        <v>670</v>
      </c>
      <c r="J307" s="6">
        <f t="shared" si="66"/>
        <v>1.8356164383561644</v>
      </c>
      <c r="K307" s="4">
        <f t="shared" si="67"/>
        <v>34.890203295147543</v>
      </c>
      <c r="L307" s="10">
        <f t="shared" si="68"/>
        <v>69.736055706096778</v>
      </c>
      <c r="M307" s="13">
        <v>373.48841920440202</v>
      </c>
      <c r="N307" s="19">
        <f t="shared" si="72"/>
        <v>0.97902987181275281</v>
      </c>
      <c r="O307" s="21">
        <f t="shared" si="73"/>
        <v>1465.8150574910428</v>
      </c>
      <c r="P307" s="8">
        <f t="shared" si="74"/>
        <v>228769.16522465006</v>
      </c>
      <c r="Q307" s="8">
        <f t="shared" si="75"/>
        <v>26045.609207220205</v>
      </c>
      <c r="R307" s="8">
        <f t="shared" si="76"/>
        <v>81526.245098298721</v>
      </c>
      <c r="S307" s="8">
        <f t="shared" si="77"/>
        <v>25499.42944342985</v>
      </c>
      <c r="T307" s="8">
        <f t="shared" si="78"/>
        <v>68874.217483742366</v>
      </c>
      <c r="U307" s="8">
        <f t="shared" si="79"/>
        <v>37377.447635609919</v>
      </c>
    </row>
    <row r="308" spans="1:21">
      <c r="A308" s="1">
        <v>42035</v>
      </c>
      <c r="B308" s="5">
        <v>306</v>
      </c>
      <c r="C308" s="6">
        <f t="shared" si="64"/>
        <v>0.83835616438356164</v>
      </c>
      <c r="D308" s="4">
        <f t="shared" si="65"/>
        <v>27.598746347577457</v>
      </c>
      <c r="E308" s="10">
        <f t="shared" si="69"/>
        <v>32.62718085263262</v>
      </c>
      <c r="F308" s="8">
        <v>7021.2489519660403</v>
      </c>
      <c r="G308" s="19">
        <f t="shared" si="70"/>
        <v>0.36004710237370452</v>
      </c>
      <c r="H308" s="21">
        <f t="shared" si="71"/>
        <v>846.70527472497918</v>
      </c>
      <c r="I308" s="5">
        <v>671</v>
      </c>
      <c r="J308" s="6">
        <f t="shared" si="66"/>
        <v>1.8383561643835618</v>
      </c>
      <c r="K308" s="4">
        <f t="shared" si="67"/>
        <v>34.904985197070701</v>
      </c>
      <c r="L308" s="10">
        <f t="shared" si="68"/>
        <v>69.831826981403367</v>
      </c>
      <c r="M308" s="13">
        <v>371.89443430083179</v>
      </c>
      <c r="N308" s="19">
        <f t="shared" si="72"/>
        <v>0.9792129925282127</v>
      </c>
      <c r="O308" s="21">
        <f t="shared" si="73"/>
        <v>1467.2692796812673</v>
      </c>
      <c r="P308" s="8">
        <f t="shared" si="74"/>
        <v>229083.55936715324</v>
      </c>
      <c r="Q308" s="8">
        <f t="shared" si="75"/>
        <v>25970.067791442569</v>
      </c>
      <c r="R308" s="8">
        <f t="shared" si="76"/>
        <v>82480.871751598039</v>
      </c>
      <c r="S308" s="8">
        <f t="shared" si="77"/>
        <v>25430.227798219028</v>
      </c>
      <c r="T308" s="8">
        <f t="shared" si="78"/>
        <v>69836.989175992596</v>
      </c>
      <c r="U308" s="8">
        <f t="shared" si="79"/>
        <v>37312.992023623374</v>
      </c>
    </row>
    <row r="309" spans="1:21">
      <c r="A309" s="1">
        <v>42036</v>
      </c>
      <c r="B309" s="5">
        <v>307</v>
      </c>
      <c r="C309" s="6">
        <f t="shared" si="64"/>
        <v>0.84109589041095889</v>
      </c>
      <c r="D309" s="4">
        <f t="shared" si="65"/>
        <v>27.625105473460803</v>
      </c>
      <c r="E309" s="10">
        <f t="shared" si="69"/>
        <v>32.728252817094493</v>
      </c>
      <c r="F309" s="8">
        <v>7009.9413507000763</v>
      </c>
      <c r="G309" s="19">
        <f t="shared" si="70"/>
        <v>0.36373580529540406</v>
      </c>
      <c r="H309" s="21">
        <f t="shared" si="71"/>
        <v>848.59959489948346</v>
      </c>
      <c r="I309" s="5">
        <v>672</v>
      </c>
      <c r="J309" s="6">
        <f t="shared" si="66"/>
        <v>1.8410958904109589</v>
      </c>
      <c r="K309" s="4">
        <f t="shared" si="67"/>
        <v>34.919743628596883</v>
      </c>
      <c r="L309" s="10">
        <f t="shared" si="68"/>
        <v>69.9275368700375</v>
      </c>
      <c r="M309" s="13">
        <v>370.52699526703913</v>
      </c>
      <c r="N309" s="19">
        <f t="shared" si="72"/>
        <v>0.97939426077029079</v>
      </c>
      <c r="O309" s="21">
        <f t="shared" si="73"/>
        <v>1468.7220170080952</v>
      </c>
      <c r="P309" s="8">
        <f t="shared" si="74"/>
        <v>229423.13275871694</v>
      </c>
      <c r="Q309" s="8">
        <f t="shared" si="75"/>
        <v>25910.040122880087</v>
      </c>
      <c r="R309" s="8">
        <f t="shared" si="76"/>
        <v>83449.407947386295</v>
      </c>
      <c r="S309" s="8">
        <f t="shared" si="77"/>
        <v>25376.144592676719</v>
      </c>
      <c r="T309" s="8">
        <f t="shared" si="78"/>
        <v>70815.133778753749</v>
      </c>
      <c r="U309" s="8">
        <f t="shared" si="79"/>
        <v>37270.502270045217</v>
      </c>
    </row>
    <row r="310" spans="1:21">
      <c r="A310" s="1">
        <v>42037</v>
      </c>
      <c r="B310" s="5">
        <v>308</v>
      </c>
      <c r="C310" s="6">
        <f t="shared" si="64"/>
        <v>0.84383561643835614</v>
      </c>
      <c r="D310" s="4">
        <f t="shared" si="65"/>
        <v>27.651422746871326</v>
      </c>
      <c r="E310" s="10">
        <f t="shared" si="69"/>
        <v>32.829380043577359</v>
      </c>
      <c r="F310" s="8">
        <v>6998.8773602333786</v>
      </c>
      <c r="G310" s="19">
        <f t="shared" si="70"/>
        <v>0.36743470585565408</v>
      </c>
      <c r="H310" s="21">
        <f t="shared" si="71"/>
        <v>850.49332695877615</v>
      </c>
      <c r="I310" s="5">
        <v>673</v>
      </c>
      <c r="J310" s="6">
        <f t="shared" si="66"/>
        <v>1.8438356164383563</v>
      </c>
      <c r="K310" s="4">
        <f t="shared" si="67"/>
        <v>34.93447862699189</v>
      </c>
      <c r="L310" s="10">
        <f t="shared" si="68"/>
        <v>70.023185229139003</v>
      </c>
      <c r="M310" s="13">
        <v>369.15955623324652</v>
      </c>
      <c r="N310" s="19">
        <f t="shared" si="72"/>
        <v>0.97957369714158238</v>
      </c>
      <c r="O310" s="21">
        <f t="shared" si="73"/>
        <v>1470.1732693326269</v>
      </c>
      <c r="P310" s="8">
        <f t="shared" si="74"/>
        <v>229768.80473749107</v>
      </c>
      <c r="Q310" s="8">
        <f t="shared" si="75"/>
        <v>25849.727985227375</v>
      </c>
      <c r="R310" s="8">
        <f t="shared" si="76"/>
        <v>84425.033183525244</v>
      </c>
      <c r="S310" s="8">
        <f t="shared" si="77"/>
        <v>25321.713612593408</v>
      </c>
      <c r="T310" s="8">
        <f t="shared" si="78"/>
        <v>71802.927350861457</v>
      </c>
      <c r="U310" s="8">
        <f t="shared" si="79"/>
        <v>37227.306486930938</v>
      </c>
    </row>
    <row r="311" spans="1:21">
      <c r="A311" s="1">
        <v>42038</v>
      </c>
      <c r="B311" s="5">
        <v>309</v>
      </c>
      <c r="C311" s="6">
        <f t="shared" si="64"/>
        <v>0.84657534246575339</v>
      </c>
      <c r="D311" s="4">
        <f t="shared" si="65"/>
        <v>27.677698234261509</v>
      </c>
      <c r="E311" s="10">
        <f t="shared" si="69"/>
        <v>32.930562013855635</v>
      </c>
      <c r="F311" s="8">
        <v>6987.874272466498</v>
      </c>
      <c r="G311" s="19">
        <f t="shared" si="70"/>
        <v>0.37114336940446424</v>
      </c>
      <c r="H311" s="21">
        <f t="shared" si="71"/>
        <v>852.38646494232114</v>
      </c>
      <c r="I311" s="5">
        <v>674</v>
      </c>
      <c r="J311" s="6">
        <f t="shared" si="66"/>
        <v>1.8465753424657534</v>
      </c>
      <c r="K311" s="4">
        <f t="shared" si="67"/>
        <v>34.94919022946236</v>
      </c>
      <c r="L311" s="10">
        <f t="shared" si="68"/>
        <v>70.118771916616964</v>
      </c>
      <c r="M311" s="13">
        <v>367.80640387592632</v>
      </c>
      <c r="N311" s="19">
        <f t="shared" si="72"/>
        <v>0.97975132200242809</v>
      </c>
      <c r="O311" s="21">
        <f t="shared" si="73"/>
        <v>1471.6230365235053</v>
      </c>
      <c r="P311" s="8">
        <f t="shared" si="74"/>
        <v>230114.62707448434</v>
      </c>
      <c r="Q311" s="8">
        <f t="shared" si="75"/>
        <v>25790.133342847181</v>
      </c>
      <c r="R311" s="8">
        <f t="shared" si="76"/>
        <v>85405.518041675867</v>
      </c>
      <c r="S311" s="8">
        <f t="shared" si="77"/>
        <v>25267.917237273425</v>
      </c>
      <c r="T311" s="8">
        <f t="shared" si="78"/>
        <v>72798.50761011173</v>
      </c>
      <c r="U311" s="8">
        <f t="shared" si="79"/>
        <v>37184.849091340933</v>
      </c>
    </row>
    <row r="312" spans="1:21">
      <c r="A312" s="1">
        <v>42039</v>
      </c>
      <c r="B312" s="5">
        <v>310</v>
      </c>
      <c r="C312" s="6">
        <f t="shared" si="64"/>
        <v>0.84931506849315064</v>
      </c>
      <c r="D312" s="4">
        <f t="shared" si="65"/>
        <v>27.703932001978341</v>
      </c>
      <c r="E312" s="10">
        <f t="shared" si="69"/>
        <v>33.031798210741989</v>
      </c>
      <c r="F312" s="8">
        <v>6976.6884766001667</v>
      </c>
      <c r="G312" s="19">
        <f t="shared" si="70"/>
        <v>0.3748613579824665</v>
      </c>
      <c r="H312" s="21">
        <f t="shared" si="71"/>
        <v>854.27900291671222</v>
      </c>
      <c r="I312" s="5">
        <v>675</v>
      </c>
      <c r="J312" s="6">
        <f t="shared" si="66"/>
        <v>1.8493150684931507</v>
      </c>
      <c r="K312" s="4">
        <f t="shared" si="67"/>
        <v>34.963878473155873</v>
      </c>
      <c r="L312" s="10">
        <f t="shared" si="68"/>
        <v>70.214296791146936</v>
      </c>
      <c r="M312" s="13">
        <v>366.4328419807884</v>
      </c>
      <c r="N312" s="19">
        <f t="shared" si="72"/>
        <v>0.97992715547378606</v>
      </c>
      <c r="O312" s="21">
        <f t="shared" si="73"/>
        <v>1473.0713184568938</v>
      </c>
      <c r="P312" s="8">
        <f t="shared" si="74"/>
        <v>230452.56593826564</v>
      </c>
      <c r="Q312" s="8">
        <f t="shared" si="75"/>
        <v>25728.824320862524</v>
      </c>
      <c r="R312" s="8">
        <f t="shared" si="76"/>
        <v>86387.761818162166</v>
      </c>
      <c r="S312" s="8">
        <f t="shared" si="77"/>
        <v>25212.373630427581</v>
      </c>
      <c r="T312" s="8">
        <f t="shared" si="78"/>
        <v>73799.251030225991</v>
      </c>
      <c r="U312" s="8">
        <f t="shared" si="79"/>
        <v>37139.624465201778</v>
      </c>
    </row>
    <row r="313" spans="1:21">
      <c r="A313" s="1">
        <v>42040</v>
      </c>
      <c r="B313" s="5">
        <v>311</v>
      </c>
      <c r="C313" s="6">
        <f t="shared" si="64"/>
        <v>0.852054794520548</v>
      </c>
      <c r="D313" s="4">
        <f t="shared" si="65"/>
        <v>27.73012411626344</v>
      </c>
      <c r="E313" s="10">
        <f t="shared" si="69"/>
        <v>33.133088118089965</v>
      </c>
      <c r="F313" s="8">
        <v>6965.3808753342037</v>
      </c>
      <c r="G313" s="19">
        <f t="shared" si="70"/>
        <v>0.37858823053256391</v>
      </c>
      <c r="H313" s="21">
        <f t="shared" si="71"/>
        <v>856.17093497559142</v>
      </c>
      <c r="I313" s="5">
        <v>676</v>
      </c>
      <c r="J313" s="6">
        <f t="shared" si="66"/>
        <v>1.8520547945205479</v>
      </c>
      <c r="K313" s="4">
        <f t="shared" si="67"/>
        <v>34.97854339516099</v>
      </c>
      <c r="L313" s="10">
        <f t="shared" si="68"/>
        <v>70.30975971216958</v>
      </c>
      <c r="M313" s="13">
        <v>365.05519817808687</v>
      </c>
      <c r="N313" s="19">
        <f t="shared" si="72"/>
        <v>0.98010121744007384</v>
      </c>
      <c r="O313" s="21">
        <f t="shared" si="73"/>
        <v>1474.5181150164315</v>
      </c>
      <c r="P313" s="8">
        <f t="shared" si="74"/>
        <v>230784.5783185068</v>
      </c>
      <c r="Q313" s="8">
        <f t="shared" si="75"/>
        <v>25666.943265579735</v>
      </c>
      <c r="R313" s="8">
        <f t="shared" si="76"/>
        <v>87372.325139807406</v>
      </c>
      <c r="S313" s="8">
        <f t="shared" si="77"/>
        <v>25156.202342560002</v>
      </c>
      <c r="T313" s="8">
        <f t="shared" si="78"/>
        <v>74805.645305940285</v>
      </c>
      <c r="U313" s="8">
        <f t="shared" si="79"/>
        <v>37093.276059123506</v>
      </c>
    </row>
    <row r="314" spans="1:21">
      <c r="A314" s="1">
        <v>42041</v>
      </c>
      <c r="B314" s="5">
        <v>312</v>
      </c>
      <c r="C314" s="6">
        <f t="shared" si="64"/>
        <v>0.85479452054794525</v>
      </c>
      <c r="D314" s="4">
        <f t="shared" si="65"/>
        <v>27.756274643253256</v>
      </c>
      <c r="E314" s="10">
        <f t="shared" si="69"/>
        <v>33.234431220796573</v>
      </c>
      <c r="F314" s="8">
        <v>6954.215380367812</v>
      </c>
      <c r="G314" s="19">
        <f t="shared" si="70"/>
        <v>0.38232354311399885</v>
      </c>
      <c r="H314" s="21">
        <f t="shared" si="71"/>
        <v>858.0622552395763</v>
      </c>
      <c r="I314" s="5">
        <v>677</v>
      </c>
      <c r="J314" s="6">
        <f t="shared" si="66"/>
        <v>1.8547945205479452</v>
      </c>
      <c r="K314" s="4">
        <f t="shared" si="67"/>
        <v>34.993185032507412</v>
      </c>
      <c r="L314" s="10">
        <f t="shared" si="68"/>
        <v>70.405160539888428</v>
      </c>
      <c r="M314" s="13">
        <v>363.71020963589382</v>
      </c>
      <c r="N314" s="19">
        <f t="shared" si="72"/>
        <v>0.98027352755197983</v>
      </c>
      <c r="O314" s="21">
        <f t="shared" si="73"/>
        <v>1475.9634260932078</v>
      </c>
      <c r="P314" s="8">
        <f t="shared" si="74"/>
        <v>231119.39275343972</v>
      </c>
      <c r="Q314" s="8">
        <f t="shared" si="75"/>
        <v>25607.07569941158</v>
      </c>
      <c r="R314" s="8">
        <f t="shared" si="76"/>
        <v>88362.385119850951</v>
      </c>
      <c r="S314" s="8">
        <f t="shared" si="77"/>
        <v>25101.93842615277</v>
      </c>
      <c r="T314" s="8">
        <f t="shared" si="78"/>
        <v>75820.427454287288</v>
      </c>
      <c r="U314" s="8">
        <f t="shared" si="79"/>
        <v>37049.543041045188</v>
      </c>
    </row>
    <row r="315" spans="1:21">
      <c r="A315" s="1">
        <v>42042</v>
      </c>
      <c r="B315" s="5">
        <v>313</v>
      </c>
      <c r="C315" s="6">
        <f t="shared" si="64"/>
        <v>0.8575342465753425</v>
      </c>
      <c r="D315" s="4">
        <f t="shared" si="65"/>
        <v>27.782383648979248</v>
      </c>
      <c r="E315" s="10">
        <f t="shared" si="69"/>
        <v>33.335827004805274</v>
      </c>
      <c r="F315" s="8">
        <v>6942.745371902336</v>
      </c>
      <c r="G315" s="19">
        <f t="shared" si="70"/>
        <v>0.38606684911860817</v>
      </c>
      <c r="H315" s="21">
        <f t="shared" si="71"/>
        <v>859.95295785618964</v>
      </c>
      <c r="I315" s="5">
        <v>678</v>
      </c>
      <c r="J315" s="6">
        <f t="shared" si="66"/>
        <v>1.8575342465753424</v>
      </c>
      <c r="K315" s="4">
        <f t="shared" si="67"/>
        <v>35.007803422166042</v>
      </c>
      <c r="L315" s="10">
        <f t="shared" si="68"/>
        <v>70.500499135268342</v>
      </c>
      <c r="M315" s="13">
        <v>362.31215629537445</v>
      </c>
      <c r="N315" s="19">
        <f t="shared" si="72"/>
        <v>0.98044410522924286</v>
      </c>
      <c r="O315" s="21">
        <f t="shared" si="73"/>
        <v>1477.4072515857338</v>
      </c>
      <c r="P315" s="8">
        <f t="shared" si="74"/>
        <v>231442.15865614873</v>
      </c>
      <c r="Q315" s="8">
        <f t="shared" si="75"/>
        <v>25543.187861599254</v>
      </c>
      <c r="R315" s="8">
        <f t="shared" si="76"/>
        <v>89352.144945588341</v>
      </c>
      <c r="S315" s="8">
        <f t="shared" si="77"/>
        <v>25043.667967668138</v>
      </c>
      <c r="T315" s="8">
        <f t="shared" si="78"/>
        <v>76838.641336753688</v>
      </c>
      <c r="U315" s="8">
        <f t="shared" si="79"/>
        <v>36999.696661738264</v>
      </c>
    </row>
    <row r="316" spans="1:21">
      <c r="A316" s="1">
        <v>42043</v>
      </c>
      <c r="B316" s="5">
        <v>314</v>
      </c>
      <c r="C316" s="6">
        <f t="shared" si="64"/>
        <v>0.86027397260273974</v>
      </c>
      <c r="D316" s="4">
        <f t="shared" si="65"/>
        <v>27.808451199368001</v>
      </c>
      <c r="E316" s="10">
        <f t="shared" si="69"/>
        <v>33.437274957108158</v>
      </c>
      <c r="F316" s="8">
        <v>6931.194159837105</v>
      </c>
      <c r="G316" s="19">
        <f t="shared" si="70"/>
        <v>0.38981769948903855</v>
      </c>
      <c r="H316" s="21">
        <f t="shared" si="71"/>
        <v>861.84303699977499</v>
      </c>
      <c r="I316" s="5">
        <v>679</v>
      </c>
      <c r="J316" s="6">
        <f t="shared" si="66"/>
        <v>1.8602739726027397</v>
      </c>
      <c r="K316" s="4">
        <f t="shared" si="67"/>
        <v>35.022398601049069</v>
      </c>
      <c r="L316" s="10">
        <f t="shared" si="68"/>
        <v>70.595775360033102</v>
      </c>
      <c r="M316" s="13">
        <v>360.91002104729159</v>
      </c>
      <c r="N316" s="19">
        <f t="shared" si="72"/>
        <v>0.98061296966340084</v>
      </c>
      <c r="O316" s="21">
        <f t="shared" si="73"/>
        <v>1478.849591399905</v>
      </c>
      <c r="P316" s="8">
        <f t="shared" si="74"/>
        <v>231760.24490357554</v>
      </c>
      <c r="Q316" s="8">
        <f t="shared" si="75"/>
        <v>25478.722771039415</v>
      </c>
      <c r="R316" s="8">
        <f t="shared" si="76"/>
        <v>90344.245501327983</v>
      </c>
      <c r="S316" s="8">
        <f t="shared" si="77"/>
        <v>24984.765999739473</v>
      </c>
      <c r="T316" s="8">
        <f t="shared" si="78"/>
        <v>77862.558918317765</v>
      </c>
      <c r="U316" s="8">
        <f t="shared" si="79"/>
        <v>36948.710989936953</v>
      </c>
    </row>
    <row r="317" spans="1:21">
      <c r="A317" s="1">
        <v>42044</v>
      </c>
      <c r="B317" s="5">
        <v>315</v>
      </c>
      <c r="C317" s="6">
        <f t="shared" si="64"/>
        <v>0.86301369863013699</v>
      </c>
      <c r="D317" s="4">
        <f t="shared" si="65"/>
        <v>27.834477360241451</v>
      </c>
      <c r="E317" s="10">
        <f t="shared" si="69"/>
        <v>33.538774565748902</v>
      </c>
      <c r="F317" s="8">
        <v>6919.7444522715687</v>
      </c>
      <c r="G317" s="19">
        <f t="shared" si="70"/>
        <v>0.39357564293871233</v>
      </c>
      <c r="H317" s="21">
        <f t="shared" si="71"/>
        <v>863.73248687142996</v>
      </c>
      <c r="I317" s="5">
        <v>680</v>
      </c>
      <c r="J317" s="6">
        <f t="shared" si="66"/>
        <v>1.8630136986301369</v>
      </c>
      <c r="K317" s="4">
        <f t="shared" si="67"/>
        <v>35.03697060601008</v>
      </c>
      <c r="L317" s="10">
        <f t="shared" si="68"/>
        <v>70.690989076664053</v>
      </c>
      <c r="M317" s="13">
        <v>359.52013152189932</v>
      </c>
      <c r="N317" s="19">
        <f t="shared" si="72"/>
        <v>0.98078013982051004</v>
      </c>
      <c r="O317" s="21">
        <f t="shared" si="73"/>
        <v>1480.2904454489726</v>
      </c>
      <c r="P317" s="8">
        <f t="shared" si="74"/>
        <v>232079.74923732775</v>
      </c>
      <c r="Q317" s="8">
        <f t="shared" si="75"/>
        <v>25414.833690255407</v>
      </c>
      <c r="R317" s="8">
        <f t="shared" si="76"/>
        <v>91340.936519136405</v>
      </c>
      <c r="S317" s="8">
        <f t="shared" si="77"/>
        <v>24926.364140243706</v>
      </c>
      <c r="T317" s="8">
        <f t="shared" si="78"/>
        <v>78894.134252839111</v>
      </c>
      <c r="U317" s="8">
        <f t="shared" si="79"/>
        <v>36898.25867658465</v>
      </c>
    </row>
    <row r="318" spans="1:21">
      <c r="A318" s="1">
        <v>42045</v>
      </c>
      <c r="B318" s="5">
        <v>316</v>
      </c>
      <c r="C318" s="6">
        <f t="shared" si="64"/>
        <v>0.86575342465753424</v>
      </c>
      <c r="D318" s="4">
        <f t="shared" si="65"/>
        <v>27.860462197317005</v>
      </c>
      <c r="E318" s="10">
        <f t="shared" si="69"/>
        <v>33.640325319825195</v>
      </c>
      <c r="F318" s="8">
        <v>6908.0308330068274</v>
      </c>
      <c r="G318" s="19">
        <f t="shared" si="70"/>
        <v>0.39734022617328657</v>
      </c>
      <c r="H318" s="21">
        <f t="shared" si="71"/>
        <v>865.62130169892839</v>
      </c>
      <c r="I318" s="5">
        <v>681</v>
      </c>
      <c r="J318" s="6">
        <f t="shared" si="66"/>
        <v>1.8657534246575342</v>
      </c>
      <c r="K318" s="4">
        <f t="shared" si="67"/>
        <v>35.051519473844152</v>
      </c>
      <c r="L318" s="10">
        <f t="shared" si="68"/>
        <v>70.78614014839772</v>
      </c>
      <c r="M318" s="13">
        <v>358.0955457822169</v>
      </c>
      <c r="N318" s="19">
        <f t="shared" si="72"/>
        <v>0.98094563444383165</v>
      </c>
      <c r="O318" s="21">
        <f t="shared" si="73"/>
        <v>1481.7298136535062</v>
      </c>
      <c r="P318" s="8">
        <f t="shared" si="74"/>
        <v>232388.40454173271</v>
      </c>
      <c r="Q318" s="8">
        <f t="shared" si="75"/>
        <v>25348.201490256979</v>
      </c>
      <c r="R318" s="8">
        <f t="shared" si="76"/>
        <v>92337.261220661298</v>
      </c>
      <c r="S318" s="8">
        <f t="shared" si="77"/>
        <v>24865.207592870211</v>
      </c>
      <c r="T318" s="8">
        <f t="shared" si="78"/>
        <v>79929.100253142824</v>
      </c>
      <c r="U318" s="8">
        <f t="shared" si="79"/>
        <v>36843.519413039328</v>
      </c>
    </row>
    <row r="319" spans="1:21">
      <c r="A319" s="1">
        <v>42046</v>
      </c>
      <c r="B319" s="5">
        <v>317</v>
      </c>
      <c r="C319" s="6">
        <f t="shared" si="64"/>
        <v>0.86849315068493149</v>
      </c>
      <c r="D319" s="4">
        <f t="shared" si="65"/>
        <v>27.886405776207738</v>
      </c>
      <c r="E319" s="10">
        <f t="shared" si="69"/>
        <v>33.741926709490969</v>
      </c>
      <c r="F319" s="8">
        <v>6896.1751074425129</v>
      </c>
      <c r="G319" s="19">
        <f t="shared" si="70"/>
        <v>0.40111099411340723</v>
      </c>
      <c r="H319" s="21">
        <f t="shared" si="71"/>
        <v>867.5094757366453</v>
      </c>
      <c r="I319" s="5">
        <v>682</v>
      </c>
      <c r="J319" s="6">
        <f t="shared" si="66"/>
        <v>1.8684931506849316</v>
      </c>
      <c r="K319" s="4">
        <f t="shared" si="67"/>
        <v>35.066045241287938</v>
      </c>
      <c r="L319" s="10">
        <f t="shared" si="68"/>
        <v>70.881228439224046</v>
      </c>
      <c r="M319" s="13">
        <v>356.64850955093488</v>
      </c>
      <c r="N319" s="19">
        <f t="shared" si="72"/>
        <v>0.98110947205649146</v>
      </c>
      <c r="O319" s="21">
        <f t="shared" si="73"/>
        <v>1483.1676959413751</v>
      </c>
      <c r="P319" s="8">
        <f t="shared" si="74"/>
        <v>232690.23505114127</v>
      </c>
      <c r="Q319" s="8">
        <f t="shared" si="75"/>
        <v>25279.684477988594</v>
      </c>
      <c r="R319" s="8">
        <f t="shared" si="76"/>
        <v>93334.611501845662</v>
      </c>
      <c r="S319" s="8">
        <f t="shared" si="77"/>
        <v>24802.137891954073</v>
      </c>
      <c r="T319" s="8">
        <f t="shared" si="78"/>
        <v>80968.659892049589</v>
      </c>
      <c r="U319" s="8">
        <f t="shared" si="79"/>
        <v>36785.729711629792</v>
      </c>
    </row>
    <row r="320" spans="1:21">
      <c r="A320" s="1">
        <v>42047</v>
      </c>
      <c r="B320" s="5">
        <v>318</v>
      </c>
      <c r="C320" s="6">
        <f t="shared" si="64"/>
        <v>0.87123287671232874</v>
      </c>
      <c r="D320" s="4">
        <f t="shared" si="65"/>
        <v>27.912308162422526</v>
      </c>
      <c r="E320" s="10">
        <f t="shared" si="69"/>
        <v>33.843578225959234</v>
      </c>
      <c r="F320" s="8">
        <v>6884.5020899776491</v>
      </c>
      <c r="G320" s="19">
        <f t="shared" si="70"/>
        <v>0.40488749011849662</v>
      </c>
      <c r="H320" s="21">
        <f t="shared" si="71"/>
        <v>869.39700326548063</v>
      </c>
      <c r="I320" s="5">
        <v>683</v>
      </c>
      <c r="J320" s="6">
        <f t="shared" si="66"/>
        <v>1.8712328767123287</v>
      </c>
      <c r="K320" s="4">
        <f t="shared" si="67"/>
        <v>35.080547945019738</v>
      </c>
      <c r="L320" s="10">
        <f t="shared" si="68"/>
        <v>70.976253813884313</v>
      </c>
      <c r="M320" s="13">
        <v>355.2320876263795</v>
      </c>
      <c r="N320" s="19">
        <f t="shared" si="72"/>
        <v>0.98127167096410717</v>
      </c>
      <c r="O320" s="21">
        <f t="shared" si="73"/>
        <v>1484.6040922477016</v>
      </c>
      <c r="P320" s="8">
        <f t="shared" si="74"/>
        <v>232996.1850289384</v>
      </c>
      <c r="Q320" s="8">
        <f t="shared" si="75"/>
        <v>25213.042814205903</v>
      </c>
      <c r="R320" s="8">
        <f t="shared" si="76"/>
        <v>94337.240563551706</v>
      </c>
      <c r="S320" s="8">
        <f t="shared" si="77"/>
        <v>24740.8446523854</v>
      </c>
      <c r="T320" s="8">
        <f t="shared" si="78"/>
        <v>82016.51424228659</v>
      </c>
      <c r="U320" s="8">
        <f t="shared" si="79"/>
        <v>36730.359216596029</v>
      </c>
    </row>
    <row r="321" spans="1:21">
      <c r="A321" s="1">
        <v>42048</v>
      </c>
      <c r="B321" s="5">
        <v>319</v>
      </c>
      <c r="C321" s="6">
        <f t="shared" si="64"/>
        <v>0.87397260273972599</v>
      </c>
      <c r="D321" s="4">
        <f t="shared" si="65"/>
        <v>27.938169421366261</v>
      </c>
      <c r="E321" s="10">
        <f t="shared" si="69"/>
        <v>33.945279361504475</v>
      </c>
      <c r="F321" s="8">
        <v>6872.4230545140063</v>
      </c>
      <c r="G321" s="19">
        <f t="shared" si="70"/>
        <v>0.40866925621136496</v>
      </c>
      <c r="H321" s="21">
        <f t="shared" si="71"/>
        <v>871.28387859278973</v>
      </c>
      <c r="I321" s="5">
        <v>684</v>
      </c>
      <c r="J321" s="6">
        <f t="shared" si="66"/>
        <v>1.8739726027397261</v>
      </c>
      <c r="K321" s="4">
        <f t="shared" si="67"/>
        <v>35.095027621659661</v>
      </c>
      <c r="L321" s="10">
        <f t="shared" si="68"/>
        <v>71.071216137869882</v>
      </c>
      <c r="M321" s="13">
        <v>353.75647804215254</v>
      </c>
      <c r="N321" s="19">
        <f t="shared" si="72"/>
        <v>0.98143224925738703</v>
      </c>
      <c r="O321" s="21">
        <f t="shared" si="73"/>
        <v>1486.0390025148411</v>
      </c>
      <c r="P321" s="8">
        <f t="shared" si="74"/>
        <v>233286.32047592185</v>
      </c>
      <c r="Q321" s="8">
        <f t="shared" si="75"/>
        <v>25141.903111105443</v>
      </c>
      <c r="R321" s="8">
        <f t="shared" si="76"/>
        <v>95336.947073181102</v>
      </c>
      <c r="S321" s="8">
        <f t="shared" si="77"/>
        <v>24675.074520943512</v>
      </c>
      <c r="T321" s="8">
        <f t="shared" si="78"/>
        <v>83065.545019116747</v>
      </c>
      <c r="U321" s="8">
        <f t="shared" si="79"/>
        <v>36668.123128082269</v>
      </c>
    </row>
    <row r="322" spans="1:21">
      <c r="A322" s="1">
        <v>42049</v>
      </c>
      <c r="B322" s="5">
        <v>320</v>
      </c>
      <c r="C322" s="6">
        <f t="shared" si="64"/>
        <v>0.87671232876712324</v>
      </c>
      <c r="D322" s="4">
        <f t="shared" si="65"/>
        <v>27.963989618339959</v>
      </c>
      <c r="E322" s="10">
        <f t="shared" si="69"/>
        <v>34.047029609464715</v>
      </c>
      <c r="F322" s="8">
        <v>6860.2628154506083</v>
      </c>
      <c r="G322" s="19">
        <f t="shared" si="70"/>
        <v>0.41245583330338842</v>
      </c>
      <c r="H322" s="21">
        <f t="shared" si="71"/>
        <v>873.17009605230351</v>
      </c>
      <c r="I322" s="5">
        <v>685</v>
      </c>
      <c r="J322" s="6">
        <f t="shared" si="66"/>
        <v>1.8767123287671232</v>
      </c>
      <c r="K322" s="4">
        <f t="shared" si="67"/>
        <v>35.109484307769634</v>
      </c>
      <c r="L322" s="10">
        <f t="shared" si="68"/>
        <v>71.166115277419451</v>
      </c>
      <c r="M322" s="13">
        <v>352.26045892010779</v>
      </c>
      <c r="N322" s="19">
        <f t="shared" si="72"/>
        <v>0.98159122481469963</v>
      </c>
      <c r="O322" s="21">
        <f t="shared" si="73"/>
        <v>1487.4724266923431</v>
      </c>
      <c r="P322" s="8">
        <f t="shared" si="74"/>
        <v>233571.57120635663</v>
      </c>
      <c r="Q322" s="8">
        <f t="shared" si="75"/>
        <v>25069.008427185068</v>
      </c>
      <c r="R322" s="8">
        <f t="shared" si="76"/>
        <v>96337.957037899556</v>
      </c>
      <c r="S322" s="8">
        <f t="shared" si="77"/>
        <v>24607.518686930616</v>
      </c>
      <c r="T322" s="8">
        <f t="shared" si="78"/>
        <v>84119.423200265432</v>
      </c>
      <c r="U322" s="8">
        <f t="shared" si="79"/>
        <v>36603.005536125864</v>
      </c>
    </row>
    <row r="323" spans="1:21">
      <c r="A323" s="1">
        <v>42050</v>
      </c>
      <c r="B323" s="5">
        <v>321</v>
      </c>
      <c r="C323" s="6">
        <f t="shared" ref="C323:C367" si="80">B323/365</f>
        <v>0.8794520547945206</v>
      </c>
      <c r="D323" s="4">
        <f t="shared" ref="D323:D367" si="81">44.2*(1-EXP(-0.58*(C323+0.85)))</f>
        <v>27.98976881854097</v>
      </c>
      <c r="E323" s="10">
        <f t="shared" si="69"/>
        <v>34.148828464244168</v>
      </c>
      <c r="F323" s="8">
        <v>6848.041673687394</v>
      </c>
      <c r="G323" s="19">
        <f t="shared" si="70"/>
        <v>0.4162467614200443</v>
      </c>
      <c r="H323" s="21">
        <f t="shared" si="71"/>
        <v>875.0556500040567</v>
      </c>
      <c r="I323" s="5">
        <v>686</v>
      </c>
      <c r="J323" s="6">
        <f t="shared" ref="J323:J367" si="82">I323/365</f>
        <v>1.8794520547945206</v>
      </c>
      <c r="K323" s="4">
        <f t="shared" ref="K323:K367" si="83">44.2*(1-EXP(-0.58*(J323+0.85)))</f>
        <v>35.123918039853542</v>
      </c>
      <c r="L323" s="10">
        <f t="shared" ref="L323:L367" si="84">0.0007*K323^3.24</f>
        <v>71.260951099517442</v>
      </c>
      <c r="M323" s="13">
        <v>350.7256616762092</v>
      </c>
      <c r="N323" s="19">
        <f t="shared" si="72"/>
        <v>0.98174861530461366</v>
      </c>
      <c r="O323" s="21">
        <f t="shared" si="73"/>
        <v>1488.9043647369303</v>
      </c>
      <c r="P323" s="8">
        <f t="shared" si="74"/>
        <v>233852.60043074636</v>
      </c>
      <c r="Q323" s="8">
        <f t="shared" si="75"/>
        <v>24993.04422605424</v>
      </c>
      <c r="R323" s="8">
        <f t="shared" si="76"/>
        <v>97340.387578953829</v>
      </c>
      <c r="S323" s="8">
        <f t="shared" si="77"/>
        <v>24536.886561175721</v>
      </c>
      <c r="T323" s="8">
        <f t="shared" si="78"/>
        <v>85178.25612454825</v>
      </c>
      <c r="U323" s="8">
        <f t="shared" si="79"/>
        <v>36533.077497989463</v>
      </c>
    </row>
    <row r="324" spans="1:21">
      <c r="A324" s="1">
        <v>42051</v>
      </c>
      <c r="B324" s="5">
        <v>322</v>
      </c>
      <c r="C324" s="6">
        <f t="shared" si="80"/>
        <v>0.88219178082191785</v>
      </c>
      <c r="D324" s="4">
        <f t="shared" si="81"/>
        <v>28.015507087063114</v>
      </c>
      <c r="E324" s="10">
        <f t="shared" ref="E324:E367" si="85">0.0007*D324^3.24</f>
        <v>34.250675421315499</v>
      </c>
      <c r="F324" s="8">
        <v>6835.4957175251575</v>
      </c>
      <c r="G324" s="19">
        <f t="shared" ref="G324:G367" si="86">1/(1+EXP(-0.606*D324+17.3))</f>
        <v>0.42004157992654689</v>
      </c>
      <c r="H324" s="21">
        <f t="shared" ref="H324:H367" si="87">0.3586*D324^2.341</f>
        <v>876.94053483431276</v>
      </c>
      <c r="I324" s="5">
        <v>687</v>
      </c>
      <c r="J324" s="6">
        <f t="shared" si="82"/>
        <v>1.8821917808219177</v>
      </c>
      <c r="K324" s="4">
        <f t="shared" si="83"/>
        <v>35.138328854357312</v>
      </c>
      <c r="L324" s="10">
        <f t="shared" si="84"/>
        <v>71.355723471892077</v>
      </c>
      <c r="M324" s="13">
        <v>349.15004535667504</v>
      </c>
      <c r="N324" s="19">
        <f t="shared" ref="N324:N367" si="88">1/(1+EXP(-0.606*K324+17.3))</f>
        <v>0.981904438188409</v>
      </c>
      <c r="O324" s="21">
        <f t="shared" ref="O324:O367" si="89">0.3586*K324^2.341</f>
        <v>1490.3348166124526</v>
      </c>
      <c r="P324" s="8">
        <f t="shared" ref="P324:P367" si="90">E324*F324</f>
        <v>234120.34516474625</v>
      </c>
      <c r="Q324" s="8">
        <f t="shared" ref="Q324:Q367" si="91">L324*M324</f>
        <v>24913.854086669478</v>
      </c>
      <c r="R324" s="8">
        <f t="shared" ref="R324:R367" si="92">E324*F324*G324</f>
        <v>98340.279675948506</v>
      </c>
      <c r="S324" s="8">
        <f t="shared" ref="S324:S367" si="93">L324*M324*N324</f>
        <v>24463.023900079192</v>
      </c>
      <c r="T324" s="8">
        <f t="shared" ref="T324:T367" si="94">R324*H324/1000</f>
        <v>86238.577454782178</v>
      </c>
      <c r="U324" s="8">
        <f t="shared" ref="U324:U367" si="95">S324*O324/1000</f>
        <v>36458.096237910569</v>
      </c>
    </row>
    <row r="325" spans="1:21">
      <c r="A325" s="1">
        <v>42052</v>
      </c>
      <c r="B325" s="5">
        <v>323</v>
      </c>
      <c r="C325" s="6">
        <f t="shared" si="80"/>
        <v>0.8849315068493151</v>
      </c>
      <c r="D325" s="4">
        <f t="shared" si="81"/>
        <v>28.041204488896852</v>
      </c>
      <c r="E325" s="10">
        <f t="shared" si="85"/>
        <v>34.352569977221897</v>
      </c>
      <c r="F325" s="8">
        <v>6822.6249469638988</v>
      </c>
      <c r="G325" s="19">
        <f t="shared" si="86"/>
        <v>0.42383982775336698</v>
      </c>
      <c r="H325" s="21">
        <f t="shared" si="87"/>
        <v>878.82474495549036</v>
      </c>
      <c r="I325" s="5">
        <v>688</v>
      </c>
      <c r="J325" s="6">
        <f t="shared" si="82"/>
        <v>1.8849315068493151</v>
      </c>
      <c r="K325" s="4">
        <f t="shared" si="83"/>
        <v>35.152716787669</v>
      </c>
      <c r="L325" s="10">
        <f t="shared" si="84"/>
        <v>71.45043226301398</v>
      </c>
      <c r="M325" s="13">
        <v>347.51524137746912</v>
      </c>
      <c r="N325" s="19">
        <f t="shared" si="88"/>
        <v>0.98205871072256079</v>
      </c>
      <c r="O325" s="21">
        <f t="shared" si="89"/>
        <v>1491.7637822898716</v>
      </c>
      <c r="P325" s="8">
        <f t="shared" si="90"/>
        <v>234374.70091891717</v>
      </c>
      <c r="Q325" s="8">
        <f t="shared" si="91"/>
        <v>24830.11421440581</v>
      </c>
      <c r="R325" s="8">
        <f t="shared" si="92"/>
        <v>99337.332867220757</v>
      </c>
      <c r="S325" s="8">
        <f t="shared" si="93"/>
        <v>24384.629952493302</v>
      </c>
      <c r="T325" s="8">
        <f t="shared" si="94"/>
        <v>87300.106221593931</v>
      </c>
      <c r="U325" s="8">
        <f t="shared" si="95"/>
        <v>36376.107807670305</v>
      </c>
    </row>
    <row r="326" spans="1:21">
      <c r="A326" s="1">
        <v>42053</v>
      </c>
      <c r="B326" s="5">
        <v>324</v>
      </c>
      <c r="C326" s="6">
        <f t="shared" si="80"/>
        <v>0.88767123287671235</v>
      </c>
      <c r="D326" s="4">
        <f t="shared" si="81"/>
        <v>28.066861088929485</v>
      </c>
      <c r="E326" s="10">
        <f t="shared" si="85"/>
        <v>34.454511629579706</v>
      </c>
      <c r="F326" s="8">
        <v>6809.8962827022115</v>
      </c>
      <c r="G326" s="19">
        <f t="shared" si="86"/>
        <v>0.42764104362140137</v>
      </c>
      <c r="H326" s="21">
        <f t="shared" si="87"/>
        <v>880.70827480608909</v>
      </c>
      <c r="I326" s="5">
        <v>689</v>
      </c>
      <c r="J326" s="6">
        <f t="shared" si="82"/>
        <v>1.8876712328767122</v>
      </c>
      <c r="K326" s="4">
        <f t="shared" si="83"/>
        <v>35.167081876118893</v>
      </c>
      <c r="L326" s="10">
        <f t="shared" si="84"/>
        <v>71.545077342093393</v>
      </c>
      <c r="M326" s="13">
        <v>345.90492884364471</v>
      </c>
      <c r="N326" s="19">
        <f t="shared" si="88"/>
        <v>0.98221144996119258</v>
      </c>
      <c r="O326" s="21">
        <f t="shared" si="89"/>
        <v>1493.1912617472199</v>
      </c>
      <c r="P326" s="8">
        <f t="shared" si="90"/>
        <v>234631.65066859496</v>
      </c>
      <c r="Q326" s="8">
        <f t="shared" si="91"/>
        <v>24747.794887129872</v>
      </c>
      <c r="R326" s="8">
        <f t="shared" si="92"/>
        <v>100338.12395853002</v>
      </c>
      <c r="S326" s="8">
        <f t="shared" si="93"/>
        <v>24307.567499430021</v>
      </c>
      <c r="T326" s="8">
        <f t="shared" si="94"/>
        <v>88368.616048796495</v>
      </c>
      <c r="U326" s="8">
        <f t="shared" si="95"/>
        <v>36295.847384479624</v>
      </c>
    </row>
    <row r="327" spans="1:21">
      <c r="A327" s="1">
        <v>42054</v>
      </c>
      <c r="B327" s="5">
        <v>325</v>
      </c>
      <c r="C327" s="6">
        <f t="shared" si="80"/>
        <v>0.8904109589041096</v>
      </c>
      <c r="D327" s="4">
        <f t="shared" si="81"/>
        <v>28.092476951945251</v>
      </c>
      <c r="E327" s="10">
        <f t="shared" si="85"/>
        <v>34.556499877080263</v>
      </c>
      <c r="F327" s="8">
        <v>6796.6194941421754</v>
      </c>
      <c r="G327" s="19">
        <f t="shared" si="86"/>
        <v>0.43144476626653699</v>
      </c>
      <c r="H327" s="21">
        <f t="shared" si="87"/>
        <v>882.59111885061395</v>
      </c>
      <c r="I327" s="5">
        <v>690</v>
      </c>
      <c r="J327" s="6">
        <f t="shared" si="82"/>
        <v>1.8904109589041096</v>
      </c>
      <c r="K327" s="4">
        <f t="shared" si="83"/>
        <v>35.181424155979585</v>
      </c>
      <c r="L327" s="10">
        <f t="shared" si="84"/>
        <v>71.639658579078656</v>
      </c>
      <c r="M327" s="13">
        <v>344.20889625098556</v>
      </c>
      <c r="N327" s="19">
        <f t="shared" si="88"/>
        <v>0.98236267275850386</v>
      </c>
      <c r="O327" s="21">
        <f t="shared" si="89"/>
        <v>1494.6172549695752</v>
      </c>
      <c r="P327" s="8">
        <f t="shared" si="90"/>
        <v>234867.38071388542</v>
      </c>
      <c r="Q327" s="8">
        <f t="shared" si="91"/>
        <v>24659.007807302114</v>
      </c>
      <c r="R327" s="8">
        <f t="shared" si="92"/>
        <v>101332.30217573605</v>
      </c>
      <c r="S327" s="8">
        <f t="shared" si="93"/>
        <v>24224.088817154119</v>
      </c>
      <c r="T327" s="8">
        <f t="shared" si="94"/>
        <v>89434.989952991382</v>
      </c>
      <c r="U327" s="8">
        <f t="shared" si="95"/>
        <v>36205.741132034069</v>
      </c>
    </row>
    <row r="328" spans="1:21">
      <c r="A328" s="1">
        <v>42055</v>
      </c>
      <c r="B328" s="5">
        <v>326</v>
      </c>
      <c r="C328" s="6">
        <f t="shared" si="80"/>
        <v>0.89315068493150684</v>
      </c>
      <c r="D328" s="4">
        <f t="shared" si="81"/>
        <v>28.11805214262554</v>
      </c>
      <c r="E328" s="10">
        <f t="shared" si="85"/>
        <v>34.658534219492232</v>
      </c>
      <c r="F328" s="8">
        <v>6783.2209001825049</v>
      </c>
      <c r="G328" s="19">
        <f t="shared" si="86"/>
        <v>0.43525053466342561</v>
      </c>
      <c r="H328" s="21">
        <f t="shared" si="87"/>
        <v>884.47327157950224</v>
      </c>
      <c r="I328" s="5">
        <v>691</v>
      </c>
      <c r="J328" s="6">
        <f t="shared" si="82"/>
        <v>1.893150684931507</v>
      </c>
      <c r="K328" s="4">
        <f t="shared" si="83"/>
        <v>35.195743663466075</v>
      </c>
      <c r="L328" s="10">
        <f t="shared" si="84"/>
        <v>71.734175844654487</v>
      </c>
      <c r="M328" s="13">
        <v>342.5006179356356</v>
      </c>
      <c r="N328" s="19">
        <f t="shared" si="88"/>
        <v>0.98251239577116811</v>
      </c>
      <c r="O328" s="21">
        <f t="shared" si="89"/>
        <v>1496.0417619490199</v>
      </c>
      <c r="P328" s="8">
        <f t="shared" si="90"/>
        <v>235096.49368735024</v>
      </c>
      <c r="Q328" s="8">
        <f t="shared" si="91"/>
        <v>24568.999553897705</v>
      </c>
      <c r="R328" s="8">
        <f t="shared" si="92"/>
        <v>102325.87457491586</v>
      </c>
      <c r="S328" s="8">
        <f t="shared" si="93"/>
        <v>24139.346613400794</v>
      </c>
      <c r="T328" s="8">
        <f t="shared" si="94"/>
        <v>90504.50105250963</v>
      </c>
      <c r="U328" s="8">
        <f t="shared" si="95"/>
        <v>36113.470639810235</v>
      </c>
    </row>
    <row r="329" spans="1:21">
      <c r="A329" s="1">
        <v>42056</v>
      </c>
      <c r="B329" s="5">
        <v>327</v>
      </c>
      <c r="C329" s="6">
        <f t="shared" si="80"/>
        <v>0.89589041095890409</v>
      </c>
      <c r="D329" s="4">
        <f t="shared" si="81"/>
        <v>28.143586725549049</v>
      </c>
      <c r="E329" s="10">
        <f t="shared" si="85"/>
        <v>34.760614157663795</v>
      </c>
      <c r="F329" s="8">
        <v>6770.4719350208788</v>
      </c>
      <c r="G329" s="19">
        <f t="shared" si="86"/>
        <v>0.43905788824820075</v>
      </c>
      <c r="H329" s="21">
        <f t="shared" si="87"/>
        <v>886.35472750905183</v>
      </c>
      <c r="I329" s="5">
        <v>692</v>
      </c>
      <c r="J329" s="6">
        <f t="shared" si="82"/>
        <v>1.8958904109589041</v>
      </c>
      <c r="K329" s="4">
        <f t="shared" si="83"/>
        <v>35.210040434735873</v>
      </c>
      <c r="L329" s="10">
        <f t="shared" si="84"/>
        <v>71.828629010239879</v>
      </c>
      <c r="M329" s="13">
        <v>340.93724733879213</v>
      </c>
      <c r="N329" s="19">
        <f t="shared" si="88"/>
        <v>0.98266063546070359</v>
      </c>
      <c r="O329" s="21">
        <f t="shared" si="89"/>
        <v>1497.4647826846333</v>
      </c>
      <c r="P329" s="8">
        <f t="shared" si="90"/>
        <v>235345.76259855216</v>
      </c>
      <c r="Q329" s="8">
        <f t="shared" si="91"/>
        <v>24489.055054870492</v>
      </c>
      <c r="R329" s="8">
        <f t="shared" si="92"/>
        <v>103330.4135346827</v>
      </c>
      <c r="S329" s="8">
        <f t="shared" si="93"/>
        <v>24064.430402051192</v>
      </c>
      <c r="T329" s="8">
        <f t="shared" si="94"/>
        <v>91587.400531931329</v>
      </c>
      <c r="U329" s="8">
        <f t="shared" si="95"/>
        <v>36035.637042437069</v>
      </c>
    </row>
    <row r="330" spans="1:21">
      <c r="A330" s="1">
        <v>42057</v>
      </c>
      <c r="B330" s="5">
        <v>328</v>
      </c>
      <c r="C330" s="6">
        <f t="shared" si="80"/>
        <v>0.89863013698630134</v>
      </c>
      <c r="D330" s="4">
        <f t="shared" si="81"/>
        <v>28.169080765191929</v>
      </c>
      <c r="E330" s="10">
        <f t="shared" si="85"/>
        <v>34.862739193524519</v>
      </c>
      <c r="F330" s="8">
        <v>6757.4184563601702</v>
      </c>
      <c r="G330" s="19">
        <f t="shared" si="86"/>
        <v>0.44286636713993438</v>
      </c>
      <c r="H330" s="21">
        <f t="shared" si="87"/>
        <v>888.23548118134397</v>
      </c>
      <c r="I330" s="5">
        <v>693</v>
      </c>
      <c r="J330" s="6">
        <f t="shared" si="82"/>
        <v>1.8986301369863015</v>
      </c>
      <c r="K330" s="4">
        <f t="shared" si="83"/>
        <v>35.224314505889076</v>
      </c>
      <c r="L330" s="10">
        <f t="shared" si="84"/>
        <v>71.923017947986182</v>
      </c>
      <c r="M330" s="13">
        <v>339.36367197303963</v>
      </c>
      <c r="N330" s="19">
        <f t="shared" si="88"/>
        <v>0.98280740809581846</v>
      </c>
      <c r="O330" s="21">
        <f t="shared" si="89"/>
        <v>1498.8863171824316</v>
      </c>
      <c r="P330" s="8">
        <f t="shared" si="90"/>
        <v>235582.11726559367</v>
      </c>
      <c r="Q330" s="8">
        <f t="shared" si="91"/>
        <v>24408.059470211425</v>
      </c>
      <c r="R330" s="8">
        <f t="shared" si="92"/>
        <v>104331.39643654748</v>
      </c>
      <c r="S330" s="8">
        <f t="shared" si="93"/>
        <v>23988.421664567086</v>
      </c>
      <c r="T330" s="8">
        <f t="shared" si="94"/>
        <v>92670.84811613831</v>
      </c>
      <c r="U330" s="8">
        <f t="shared" si="95"/>
        <v>35955.917003822215</v>
      </c>
    </row>
    <row r="331" spans="1:21">
      <c r="A331" s="1">
        <v>42058</v>
      </c>
      <c r="B331" s="5">
        <v>329</v>
      </c>
      <c r="C331" s="6">
        <f t="shared" si="80"/>
        <v>0.90136986301369859</v>
      </c>
      <c r="D331" s="4">
        <f t="shared" si="81"/>
        <v>28.194534325927954</v>
      </c>
      <c r="E331" s="10">
        <f t="shared" si="85"/>
        <v>34.964908830087701</v>
      </c>
      <c r="F331" s="8">
        <v>6744.852199297995</v>
      </c>
      <c r="G331" s="19">
        <f t="shared" si="86"/>
        <v>0.44667551236060948</v>
      </c>
      <c r="H331" s="21">
        <f t="shared" si="87"/>
        <v>890.11552716417111</v>
      </c>
      <c r="I331" s="5">
        <v>694</v>
      </c>
      <c r="J331" s="6">
        <f t="shared" si="82"/>
        <v>1.9013698630136986</v>
      </c>
      <c r="K331" s="4">
        <f t="shared" si="83"/>
        <v>35.238565912968447</v>
      </c>
      <c r="L331" s="10">
        <f t="shared" si="84"/>
        <v>72.017342530775295</v>
      </c>
      <c r="M331" s="13">
        <v>337.89418525015805</v>
      </c>
      <c r="N331" s="19">
        <f t="shared" si="88"/>
        <v>0.98295272975472558</v>
      </c>
      <c r="O331" s="21">
        <f t="shared" si="89"/>
        <v>1500.3063654553644</v>
      </c>
      <c r="P331" s="8">
        <f t="shared" si="90"/>
        <v>235833.14222087091</v>
      </c>
      <c r="Q331" s="8">
        <f t="shared" si="91"/>
        <v>24334.241278317873</v>
      </c>
      <c r="R331" s="8">
        <f t="shared" si="92"/>
        <v>105340.88963311999</v>
      </c>
      <c r="S331" s="8">
        <f t="shared" si="93"/>
        <v>23919.408891032675</v>
      </c>
      <c r="T331" s="8">
        <f t="shared" si="94"/>
        <v>93765.561507727369</v>
      </c>
      <c r="U331" s="8">
        <f t="shared" si="95"/>
        <v>35886.441417145958</v>
      </c>
    </row>
    <row r="332" spans="1:21">
      <c r="A332" s="1">
        <v>42059</v>
      </c>
      <c r="B332" s="5">
        <v>330</v>
      </c>
      <c r="C332" s="6">
        <f t="shared" si="80"/>
        <v>0.90410958904109584</v>
      </c>
      <c r="D332" s="4">
        <f t="shared" si="81"/>
        <v>28.219947472028693</v>
      </c>
      <c r="E332" s="10">
        <f t="shared" si="85"/>
        <v>35.067122571452146</v>
      </c>
      <c r="F332" s="8">
        <v>6732.8949692339856</v>
      </c>
      <c r="G332" s="19">
        <f t="shared" si="86"/>
        <v>0.45048486605338456</v>
      </c>
      <c r="H332" s="21">
        <f t="shared" si="87"/>
        <v>891.99486005096207</v>
      </c>
      <c r="I332" s="5">
        <v>695</v>
      </c>
      <c r="J332" s="6">
        <f t="shared" si="82"/>
        <v>1.904109589041096</v>
      </c>
      <c r="K332" s="4">
        <f t="shared" si="83"/>
        <v>35.252794691959544</v>
      </c>
      <c r="L332" s="10">
        <f t="shared" si="84"/>
        <v>72.111602632217483</v>
      </c>
      <c r="M332" s="13">
        <v>336.52266430880184</v>
      </c>
      <c r="N332" s="19">
        <f t="shared" si="88"/>
        <v>0.98309661632743395</v>
      </c>
      <c r="O332" s="21">
        <f t="shared" si="89"/>
        <v>1501.7249275232639</v>
      </c>
      <c r="P332" s="8">
        <f t="shared" si="90"/>
        <v>236103.25314684169</v>
      </c>
      <c r="Q332" s="8">
        <f t="shared" si="91"/>
        <v>24267.188645371436</v>
      </c>
      <c r="R332" s="8">
        <f t="shared" si="92"/>
        <v>106360.94236862332</v>
      </c>
      <c r="S332" s="8">
        <f t="shared" si="93"/>
        <v>23856.991045044186</v>
      </c>
      <c r="T332" s="8">
        <f t="shared" si="94"/>
        <v>94873.413902988599</v>
      </c>
      <c r="U332" s="8">
        <f t="shared" si="95"/>
        <v>35826.638148042133</v>
      </c>
    </row>
    <row r="333" spans="1:21">
      <c r="A333" s="1">
        <v>42060</v>
      </c>
      <c r="B333" s="5">
        <v>331</v>
      </c>
      <c r="C333" s="6">
        <f t="shared" si="80"/>
        <v>0.9068493150684932</v>
      </c>
      <c r="D333" s="4">
        <f t="shared" si="81"/>
        <v>28.245320267663665</v>
      </c>
      <c r="E333" s="10">
        <f t="shared" si="85"/>
        <v>35.169379922804382</v>
      </c>
      <c r="F333" s="8">
        <v>6720.2272076721156</v>
      </c>
      <c r="G333" s="19">
        <f t="shared" si="86"/>
        <v>0.45429397169894509</v>
      </c>
      <c r="H333" s="21">
        <f t="shared" si="87"/>
        <v>893.87347446071158</v>
      </c>
      <c r="I333" s="5">
        <v>696</v>
      </c>
      <c r="J333" s="6">
        <f t="shared" si="82"/>
        <v>1.9068493150684931</v>
      </c>
      <c r="K333" s="4">
        <f t="shared" si="83"/>
        <v>35.267000878790761</v>
      </c>
      <c r="L333" s="10">
        <f t="shared" si="84"/>
        <v>72.205798126649924</v>
      </c>
      <c r="M333" s="13">
        <v>335.08583284642879</v>
      </c>
      <c r="N333" s="19">
        <f t="shared" si="88"/>
        <v>0.98323908351801159</v>
      </c>
      <c r="O333" s="21">
        <f t="shared" si="89"/>
        <v>1503.1420034128275</v>
      </c>
      <c r="P333" s="8">
        <f t="shared" si="90"/>
        <v>236346.22383418746</v>
      </c>
      <c r="Q333" s="8">
        <f t="shared" si="91"/>
        <v>24195.140001609598</v>
      </c>
      <c r="R333" s="8">
        <f t="shared" si="92"/>
        <v>107370.66472168089</v>
      </c>
      <c r="S333" s="8">
        <f t="shared" si="93"/>
        <v>23789.607280772601</v>
      </c>
      <c r="T333" s="8">
        <f t="shared" si="94"/>
        <v>95975.789129925062</v>
      </c>
      <c r="U333" s="8">
        <f t="shared" si="95"/>
        <v>35759.157948424916</v>
      </c>
    </row>
    <row r="334" spans="1:21">
      <c r="A334" s="1">
        <v>42061</v>
      </c>
      <c r="B334" s="5">
        <v>332</v>
      </c>
      <c r="C334" s="6">
        <f t="shared" si="80"/>
        <v>0.90958904109589045</v>
      </c>
      <c r="D334" s="4">
        <f t="shared" si="81"/>
        <v>28.270652776900505</v>
      </c>
      <c r="E334" s="10">
        <f t="shared" si="85"/>
        <v>35.271680390420478</v>
      </c>
      <c r="F334" s="8">
        <v>6707.4579416105507</v>
      </c>
      <c r="G334" s="19">
        <f t="shared" si="86"/>
        <v>0.45810237432972234</v>
      </c>
      <c r="H334" s="21">
        <f t="shared" si="87"/>
        <v>895.75136503790429</v>
      </c>
      <c r="I334" s="5">
        <v>697</v>
      </c>
      <c r="J334" s="6">
        <f t="shared" si="82"/>
        <v>1.9095890410958904</v>
      </c>
      <c r="K334" s="4">
        <f t="shared" si="83"/>
        <v>35.281184509333471</v>
      </c>
      <c r="L334" s="10">
        <f t="shared" si="84"/>
        <v>72.299928889134563</v>
      </c>
      <c r="M334" s="13">
        <v>333.6387966151467</v>
      </c>
      <c r="N334" s="19">
        <f t="shared" si="88"/>
        <v>0.98338014684682262</v>
      </c>
      <c r="O334" s="21">
        <f t="shared" si="89"/>
        <v>1504.5575931575841</v>
      </c>
      <c r="P334" s="8">
        <f t="shared" si="90"/>
        <v>236583.31274867497</v>
      </c>
      <c r="Q334" s="8">
        <f t="shared" si="91"/>
        <v>24122.061269931535</v>
      </c>
      <c r="R334" s="8">
        <f t="shared" si="92"/>
        <v>108379.37729695927</v>
      </c>
      <c r="S334" s="8">
        <f t="shared" si="93"/>
        <v>23721.156153873326</v>
      </c>
      <c r="T334" s="8">
        <f t="shared" si="94"/>
        <v>97080.975155709311</v>
      </c>
      <c r="U334" s="8">
        <f t="shared" si="95"/>
        <v>35689.845609786869</v>
      </c>
    </row>
    <row r="335" spans="1:21">
      <c r="A335" s="1">
        <v>42062</v>
      </c>
      <c r="B335" s="5">
        <v>333</v>
      </c>
      <c r="C335" s="6">
        <f t="shared" si="80"/>
        <v>0.9123287671232877</v>
      </c>
      <c r="D335" s="4">
        <f t="shared" si="81"/>
        <v>28.295945063705123</v>
      </c>
      <c r="E335" s="10">
        <f t="shared" si="85"/>
        <v>35.374023481668019</v>
      </c>
      <c r="F335" s="8">
        <v>6695.4601097466648</v>
      </c>
      <c r="G335" s="19">
        <f t="shared" si="86"/>
        <v>0.46190962074178427</v>
      </c>
      <c r="H335" s="21">
        <f t="shared" si="87"/>
        <v>897.6285264524422</v>
      </c>
      <c r="I335" s="5">
        <v>698</v>
      </c>
      <c r="J335" s="6">
        <f t="shared" si="82"/>
        <v>1.9123287671232876</v>
      </c>
      <c r="K335" s="4">
        <f t="shared" si="83"/>
        <v>35.295345619402077</v>
      </c>
      <c r="L335" s="10">
        <f t="shared" si="84"/>
        <v>72.393994795455967</v>
      </c>
      <c r="M335" s="13">
        <v>332.3407500099346</v>
      </c>
      <c r="N335" s="19">
        <f t="shared" si="88"/>
        <v>0.98351982165273821</v>
      </c>
      <c r="O335" s="21">
        <f t="shared" si="89"/>
        <v>1505.9716967978609</v>
      </c>
      <c r="P335" s="8">
        <f t="shared" si="90"/>
        <v>236845.36314275005</v>
      </c>
      <c r="Q335" s="8">
        <f t="shared" si="91"/>
        <v>24059.474526537138</v>
      </c>
      <c r="R335" s="8">
        <f t="shared" si="92"/>
        <v>109401.15186371785</v>
      </c>
      <c r="S335" s="8">
        <f t="shared" si="93"/>
        <v>23662.970095398403</v>
      </c>
      <c r="T335" s="8">
        <f t="shared" si="94"/>
        <v>98201.594739628912</v>
      </c>
      <c r="U335" s="8">
        <f t="shared" si="95"/>
        <v>35635.763225844174</v>
      </c>
    </row>
    <row r="336" spans="1:21">
      <c r="A336" s="1">
        <v>42063</v>
      </c>
      <c r="B336" s="5">
        <v>334</v>
      </c>
      <c r="C336" s="6">
        <f t="shared" si="80"/>
        <v>0.91506849315068495</v>
      </c>
      <c r="D336" s="4">
        <f t="shared" si="81"/>
        <v>28.321197191941859</v>
      </c>
      <c r="E336" s="10">
        <f t="shared" si="85"/>
        <v>35.476408705007977</v>
      </c>
      <c r="F336" s="8">
        <v>6683.1171625838169</v>
      </c>
      <c r="G336" s="19">
        <f t="shared" si="86"/>
        <v>0.46571525970418853</v>
      </c>
      <c r="H336" s="21">
        <f t="shared" si="87"/>
        <v>899.50495339956933</v>
      </c>
      <c r="I336" s="5">
        <v>699</v>
      </c>
      <c r="J336" s="6">
        <f t="shared" si="82"/>
        <v>1.9150684931506849</v>
      </c>
      <c r="K336" s="4">
        <f t="shared" si="83"/>
        <v>35.309484244754124</v>
      </c>
      <c r="L336" s="10">
        <f t="shared" si="84"/>
        <v>72.487995722120175</v>
      </c>
      <c r="M336" s="13">
        <v>330.99372051395972</v>
      </c>
      <c r="N336" s="19">
        <f t="shared" si="88"/>
        <v>0.98365812309532186</v>
      </c>
      <c r="O336" s="21">
        <f t="shared" si="89"/>
        <v>1507.3843143807567</v>
      </c>
      <c r="P336" s="8">
        <f t="shared" si="90"/>
        <v>237092.99588327674</v>
      </c>
      <c r="Q336" s="8">
        <f t="shared" si="91"/>
        <v>23993.071396664553</v>
      </c>
      <c r="R336" s="8">
        <f t="shared" si="92"/>
        <v>110417.82615182434</v>
      </c>
      <c r="S336" s="8">
        <f t="shared" si="93"/>
        <v>23600.979577335107</v>
      </c>
      <c r="T336" s="8">
        <f t="shared" si="94"/>
        <v>99321.381567178498</v>
      </c>
      <c r="U336" s="8">
        <f t="shared" si="95"/>
        <v>35575.74641889552</v>
      </c>
    </row>
    <row r="337" spans="1:21">
      <c r="A337" s="1">
        <v>42064</v>
      </c>
      <c r="B337" s="5">
        <v>335</v>
      </c>
      <c r="C337" s="6">
        <f t="shared" si="80"/>
        <v>0.9178082191780822</v>
      </c>
      <c r="D337" s="4">
        <f t="shared" si="81"/>
        <v>28.346409225373637</v>
      </c>
      <c r="E337" s="10">
        <f t="shared" si="85"/>
        <v>35.578835569996421</v>
      </c>
      <c r="F337" s="8">
        <v>6670.8757199206639</v>
      </c>
      <c r="G337" s="19">
        <f t="shared" si="86"/>
        <v>0.46951884216560608</v>
      </c>
      <c r="H337" s="21">
        <f t="shared" si="87"/>
        <v>901.38064059980275</v>
      </c>
      <c r="I337" s="5">
        <v>700</v>
      </c>
      <c r="J337" s="6">
        <f t="shared" si="82"/>
        <v>1.9178082191780821</v>
      </c>
      <c r="K337" s="4">
        <f t="shared" si="83"/>
        <v>35.323600421090376</v>
      </c>
      <c r="L337" s="10">
        <f t="shared" si="84"/>
        <v>72.581931546351868</v>
      </c>
      <c r="M337" s="13">
        <v>329.66710055580273</v>
      </c>
      <c r="N337" s="19">
        <f t="shared" si="88"/>
        <v>0.98379506615698886</v>
      </c>
      <c r="O337" s="21">
        <f t="shared" si="89"/>
        <v>1508.7954459601178</v>
      </c>
      <c r="P337" s="8">
        <f t="shared" si="90"/>
        <v>237341.99034693881</v>
      </c>
      <c r="Q337" s="8">
        <f t="shared" si="91"/>
        <v>23927.874925625572</v>
      </c>
      <c r="R337" s="8">
        <f t="shared" si="92"/>
        <v>111436.53650497516</v>
      </c>
      <c r="S337" s="8">
        <f t="shared" si="93"/>
        <v>23540.125295451966</v>
      </c>
      <c r="T337" s="8">
        <f t="shared" si="94"/>
        <v>100446.73666107781</v>
      </c>
      <c r="U337" s="8">
        <f t="shared" si="95"/>
        <v>35517.233843108501</v>
      </c>
    </row>
    <row r="338" spans="1:21">
      <c r="A338" s="1">
        <v>42065</v>
      </c>
      <c r="B338" s="5">
        <v>336</v>
      </c>
      <c r="C338" s="6">
        <f t="shared" si="80"/>
        <v>0.92054794520547945</v>
      </c>
      <c r="D338" s="4">
        <f t="shared" si="81"/>
        <v>28.371581227662183</v>
      </c>
      <c r="E338" s="10">
        <f t="shared" si="85"/>
        <v>35.681303587286749</v>
      </c>
      <c r="F338" s="8">
        <v>6658.3297637584274</v>
      </c>
      <c r="G338" s="19">
        <f t="shared" si="86"/>
        <v>0.4733199214580377</v>
      </c>
      <c r="H338" s="21">
        <f t="shared" si="87"/>
        <v>903.25558279885661</v>
      </c>
      <c r="I338" s="5">
        <v>701</v>
      </c>
      <c r="J338" s="6">
        <f t="shared" si="82"/>
        <v>1.9205479452054794</v>
      </c>
      <c r="K338" s="4">
        <f t="shared" si="83"/>
        <v>35.337694184054911</v>
      </c>
      <c r="L338" s="10">
        <f t="shared" si="84"/>
        <v>72.675802146092977</v>
      </c>
      <c r="M338" s="13">
        <v>328.42620065648049</v>
      </c>
      <c r="N338" s="19">
        <f t="shared" si="88"/>
        <v>0.98393066564514142</v>
      </c>
      <c r="O338" s="21">
        <f t="shared" si="89"/>
        <v>1510.2050915964942</v>
      </c>
      <c r="P338" s="8">
        <f t="shared" si="90"/>
        <v>237577.88568493171</v>
      </c>
      <c r="Q338" s="8">
        <f t="shared" si="91"/>
        <v>23868.637578503407</v>
      </c>
      <c r="R338" s="8">
        <f t="shared" si="92"/>
        <v>112450.34619255853</v>
      </c>
      <c r="S338" s="8">
        <f t="shared" si="93"/>
        <v>23485.084460659495</v>
      </c>
      <c r="T338" s="8">
        <f t="shared" si="94"/>
        <v>101571.40298609264</v>
      </c>
      <c r="U338" s="8">
        <f t="shared" si="95"/>
        <v>35467.29412906168</v>
      </c>
    </row>
    <row r="339" spans="1:21">
      <c r="A339" s="1">
        <v>42066</v>
      </c>
      <c r="B339" s="5">
        <v>337</v>
      </c>
      <c r="C339" s="6">
        <f t="shared" si="80"/>
        <v>0.92328767123287669</v>
      </c>
      <c r="D339" s="4">
        <f t="shared" si="81"/>
        <v>28.396713262368102</v>
      </c>
      <c r="E339" s="10">
        <f t="shared" si="85"/>
        <v>35.783812268630946</v>
      </c>
      <c r="F339" s="8">
        <v>6639.693537614522</v>
      </c>
      <c r="G339" s="19">
        <f t="shared" si="86"/>
        <v>0.47711805349740349</v>
      </c>
      <c r="H339" s="21">
        <f t="shared" si="87"/>
        <v>905.12977476756794</v>
      </c>
      <c r="I339" s="5">
        <v>702</v>
      </c>
      <c r="J339" s="6">
        <f t="shared" si="82"/>
        <v>1.9232876712328768</v>
      </c>
      <c r="K339" s="4">
        <f t="shared" si="83"/>
        <v>35.351765569235219</v>
      </c>
      <c r="L339" s="10">
        <f t="shared" si="84"/>
        <v>72.769607400000723</v>
      </c>
      <c r="M339" s="13">
        <v>326.27299441670249</v>
      </c>
      <c r="N339" s="19">
        <f t="shared" si="88"/>
        <v>0.98406493619427771</v>
      </c>
      <c r="O339" s="21">
        <f t="shared" si="89"/>
        <v>1511.6132513571238</v>
      </c>
      <c r="P339" s="8">
        <f t="shared" si="90"/>
        <v>237593.54707124014</v>
      </c>
      <c r="Q339" s="8">
        <f t="shared" si="91"/>
        <v>23742.757708926067</v>
      </c>
      <c r="R339" s="8">
        <f t="shared" si="92"/>
        <v>113360.17070217381</v>
      </c>
      <c r="S339" s="8">
        <f t="shared" si="93"/>
        <v>23364.415349910523</v>
      </c>
      <c r="T339" s="8">
        <f t="shared" si="94"/>
        <v>102605.66577527164</v>
      </c>
      <c r="U339" s="8">
        <f t="shared" si="95"/>
        <v>35317.959853136541</v>
      </c>
    </row>
    <row r="340" spans="1:21">
      <c r="A340" s="1">
        <v>42067</v>
      </c>
      <c r="B340" s="5">
        <v>338</v>
      </c>
      <c r="C340" s="6">
        <f t="shared" si="80"/>
        <v>0.92602739726027394</v>
      </c>
      <c r="D340" s="4">
        <f t="shared" si="81"/>
        <v>28.421805392951086</v>
      </c>
      <c r="E340" s="10">
        <f t="shared" si="85"/>
        <v>35.886361126881908</v>
      </c>
      <c r="F340" s="8">
        <v>6624.1227473613899</v>
      </c>
      <c r="G340" s="19">
        <f t="shared" si="86"/>
        <v>0.48091279698086969</v>
      </c>
      <c r="H340" s="21">
        <f t="shared" si="87"/>
        <v>907.00321130182908</v>
      </c>
      <c r="I340" s="5">
        <v>703</v>
      </c>
      <c r="J340" s="6">
        <f t="shared" si="82"/>
        <v>1.9260273972602739</v>
      </c>
      <c r="K340" s="4">
        <f t="shared" si="83"/>
        <v>35.365814612162275</v>
      </c>
      <c r="L340" s="10">
        <f t="shared" si="84"/>
        <v>72.863347187445726</v>
      </c>
      <c r="M340" s="13">
        <v>324.19734442063225</v>
      </c>
      <c r="N340" s="19">
        <f t="shared" si="88"/>
        <v>0.98419789226807575</v>
      </c>
      <c r="O340" s="21">
        <f t="shared" si="89"/>
        <v>1513.0199253158892</v>
      </c>
      <c r="P340" s="8">
        <f t="shared" si="90"/>
        <v>237715.66106060398</v>
      </c>
      <c r="Q340" s="8">
        <f t="shared" si="91"/>
        <v>23622.103663768448</v>
      </c>
      <c r="R340" s="8">
        <f t="shared" si="92"/>
        <v>114320.50344681148</v>
      </c>
      <c r="S340" s="8">
        <f t="shared" si="93"/>
        <v>23248.824636818896</v>
      </c>
      <c r="T340" s="8">
        <f t="shared" si="94"/>
        <v>103689.06374389982</v>
      </c>
      <c r="U340" s="8">
        <f t="shared" si="95"/>
        <v>35175.93491568193</v>
      </c>
    </row>
    <row r="341" spans="1:21">
      <c r="A341" s="1">
        <v>42068</v>
      </c>
      <c r="B341" s="5">
        <v>339</v>
      </c>
      <c r="C341" s="6">
        <f t="shared" si="80"/>
        <v>0.92876712328767119</v>
      </c>
      <c r="D341" s="4">
        <f t="shared" si="81"/>
        <v>28.446857682770084</v>
      </c>
      <c r="E341" s="10">
        <f t="shared" si="85"/>
        <v>35.988949675994526</v>
      </c>
      <c r="F341" s="8">
        <v>6610.9677642009856</v>
      </c>
      <c r="G341" s="19">
        <f t="shared" si="86"/>
        <v>0.48470371358071729</v>
      </c>
      <c r="H341" s="21">
        <f t="shared" si="87"/>
        <v>908.8758872225078</v>
      </c>
      <c r="I341" s="5">
        <v>704</v>
      </c>
      <c r="J341" s="6">
        <f t="shared" si="82"/>
        <v>1.9287671232876713</v>
      </c>
      <c r="K341" s="4">
        <f t="shared" si="83"/>
        <v>35.379841348310656</v>
      </c>
      <c r="L341" s="10">
        <f t="shared" si="84"/>
        <v>72.957021388510213</v>
      </c>
      <c r="M341" s="13">
        <v>322.48906610528229</v>
      </c>
      <c r="N341" s="19">
        <f t="shared" si="88"/>
        <v>0.98432954816145435</v>
      </c>
      <c r="O341" s="21">
        <f t="shared" si="89"/>
        <v>1514.4251135533082</v>
      </c>
      <c r="P341" s="8">
        <f t="shared" si="90"/>
        <v>237921.78617545133</v>
      </c>
      <c r="Q341" s="8">
        <f t="shared" si="91"/>
        <v>23527.841693403763</v>
      </c>
      <c r="R341" s="8">
        <f t="shared" si="92"/>
        <v>115321.57330099863</v>
      </c>
      <c r="S341" s="8">
        <f t="shared" si="93"/>
        <v>23159.149783282352</v>
      </c>
      <c r="T341" s="8">
        <f t="shared" si="94"/>
        <v>104812.9972498406</v>
      </c>
      <c r="U341" s="8">
        <f t="shared" si="95"/>
        <v>35072.798040345442</v>
      </c>
    </row>
    <row r="342" spans="1:21">
      <c r="A342" s="1">
        <v>42069</v>
      </c>
      <c r="B342" s="5">
        <v>340</v>
      </c>
      <c r="C342" s="6">
        <f t="shared" si="80"/>
        <v>0.93150684931506844</v>
      </c>
      <c r="D342" s="4">
        <f t="shared" si="81"/>
        <v>28.471870195083422</v>
      </c>
      <c r="E342" s="10">
        <f t="shared" si="85"/>
        <v>36.091577431027936</v>
      </c>
      <c r="F342" s="8">
        <v>6595.8232928465723</v>
      </c>
      <c r="G342" s="19">
        <f t="shared" si="86"/>
        <v>0.48849036813457636</v>
      </c>
      <c r="H342" s="21">
        <f t="shared" si="87"/>
        <v>910.74779737538154</v>
      </c>
      <c r="I342" s="5">
        <v>705</v>
      </c>
      <c r="J342" s="6">
        <f t="shared" si="82"/>
        <v>1.9315068493150684</v>
      </c>
      <c r="K342" s="4">
        <f t="shared" si="83"/>
        <v>35.393845813098594</v>
      </c>
      <c r="L342" s="10">
        <f t="shared" si="84"/>
        <v>73.050629883985977</v>
      </c>
      <c r="M342" s="13">
        <v>320.49097235291964</v>
      </c>
      <c r="N342" s="19">
        <f t="shared" si="88"/>
        <v>0.98445991800260879</v>
      </c>
      <c r="O342" s="21">
        <f t="shared" si="89"/>
        <v>1515.8288161564847</v>
      </c>
      <c r="P342" s="8">
        <f t="shared" si="90"/>
        <v>238053.66709514972</v>
      </c>
      <c r="Q342" s="8">
        <f t="shared" si="91"/>
        <v>23412.067402511915</v>
      </c>
      <c r="R342" s="8">
        <f t="shared" si="92"/>
        <v>116286.92347509558</v>
      </c>
      <c r="S342" s="8">
        <f t="shared" si="93"/>
        <v>23048.241955348429</v>
      </c>
      <c r="T342" s="8">
        <f t="shared" si="94"/>
        <v>105908.05941850285</v>
      </c>
      <c r="U342" s="8">
        <f t="shared" si="95"/>
        <v>34937.18931766403</v>
      </c>
    </row>
    <row r="343" spans="1:21">
      <c r="A343" s="1">
        <v>42070</v>
      </c>
      <c r="B343" s="5">
        <v>341</v>
      </c>
      <c r="C343" s="6">
        <f t="shared" si="80"/>
        <v>0.9342465753424658</v>
      </c>
      <c r="D343" s="4">
        <f t="shared" si="81"/>
        <v>28.496842993049011</v>
      </c>
      <c r="E343" s="10">
        <f t="shared" si="85"/>
        <v>36.194243908146987</v>
      </c>
      <c r="F343" s="8">
        <v>6579.846484594661</v>
      </c>
      <c r="G343" s="19">
        <f t="shared" si="86"/>
        <v>0.49227232883189753</v>
      </c>
      <c r="H343" s="21">
        <f t="shared" si="87"/>
        <v>912.61893663105946</v>
      </c>
      <c r="I343" s="5">
        <v>706</v>
      </c>
      <c r="J343" s="6">
        <f t="shared" si="82"/>
        <v>1.9342465753424658</v>
      </c>
      <c r="K343" s="4">
        <f t="shared" si="83"/>
        <v>35.407828041888095</v>
      </c>
      <c r="L343" s="10">
        <f t="shared" si="84"/>
        <v>73.144172555372421</v>
      </c>
      <c r="M343" s="13">
        <v>318.54186149131971</v>
      </c>
      <c r="N343" s="19">
        <f t="shared" si="88"/>
        <v>0.98458901575502211</v>
      </c>
      <c r="O343" s="21">
        <f t="shared" si="89"/>
        <v>1517.2310332190912</v>
      </c>
      <c r="P343" s="8">
        <f t="shared" si="90"/>
        <v>238152.56854158267</v>
      </c>
      <c r="Q343" s="8">
        <f t="shared" si="91"/>
        <v>23299.480883030628</v>
      </c>
      <c r="R343" s="8">
        <f t="shared" si="92"/>
        <v>117235.919533263</v>
      </c>
      <c r="S343" s="8">
        <f t="shared" si="93"/>
        <v>22940.41295022608</v>
      </c>
      <c r="T343" s="8">
        <f t="shared" si="94"/>
        <v>106991.72021941094</v>
      </c>
      <c r="U343" s="8">
        <f t="shared" si="95"/>
        <v>34805.906442944135</v>
      </c>
    </row>
    <row r="344" spans="1:21">
      <c r="A344" s="1">
        <v>42071</v>
      </c>
      <c r="B344" s="5">
        <v>342</v>
      </c>
      <c r="C344" s="6">
        <f t="shared" si="80"/>
        <v>0.93698630136986305</v>
      </c>
      <c r="D344" s="4">
        <f t="shared" si="81"/>
        <v>28.521776139724459</v>
      </c>
      <c r="E344" s="10">
        <f t="shared" si="85"/>
        <v>36.296948624623631</v>
      </c>
      <c r="F344" s="8">
        <v>6565.8997663366417</v>
      </c>
      <c r="G344" s="19">
        <f t="shared" si="86"/>
        <v>0.49604916739647575</v>
      </c>
      <c r="H344" s="21">
        <f t="shared" si="87"/>
        <v>914.48929988491227</v>
      </c>
      <c r="I344" s="5">
        <v>707</v>
      </c>
      <c r="J344" s="6">
        <f t="shared" si="82"/>
        <v>1.9369863013698629</v>
      </c>
      <c r="K344" s="4">
        <f t="shared" si="83"/>
        <v>35.42178806998502</v>
      </c>
      <c r="L344" s="10">
        <f t="shared" si="84"/>
        <v>73.237649284874806</v>
      </c>
      <c r="M344" s="13">
        <v>316.962163264222</v>
      </c>
      <c r="N344" s="19">
        <f t="shared" si="88"/>
        <v>0.98471685521945274</v>
      </c>
      <c r="O344" s="21">
        <f t="shared" si="89"/>
        <v>1518.6317648413321</v>
      </c>
      <c r="P344" s="8">
        <f t="shared" si="90"/>
        <v>238322.12649314938</v>
      </c>
      <c r="Q344" s="8">
        <f t="shared" si="91"/>
        <v>23213.563749720321</v>
      </c>
      <c r="R344" s="8">
        <f t="shared" si="92"/>
        <v>118219.49241908433</v>
      </c>
      <c r="S344" s="8">
        <f t="shared" si="93"/>
        <v>22858.787494060882</v>
      </c>
      <c r="T344" s="8">
        <f t="shared" si="94"/>
        <v>108110.46085507811</v>
      </c>
      <c r="U344" s="8">
        <f t="shared" si="95"/>
        <v>34714.080794238653</v>
      </c>
    </row>
    <row r="345" spans="1:21">
      <c r="A345" s="1">
        <v>42072</v>
      </c>
      <c r="B345" s="5">
        <v>343</v>
      </c>
      <c r="C345" s="6">
        <f t="shared" si="80"/>
        <v>0.9397260273972603</v>
      </c>
      <c r="D345" s="4">
        <f t="shared" si="81"/>
        <v>28.546669698067266</v>
      </c>
      <c r="E345" s="10">
        <f t="shared" si="85"/>
        <v>36.399691098838908</v>
      </c>
      <c r="F345" s="8">
        <v>6551.1004102811876</v>
      </c>
      <c r="G345" s="19">
        <f t="shared" si="86"/>
        <v>0.49982045926490681</v>
      </c>
      <c r="H345" s="21">
        <f t="shared" si="87"/>
        <v>916.35888205700076</v>
      </c>
      <c r="I345" s="5">
        <v>708</v>
      </c>
      <c r="J345" s="6">
        <f t="shared" si="82"/>
        <v>1.9397260273972603</v>
      </c>
      <c r="K345" s="4">
        <f t="shared" si="83"/>
        <v>35.435725932639151</v>
      </c>
      <c r="L345" s="10">
        <f t="shared" si="84"/>
        <v>73.331059955402225</v>
      </c>
      <c r="M345" s="13">
        <v>315.21510682701825</v>
      </c>
      <c r="N345" s="19">
        <f t="shared" si="88"/>
        <v>0.98484345003589946</v>
      </c>
      <c r="O345" s="21">
        <f t="shared" si="89"/>
        <v>1520.0310111299216</v>
      </c>
      <c r="P345" s="8">
        <f t="shared" si="90"/>
        <v>238458.03129171205</v>
      </c>
      <c r="Q345" s="8">
        <f t="shared" si="91"/>
        <v>23115.057897580591</v>
      </c>
      <c r="R345" s="8">
        <f t="shared" si="92"/>
        <v>119186.20271562904</v>
      </c>
      <c r="S345" s="8">
        <f t="shared" si="93"/>
        <v>22764.713367632834</v>
      </c>
      <c r="T345" s="8">
        <f t="shared" si="94"/>
        <v>109217.33547711291</v>
      </c>
      <c r="U345" s="8">
        <f t="shared" si="95"/>
        <v>34603.070278285777</v>
      </c>
    </row>
    <row r="346" spans="1:21">
      <c r="A346" s="1">
        <v>42073</v>
      </c>
      <c r="B346" s="5">
        <v>344</v>
      </c>
      <c r="C346" s="6">
        <f t="shared" si="80"/>
        <v>0.94246575342465755</v>
      </c>
      <c r="D346" s="4">
        <f t="shared" si="81"/>
        <v>28.571523730934963</v>
      </c>
      <c r="E346" s="10">
        <f t="shared" si="85"/>
        <v>36.502470850284219</v>
      </c>
      <c r="F346" s="8">
        <v>6536.3619569255497</v>
      </c>
      <c r="G346" s="19">
        <f t="shared" si="86"/>
        <v>0.50358578376081342</v>
      </c>
      <c r="H346" s="21">
        <f t="shared" si="87"/>
        <v>918.22767809200388</v>
      </c>
      <c r="I346" s="5">
        <v>709</v>
      </c>
      <c r="J346" s="6">
        <f t="shared" si="82"/>
        <v>1.9424657534246574</v>
      </c>
      <c r="K346" s="4">
        <f t="shared" si="83"/>
        <v>35.449641665044332</v>
      </c>
      <c r="L346" s="10">
        <f t="shared" si="84"/>
        <v>73.424404450566144</v>
      </c>
      <c r="M346" s="13">
        <v>313.5068285116684</v>
      </c>
      <c r="N346" s="19">
        <f t="shared" si="88"/>
        <v>0.98496881368554245</v>
      </c>
      <c r="O346" s="21">
        <f t="shared" si="89"/>
        <v>1521.4287721980511</v>
      </c>
      <c r="P346" s="8">
        <f t="shared" si="90"/>
        <v>238593.36179958159</v>
      </c>
      <c r="Q346" s="8">
        <f t="shared" si="91"/>
        <v>23019.052174655022</v>
      </c>
      <c r="R346" s="8">
        <f t="shared" si="92"/>
        <v>120152.22510196961</v>
      </c>
      <c r="S346" s="8">
        <f t="shared" si="93"/>
        <v>22673.048512635563</v>
      </c>
      <c r="T346" s="8">
        <f t="shared" si="94"/>
        <v>110327.09867296934</v>
      </c>
      <c r="U346" s="8">
        <f t="shared" si="95"/>
        <v>34495.428360565973</v>
      </c>
    </row>
    <row r="347" spans="1:21">
      <c r="A347" s="1">
        <v>42074</v>
      </c>
      <c r="B347" s="5">
        <v>345</v>
      </c>
      <c r="C347" s="6">
        <f t="shared" si="80"/>
        <v>0.9452054794520548</v>
      </c>
      <c r="D347" s="4">
        <f t="shared" si="81"/>
        <v>28.596338301085275</v>
      </c>
      <c r="E347" s="10">
        <f t="shared" si="85"/>
        <v>36.605287399562975</v>
      </c>
      <c r="F347" s="8">
        <v>6523.7550980634969</v>
      </c>
      <c r="G347" s="19">
        <f t="shared" si="86"/>
        <v>0.50734472426472854</v>
      </c>
      <c r="H347" s="21">
        <f t="shared" si="87"/>
        <v>920.0956829591388</v>
      </c>
      <c r="I347" s="5">
        <v>710</v>
      </c>
      <c r="J347" s="6">
        <f t="shared" si="82"/>
        <v>1.9452054794520548</v>
      </c>
      <c r="K347" s="4">
        <f t="shared" si="83"/>
        <v>35.463535302338521</v>
      </c>
      <c r="L347" s="10">
        <f t="shared" si="84"/>
        <v>73.517682654677969</v>
      </c>
      <c r="M347" s="13">
        <v>312.00672748206</v>
      </c>
      <c r="N347" s="19">
        <f t="shared" si="88"/>
        <v>0.98509295949266107</v>
      </c>
      <c r="O347" s="21">
        <f t="shared" si="89"/>
        <v>1522.8250481653633</v>
      </c>
      <c r="P347" s="8">
        <f t="shared" si="90"/>
        <v>238803.93028897844</v>
      </c>
      <c r="Q347" s="8">
        <f t="shared" si="91"/>
        <v>22938.011577150679</v>
      </c>
      <c r="R347" s="8">
        <f t="shared" si="92"/>
        <v>121155.91416579523</v>
      </c>
      <c r="S347" s="8">
        <f t="shared" si="93"/>
        <v>22596.073709412285</v>
      </c>
      <c r="T347" s="8">
        <f t="shared" si="94"/>
        <v>111475.03358891615</v>
      </c>
      <c r="U347" s="8">
        <f t="shared" si="95"/>
        <v>34409.867034883864</v>
      </c>
    </row>
    <row r="348" spans="1:21">
      <c r="A348" s="1">
        <v>42075</v>
      </c>
      <c r="B348" s="5">
        <v>346</v>
      </c>
      <c r="C348" s="6">
        <f t="shared" si="80"/>
        <v>0.94794520547945205</v>
      </c>
      <c r="D348" s="4">
        <f t="shared" si="81"/>
        <v>28.62111347117629</v>
      </c>
      <c r="E348" s="10">
        <f t="shared" si="85"/>
        <v>36.708140268392086</v>
      </c>
      <c r="F348" s="8">
        <v>6508.5497240092645</v>
      </c>
      <c r="G348" s="19">
        <f t="shared" si="86"/>
        <v>0.51109686837951251</v>
      </c>
      <c r="H348" s="21">
        <f t="shared" si="87"/>
        <v>921.96289165210339</v>
      </c>
      <c r="I348" s="5">
        <v>711</v>
      </c>
      <c r="J348" s="6">
        <f t="shared" si="82"/>
        <v>1.9479452054794522</v>
      </c>
      <c r="K348" s="4">
        <f t="shared" si="83"/>
        <v>35.477406879603862</v>
      </c>
      <c r="L348" s="10">
        <f t="shared" si="84"/>
        <v>73.610894452747203</v>
      </c>
      <c r="M348" s="13">
        <v>310.31681775074611</v>
      </c>
      <c r="N348" s="19">
        <f t="shared" si="88"/>
        <v>0.98521590062652831</v>
      </c>
      <c r="O348" s="21">
        <f t="shared" si="89"/>
        <v>1524.2198391579166</v>
      </c>
      <c r="P348" s="8">
        <f t="shared" si="90"/>
        <v>238916.75621273668</v>
      </c>
      <c r="Q348" s="8">
        <f t="shared" si="91"/>
        <v>22842.698518362562</v>
      </c>
      <c r="R348" s="8">
        <f t="shared" si="92"/>
        <v>122109.60590372115</v>
      </c>
      <c r="S348" s="8">
        <f t="shared" si="93"/>
        <v>22504.989793508834</v>
      </c>
      <c r="T348" s="8">
        <f t="shared" si="94"/>
        <v>112580.5253574935</v>
      </c>
      <c r="U348" s="8">
        <f t="shared" si="95"/>
        <v>34302.551923312589</v>
      </c>
    </row>
    <row r="349" spans="1:21">
      <c r="A349" s="1">
        <v>42076</v>
      </c>
      <c r="B349" s="5">
        <v>347</v>
      </c>
      <c r="C349" s="6">
        <f t="shared" si="80"/>
        <v>0.9506849315068493</v>
      </c>
      <c r="D349" s="4">
        <f t="shared" si="81"/>
        <v>28.64584930376661</v>
      </c>
      <c r="E349" s="10">
        <f t="shared" si="85"/>
        <v>36.811028979603392</v>
      </c>
      <c r="F349" s="8">
        <v>6493.5067571545442</v>
      </c>
      <c r="G349" s="19">
        <f t="shared" si="86"/>
        <v>0.51484180809116653</v>
      </c>
      <c r="H349" s="21">
        <f t="shared" si="87"/>
        <v>923.82929918899129</v>
      </c>
      <c r="I349" s="5">
        <v>712</v>
      </c>
      <c r="J349" s="6">
        <f t="shared" si="82"/>
        <v>1.9506849315068493</v>
      </c>
      <c r="K349" s="4">
        <f t="shared" si="83"/>
        <v>35.491256431866816</v>
      </c>
      <c r="L349" s="10">
        <f t="shared" si="84"/>
        <v>73.704039730479977</v>
      </c>
      <c r="M349" s="13">
        <v>308.76773383037511</v>
      </c>
      <c r="N349" s="19">
        <f t="shared" si="88"/>
        <v>0.985337650103284</v>
      </c>
      <c r="O349" s="21">
        <f t="shared" si="89"/>
        <v>1525.6131453081634</v>
      </c>
      <c r="P349" s="8">
        <f t="shared" si="90"/>
        <v>239032.66541686637</v>
      </c>
      <c r="Q349" s="8">
        <f t="shared" si="91"/>
        <v>22757.429321724234</v>
      </c>
      <c r="R349" s="8">
        <f t="shared" si="92"/>
        <v>123064.00965607034</v>
      </c>
      <c r="S349" s="8">
        <f t="shared" si="93"/>
        <v>22423.751930259328</v>
      </c>
      <c r="T349" s="8">
        <f t="shared" si="94"/>
        <v>113690.13779595472</v>
      </c>
      <c r="U349" s="8">
        <f t="shared" si="95"/>
        <v>34209.970711932932</v>
      </c>
    </row>
    <row r="350" spans="1:21">
      <c r="A350" s="1">
        <v>42077</v>
      </c>
      <c r="B350" s="5">
        <v>348</v>
      </c>
      <c r="C350" s="6">
        <f t="shared" si="80"/>
        <v>0.95342465753424654</v>
      </c>
      <c r="D350" s="4">
        <f t="shared" si="81"/>
        <v>28.670545861315485</v>
      </c>
      <c r="E350" s="10">
        <f t="shared" si="85"/>
        <v>36.9139530571451</v>
      </c>
      <c r="F350" s="8">
        <v>6481.2044117915748</v>
      </c>
      <c r="G350" s="19">
        <f t="shared" si="86"/>
        <v>0.51857913992495441</v>
      </c>
      <c r="H350" s="21">
        <f t="shared" si="87"/>
        <v>925.69490061222677</v>
      </c>
      <c r="I350" s="5">
        <v>713</v>
      </c>
      <c r="J350" s="6">
        <f t="shared" si="82"/>
        <v>1.9534246575342467</v>
      </c>
      <c r="K350" s="4">
        <f t="shared" si="83"/>
        <v>35.505083994098221</v>
      </c>
      <c r="L350" s="10">
        <f t="shared" si="84"/>
        <v>73.797118374276934</v>
      </c>
      <c r="M350" s="13">
        <v>307.47989199407192</v>
      </c>
      <c r="N350" s="19">
        <f t="shared" si="88"/>
        <v>0.98545822078778478</v>
      </c>
      <c r="O350" s="21">
        <f t="shared" si="89"/>
        <v>1527.0049667549192</v>
      </c>
      <c r="P350" s="8">
        <f t="shared" si="90"/>
        <v>239246.87541063593</v>
      </c>
      <c r="Q350" s="8">
        <f t="shared" si="91"/>
        <v>22691.129987196411</v>
      </c>
      <c r="R350" s="8">
        <f t="shared" si="92"/>
        <v>124068.4388801803</v>
      </c>
      <c r="S350" s="8">
        <f t="shared" si="93"/>
        <v>22361.160584846926</v>
      </c>
      <c r="T350" s="8">
        <f t="shared" si="94"/>
        <v>114849.52119830264</v>
      </c>
      <c r="U350" s="8">
        <f t="shared" si="95"/>
        <v>34145.60327546559</v>
      </c>
    </row>
    <row r="351" spans="1:21">
      <c r="A351" s="1">
        <v>42078</v>
      </c>
      <c r="B351" s="5">
        <v>349</v>
      </c>
      <c r="C351" s="6">
        <f t="shared" si="80"/>
        <v>0.95616438356164379</v>
      </c>
      <c r="D351" s="4">
        <f t="shared" si="81"/>
        <v>28.695203206183017</v>
      </c>
      <c r="E351" s="10">
        <f t="shared" si="85"/>
        <v>37.016912026083268</v>
      </c>
      <c r="F351" s="8">
        <v>6467.0952863340426</v>
      </c>
      <c r="G351" s="19">
        <f t="shared" si="86"/>
        <v>0.52230846509673146</v>
      </c>
      <c r="H351" s="21">
        <f t="shared" si="87"/>
        <v>927.55969098848857</v>
      </c>
      <c r="I351" s="5">
        <v>714</v>
      </c>
      <c r="J351" s="6">
        <f t="shared" si="82"/>
        <v>1.9561643835616438</v>
      </c>
      <c r="K351" s="4">
        <f t="shared" si="83"/>
        <v>35.518889601213395</v>
      </c>
      <c r="L351" s="10">
        <f t="shared" si="84"/>
        <v>73.890130271231314</v>
      </c>
      <c r="M351" s="13">
        <v>305.99203668715421</v>
      </c>
      <c r="N351" s="19">
        <f t="shared" si="88"/>
        <v>0.98557762539543259</v>
      </c>
      <c r="O351" s="21">
        <f t="shared" si="89"/>
        <v>1528.3953036433368</v>
      </c>
      <c r="P351" s="8">
        <f t="shared" si="90"/>
        <v>239391.89727852505</v>
      </c>
      <c r="Q351" s="8">
        <f t="shared" si="91"/>
        <v>22609.791452773217</v>
      </c>
      <c r="R351" s="8">
        <f t="shared" si="92"/>
        <v>125036.41442414082</v>
      </c>
      <c r="S351" s="8">
        <f t="shared" si="93"/>
        <v>22283.704570710175</v>
      </c>
      <c r="T351" s="8">
        <f t="shared" si="94"/>
        <v>115978.73792556467</v>
      </c>
      <c r="U351" s="8">
        <f t="shared" si="95"/>
        <v>34058.309413648996</v>
      </c>
    </row>
    <row r="352" spans="1:21">
      <c r="A352" s="1">
        <v>42079</v>
      </c>
      <c r="B352" s="5">
        <v>350</v>
      </c>
      <c r="C352" s="6">
        <f t="shared" si="80"/>
        <v>0.95890410958904104</v>
      </c>
      <c r="D352" s="4">
        <f t="shared" si="81"/>
        <v>28.719821400630298</v>
      </c>
      <c r="E352" s="10">
        <f t="shared" si="85"/>
        <v>37.119905412603174</v>
      </c>
      <c r="F352" s="8">
        <v>6452.9658599765717</v>
      </c>
      <c r="G352" s="19">
        <f t="shared" si="86"/>
        <v>0.5260293896593714</v>
      </c>
      <c r="H352" s="21">
        <f t="shared" si="87"/>
        <v>929.42366540864521</v>
      </c>
      <c r="I352" s="5">
        <v>715</v>
      </c>
      <c r="J352" s="6">
        <f t="shared" si="82"/>
        <v>1.9589041095890412</v>
      </c>
      <c r="K352" s="4">
        <f t="shared" si="83"/>
        <v>35.53267328807221</v>
      </c>
      <c r="L352" s="10">
        <f t="shared" si="84"/>
        <v>73.983075309126932</v>
      </c>
      <c r="M352" s="13">
        <v>304.44499372056498</v>
      </c>
      <c r="N352" s="19">
        <f t="shared" si="88"/>
        <v>0.98569587649398027</v>
      </c>
      <c r="O352" s="21">
        <f t="shared" si="89"/>
        <v>1529.784156124867</v>
      </c>
      <c r="P352" s="8">
        <f t="shared" si="90"/>
        <v>239533.48235308783</v>
      </c>
      <c r="Q352" s="8">
        <f t="shared" si="91"/>
        <v>22523.776897915235</v>
      </c>
      <c r="R352" s="8">
        <f t="shared" si="92"/>
        <v>126001.6515251786</v>
      </c>
      <c r="S352" s="8">
        <f t="shared" si="93"/>
        <v>22201.594011345423</v>
      </c>
      <c r="T352" s="8">
        <f t="shared" si="94"/>
        <v>117108.91680807431</v>
      </c>
      <c r="U352" s="8">
        <f t="shared" si="95"/>
        <v>33963.646759272953</v>
      </c>
    </row>
    <row r="353" spans="1:21">
      <c r="A353" s="1">
        <v>42080</v>
      </c>
      <c r="B353" s="5">
        <v>351</v>
      </c>
      <c r="C353" s="6">
        <f t="shared" si="80"/>
        <v>0.9616438356164384</v>
      </c>
      <c r="D353" s="4">
        <f t="shared" si="81"/>
        <v>28.744400506819549</v>
      </c>
      <c r="E353" s="10">
        <f t="shared" si="85"/>
        <v>37.222932744010436</v>
      </c>
      <c r="F353" s="8">
        <v>6439.9326822158018</v>
      </c>
      <c r="G353" s="19">
        <f t="shared" si="86"/>
        <v>0.52974152464421642</v>
      </c>
      <c r="H353" s="21">
        <f t="shared" si="87"/>
        <v>931.28681898767525</v>
      </c>
      <c r="I353" s="5">
        <v>716</v>
      </c>
      <c r="J353" s="6">
        <f t="shared" si="82"/>
        <v>1.9616438356164383</v>
      </c>
      <c r="K353" s="4">
        <f t="shared" si="83"/>
        <v>35.54643508947921</v>
      </c>
      <c r="L353" s="10">
        <f t="shared" si="84"/>
        <v>74.075953376436942</v>
      </c>
      <c r="M353" s="13">
        <v>303.13470139266224</v>
      </c>
      <c r="N353" s="19">
        <f t="shared" si="88"/>
        <v>0.98581298650531535</v>
      </c>
      <c r="O353" s="21">
        <f t="shared" si="89"/>
        <v>1531.171524357251</v>
      </c>
      <c r="P353" s="8">
        <f t="shared" si="90"/>
        <v>239713.18110607352</v>
      </c>
      <c r="Q353" s="8">
        <f t="shared" si="91"/>
        <v>22454.992007142984</v>
      </c>
      <c r="R353" s="8">
        <f t="shared" si="92"/>
        <v>126986.02603644656</v>
      </c>
      <c r="S353" s="8">
        <f t="shared" si="93"/>
        <v>22136.422732514609</v>
      </c>
      <c r="T353" s="8">
        <f t="shared" si="94"/>
        <v>118260.41224336844</v>
      </c>
      <c r="U353" s="8">
        <f t="shared" si="95"/>
        <v>33894.660139160893</v>
      </c>
    </row>
    <row r="354" spans="1:21">
      <c r="A354" s="1">
        <v>42081</v>
      </c>
      <c r="B354" s="5">
        <v>352</v>
      </c>
      <c r="C354" s="6">
        <f t="shared" si="80"/>
        <v>0.96438356164383565</v>
      </c>
      <c r="D354" s="4">
        <f t="shared" si="81"/>
        <v>28.768940586814281</v>
      </c>
      <c r="E354" s="10">
        <f t="shared" si="85"/>
        <v>37.325993548732583</v>
      </c>
      <c r="F354" s="8">
        <v>6425.1130252604098</v>
      </c>
      <c r="G354" s="19">
        <f t="shared" si="86"/>
        <v>0.53344448619747276</v>
      </c>
      <c r="H354" s="21">
        <f t="shared" si="87"/>
        <v>933.14914686459929</v>
      </c>
      <c r="I354" s="5">
        <v>717</v>
      </c>
      <c r="J354" s="6">
        <f t="shared" si="82"/>
        <v>1.9643835616438357</v>
      </c>
      <c r="K354" s="4">
        <f t="shared" si="83"/>
        <v>35.560175040183644</v>
      </c>
      <c r="L354" s="10">
        <f t="shared" si="84"/>
        <v>74.168764362321099</v>
      </c>
      <c r="M354" s="13">
        <v>301.72236137567046</v>
      </c>
      <c r="N354" s="19">
        <f t="shared" si="88"/>
        <v>0.98592896770722505</v>
      </c>
      <c r="O354" s="21">
        <f t="shared" si="89"/>
        <v>1532.5574085044721</v>
      </c>
      <c r="P354" s="8">
        <f t="shared" si="90"/>
        <v>239823.72733074776</v>
      </c>
      <c r="Q354" s="8">
        <f t="shared" si="91"/>
        <v>22378.374723715195</v>
      </c>
      <c r="R354" s="8">
        <f t="shared" si="92"/>
        <v>127932.64500391354</v>
      </c>
      <c r="S354" s="8">
        <f t="shared" si="93"/>
        <v>22063.487890317978</v>
      </c>
      <c r="T354" s="8">
        <f t="shared" si="94"/>
        <v>119380.23854153356</v>
      </c>
      <c r="U354" s="8">
        <f t="shared" si="95"/>
        <v>33813.561823755525</v>
      </c>
    </row>
    <row r="355" spans="1:21">
      <c r="A355" s="1">
        <v>42082</v>
      </c>
      <c r="B355" s="5">
        <v>353</v>
      </c>
      <c r="C355" s="6">
        <f t="shared" si="80"/>
        <v>0.9671232876712329</v>
      </c>
      <c r="D355" s="4">
        <f t="shared" si="81"/>
        <v>28.793441702579489</v>
      </c>
      <c r="E355" s="10">
        <f t="shared" si="85"/>
        <v>37.429087356320288</v>
      </c>
      <c r="F355" s="8">
        <v>6411.2475106021448</v>
      </c>
      <c r="G355" s="19">
        <f t="shared" si="86"/>
        <v>0.53713789571148718</v>
      </c>
      <c r="H355" s="21">
        <f t="shared" si="87"/>
        <v>935.01064420241289</v>
      </c>
      <c r="I355" s="5">
        <v>718</v>
      </c>
      <c r="J355" s="6">
        <f t="shared" si="82"/>
        <v>1.9671232876712328</v>
      </c>
      <c r="K355" s="4">
        <f t="shared" si="83"/>
        <v>35.573893174879615</v>
      </c>
      <c r="L355" s="10">
        <f t="shared" si="84"/>
        <v>74.261508156624274</v>
      </c>
      <c r="M355" s="13">
        <v>300.35696329565957</v>
      </c>
      <c r="N355" s="19">
        <f t="shared" si="88"/>
        <v>0.98604383223513647</v>
      </c>
      <c r="O355" s="21">
        <f t="shared" si="89"/>
        <v>1533.9418087367317</v>
      </c>
      <c r="P355" s="8">
        <f t="shared" si="90"/>
        <v>239967.14313731866</v>
      </c>
      <c r="Q355" s="8">
        <f t="shared" si="91"/>
        <v>22304.96107967952</v>
      </c>
      <c r="R355" s="8">
        <f t="shared" si="92"/>
        <v>128895.44630467659</v>
      </c>
      <c r="S355" s="8">
        <f t="shared" si="93"/>
        <v>21993.669300862763</v>
      </c>
      <c r="T355" s="8">
        <f t="shared" si="94"/>
        <v>120518.61428409317</v>
      </c>
      <c r="U355" s="8">
        <f t="shared" si="95"/>
        <v>33737.008868122961</v>
      </c>
    </row>
    <row r="356" spans="1:21">
      <c r="A356" s="1">
        <v>42083</v>
      </c>
      <c r="B356" s="5">
        <v>354</v>
      </c>
      <c r="C356" s="6">
        <f t="shared" si="80"/>
        <v>0.96986301369863015</v>
      </c>
      <c r="D356" s="4">
        <f t="shared" si="81"/>
        <v>28.817903915981766</v>
      </c>
      <c r="E356" s="10">
        <f t="shared" si="85"/>
        <v>37.532213697448583</v>
      </c>
      <c r="F356" s="8">
        <v>6399.3308823380139</v>
      </c>
      <c r="G356" s="19">
        <f t="shared" si="86"/>
        <v>0.54082137995082169</v>
      </c>
      <c r="H356" s="21">
        <f t="shared" si="87"/>
        <v>936.87130618800859</v>
      </c>
      <c r="I356" s="5">
        <v>719</v>
      </c>
      <c r="J356" s="6">
        <f t="shared" si="82"/>
        <v>1.9698630136986301</v>
      </c>
      <c r="K356" s="4">
        <f t="shared" si="83"/>
        <v>35.587589528206117</v>
      </c>
      <c r="L356" s="10">
        <f t="shared" si="84"/>
        <v>74.354184649874711</v>
      </c>
      <c r="M356" s="13">
        <v>299.22423394677168</v>
      </c>
      <c r="N356" s="19">
        <f t="shared" si="88"/>
        <v>0.98615759208383846</v>
      </c>
      <c r="O356" s="21">
        <f t="shared" si="89"/>
        <v>1535.3247252304311</v>
      </c>
      <c r="P356" s="8">
        <f t="shared" si="90"/>
        <v>240181.05419659254</v>
      </c>
      <c r="Q356" s="8">
        <f t="shared" si="91"/>
        <v>22248.573942595569</v>
      </c>
      <c r="R356" s="8">
        <f t="shared" si="92"/>
        <v>129895.04916864427</v>
      </c>
      <c r="S356" s="8">
        <f t="shared" si="93"/>
        <v>21940.60010652928</v>
      </c>
      <c r="T356" s="8">
        <f t="shared" si="94"/>
        <v>121694.94438198335</v>
      </c>
      <c r="U356" s="8">
        <f t="shared" si="95"/>
        <v>33685.945829947836</v>
      </c>
    </row>
    <row r="357" spans="1:21">
      <c r="A357" s="1">
        <v>42084</v>
      </c>
      <c r="B357" s="5">
        <v>355</v>
      </c>
      <c r="C357" s="6">
        <f t="shared" si="80"/>
        <v>0.9726027397260274</v>
      </c>
      <c r="D357" s="4">
        <f t="shared" si="81"/>
        <v>28.842327288789466</v>
      </c>
      <c r="E357" s="10">
        <f t="shared" si="85"/>
        <v>37.635372103917938</v>
      </c>
      <c r="F357" s="8">
        <v>6385.5871730793824</v>
      </c>
      <c r="G357" s="19">
        <f t="shared" si="86"/>
        <v>0.54449457117309719</v>
      </c>
      <c r="H357" s="21">
        <f t="shared" si="87"/>
        <v>938.73112803210813</v>
      </c>
      <c r="I357" s="5">
        <v>720</v>
      </c>
      <c r="J357" s="6">
        <f t="shared" si="82"/>
        <v>1.9726027397260273</v>
      </c>
      <c r="K357" s="4">
        <f t="shared" si="83"/>
        <v>35.601264134747176</v>
      </c>
      <c r="L357" s="10">
        <f t="shared" si="84"/>
        <v>74.446793733282462</v>
      </c>
      <c r="M357" s="13">
        <v>297.82413965247054</v>
      </c>
      <c r="N357" s="19">
        <f t="shared" si="88"/>
        <v>0.98627025910918109</v>
      </c>
      <c r="O357" s="21">
        <f t="shared" si="89"/>
        <v>1536.7061581681385</v>
      </c>
      <c r="P357" s="8">
        <f t="shared" si="90"/>
        <v>240323.949360848</v>
      </c>
      <c r="Q357" s="8">
        <f t="shared" si="91"/>
        <v>22172.052293499783</v>
      </c>
      <c r="R357" s="8">
        <f t="shared" si="92"/>
        <v>130855.08574986005</v>
      </c>
      <c r="S357" s="8">
        <f t="shared" si="93"/>
        <v>21867.635760492343</v>
      </c>
      <c r="T357" s="8">
        <f t="shared" si="94"/>
        <v>122837.74225470437</v>
      </c>
      <c r="U357" s="8">
        <f t="shared" si="95"/>
        <v>33604.130537726385</v>
      </c>
    </row>
    <row r="358" spans="1:21">
      <c r="A358" s="1">
        <v>42085</v>
      </c>
      <c r="B358" s="5">
        <v>356</v>
      </c>
      <c r="C358" s="6">
        <f t="shared" si="80"/>
        <v>0.97534246575342465</v>
      </c>
      <c r="D358" s="4">
        <f t="shared" si="81"/>
        <v>28.866711882672895</v>
      </c>
      <c r="E358" s="10">
        <f t="shared" si="85"/>
        <v>37.738562108655856</v>
      </c>
      <c r="F358" s="8">
        <v>6371.0314278231954</v>
      </c>
      <c r="G358" s="19">
        <f t="shared" si="86"/>
        <v>0.54815710724454814</v>
      </c>
      <c r="H358" s="21">
        <f t="shared" si="87"/>
        <v>940.59010496919188</v>
      </c>
      <c r="I358" s="5">
        <v>721</v>
      </c>
      <c r="J358" s="6">
        <f t="shared" si="82"/>
        <v>1.9753424657534246</v>
      </c>
      <c r="K358" s="4">
        <f t="shared" si="83"/>
        <v>35.614917029031865</v>
      </c>
      <c r="L358" s="10">
        <f t="shared" si="84"/>
        <v>74.53933529873629</v>
      </c>
      <c r="M358" s="13">
        <v>296.44037298842369</v>
      </c>
      <c r="N358" s="19">
        <f t="shared" si="88"/>
        <v>0.98638184502975634</v>
      </c>
      <c r="O358" s="21">
        <f t="shared" si="89"/>
        <v>1538.0861077385546</v>
      </c>
      <c r="P358" s="8">
        <f t="shared" si="90"/>
        <v>240433.56523510406</v>
      </c>
      <c r="Q358" s="8">
        <f t="shared" si="91"/>
        <v>22096.46835826656</v>
      </c>
      <c r="R358" s="8">
        <f t="shared" si="92"/>
        <v>131795.36760376801</v>
      </c>
      <c r="S358" s="8">
        <f t="shared" si="93"/>
        <v>21795.555227868601</v>
      </c>
      <c r="T358" s="8">
        <f t="shared" si="94"/>
        <v>123965.41864888139</v>
      </c>
      <c r="U358" s="8">
        <f t="shared" si="95"/>
        <v>33523.440706433124</v>
      </c>
    </row>
    <row r="359" spans="1:21">
      <c r="A359" s="1">
        <v>42086</v>
      </c>
      <c r="B359" s="5">
        <v>357</v>
      </c>
      <c r="C359" s="6">
        <f t="shared" si="80"/>
        <v>0.9780821917808219</v>
      </c>
      <c r="D359" s="4">
        <f t="shared" si="81"/>
        <v>28.891057759204408</v>
      </c>
      <c r="E359" s="10">
        <f t="shared" si="85"/>
        <v>37.841783245717579</v>
      </c>
      <c r="F359" s="8">
        <v>6358.0997545621185</v>
      </c>
      <c r="G359" s="19">
        <f t="shared" si="86"/>
        <v>0.55180863175023698</v>
      </c>
      <c r="H359" s="21">
        <f t="shared" si="87"/>
        <v>942.44823225742573</v>
      </c>
      <c r="I359" s="5">
        <v>722</v>
      </c>
      <c r="J359" s="6">
        <f t="shared" si="82"/>
        <v>1.978082191780822</v>
      </c>
      <c r="K359" s="4">
        <f t="shared" si="83"/>
        <v>35.628548245534461</v>
      </c>
      <c r="L359" s="10">
        <f t="shared" si="84"/>
        <v>74.631809238803129</v>
      </c>
      <c r="M359" s="13">
        <v>295.32193031600821</v>
      </c>
      <c r="N359" s="19">
        <f t="shared" si="88"/>
        <v>0.98649236142855634</v>
      </c>
      <c r="O359" s="21">
        <f t="shared" si="89"/>
        <v>1539.4645741364891</v>
      </c>
      <c r="P359" s="8">
        <f t="shared" si="90"/>
        <v>240601.83276678983</v>
      </c>
      <c r="Q359" s="8">
        <f t="shared" si="91"/>
        <v>22040.409967379434</v>
      </c>
      <c r="R359" s="8">
        <f t="shared" si="92"/>
        <v>132766.16813564164</v>
      </c>
      <c r="S359" s="8">
        <f t="shared" si="93"/>
        <v>21742.696075573629</v>
      </c>
      <c r="T359" s="8">
        <f t="shared" si="94"/>
        <v>125125.24046302763</v>
      </c>
      <c r="U359" s="8">
        <f t="shared" si="95"/>
        <v>33472.110354562072</v>
      </c>
    </row>
    <row r="360" spans="1:21">
      <c r="A360" s="1">
        <v>42087</v>
      </c>
      <c r="B360" s="5">
        <v>358</v>
      </c>
      <c r="C360" s="6">
        <f t="shared" si="80"/>
        <v>0.98082191780821915</v>
      </c>
      <c r="D360" s="4">
        <f t="shared" si="81"/>
        <v>28.915364979858623</v>
      </c>
      <c r="E360" s="10">
        <f t="shared" si="85"/>
        <v>37.945035050287572</v>
      </c>
      <c r="F360" s="8">
        <v>6344.2951426036707</v>
      </c>
      <c r="G360" s="19">
        <f t="shared" si="86"/>
        <v>0.55544879409892933</v>
      </c>
      <c r="H360" s="21">
        <f t="shared" si="87"/>
        <v>944.30550517859319</v>
      </c>
      <c r="I360" s="5">
        <v>723</v>
      </c>
      <c r="J360" s="6">
        <f t="shared" si="82"/>
        <v>1.9808219178082191</v>
      </c>
      <c r="K360" s="4">
        <f t="shared" si="83"/>
        <v>35.642157818674505</v>
      </c>
      <c r="L360" s="10">
        <f t="shared" si="84"/>
        <v>74.724215446725751</v>
      </c>
      <c r="M360" s="13">
        <v>294.03612943348685</v>
      </c>
      <c r="N360" s="19">
        <f t="shared" si="88"/>
        <v>0.98660181975461414</v>
      </c>
      <c r="O360" s="21">
        <f t="shared" si="89"/>
        <v>1540.8415575628458</v>
      </c>
      <c r="P360" s="8">
        <f t="shared" si="90"/>
        <v>240734.50155546548</v>
      </c>
      <c r="Q360" s="8">
        <f t="shared" si="91"/>
        <v>21971.619084909209</v>
      </c>
      <c r="R360" s="8">
        <f t="shared" si="92"/>
        <v>133715.68858699012</v>
      </c>
      <c r="S360" s="8">
        <f t="shared" si="93"/>
        <v>21677.239372126634</v>
      </c>
      <c r="T360" s="8">
        <f t="shared" si="94"/>
        <v>126268.46086144116</v>
      </c>
      <c r="U360" s="8">
        <f t="shared" si="95"/>
        <v>33401.191277810249</v>
      </c>
    </row>
    <row r="361" spans="1:21">
      <c r="A361" s="1">
        <v>42088</v>
      </c>
      <c r="B361" s="5">
        <v>359</v>
      </c>
      <c r="C361" s="6">
        <f t="shared" si="80"/>
        <v>0.98356164383561639</v>
      </c>
      <c r="D361" s="4">
        <f t="shared" si="81"/>
        <v>28.939633606012535</v>
      </c>
      <c r="E361" s="10">
        <f t="shared" si="85"/>
        <v>38.048317058680311</v>
      </c>
      <c r="F361" s="8">
        <v>6330.7138405445503</v>
      </c>
      <c r="G361" s="19">
        <f t="shared" si="86"/>
        <v>0.55907724962256866</v>
      </c>
      <c r="H361" s="21">
        <f t="shared" si="87"/>
        <v>946.16191903802303</v>
      </c>
      <c r="I361" s="5">
        <v>724</v>
      </c>
      <c r="J361" s="6">
        <f t="shared" si="82"/>
        <v>1.9835616438356165</v>
      </c>
      <c r="K361" s="4">
        <f t="shared" si="83"/>
        <v>35.655745782816865</v>
      </c>
      <c r="L361" s="10">
        <f t="shared" si="84"/>
        <v>74.816553816420594</v>
      </c>
      <c r="M361" s="13">
        <v>292.78502476525568</v>
      </c>
      <c r="N361" s="19">
        <f t="shared" si="88"/>
        <v>0.98671023132462199</v>
      </c>
      <c r="O361" s="21">
        <f t="shared" si="89"/>
        <v>1542.2170582245694</v>
      </c>
      <c r="P361" s="8">
        <f t="shared" si="90"/>
        <v>240873.00741281477</v>
      </c>
      <c r="Q361" s="8">
        <f t="shared" si="91"/>
        <v>21905.166561991788</v>
      </c>
      <c r="R361" s="8">
        <f t="shared" si="92"/>
        <v>134666.61849267306</v>
      </c>
      <c r="S361" s="8">
        <f t="shared" si="93"/>
        <v>21614.051965587292</v>
      </c>
      <c r="T361" s="8">
        <f t="shared" si="94"/>
        <v>127416.42618338886</v>
      </c>
      <c r="U361" s="8">
        <f t="shared" si="95"/>
        <v>33333.559638681007</v>
      </c>
    </row>
    <row r="362" spans="1:21">
      <c r="A362" s="1">
        <v>42089</v>
      </c>
      <c r="B362" s="5">
        <v>360</v>
      </c>
      <c r="C362" s="6">
        <f t="shared" si="80"/>
        <v>0.98630136986301364</v>
      </c>
      <c r="D362" s="4">
        <f t="shared" si="81"/>
        <v>28.963863698945698</v>
      </c>
      <c r="E362" s="10">
        <f t="shared" si="85"/>
        <v>38.151628808341734</v>
      </c>
      <c r="F362" s="8">
        <v>6318.8987167801151</v>
      </c>
      <c r="G362" s="19">
        <f t="shared" si="86"/>
        <v>0.56269365967036422</v>
      </c>
      <c r="H362" s="21">
        <f t="shared" si="87"/>
        <v>948.01746916451725</v>
      </c>
      <c r="I362" s="5">
        <v>725</v>
      </c>
      <c r="J362" s="6">
        <f t="shared" si="82"/>
        <v>1.9863013698630136</v>
      </c>
      <c r="K362" s="4">
        <f t="shared" si="83"/>
        <v>35.669312172271873</v>
      </c>
      <c r="L362" s="10">
        <f t="shared" si="84"/>
        <v>74.908824242476399</v>
      </c>
      <c r="M362" s="13">
        <v>291.66045923149483</v>
      </c>
      <c r="N362" s="19">
        <f t="shared" si="88"/>
        <v>0.98681760732453183</v>
      </c>
      <c r="O362" s="21">
        <f t="shared" si="89"/>
        <v>1543.5910763346415</v>
      </c>
      <c r="P362" s="8">
        <f t="shared" si="90"/>
        <v>241076.27832010185</v>
      </c>
      <c r="Q362" s="8">
        <f t="shared" si="91"/>
        <v>21847.942079051998</v>
      </c>
      <c r="R362" s="8">
        <f t="shared" si="92"/>
        <v>135652.0933076494</v>
      </c>
      <c r="S362" s="8">
        <f t="shared" si="93"/>
        <v>21559.933927415052</v>
      </c>
      <c r="T362" s="8">
        <f t="shared" si="94"/>
        <v>128600.55418438672</v>
      </c>
      <c r="U362" s="8">
        <f t="shared" si="95"/>
        <v>33279.721616722352</v>
      </c>
    </row>
    <row r="363" spans="1:21">
      <c r="A363" s="1">
        <v>42090</v>
      </c>
      <c r="B363" s="5">
        <v>361</v>
      </c>
      <c r="C363" s="6">
        <f t="shared" si="80"/>
        <v>0.989041095890411</v>
      </c>
      <c r="D363" s="4">
        <f t="shared" si="81"/>
        <v>28.988055319840345</v>
      </c>
      <c r="E363" s="10">
        <f t="shared" si="85"/>
        <v>38.254969837850048</v>
      </c>
      <c r="F363" s="8">
        <v>6304.4647769235607</v>
      </c>
      <c r="G363" s="19">
        <f t="shared" si="86"/>
        <v>0.56629769169745969</v>
      </c>
      <c r="H363" s="21">
        <f t="shared" si="87"/>
        <v>949.8721509102844</v>
      </c>
      <c r="I363" s="5">
        <v>726</v>
      </c>
      <c r="J363" s="6">
        <f t="shared" si="82"/>
        <v>1.989041095890411</v>
      </c>
      <c r="K363" s="4">
        <f t="shared" si="83"/>
        <v>35.682857021295355</v>
      </c>
      <c r="L363" s="10">
        <f t="shared" si="84"/>
        <v>75.001026620152004</v>
      </c>
      <c r="M363" s="13">
        <v>290.35628976493734</v>
      </c>
      <c r="N363" s="19">
        <f t="shared" si="88"/>
        <v>0.98692395881113593</v>
      </c>
      <c r="O363" s="21">
        <f t="shared" si="89"/>
        <v>1544.9636121120382</v>
      </c>
      <c r="P363" s="8">
        <f t="shared" si="90"/>
        <v>241177.10988499885</v>
      </c>
      <c r="Q363" s="8">
        <f t="shared" si="91"/>
        <v>21777.019817988636</v>
      </c>
      <c r="R363" s="8">
        <f t="shared" si="92"/>
        <v>136578.04061813944</v>
      </c>
      <c r="S363" s="8">
        <f t="shared" si="93"/>
        <v>21492.262609877907</v>
      </c>
      <c r="T363" s="8">
        <f t="shared" si="94"/>
        <v>129731.67720906429</v>
      </c>
      <c r="U363" s="8">
        <f t="shared" si="95"/>
        <v>33204.763674217473</v>
      </c>
    </row>
    <row r="364" spans="1:21">
      <c r="A364" s="1">
        <v>42091</v>
      </c>
      <c r="B364" s="5">
        <v>362</v>
      </c>
      <c r="C364" s="6">
        <f t="shared" si="80"/>
        <v>0.99178082191780825</v>
      </c>
      <c r="D364" s="4">
        <f t="shared" si="81"/>
        <v>29.012208529781592</v>
      </c>
      <c r="E364" s="10">
        <f t="shared" si="85"/>
        <v>38.358339686916715</v>
      </c>
      <c r="F364" s="8">
        <v>6290.0714388668839</v>
      </c>
      <c r="G364" s="19">
        <f t="shared" si="86"/>
        <v>0.56988901934820591</v>
      </c>
      <c r="H364" s="21">
        <f t="shared" si="87"/>
        <v>951.7259596508685</v>
      </c>
      <c r="I364" s="5">
        <v>727</v>
      </c>
      <c r="J364" s="6">
        <f t="shared" si="82"/>
        <v>1.9917808219178081</v>
      </c>
      <c r="K364" s="4">
        <f t="shared" si="83"/>
        <v>35.696380364088768</v>
      </c>
      <c r="L364" s="10">
        <f t="shared" si="84"/>
        <v>75.093160845374527</v>
      </c>
      <c r="M364" s="13">
        <v>289.13988131099649</v>
      </c>
      <c r="N364" s="19">
        <f t="shared" si="88"/>
        <v>0.98702929671362849</v>
      </c>
      <c r="O364" s="21">
        <f t="shared" si="89"/>
        <v>1546.3346657817108</v>
      </c>
      <c r="P364" s="8">
        <f t="shared" si="90"/>
        <v>241276.69690702891</v>
      </c>
      <c r="Q364" s="8">
        <f t="shared" si="91"/>
        <v>21712.427614099161</v>
      </c>
      <c r="R364" s="8">
        <f t="shared" si="92"/>
        <v>137500.94019192102</v>
      </c>
      <c r="S364" s="8">
        <f t="shared" si="93"/>
        <v>21430.802157889862</v>
      </c>
      <c r="T364" s="8">
        <f t="shared" si="94"/>
        <v>130863.21425705271</v>
      </c>
      <c r="U364" s="8">
        <f t="shared" si="95"/>
        <v>33139.192292254585</v>
      </c>
    </row>
    <row r="365" spans="1:21">
      <c r="A365" s="1">
        <v>42092</v>
      </c>
      <c r="B365" s="5">
        <v>363</v>
      </c>
      <c r="C365" s="6">
        <f t="shared" si="80"/>
        <v>0.9945205479452055</v>
      </c>
      <c r="D365" s="4">
        <f t="shared" si="81"/>
        <v>29.036323389757552</v>
      </c>
      <c r="E365" s="10">
        <f t="shared" si="85"/>
        <v>38.461737896387582</v>
      </c>
      <c r="F365" s="8">
        <v>6278.2766160023875</v>
      </c>
      <c r="G365" s="19">
        <f t="shared" si="86"/>
        <v>0.57346732253401633</v>
      </c>
      <c r="H365" s="21">
        <f t="shared" si="87"/>
        <v>953.57889078507185</v>
      </c>
      <c r="I365" s="5">
        <v>728</v>
      </c>
      <c r="J365" s="6">
        <f t="shared" si="82"/>
        <v>1.9945205479452055</v>
      </c>
      <c r="K365" s="4">
        <f t="shared" si="83"/>
        <v>35.709882234799259</v>
      </c>
      <c r="L365" s="10">
        <f t="shared" si="84"/>
        <v>75.185226814737618</v>
      </c>
      <c r="M365" s="13">
        <v>288.13165014279718</v>
      </c>
      <c r="N365" s="19">
        <f t="shared" si="88"/>
        <v>0.98713363183514724</v>
      </c>
      <c r="O365" s="21">
        <f t="shared" si="89"/>
        <v>1547.7042375745575</v>
      </c>
      <c r="P365" s="8">
        <f t="shared" si="90"/>
        <v>241473.42964570303</v>
      </c>
      <c r="Q365" s="8">
        <f t="shared" si="91"/>
        <v>21663.243468490833</v>
      </c>
      <c r="R365" s="8">
        <f t="shared" si="92"/>
        <v>138477.12116202747</v>
      </c>
      <c r="S365" s="8">
        <f t="shared" si="93"/>
        <v>21384.51620238039</v>
      </c>
      <c r="T365" s="8">
        <f t="shared" si="94"/>
        <v>132048.85959679616</v>
      </c>
      <c r="U365" s="8">
        <f t="shared" si="95"/>
        <v>33096.90634490591</v>
      </c>
    </row>
    <row r="366" spans="1:21">
      <c r="A366" s="1">
        <v>42093</v>
      </c>
      <c r="B366" s="5">
        <v>364</v>
      </c>
      <c r="C366" s="6">
        <f t="shared" si="80"/>
        <v>0.99726027397260275</v>
      </c>
      <c r="D366" s="4">
        <f t="shared" si="81"/>
        <v>29.060399960659492</v>
      </c>
      <c r="E366" s="10">
        <f t="shared" si="85"/>
        <v>38.565164008243876</v>
      </c>
      <c r="F366" s="8">
        <v>6264.7562166430826</v>
      </c>
      <c r="G366" s="19">
        <f t="shared" si="86"/>
        <v>0.5770322875058328</v>
      </c>
      <c r="H366" s="21">
        <f t="shared" si="87"/>
        <v>955.43093973489727</v>
      </c>
      <c r="I366" s="5">
        <v>729</v>
      </c>
      <c r="J366" s="6">
        <f t="shared" si="82"/>
        <v>1.9972602739726026</v>
      </c>
      <c r="K366" s="4">
        <f t="shared" si="83"/>
        <v>35.723362667519758</v>
      </c>
      <c r="L366" s="10">
        <f t="shared" si="84"/>
        <v>75.277224425499853</v>
      </c>
      <c r="M366" s="13">
        <v>286.95401981071012</v>
      </c>
      <c r="N366" s="19">
        <f t="shared" si="88"/>
        <v>0.98723697485429796</v>
      </c>
      <c r="O366" s="21">
        <f t="shared" si="89"/>
        <v>1549.0723277273894</v>
      </c>
      <c r="P366" s="8">
        <f t="shared" si="90"/>
        <v>241601.35096650588</v>
      </c>
      <c r="Q366" s="8">
        <f t="shared" si="91"/>
        <v>21601.102149090155</v>
      </c>
      <c r="R366" s="8">
        <f t="shared" si="92"/>
        <v>139411.78021270243</v>
      </c>
      <c r="S366" s="8">
        <f t="shared" si="93"/>
        <v>21325.406739186437</v>
      </c>
      <c r="T366" s="8">
        <f t="shared" si="94"/>
        <v>133198.32817873723</v>
      </c>
      <c r="U366" s="8">
        <f t="shared" si="95"/>
        <v>33034.597457204887</v>
      </c>
    </row>
    <row r="367" spans="1:21">
      <c r="A367" s="1">
        <v>42094</v>
      </c>
      <c r="B367" s="5">
        <v>365</v>
      </c>
      <c r="C367" s="6">
        <f t="shared" si="80"/>
        <v>1</v>
      </c>
      <c r="D367" s="4">
        <f t="shared" si="81"/>
        <v>29.084438303282028</v>
      </c>
      <c r="E367" s="10">
        <f t="shared" si="85"/>
        <v>38.668617565602929</v>
      </c>
      <c r="F367" s="8">
        <v>6250.9516046846356</v>
      </c>
      <c r="G367" s="19">
        <f t="shared" si="86"/>
        <v>0.58058360692122535</v>
      </c>
      <c r="H367" s="21">
        <f t="shared" si="87"/>
        <v>957.28210194546614</v>
      </c>
      <c r="I367" s="5">
        <v>730</v>
      </c>
      <c r="J367" s="6">
        <f t="shared" si="82"/>
        <v>2</v>
      </c>
      <c r="K367" s="4">
        <f t="shared" si="83"/>
        <v>35.736821696289056</v>
      </c>
      <c r="L367" s="10">
        <f t="shared" si="84"/>
        <v>75.369153575582217</v>
      </c>
      <c r="M367" s="13">
        <v>285.68862846600643</v>
      </c>
      <c r="N367" s="19">
        <f t="shared" si="88"/>
        <v>0.98733933632665916</v>
      </c>
      <c r="O367" s="21">
        <f t="shared" si="89"/>
        <v>1550.4389364829142</v>
      </c>
      <c r="P367" s="8">
        <f t="shared" si="90"/>
        <v>241715.65702264212</v>
      </c>
      <c r="Q367" s="8">
        <f t="shared" si="91"/>
        <v>21532.110113651888</v>
      </c>
      <c r="R367" s="8">
        <f t="shared" si="92"/>
        <v>140336.14800353936</v>
      </c>
      <c r="S367" s="8">
        <f t="shared" si="93"/>
        <v>21259.499309325602</v>
      </c>
      <c r="T367" s="8">
        <f t="shared" si="94"/>
        <v>134341.2827397582</v>
      </c>
      <c r="U367" s="8">
        <f t="shared" si="95"/>
        <v>32961.555499310038</v>
      </c>
    </row>
    <row r="368" spans="1:21">
      <c r="A368"/>
      <c r="B368"/>
      <c r="C368"/>
      <c r="D368"/>
      <c r="F368"/>
      <c r="G368"/>
    </row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</sheetData>
  <mergeCells count="9">
    <mergeCell ref="S1:S2"/>
    <mergeCell ref="T1:T2"/>
    <mergeCell ref="U1:U2"/>
    <mergeCell ref="A1:A2"/>
    <mergeCell ref="B1:H1"/>
    <mergeCell ref="I1:O1"/>
    <mergeCell ref="P1:P2"/>
    <mergeCell ref="Q1:Q2"/>
    <mergeCell ref="R1:R2"/>
  </mergeCells>
  <phoneticPr fontId="3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input</vt:lpstr>
      <vt:lpstr>マアナゴ</vt:lpstr>
      <vt:lpstr>シャコ</vt:lpstr>
      <vt:lpstr>マアナゴGraph</vt:lpstr>
      <vt:lpstr>シャコGraph</vt:lpstr>
      <vt:lpstr>マアナゴ (本宮計算)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2025-04-23T12:57:10Z</dcterms:modified>
</cp:coreProperties>
</file>